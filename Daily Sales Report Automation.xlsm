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w\Documents\Professional\GitHub Update\Projects for Posting\"/>
    </mc:Choice>
  </mc:AlternateContent>
  <bookViews>
    <workbookView xWindow="0" yWindow="0" windowWidth="23040" windowHeight="8592" xr2:uid="{00000000-000D-0000-FFFF-FFFF00000000}"/>
  </bookViews>
  <sheets>
    <sheet name="Start Here" sheetId="3" r:id="rId1"/>
    <sheet name="PasteData" sheetId="1" r:id="rId2"/>
    <sheet name="Notes" sheetId="2" state="hidden" r:id="rId3"/>
  </sheets>
  <definedNames>
    <definedName name="_xlnm._FilterDatabase" localSheetId="1" hidden="1">PasteData!$A$1:$AL$6245</definedName>
  </definedNames>
  <calcPr calcId="171027"/>
  <pivotCaches>
    <pivotCache cacheId="0" r:id="rId4"/>
  </pivotCaches>
</workbook>
</file>

<file path=xl/calcChain.xml><?xml version="1.0" encoding="utf-8"?>
<calcChain xmlns="http://schemas.openxmlformats.org/spreadsheetml/2006/main">
  <c r="S29" i="2" l="1"/>
</calcChain>
</file>

<file path=xl/sharedStrings.xml><?xml version="1.0" encoding="utf-8"?>
<sst xmlns="http://schemas.openxmlformats.org/spreadsheetml/2006/main" count="6523" uniqueCount="691">
  <si>
    <t>57</t>
  </si>
  <si>
    <t>JMIO</t>
  </si>
  <si>
    <t>697601</t>
  </si>
  <si>
    <t>Standard order</t>
  </si>
  <si>
    <t>1504841</t>
  </si>
  <si>
    <t>R059</t>
  </si>
  <si>
    <t>CRYSTAL RR059</t>
  </si>
  <si>
    <t>5003537</t>
  </si>
  <si>
    <t>RR059 RP Diamond Plated Silver (O)</t>
  </si>
  <si>
    <t>MIO</t>
  </si>
  <si>
    <t>AP73</t>
  </si>
  <si>
    <t>RP</t>
  </si>
  <si>
    <t>392</t>
  </si>
  <si>
    <t>4.0 UN</t>
  </si>
  <si>
    <t>STANDARD</t>
  </si>
  <si>
    <t>N</t>
  </si>
  <si>
    <t>Y</t>
  </si>
  <si>
    <t/>
  </si>
  <si>
    <t>10</t>
  </si>
  <si>
    <t>TAN</t>
  </si>
  <si>
    <t>OR</t>
  </si>
  <si>
    <t>ON</t>
  </si>
  <si>
    <t>CA</t>
  </si>
  <si>
    <t>ZR</t>
  </si>
  <si>
    <t>60198121</t>
  </si>
  <si>
    <t>Returns Standard SAP</t>
  </si>
  <si>
    <t>1503036</t>
  </si>
  <si>
    <t>ZSRE</t>
  </si>
  <si>
    <t>JSMN</t>
  </si>
  <si>
    <t>APMC</t>
  </si>
  <si>
    <t>390</t>
  </si>
  <si>
    <t>T45</t>
  </si>
  <si>
    <t>MN</t>
  </si>
  <si>
    <t>US</t>
  </si>
  <si>
    <t>20</t>
  </si>
  <si>
    <t>30</t>
  </si>
  <si>
    <t>ELS</t>
  </si>
  <si>
    <t>40</t>
  </si>
  <si>
    <t>5003530</t>
  </si>
  <si>
    <t>RR059 RP Diamond Plated Silver</t>
  </si>
  <si>
    <t>387</t>
  </si>
  <si>
    <t>T20</t>
  </si>
  <si>
    <t>MI</t>
  </si>
  <si>
    <t>Replant Order</t>
  </si>
  <si>
    <t>ZRPU</t>
  </si>
  <si>
    <t>8499000170</t>
  </si>
  <si>
    <t>1504569</t>
  </si>
  <si>
    <t>G333</t>
  </si>
  <si>
    <t>CRYSTAL G333NT</t>
  </si>
  <si>
    <t>5003378</t>
  </si>
  <si>
    <t>G333NT RP DiamondPlated Silver</t>
  </si>
  <si>
    <t>EE73</t>
  </si>
  <si>
    <t>JWSS</t>
  </si>
  <si>
    <t>60197749</t>
  </si>
  <si>
    <t>1504673</t>
  </si>
  <si>
    <t>W322</t>
  </si>
  <si>
    <t>CRYSTAL W322NT</t>
  </si>
  <si>
    <t>5003482</t>
  </si>
  <si>
    <t>W322NT G100 Diamond Plated Gold</t>
  </si>
  <si>
    <t>WSS</t>
  </si>
  <si>
    <t>GEM 100</t>
  </si>
  <si>
    <t>388</t>
  </si>
  <si>
    <t>NE</t>
  </si>
  <si>
    <t>JMND</t>
  </si>
  <si>
    <t>60198232</t>
  </si>
  <si>
    <t>1502402</t>
  </si>
  <si>
    <t>R260</t>
  </si>
  <si>
    <t>CRYSTAL RR260</t>
  </si>
  <si>
    <t>5003174</t>
  </si>
  <si>
    <t>RR260 RP Diamond Plated Silver</t>
  </si>
  <si>
    <t>MND</t>
  </si>
  <si>
    <t>DRMK</t>
  </si>
  <si>
    <t>386</t>
  </si>
  <si>
    <t>ND</t>
  </si>
  <si>
    <t>696902</t>
  </si>
  <si>
    <t>R012</t>
  </si>
  <si>
    <t>CRYSTAL RR012</t>
  </si>
  <si>
    <t>5003061</t>
  </si>
  <si>
    <t>RR012 RP Diamond Plated Silver</t>
  </si>
  <si>
    <t>60197994</t>
  </si>
  <si>
    <t>D352</t>
  </si>
  <si>
    <t>CRYSTAL D352</t>
  </si>
  <si>
    <t>5003319</t>
  </si>
  <si>
    <t>D352 MP Diamond Plated Silver</t>
  </si>
  <si>
    <t>DW73</t>
  </si>
  <si>
    <t>MP</t>
  </si>
  <si>
    <t>R830</t>
  </si>
  <si>
    <t>CRYSTAL RR830</t>
  </si>
  <si>
    <t>5003659</t>
  </si>
  <si>
    <t>RR830 RP Diamond Plated Silver</t>
  </si>
  <si>
    <t>3582</t>
  </si>
  <si>
    <t>8499000159</t>
  </si>
  <si>
    <t>60197991</t>
  </si>
  <si>
    <t>60197992</t>
  </si>
  <si>
    <t>5003669</t>
  </si>
  <si>
    <t>RR830 RP Diamond Plated Silver45</t>
  </si>
  <si>
    <t>8499000158</t>
  </si>
  <si>
    <t>8499000169</t>
  </si>
  <si>
    <t>1500517</t>
  </si>
  <si>
    <t>60198554</t>
  </si>
  <si>
    <t>8499000168</t>
  </si>
  <si>
    <t>1502537</t>
  </si>
  <si>
    <t>5003481</t>
  </si>
  <si>
    <t>W322NT ELS Diamond Plated Gold</t>
  </si>
  <si>
    <t>CO</t>
  </si>
  <si>
    <t>60198242</t>
  </si>
  <si>
    <t>60200392</t>
  </si>
  <si>
    <t>1502602</t>
  </si>
  <si>
    <t>R272</t>
  </si>
  <si>
    <t>CRYSTAL RR272</t>
  </si>
  <si>
    <t>5003622</t>
  </si>
  <si>
    <t>RR272 ELS Diamond Plated Gold</t>
  </si>
  <si>
    <t>DG73</t>
  </si>
  <si>
    <t>60201035</t>
  </si>
  <si>
    <t>1504886</t>
  </si>
  <si>
    <t>5003518</t>
  </si>
  <si>
    <t>RR059 RP Diamond Plated Gold (O)</t>
  </si>
  <si>
    <t>393</t>
  </si>
  <si>
    <t>5003366</t>
  </si>
  <si>
    <t>G333NT RP Diamond Plated Gold (O)</t>
  </si>
  <si>
    <t>JIDH</t>
  </si>
  <si>
    <t>JWWN</t>
  </si>
  <si>
    <t>WWN</t>
  </si>
  <si>
    <t>324</t>
  </si>
  <si>
    <t>WY</t>
  </si>
  <si>
    <t>JSSI</t>
  </si>
  <si>
    <t>AP82</t>
  </si>
  <si>
    <t>MT</t>
  </si>
  <si>
    <t>50</t>
  </si>
  <si>
    <t>60</t>
  </si>
  <si>
    <t>70</t>
  </si>
  <si>
    <t>80</t>
  </si>
  <si>
    <t>330</t>
  </si>
  <si>
    <t>3571</t>
  </si>
  <si>
    <t>R014</t>
  </si>
  <si>
    <t>CRYSTAL RR014</t>
  </si>
  <si>
    <t>714769</t>
  </si>
  <si>
    <t>1503104</t>
  </si>
  <si>
    <t>5003090</t>
  </si>
  <si>
    <t>RR014 ELS Diamond Plated Gold</t>
  </si>
  <si>
    <t>58</t>
  </si>
  <si>
    <t>JACS</t>
  </si>
  <si>
    <t>ACS</t>
  </si>
  <si>
    <t>398</t>
  </si>
  <si>
    <t>T35</t>
  </si>
  <si>
    <t>380</t>
  </si>
  <si>
    <t>60197752</t>
  </si>
  <si>
    <t>1117054</t>
  </si>
  <si>
    <t>1399</t>
  </si>
  <si>
    <t>BTS 1399</t>
  </si>
  <si>
    <t>5002346</t>
  </si>
  <si>
    <t>1399 MP BetaShield</t>
  </si>
  <si>
    <t>EG74</t>
  </si>
  <si>
    <t>8337</t>
  </si>
  <si>
    <t>BTS 8337</t>
  </si>
  <si>
    <t>5002781</t>
  </si>
  <si>
    <t>8337 MP BetaShield</t>
  </si>
  <si>
    <t>DHMC</t>
  </si>
  <si>
    <t>382</t>
  </si>
  <si>
    <t>60198555</t>
  </si>
  <si>
    <t>1116553</t>
  </si>
  <si>
    <t>628N</t>
  </si>
  <si>
    <t>BTS 62RR8N</t>
  </si>
  <si>
    <t>5002677</t>
  </si>
  <si>
    <t>62RR8N P100 BetaShield PLUS</t>
  </si>
  <si>
    <t>BL73</t>
  </si>
  <si>
    <t>PRO 100</t>
  </si>
  <si>
    <t>83CN</t>
  </si>
  <si>
    <t>BTS 83CN</t>
  </si>
  <si>
    <t>83CN P200 BetaShield</t>
  </si>
  <si>
    <t>PRO 200</t>
  </si>
  <si>
    <t>5002790</t>
  </si>
  <si>
    <t>8337 P200 BetaShield</t>
  </si>
  <si>
    <t>JIMV</t>
  </si>
  <si>
    <t>5499</t>
  </si>
  <si>
    <t>BTS 5499</t>
  </si>
  <si>
    <t>5002605</t>
  </si>
  <si>
    <t>IMV</t>
  </si>
  <si>
    <t>DRMG</t>
  </si>
  <si>
    <t>306</t>
  </si>
  <si>
    <t>5002606</t>
  </si>
  <si>
    <t>5499 P50</t>
  </si>
  <si>
    <t>PRO 50</t>
  </si>
  <si>
    <t>8499000166</t>
  </si>
  <si>
    <t>1117772</t>
  </si>
  <si>
    <t>7099</t>
  </si>
  <si>
    <t>BTS 70RR99</t>
  </si>
  <si>
    <t>5002443</t>
  </si>
  <si>
    <t>70RR99 RP BetaShield</t>
  </si>
  <si>
    <t>379</t>
  </si>
  <si>
    <t>5002441</t>
  </si>
  <si>
    <t>70RR99 MP BetaShield</t>
  </si>
  <si>
    <t>73MN</t>
  </si>
  <si>
    <t>BTS 73MN</t>
  </si>
  <si>
    <t>5002475</t>
  </si>
  <si>
    <t>73MN RP BetaShield</t>
  </si>
  <si>
    <t>8499000165</t>
  </si>
  <si>
    <t>60198118</t>
  </si>
  <si>
    <t>5002446</t>
  </si>
  <si>
    <t>70RR99 RP BetaShield PLUS</t>
  </si>
  <si>
    <t>384</t>
  </si>
  <si>
    <t>60198117</t>
  </si>
  <si>
    <t>697595</t>
  </si>
  <si>
    <t>60198119</t>
  </si>
  <si>
    <t>60198120</t>
  </si>
  <si>
    <t>8499000164</t>
  </si>
  <si>
    <t>DH73</t>
  </si>
  <si>
    <t>685640</t>
  </si>
  <si>
    <t>1119947</t>
  </si>
  <si>
    <t>5499 P100</t>
  </si>
  <si>
    <t>685639</t>
  </si>
  <si>
    <t>1119435</t>
  </si>
  <si>
    <t>541N</t>
  </si>
  <si>
    <t>BTS 541N</t>
  </si>
  <si>
    <t>5002602</t>
  </si>
  <si>
    <t>541N P50</t>
  </si>
  <si>
    <t>BK71</t>
  </si>
  <si>
    <t>685641</t>
  </si>
  <si>
    <t>1118492</t>
  </si>
  <si>
    <t>5245</t>
  </si>
  <si>
    <t>BTS 52RR45</t>
  </si>
  <si>
    <t>5002300</t>
  </si>
  <si>
    <t>52RR45 P100</t>
  </si>
  <si>
    <t>4D15</t>
  </si>
  <si>
    <t>5002601</t>
  </si>
  <si>
    <t>541N P100</t>
  </si>
  <si>
    <t>8052</t>
  </si>
  <si>
    <t>BTS 80RR52</t>
  </si>
  <si>
    <t>60197529</t>
  </si>
  <si>
    <t>1118312</t>
  </si>
  <si>
    <t>8233</t>
  </si>
  <si>
    <t>BTS 82RR33</t>
  </si>
  <si>
    <t>5002771</t>
  </si>
  <si>
    <t>82RR33 RP BetaShield</t>
  </si>
  <si>
    <t>DRMC</t>
  </si>
  <si>
    <t>8499000150</t>
  </si>
  <si>
    <t>1117386</t>
  </si>
  <si>
    <t>5002727</t>
  </si>
  <si>
    <t>80RR52 RP T35 Kabina</t>
  </si>
  <si>
    <t>397</t>
  </si>
  <si>
    <t>8499000154</t>
  </si>
  <si>
    <t>1119994</t>
  </si>
  <si>
    <t>5002348</t>
  </si>
  <si>
    <t>1399 RP BetaShield</t>
  </si>
  <si>
    <t>8499000148</t>
  </si>
  <si>
    <t>60197602</t>
  </si>
  <si>
    <t>685642</t>
  </si>
  <si>
    <t>1118467</t>
  </si>
  <si>
    <t>5002600</t>
  </si>
  <si>
    <t>52RR45 P50</t>
  </si>
  <si>
    <t>JFBW</t>
  </si>
  <si>
    <t>A346</t>
  </si>
  <si>
    <t>BTS AN346</t>
  </si>
  <si>
    <t>5002172</t>
  </si>
  <si>
    <t>AN346 P200 BetaShield</t>
  </si>
  <si>
    <t>FBW</t>
  </si>
  <si>
    <t>308</t>
  </si>
  <si>
    <t>AZ</t>
  </si>
  <si>
    <t>A241</t>
  </si>
  <si>
    <t>BTS AR241</t>
  </si>
  <si>
    <t>5003280</t>
  </si>
  <si>
    <t>AR241 RP BetaShield</t>
  </si>
  <si>
    <t>1118472</t>
  </si>
  <si>
    <t>686176</t>
  </si>
  <si>
    <t>1118482</t>
  </si>
  <si>
    <t>686528</t>
  </si>
  <si>
    <t>1118484</t>
  </si>
  <si>
    <t>686529</t>
  </si>
  <si>
    <t>1118480</t>
  </si>
  <si>
    <t>686524</t>
  </si>
  <si>
    <t>1118494</t>
  </si>
  <si>
    <t>686530</t>
  </si>
  <si>
    <t>1118461</t>
  </si>
  <si>
    <t>686544</t>
  </si>
  <si>
    <t>1119949</t>
  </si>
  <si>
    <t>686522</t>
  </si>
  <si>
    <t>1119951</t>
  </si>
  <si>
    <t>696897</t>
  </si>
  <si>
    <t>1120400</t>
  </si>
  <si>
    <t>60200218</t>
  </si>
  <si>
    <t>690002</t>
  </si>
  <si>
    <t>1120354</t>
  </si>
  <si>
    <t>686517</t>
  </si>
  <si>
    <t>1119686</t>
  </si>
  <si>
    <t>686520</t>
  </si>
  <si>
    <t>1118464</t>
  </si>
  <si>
    <t>1119685</t>
  </si>
  <si>
    <t>1118465</t>
  </si>
  <si>
    <t>689728</t>
  </si>
  <si>
    <t>1119955</t>
  </si>
  <si>
    <t>689736</t>
  </si>
  <si>
    <t>1119433</t>
  </si>
  <si>
    <t>1118473</t>
  </si>
  <si>
    <t>5003279</t>
  </si>
  <si>
    <t>AR241 P200 BetaShield</t>
  </si>
  <si>
    <t>1121955</t>
  </si>
  <si>
    <t>701562</t>
  </si>
  <si>
    <t>1118489</t>
  </si>
  <si>
    <t>700002</t>
  </si>
  <si>
    <t>704874</t>
  </si>
  <si>
    <t>A253</t>
  </si>
  <si>
    <t>BTS AT253</t>
  </si>
  <si>
    <t>5003281</t>
  </si>
  <si>
    <t>AT253 P200 BetaShield</t>
  </si>
  <si>
    <t>704605</t>
  </si>
  <si>
    <t>716066</t>
  </si>
  <si>
    <t>ZTAS</t>
  </si>
  <si>
    <t>703596</t>
  </si>
  <si>
    <t>703597</t>
  </si>
  <si>
    <t>60200075</t>
  </si>
  <si>
    <t>704326</t>
  </si>
  <si>
    <t>333</t>
  </si>
  <si>
    <t>8499000175</t>
  </si>
  <si>
    <t>60200393</t>
  </si>
  <si>
    <t>8499000177</t>
  </si>
  <si>
    <t>703548</t>
  </si>
  <si>
    <t>8499000172</t>
  </si>
  <si>
    <t>8499000171</t>
  </si>
  <si>
    <t>704875</t>
  </si>
  <si>
    <t>1119609</t>
  </si>
  <si>
    <t>8499000173</t>
  </si>
  <si>
    <t>704573</t>
  </si>
  <si>
    <t>8499000182</t>
  </si>
  <si>
    <t>FX73</t>
  </si>
  <si>
    <t>322</t>
  </si>
  <si>
    <t>60200621</t>
  </si>
  <si>
    <t>90</t>
  </si>
  <si>
    <t>100</t>
  </si>
  <si>
    <t>60201414</t>
  </si>
  <si>
    <t>60201737</t>
  </si>
  <si>
    <t>60201413</t>
  </si>
  <si>
    <t>60201721</t>
  </si>
  <si>
    <t>60200841</t>
  </si>
  <si>
    <t>1118354</t>
  </si>
  <si>
    <t>1118570</t>
  </si>
  <si>
    <t>5002761</t>
  </si>
  <si>
    <t>82RR33 MP BetaShield</t>
  </si>
  <si>
    <t>8390</t>
  </si>
  <si>
    <t>BTS 8390</t>
  </si>
  <si>
    <t>5002912</t>
  </si>
  <si>
    <t>8390 BTS T20 PB Kabina MP</t>
  </si>
  <si>
    <t>60200838</t>
  </si>
  <si>
    <t>5002770</t>
  </si>
  <si>
    <t>82RR33 P200 BetaShield</t>
  </si>
  <si>
    <t>60201034</t>
  </si>
  <si>
    <t>1117656</t>
  </si>
  <si>
    <t>8499000185</t>
  </si>
  <si>
    <t>60201408</t>
  </si>
  <si>
    <t>60201726</t>
  </si>
  <si>
    <t>60202002</t>
  </si>
  <si>
    <t>60202001</t>
  </si>
  <si>
    <t>60202000</t>
  </si>
  <si>
    <t>122N</t>
  </si>
  <si>
    <t>BTS 12RR2N</t>
  </si>
  <si>
    <t>4TBG</t>
  </si>
  <si>
    <t>353N</t>
  </si>
  <si>
    <t>BTS 353N</t>
  </si>
  <si>
    <t>5002524</t>
  </si>
  <si>
    <t>EENZ</t>
  </si>
  <si>
    <t>336N</t>
  </si>
  <si>
    <t>BTS 336N</t>
  </si>
  <si>
    <t>EEMG</t>
  </si>
  <si>
    <t>3650</t>
  </si>
  <si>
    <t>BTS 36RR50</t>
  </si>
  <si>
    <t>4DAY</t>
  </si>
  <si>
    <t>712465</t>
  </si>
  <si>
    <t>1118624</t>
  </si>
  <si>
    <t>712898</t>
  </si>
  <si>
    <t>1116293</t>
  </si>
  <si>
    <t>398N</t>
  </si>
  <si>
    <t>BTS 39RR8N</t>
  </si>
  <si>
    <t>5002572</t>
  </si>
  <si>
    <t>39RR8N RP BetaShield PLUS</t>
  </si>
  <si>
    <t>2771</t>
  </si>
  <si>
    <t>713139</t>
  </si>
  <si>
    <t>1120196</t>
  </si>
  <si>
    <t>5002570</t>
  </si>
  <si>
    <t>39RR8N P200 BetaShield PLUS</t>
  </si>
  <si>
    <t>5002835</t>
  </si>
  <si>
    <t>4933</t>
  </si>
  <si>
    <t>BTS 49RR33</t>
  </si>
  <si>
    <t>AKMC</t>
  </si>
  <si>
    <t>5002548</t>
  </si>
  <si>
    <t>713918</t>
  </si>
  <si>
    <t>1120217</t>
  </si>
  <si>
    <t>713905</t>
  </si>
  <si>
    <t>1116314</t>
  </si>
  <si>
    <t>5002568</t>
  </si>
  <si>
    <t>39RR8N MP BetaShield PLUS</t>
  </si>
  <si>
    <t>714396</t>
  </si>
  <si>
    <t>1116004</t>
  </si>
  <si>
    <t>5002197</t>
  </si>
  <si>
    <t>60202427</t>
  </si>
  <si>
    <t>714426</t>
  </si>
  <si>
    <t>1118159</t>
  </si>
  <si>
    <t>714388</t>
  </si>
  <si>
    <t>1120326</t>
  </si>
  <si>
    <t>60202857</t>
  </si>
  <si>
    <t>714751</t>
  </si>
  <si>
    <t>1118133</t>
  </si>
  <si>
    <t>714514</t>
  </si>
  <si>
    <t>1119047</t>
  </si>
  <si>
    <t>36RR50 RP BetaShield PLUS</t>
  </si>
  <si>
    <t>714516</t>
  </si>
  <si>
    <t>1120386</t>
  </si>
  <si>
    <t>366</t>
  </si>
  <si>
    <t>8499000186</t>
  </si>
  <si>
    <t>715038</t>
  </si>
  <si>
    <t>1120120</t>
  </si>
  <si>
    <t>5002301</t>
  </si>
  <si>
    <t>12RR2N RP BetaShield PLUS (O)</t>
  </si>
  <si>
    <t>715040</t>
  </si>
  <si>
    <t>1117161</t>
  </si>
  <si>
    <t>715075</t>
  </si>
  <si>
    <t>1117085</t>
  </si>
  <si>
    <t>715083</t>
  </si>
  <si>
    <t>1115829</t>
  </si>
  <si>
    <t>5002355</t>
  </si>
  <si>
    <t>1399 RP BetaShield (O)</t>
  </si>
  <si>
    <t>365</t>
  </si>
  <si>
    <t>715084</t>
  </si>
  <si>
    <t>1115825</t>
  </si>
  <si>
    <t>715199</t>
  </si>
  <si>
    <t>1119493</t>
  </si>
  <si>
    <t>715665</t>
  </si>
  <si>
    <t>1120219</t>
  </si>
  <si>
    <t>716010</t>
  </si>
  <si>
    <t>1116545</t>
  </si>
  <si>
    <t>716058</t>
  </si>
  <si>
    <t>1118146</t>
  </si>
  <si>
    <t>716068</t>
  </si>
  <si>
    <t>1120095</t>
  </si>
  <si>
    <t>716012</t>
  </si>
  <si>
    <t>1117167</t>
  </si>
  <si>
    <t>716013</t>
  </si>
  <si>
    <t>1119678</t>
  </si>
  <si>
    <t>716277</t>
  </si>
  <si>
    <t>1116010</t>
  </si>
  <si>
    <t>716739</t>
  </si>
  <si>
    <t>1116292</t>
  </si>
  <si>
    <t>8499000187</t>
  </si>
  <si>
    <t>Distribution Channel</t>
  </si>
  <si>
    <t>Sales Office</t>
  </si>
  <si>
    <t>Sales Document</t>
  </si>
  <si>
    <t>Name SB</t>
  </si>
  <si>
    <t>Sales Document Type</t>
  </si>
  <si>
    <t>Partner AG</t>
  </si>
  <si>
    <t>Name AG</t>
  </si>
  <si>
    <t>Material Group Desc.</t>
  </si>
  <si>
    <t>Description 2 for the material group</t>
  </si>
  <si>
    <t>Material</t>
  </si>
  <si>
    <t>Description</t>
  </si>
  <si>
    <t>Order Quantity</t>
  </si>
  <si>
    <t>Delivery quantity</t>
  </si>
  <si>
    <t>Open deliver quant.</t>
  </si>
  <si>
    <t>SB_MARKET</t>
  </si>
  <si>
    <t>SB_PED_CODE</t>
  </si>
  <si>
    <t>SB_SALES_SEED_SIZE</t>
  </si>
  <si>
    <t>SB_TREATMENT</t>
  </si>
  <si>
    <t>SB_PACKAGING_QTY</t>
  </si>
  <si>
    <t>SB_CRUISER</t>
  </si>
  <si>
    <t>SB_PONCHO_BETA</t>
  </si>
  <si>
    <t>SB_KABINA</t>
  </si>
  <si>
    <t>SB_TACHIGAREN</t>
  </si>
  <si>
    <t>SB_SYSTIVA</t>
  </si>
  <si>
    <t>SB_CLARIVA</t>
  </si>
  <si>
    <t>SB_STAMINA</t>
  </si>
  <si>
    <t>SB_VIBRANCE</t>
  </si>
  <si>
    <t>Storage Location</t>
  </si>
  <si>
    <t>Requested deliv.date</t>
  </si>
  <si>
    <t>Item (SD)</t>
  </si>
  <si>
    <t>Item category</t>
  </si>
  <si>
    <t>Document Date</t>
  </si>
  <si>
    <t>Region AG</t>
  </si>
  <si>
    <t>Country AG</t>
  </si>
  <si>
    <t>Division</t>
  </si>
  <si>
    <t>Purchase order date</t>
  </si>
  <si>
    <t>ZSBO_0004</t>
  </si>
  <si>
    <t>Delivery qty to sales document</t>
  </si>
  <si>
    <t>Report variant is called:</t>
  </si>
  <si>
    <t>/VBADATABSE</t>
  </si>
  <si>
    <t>Report for VBA code</t>
  </si>
  <si>
    <t>Row Labels</t>
  </si>
  <si>
    <t>Grand Total</t>
  </si>
  <si>
    <t>dci</t>
  </si>
  <si>
    <t>mi</t>
  </si>
  <si>
    <t>ei</t>
  </si>
  <si>
    <t>Market array and e-mail array order/detail</t>
  </si>
  <si>
    <t>indexers</t>
  </si>
  <si>
    <t xml:space="preserve">   JLAN</t>
  </si>
  <si>
    <t>seed to seed1 for testing</t>
  </si>
  <si>
    <t>"dbraaten@achseed1s.com"</t>
  </si>
  <si>
    <t>"jfreiburger@betaseed1.com"</t>
  </si>
  <si>
    <t>"clehman@betaseed1.com"</t>
  </si>
  <si>
    <t xml:space="preserve"> "bn.achseed1s@gmail.com"</t>
  </si>
  <si>
    <t xml:space="preserve"> "abernia@achseed1s.com"</t>
  </si>
  <si>
    <t xml:space="preserve"> "clehman@betaseed1.com"</t>
  </si>
  <si>
    <t xml:space="preserve"> "jdillman@betaseed1.com"</t>
  </si>
  <si>
    <t xml:space="preserve"> "sskaalure@betaseed1.com"</t>
  </si>
  <si>
    <t xml:space="preserve"> "ldusek@betaseed1.com"</t>
  </si>
  <si>
    <t xml:space="preserve"> "rgerstenberger@betaseed1.com"</t>
  </si>
  <si>
    <t>"jboersma@achseed1s.com"</t>
  </si>
  <si>
    <t>"jdillman@betaseed1.com"</t>
  </si>
  <si>
    <t>"jevenson@betaseed1.com"</t>
  </si>
  <si>
    <t>x</t>
  </si>
  <si>
    <t>Daily Order Position Report and Send Process</t>
  </si>
  <si>
    <t>Run Tcode ZSBO_0004 in SAP</t>
  </si>
  <si>
    <t>Set appropriate date range</t>
  </si>
  <si>
    <t>Export to Excel (could save in an SAP download folder on desktop)</t>
  </si>
  <si>
    <t>Click on upper left corner of spreadsheet (shown below) and Copy</t>
  </si>
  <si>
    <t>In this workboot, click on the "Paste Data" tab and click on the upper left corner (similar to previous step)</t>
  </si>
  <si>
    <t>Hit the Run and Send Order Position Reports Button below</t>
  </si>
  <si>
    <t>Copies of the mailing will be held in your Outlook sent items for reference</t>
  </si>
  <si>
    <r>
      <rPr>
        <b/>
        <sz val="10"/>
        <rFont val="Arial"/>
        <family val="2"/>
      </rPr>
      <t>Note:</t>
    </r>
    <r>
      <rPr>
        <sz val="10"/>
        <rFont val="Arial"/>
        <family val="2"/>
      </rPr>
      <t xml:space="preserve"> This process creates order position reports for both brands and sends them out through a Visual Basic macro application for Excel</t>
    </r>
  </si>
  <si>
    <t>Get Data From SAP -&gt;Load Into This Spreadsheet-&gt;Hit Button-&gt;Check Sent Reports in Outlook</t>
  </si>
  <si>
    <t>High Level Process Map:</t>
  </si>
  <si>
    <t>Detailed Instructions:</t>
  </si>
  <si>
    <t>Use sales org 0057 to 0058 distribution channel 57 to 58</t>
  </si>
  <si>
    <t xml:space="preserve">  -After report is executed, call the following variant: /VBADATABSE      Report for VBA code</t>
  </si>
  <si>
    <t xml:space="preserve"> "dschmer@betaseed1.com.com" </t>
  </si>
  <si>
    <t>336N MP BetaShield PLUS</t>
  </si>
  <si>
    <t>353N RP BetaShield PLUS</t>
  </si>
  <si>
    <t>JLAN</t>
  </si>
  <si>
    <t>726889</t>
  </si>
  <si>
    <t>1119957</t>
  </si>
  <si>
    <t>4420</t>
  </si>
  <si>
    <t>BTS 4420</t>
  </si>
  <si>
    <t>5002214</t>
  </si>
  <si>
    <t>4420 MP</t>
  </si>
  <si>
    <t>LAN</t>
  </si>
  <si>
    <t>EZMT</t>
  </si>
  <si>
    <t>5002211</t>
  </si>
  <si>
    <t>4420 MP CruiserMaxx</t>
  </si>
  <si>
    <t>348</t>
  </si>
  <si>
    <t>5002215</t>
  </si>
  <si>
    <t>4420 P200</t>
  </si>
  <si>
    <t>5002212</t>
  </si>
  <si>
    <t>4420 P200 CruiserMaxx</t>
  </si>
  <si>
    <t>5002216</t>
  </si>
  <si>
    <t>4420 RP</t>
  </si>
  <si>
    <t>5002213</t>
  </si>
  <si>
    <t>4420 RP CruiserMaxx</t>
  </si>
  <si>
    <t>5002265</t>
  </si>
  <si>
    <t>49RR33 MP</t>
  </si>
  <si>
    <t>5002259</t>
  </si>
  <si>
    <t>49RR33 MP CruiserMaxx</t>
  </si>
  <si>
    <t>5002266</t>
  </si>
  <si>
    <t>49RR33 P200</t>
  </si>
  <si>
    <t>5002282</t>
  </si>
  <si>
    <t>49RR33 RP</t>
  </si>
  <si>
    <t>5002261</t>
  </si>
  <si>
    <t>49RR33 RP CruiserMaxx</t>
  </si>
  <si>
    <t>110</t>
  </si>
  <si>
    <t>725882</t>
  </si>
  <si>
    <t>5002450</t>
  </si>
  <si>
    <t>310</t>
  </si>
  <si>
    <t>5002451</t>
  </si>
  <si>
    <t>70RR99 P200 BetaShield</t>
  </si>
  <si>
    <t>5002452</t>
  </si>
  <si>
    <t>5002456</t>
  </si>
  <si>
    <t>70RR99 RP BetaShield 45</t>
  </si>
  <si>
    <t>331</t>
  </si>
  <si>
    <t>5002449</t>
  </si>
  <si>
    <t>303</t>
  </si>
  <si>
    <t>7373</t>
  </si>
  <si>
    <t>BTS 7373</t>
  </si>
  <si>
    <t>5002463</t>
  </si>
  <si>
    <t>7373 MP BetaShield PLUS</t>
  </si>
  <si>
    <t>5002482</t>
  </si>
  <si>
    <t>73MN MP BetaShield</t>
  </si>
  <si>
    <t>5002483</t>
  </si>
  <si>
    <t>73MN P200 BetaShield</t>
  </si>
  <si>
    <t>5002484</t>
  </si>
  <si>
    <t>5002481</t>
  </si>
  <si>
    <t>73MN RP BetaShield PLUS</t>
  </si>
  <si>
    <t>7540</t>
  </si>
  <si>
    <t>BTS 7540</t>
  </si>
  <si>
    <t>5002498</t>
  </si>
  <si>
    <t>7540 MP BetaShield</t>
  </si>
  <si>
    <t>120</t>
  </si>
  <si>
    <t>5002499</t>
  </si>
  <si>
    <t>7540 P200 BetaShield</t>
  </si>
  <si>
    <t>130</t>
  </si>
  <si>
    <t>5002500</t>
  </si>
  <si>
    <t>7540 RP BetaShield</t>
  </si>
  <si>
    <t>140</t>
  </si>
  <si>
    <t>5002703</t>
  </si>
  <si>
    <t>7540 RP BetaShield 45</t>
  </si>
  <si>
    <t>150</t>
  </si>
  <si>
    <t>5002497</t>
  </si>
  <si>
    <t>7540 RP BetaShield PLUS</t>
  </si>
  <si>
    <t>725883</t>
  </si>
  <si>
    <t>5003327</t>
  </si>
  <si>
    <t>D352 ELS Diamond Plated Silver</t>
  </si>
  <si>
    <t>312</t>
  </si>
  <si>
    <t>210</t>
  </si>
  <si>
    <t>5003328</t>
  </si>
  <si>
    <t>160</t>
  </si>
  <si>
    <t>5003326</t>
  </si>
  <si>
    <t>D352 RP Diamond Plated Gold</t>
  </si>
  <si>
    <t>304</t>
  </si>
  <si>
    <t>190</t>
  </si>
  <si>
    <t>5003332</t>
  </si>
  <si>
    <t>D352 RP Diamond Plated Gold45</t>
  </si>
  <si>
    <t>200</t>
  </si>
  <si>
    <t>5003329</t>
  </si>
  <si>
    <t>D352 RP Diamond Plated Silver</t>
  </si>
  <si>
    <t>170</t>
  </si>
  <si>
    <t>5003333</t>
  </si>
  <si>
    <t>D352 RP Diamond Plated Silver45</t>
  </si>
  <si>
    <t>332</t>
  </si>
  <si>
    <t>180</t>
  </si>
  <si>
    <t>5003068</t>
  </si>
  <si>
    <t>RR012 ELS Diamond Plated Silver</t>
  </si>
  <si>
    <t>5003069</t>
  </si>
  <si>
    <t>RR012 MP Diamond Plated Silver</t>
  </si>
  <si>
    <t>5003067</t>
  </si>
  <si>
    <t>RR012 RP Diamond Plated Gold</t>
  </si>
  <si>
    <t>5003070</t>
  </si>
  <si>
    <t>5003074</t>
  </si>
  <si>
    <t>RR012 RP Diamond Plated Silver45</t>
  </si>
  <si>
    <t>R228</t>
  </si>
  <si>
    <t>CRYSTAL RR228</t>
  </si>
  <si>
    <t>5003136</t>
  </si>
  <si>
    <t>RR228 ELS Diamond Plated Silver</t>
  </si>
  <si>
    <t>5003137</t>
  </si>
  <si>
    <t>RR228 MP Diamond Plated Silver</t>
  </si>
  <si>
    <t>5003135</t>
  </si>
  <si>
    <t>RR228 RP Diamond Plated Gold</t>
  </si>
  <si>
    <t>5003138</t>
  </si>
  <si>
    <t>RR228 RP Diamond Plated Silver</t>
  </si>
  <si>
    <t>5003145</t>
  </si>
  <si>
    <t>RR228 RP Diamond Plated Silver45</t>
  </si>
  <si>
    <t>5003181</t>
  </si>
  <si>
    <t>RR260 ELS Diamond Plated Silver</t>
  </si>
  <si>
    <t>5003182</t>
  </si>
  <si>
    <t>RR260 MP Diamond Plated Silver</t>
  </si>
  <si>
    <t>5003180</t>
  </si>
  <si>
    <t>RR260 RP Diamond Plated Gold</t>
  </si>
  <si>
    <t>5003183</t>
  </si>
  <si>
    <t>5003187</t>
  </si>
  <si>
    <t>RR260 RP Diamond Plated Silver45</t>
  </si>
  <si>
    <t>5003666</t>
  </si>
  <si>
    <t>RR830 ELS Diamond Plated Silver</t>
  </si>
  <si>
    <t>260</t>
  </si>
  <si>
    <t>5003667</t>
  </si>
  <si>
    <t>RR830 MP Diamond Plated Silver</t>
  </si>
  <si>
    <t>220</t>
  </si>
  <si>
    <t>5003665</t>
  </si>
  <si>
    <t>RR830 RP Diamond Plated Gold</t>
  </si>
  <si>
    <t>250</t>
  </si>
  <si>
    <t>5003668</t>
  </si>
  <si>
    <t>230</t>
  </si>
  <si>
    <t>5003672</t>
  </si>
  <si>
    <t>240</t>
  </si>
  <si>
    <t>Programmed by: Andrew Davison</t>
  </si>
  <si>
    <t>Rob</t>
  </si>
  <si>
    <t>Scott</t>
  </si>
  <si>
    <t>Ed</t>
  </si>
  <si>
    <t>Peter</t>
  </si>
  <si>
    <t>Joe</t>
  </si>
  <si>
    <t>Matt</t>
  </si>
  <si>
    <t>Dave</t>
  </si>
  <si>
    <t>Mike</t>
  </si>
  <si>
    <t>Ryan</t>
  </si>
  <si>
    <t>Jeff</t>
  </si>
  <si>
    <t>Wilbur</t>
  </si>
  <si>
    <t>Steve</t>
  </si>
  <si>
    <t>Dan</t>
  </si>
  <si>
    <t>Dale</t>
  </si>
  <si>
    <t>Rick</t>
  </si>
  <si>
    <t>Troy</t>
  </si>
  <si>
    <t>Brian</t>
  </si>
  <si>
    <t>Cody</t>
  </si>
  <si>
    <t>Auburn</t>
  </si>
  <si>
    <t>Jake</t>
  </si>
  <si>
    <t>C Company</t>
  </si>
  <si>
    <t>A Company</t>
  </si>
  <si>
    <t>B Company</t>
  </si>
  <si>
    <t>D Company</t>
  </si>
  <si>
    <t>E Company</t>
  </si>
  <si>
    <t>F Company</t>
  </si>
  <si>
    <t>G Company</t>
  </si>
  <si>
    <t>H Company</t>
  </si>
  <si>
    <t>I Company</t>
  </si>
  <si>
    <t>J Company</t>
  </si>
  <si>
    <t>K Company</t>
  </si>
  <si>
    <t>L Company</t>
  </si>
  <si>
    <t>M Company</t>
  </si>
  <si>
    <t>O Company</t>
  </si>
  <si>
    <t>P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</si>
</sst>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u/>
      <sz val="10"/>
      <color theme="10"/>
      <name val="Arial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0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 wrapText="1"/>
    </xf>
    <xf numFmtId="0" fontId="0" fillId="0" borderId="0" xfId="0" quotePrefix="1" applyAlignment="1">
      <alignment vertical="top"/>
    </xf>
    <xf numFmtId="0" fontId="0" fillId="2" borderId="2" xfId="0" applyFill="1" applyBorder="1" applyAlignment="1">
      <alignment vertical="top"/>
    </xf>
    <xf numFmtId="0" fontId="0" fillId="0" borderId="0" xfId="0" pivotButton="1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indent="1"/>
    </xf>
    <xf numFmtId="0" fontId="1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2" fillId="0" borderId="0" xfId="0" applyFont="1" applyFill="1" applyAlignment="1">
      <alignment vertical="top"/>
    </xf>
    <xf numFmtId="0" fontId="3" fillId="0" borderId="3" xfId="0" applyFont="1" applyBorder="1" applyAlignment="1">
      <alignment horizontal="left" vertical="top"/>
    </xf>
    <xf numFmtId="0" fontId="2" fillId="0" borderId="0" xfId="0" applyFont="1" applyFill="1"/>
    <xf numFmtId="0" fontId="0" fillId="3" borderId="0" xfId="0" applyFill="1" applyAlignment="1">
      <alignment horizontal="left" vertical="top" indent="1"/>
    </xf>
    <xf numFmtId="0" fontId="1" fillId="0" borderId="0" xfId="0" applyFont="1" applyBorder="1" applyAlignment="1">
      <alignment vertical="top"/>
    </xf>
    <xf numFmtId="14" fontId="1" fillId="0" borderId="0" xfId="0" applyNumberFormat="1" applyFont="1" applyAlignment="1">
      <alignment horizontal="left" vertical="top"/>
    </xf>
    <xf numFmtId="0" fontId="4" fillId="0" borderId="0" xfId="1" applyAlignment="1">
      <alignment vertical="top"/>
    </xf>
    <xf numFmtId="0" fontId="0" fillId="0" borderId="0" xfId="0" applyFill="1" applyAlignment="1">
      <alignment vertical="top"/>
    </xf>
  </cellXfs>
  <cellStyles count="2">
    <cellStyle name="Hyperlink" xfId="1" builtinId="8"/>
    <cellStyle name="Normal" xfId="0" builtinId="0"/>
  </cellStyles>
  <dxfs count="3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129540</xdr:colOff>
      <xdr:row>18</xdr:row>
      <xdr:rowOff>73575</xdr:rowOff>
    </xdr:from>
    <xdr:to>
      <xdr:col>8</xdr:col>
      <xdr:colOff>182880</xdr:colOff>
      <xdr:row>38</xdr:row>
      <xdr:rowOff>56557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EA0DD2B-F9B8-4CDF-BDE9-E414F16BB8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3580" y="2252895"/>
          <a:ext cx="3101340" cy="3335782"/>
        </a:xfrm>
        <a:prstGeom prst="rect">
          <a:avLst/>
        </a:prstGeom>
      </xdr:spPr>
    </xdr:pic>
    <xdr:clientData/>
  </xdr:twoCellAnchor>
  <xdr:twoCellAnchor>
    <xdr:from>
      <xdr:col>3</xdr:col>
      <xdr:colOff>293913</xdr:colOff>
      <xdr:row>42</xdr:row>
      <xdr:rowOff>43542</xdr:rowOff>
    </xdr:from>
    <xdr:to>
      <xdr:col>9</xdr:col>
      <xdr:colOff>315685</xdr:colOff>
      <xdr:row>54</xdr:row>
      <xdr:rowOff>108856</xdr:rowOff>
    </xdr:to>
    <xdr:sp macro="[0]!DailySalesReportAndSend" textlink="">
      <xdr:nvSpPr>
        <xdr:cNvPr id="3" name="Arrow: Notched Right 2">
          <a:extLst>
            <a:ext uri="{FF2B5EF4-FFF2-40B4-BE49-F238E27FC236}">
              <a16:creationId xmlns:a16="http://schemas.microsoft.com/office/drawing/2014/main" id="{A24922C7-7DC3-4191-A44F-CEA199128D40}"/>
            </a:ext>
          </a:extLst>
        </xdr:cNvPr>
        <xdr:cNvSpPr/>
      </xdr:nvSpPr>
      <xdr:spPr>
        <a:xfrm>
          <a:off x="2209799" y="6901542"/>
          <a:ext cx="3679372" cy="2024743"/>
        </a:xfrm>
        <a:prstGeom prst="notch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/>
            <a:t>Run Macro:</a:t>
          </a:r>
        </a:p>
        <a:p>
          <a:pPr algn="ctr"/>
          <a:r>
            <a:rPr lang="en-US" sz="1600"/>
            <a:t>Prepare and Send Managerial</a:t>
          </a:r>
          <a:r>
            <a:rPr lang="en-US" sz="1600" baseline="0"/>
            <a:t> Daily Order Position Reports</a:t>
          </a:r>
          <a:endParaRPr lang="en-US" sz="16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w" refreshedDate="42759.376879629628" createdVersion="6" refreshedVersion="6" minRefreshableVersion="3" recordCount="6099" xr:uid="{00000000-000A-0000-FFFF-FFFF00000000}">
  <cacheSource type="worksheet">
    <worksheetSource ref="A1:AL6100" sheet="PasteData"/>
  </cacheSource>
  <cacheFields count="38">
    <cacheField name="Distribution Channel" numFmtId="0">
      <sharedItems count="2">
        <s v="57"/>
        <s v="58"/>
      </sharedItems>
    </cacheField>
    <cacheField name="Sales Office" numFmtId="0">
      <sharedItems count="10">
        <s v="JMIO"/>
        <s v="JSMN"/>
        <s v="JWSS"/>
        <s v="JMND"/>
        <s v="JIDH"/>
        <s v="JWWN"/>
        <s v="JSSI"/>
        <s v="JACS"/>
        <s v="JIMV"/>
        <s v="JFBW"/>
      </sharedItems>
    </cacheField>
    <cacheField name="Sales Document" numFmtId="0">
      <sharedItems count="3473">
        <s v="697601"/>
        <s v="60198121"/>
        <s v="60197703"/>
        <s v="60197779"/>
        <s v="8499000160"/>
        <s v="8499000161"/>
        <s v="8499000170"/>
        <s v="60197749"/>
        <s v="60198232"/>
        <s v="696902"/>
        <s v="60197994"/>
        <s v="8499000159"/>
        <s v="60197991"/>
        <s v="60197992"/>
        <s v="8499000158"/>
        <s v="8499000157"/>
        <s v="60197704"/>
        <s v="8499000169"/>
        <s v="60198554"/>
        <s v="8499000168"/>
        <s v="60198242"/>
        <s v="60200392"/>
        <s v="60201035"/>
        <s v="711792"/>
        <s v="711802"/>
        <s v="711801"/>
        <s v="711814"/>
        <s v="712401"/>
        <s v="712668"/>
        <s v="712896"/>
        <s v="712892"/>
        <s v="712894"/>
        <s v="712895"/>
        <s v="712897"/>
        <s v="713133"/>
        <s v="713145"/>
        <s v="713146"/>
        <s v="713152"/>
        <s v="713131"/>
        <s v="713135"/>
        <s v="713137"/>
        <s v="713138"/>
        <s v="713140"/>
        <s v="713142"/>
        <s v="713150"/>
        <s v="713153"/>
        <s v="713172"/>
        <s v="713173"/>
        <s v="713174"/>
        <s v="713175"/>
        <s v="713408"/>
        <s v="713171"/>
        <s v="713407"/>
        <s v="713444"/>
        <s v="713450"/>
        <s v="713451"/>
        <s v="713454"/>
        <s v="713455"/>
        <s v="713848"/>
        <s v="713861"/>
        <s v="713906"/>
        <s v="713940"/>
        <s v="713841"/>
        <s v="713452"/>
        <s v="713453"/>
        <s v="713852"/>
        <s v="713930"/>
        <s v="713442"/>
        <s v="713857"/>
        <s v="713929"/>
        <s v="713946"/>
        <s v="713853"/>
        <s v="713915"/>
        <s v="713937"/>
        <s v="714373"/>
        <s v="714377"/>
        <s v="714397"/>
        <s v="714417"/>
        <s v="714438"/>
        <s v="714447"/>
        <s v="714448"/>
        <s v="714450"/>
        <s v="714451"/>
        <s v="714455"/>
        <s v="714461"/>
        <s v="714462"/>
        <s v="714466"/>
        <s v="714473"/>
        <s v="714474"/>
        <s v="714475"/>
        <s v="714480"/>
        <s v="714481"/>
        <s v="714485"/>
        <s v="714491"/>
        <s v="713967"/>
        <s v="713968"/>
        <s v="713975"/>
        <s v="713990"/>
        <s v="713992"/>
        <s v="713993"/>
        <s v="714399"/>
        <s v="714409"/>
        <s v="714423"/>
        <s v="714452"/>
        <s v="713997"/>
        <s v="713998"/>
        <s v="714408"/>
        <s v="713965"/>
        <s v="713979"/>
        <s v="713981"/>
        <s v="713983"/>
        <s v="714277"/>
        <s v="714375"/>
        <s v="714428"/>
        <s v="713950"/>
        <s v="713956"/>
        <s v="713982"/>
        <s v="714363"/>
        <s v="714411"/>
        <s v="714422"/>
        <s v="714425"/>
        <s v="714427"/>
        <s v="714433"/>
        <s v="714446"/>
        <s v="714457"/>
        <s v="714486"/>
        <s v="714395"/>
        <s v="714407"/>
        <s v="714410"/>
        <s v="714431"/>
        <s v="714445"/>
        <s v="714471"/>
        <s v="714472"/>
        <s v="714476"/>
        <s v="714477"/>
        <s v="714479"/>
        <s v="714484"/>
        <s v="714487"/>
        <s v="714489"/>
        <s v="713958"/>
        <s v="713959"/>
        <s v="713961"/>
        <s v="713969"/>
        <s v="713970"/>
        <s v="713971"/>
        <s v="713972"/>
        <s v="713973"/>
        <s v="713974"/>
        <s v="713976"/>
        <s v="713988"/>
        <s v="713989"/>
        <s v="713994"/>
        <s v="713995"/>
        <s v="713996"/>
        <s v="713957"/>
        <s v="713977"/>
        <s v="713978"/>
        <s v="714444"/>
        <s v="714453"/>
        <s v="714531"/>
        <s v="714705"/>
        <s v="714710"/>
        <s v="714721"/>
        <s v="714723"/>
        <s v="714726"/>
        <s v="714738"/>
        <s v="714750"/>
        <s v="714754"/>
        <s v="714755"/>
        <s v="714756"/>
        <s v="714757"/>
        <s v="714763"/>
        <s v="714768"/>
        <s v="714499"/>
        <s v="714725"/>
        <s v="714737"/>
        <s v="714748"/>
        <s v="714752"/>
        <s v="714534"/>
        <s v="714749"/>
        <s v="714493"/>
        <s v="714496"/>
        <s v="714517"/>
        <s v="714523"/>
        <s v="714528"/>
        <s v="714530"/>
        <s v="714686"/>
        <s v="714719"/>
        <s v="714720"/>
        <s v="714743"/>
        <s v="714747"/>
        <s v="714494"/>
        <s v="714495"/>
        <s v="714497"/>
        <s v="714505"/>
        <s v="714506"/>
        <s v="714512"/>
        <s v="714513"/>
        <s v="714515"/>
        <s v="714518"/>
        <s v="714519"/>
        <s v="714520"/>
        <s v="714521"/>
        <s v="714522"/>
        <s v="714524"/>
        <s v="714525"/>
        <s v="714526"/>
        <s v="714529"/>
        <s v="714532"/>
        <s v="714533"/>
        <s v="714682"/>
        <s v="714685"/>
        <s v="714703"/>
        <s v="714707"/>
        <s v="714709"/>
        <s v="714711"/>
        <s v="714732"/>
        <s v="714739"/>
        <s v="714741"/>
        <s v="714744"/>
        <s v="714769"/>
        <s v="714773"/>
        <s v="714780"/>
        <s v="714501"/>
        <s v="714786"/>
        <s v="714790"/>
        <s v="714792"/>
        <s v="714793"/>
        <s v="714814"/>
        <s v="714796"/>
        <s v="714791"/>
        <s v="714788"/>
        <s v="714811"/>
        <s v="714795"/>
        <s v="714803"/>
        <s v="714815"/>
        <s v="714785"/>
        <s v="714789"/>
        <s v="714801"/>
        <s v="714806"/>
        <s v="714808"/>
        <s v="714809"/>
        <s v="714812"/>
        <s v="714797"/>
        <s v="714824"/>
        <s v="714825"/>
        <s v="714827"/>
        <s v="714821"/>
        <s v="714823"/>
        <s v="714837"/>
        <s v="714822"/>
        <s v="714828"/>
        <s v="714820"/>
        <s v="714928"/>
        <s v="714962"/>
        <s v="714980"/>
        <s v="714976"/>
        <s v="715001"/>
        <s v="715045"/>
        <s v="715052"/>
        <s v="715057"/>
        <s v="715061"/>
        <s v="714973"/>
        <s v="715014"/>
        <s v="715026"/>
        <s v="715047"/>
        <s v="714944"/>
        <s v="715013"/>
        <s v="714938"/>
        <s v="714840"/>
        <s v="714930"/>
        <s v="714967"/>
        <s v="715017"/>
        <s v="714972"/>
        <s v="714979"/>
        <s v="714995"/>
        <s v="714996"/>
        <s v="714997"/>
        <s v="715016"/>
        <s v="715022"/>
        <s v="715023"/>
        <s v="715041"/>
        <s v="715050"/>
        <s v="715054"/>
        <s v="715055"/>
        <s v="715056"/>
        <s v="715058"/>
        <s v="715059"/>
        <s v="715060"/>
        <s v="715062"/>
        <s v="715252"/>
        <s v="715253"/>
        <s v="715257"/>
        <s v="715261"/>
        <s v="715274"/>
        <s v="715277"/>
        <s v="715314"/>
        <s v="715315"/>
        <s v="715319"/>
        <s v="715331"/>
        <s v="715264"/>
        <s v="715089"/>
        <s v="715093"/>
        <s v="715246"/>
        <s v="715249"/>
        <s v="715254"/>
        <s v="715255"/>
        <s v="715266"/>
        <s v="715267"/>
        <s v="715268"/>
        <s v="715269"/>
        <s v="715270"/>
        <s v="715291"/>
        <s v="715317"/>
        <s v="715064"/>
        <s v="715065"/>
        <s v="715066"/>
        <s v="715067"/>
        <s v="715068"/>
        <s v="715295"/>
        <s v="715318"/>
        <s v="715320"/>
        <s v="715229"/>
        <s v="715263"/>
        <s v="715293"/>
        <s v="715069"/>
        <s v="715087"/>
        <s v="715094"/>
        <s v="715193"/>
        <s v="715194"/>
        <s v="715203"/>
        <s v="715224"/>
        <s v="715239"/>
        <s v="715245"/>
        <s v="715258"/>
        <s v="715265"/>
        <s v="715281"/>
        <s v="715302"/>
        <s v="715303"/>
        <s v="715306"/>
        <s v="715327"/>
        <s v="715338"/>
        <s v="715339"/>
        <s v="715362"/>
        <s v="715369"/>
        <s v="715370"/>
        <s v="715380"/>
        <s v="715392"/>
        <s v="715354"/>
        <s v="715373"/>
        <s v="715657"/>
        <s v="715638"/>
        <s v="715643"/>
        <s v="715656"/>
        <s v="715667"/>
        <s v="715671"/>
        <s v="715678"/>
        <s v="715686"/>
        <s v="715692"/>
        <s v="715699"/>
        <s v="715721"/>
        <s v="715725"/>
        <s v="715726"/>
        <s v="715712"/>
        <s v="715349"/>
        <s v="715355"/>
        <s v="715372"/>
        <s v="715375"/>
        <s v="715377"/>
        <s v="715381"/>
        <s v="715387"/>
        <s v="715388"/>
        <s v="715394"/>
        <s v="715398"/>
        <s v="715351"/>
        <s v="715393"/>
        <s v="715395"/>
        <s v="715700"/>
        <s v="715672"/>
        <s v="715677"/>
        <s v="715684"/>
        <s v="715691"/>
        <s v="715693"/>
        <s v="715695"/>
        <s v="715696"/>
        <s v="715707"/>
        <s v="715391"/>
        <s v="715357"/>
        <s v="715358"/>
        <s v="715359"/>
        <s v="715365"/>
        <s v="715366"/>
        <s v="715367"/>
        <s v="715368"/>
        <s v="715389"/>
        <s v="715654"/>
        <s v="715709"/>
        <s v="715716"/>
        <s v="715689"/>
        <s v="715701"/>
        <s v="715386"/>
        <s v="715396"/>
        <s v="715397"/>
        <s v="715694"/>
        <s v="715685"/>
        <s v="715687"/>
        <s v="715768"/>
        <s v="715770"/>
        <s v="715790"/>
        <s v="715798"/>
        <s v="715800"/>
        <s v="715991"/>
        <s v="716005"/>
        <s v="716016"/>
        <s v="716024"/>
        <s v="716027"/>
        <s v="716029"/>
        <s v="716034"/>
        <s v="716041"/>
        <s v="716044"/>
        <s v="716053"/>
        <s v="716062"/>
        <s v="715786"/>
        <s v="715795"/>
        <s v="715796"/>
        <s v="715950"/>
        <s v="716022"/>
        <s v="716026"/>
        <s v="715736"/>
        <s v="715754"/>
        <s v="715756"/>
        <s v="715760"/>
        <s v="715962"/>
        <s v="715774"/>
        <s v="715775"/>
        <s v="715776"/>
        <s v="715777"/>
        <s v="715968"/>
        <s v="715977"/>
        <s v="716009"/>
        <s v="716021"/>
        <s v="716051"/>
        <s v="716052"/>
        <s v="716056"/>
        <s v="716064"/>
        <s v="715933"/>
        <s v="715992"/>
        <s v="716006"/>
        <s v="716007"/>
        <s v="716025"/>
        <s v="716033"/>
        <s v="716035"/>
        <s v="716038"/>
        <s v="716046"/>
        <s v="716047"/>
        <s v="716055"/>
        <s v="716069"/>
        <s v="716075"/>
        <s v="716080"/>
        <s v="715797"/>
        <s v="715802"/>
        <s v="716032"/>
        <s v="715735"/>
        <s v="715738"/>
        <s v="715748"/>
        <s v="715763"/>
        <s v="715764"/>
        <s v="715783"/>
        <s v="716071"/>
        <s v="715799"/>
        <s v="715971"/>
        <s v="715903"/>
        <s v="716042"/>
        <s v="716059"/>
        <s v="716060"/>
        <s v="716061"/>
        <s v="715730"/>
        <s v="715746"/>
        <s v="715752"/>
        <s v="715758"/>
        <s v="715761"/>
        <s v="715784"/>
        <s v="715791"/>
        <s v="715969"/>
        <s v="715975"/>
        <s v="715964"/>
        <s v="716000"/>
        <s v="715930"/>
        <s v="716037"/>
        <s v="716040"/>
        <s v="716048"/>
        <s v="716063"/>
        <s v="716065"/>
        <s v="716079"/>
        <s v="716082"/>
        <s v="715740"/>
        <s v="715780"/>
        <s v="715781"/>
        <s v="715782"/>
        <s v="715785"/>
        <s v="715788"/>
        <s v="715789"/>
        <s v="715793"/>
        <s v="715801"/>
        <s v="716098"/>
        <s v="716114"/>
        <s v="716115"/>
        <s v="716124"/>
        <s v="716125"/>
        <s v="716126"/>
        <s v="716127"/>
        <s v="716128"/>
        <s v="716270"/>
        <s v="716274"/>
        <s v="716287"/>
        <s v="716276"/>
        <s v="716290"/>
        <s v="716298"/>
        <s v="716350"/>
        <s v="716351"/>
        <s v="716320"/>
        <s v="716335"/>
        <s v="716341"/>
        <s v="716378"/>
        <s v="716375"/>
        <s v="716385"/>
        <s v="716291"/>
        <s v="716370"/>
        <s v="716089"/>
        <s v="716122"/>
        <s v="716123"/>
        <s v="716088"/>
        <s v="716094"/>
        <s v="716095"/>
        <s v="716097"/>
        <s v="716106"/>
        <s v="716131"/>
        <s v="716253"/>
        <s v="716321"/>
        <s v="716322"/>
        <s v="716389"/>
        <s v="716090"/>
        <s v="716339"/>
        <s v="716279"/>
        <s v="716283"/>
        <s v="716296"/>
        <s v="716319"/>
        <s v="716343"/>
        <s v="716355"/>
        <s v="716387"/>
        <s v="716388"/>
        <s v="716345"/>
        <s v="716347"/>
        <s v="716390"/>
        <s v="716352"/>
        <s v="716245"/>
        <s v="716092"/>
        <s v="716261"/>
        <s v="716306"/>
        <s v="716317"/>
        <s v="716331"/>
        <s v="716356"/>
        <s v="716130"/>
        <s v="716328"/>
        <s v="716111"/>
        <s v="716273"/>
        <s v="716295"/>
        <s v="716340"/>
        <s v="716396"/>
        <s v="716447"/>
        <s v="716448"/>
        <s v="716462"/>
        <s v="716464"/>
        <s v="716463"/>
        <s v="716405"/>
        <s v="716408"/>
        <s v="716412"/>
        <s v="716413"/>
        <s v="716414"/>
        <s v="716417"/>
        <s v="716451"/>
        <s v="716409"/>
        <s v="716415"/>
        <s v="716397"/>
        <s v="716426"/>
        <s v="716446"/>
        <s v="716392"/>
        <s v="716393"/>
        <s v="716394"/>
        <s v="716453"/>
        <s v="716400"/>
        <s v="716402"/>
        <s v="716410"/>
        <s v="716411"/>
        <s v="716460"/>
        <s v="716435"/>
        <s v="716450"/>
        <s v="716461"/>
        <s v="716419"/>
        <s v="716468"/>
        <s v="716469"/>
        <s v="716496"/>
        <s v="716734"/>
        <s v="716743"/>
        <s v="716752"/>
        <s v="716785"/>
        <s v="716806"/>
        <s v="716814"/>
        <s v="716820"/>
        <s v="716828"/>
        <s v="716834"/>
        <s v="716835"/>
        <s v="716836"/>
        <s v="716837"/>
        <s v="716720"/>
        <s v="716775"/>
        <s v="716797"/>
        <s v="716809"/>
        <s v="716830"/>
        <s v="716499"/>
        <s v="716503"/>
        <s v="716724"/>
        <s v="716727"/>
        <s v="716733"/>
        <s v="716742"/>
        <s v="716747"/>
        <s v="716749"/>
        <s v="716751"/>
        <s v="716760"/>
        <s v="716764"/>
        <s v="716765"/>
        <s v="716772"/>
        <s v="716773"/>
        <s v="716794"/>
        <s v="716816"/>
        <s v="716795"/>
        <s v="716803"/>
        <s v="716832"/>
        <s v="716662"/>
        <s v="716759"/>
        <s v="716763"/>
        <s v="716767"/>
        <s v="716771"/>
        <s v="716787"/>
        <s v="716807"/>
        <s v="716745"/>
        <s v="716498"/>
        <s v="716501"/>
        <s v="716502"/>
        <s v="716737"/>
        <s v="716738"/>
        <s v="716748"/>
        <s v="716776"/>
        <s v="716777"/>
        <s v="716791"/>
        <s v="716802"/>
        <s v="716823"/>
        <s v="716826"/>
        <s v="716723"/>
        <s v="716827"/>
        <s v="716829"/>
        <s v="716736"/>
        <s v="716757"/>
        <s v="717024"/>
        <s v="716842"/>
        <s v="716844"/>
        <s v="716849"/>
        <s v="716862"/>
        <s v="716866"/>
        <s v="717049"/>
        <s v="717083"/>
        <s v="717124"/>
        <s v="717132"/>
        <s v="716863"/>
        <s v="717028"/>
        <s v="717060"/>
        <s v="716846"/>
        <s v="716848"/>
        <s v="716850"/>
        <s v="716855"/>
        <s v="717062"/>
        <s v="717086"/>
        <s v="717120"/>
        <s v="716854"/>
        <s v="716856"/>
        <s v="716857"/>
        <s v="717096"/>
        <s v="716853"/>
        <s v="716860"/>
        <s v="717022"/>
        <s v="717064"/>
        <s v="716839"/>
        <s v="716852"/>
        <s v="717065"/>
        <s v="717066"/>
        <s v="717073"/>
        <s v="717102"/>
        <s v="717137"/>
        <s v="717139"/>
        <s v="717013"/>
        <s v="717023"/>
        <s v="717045"/>
        <s v="717059"/>
        <s v="717063"/>
        <s v="717116"/>
        <s v="717135"/>
        <s v="717130"/>
        <s v="717089"/>
        <s v="717091"/>
        <s v="717100"/>
        <s v="717149"/>
        <s v="716845"/>
        <s v="717097"/>
        <s v="716841"/>
        <s v="716851"/>
        <s v="717052"/>
        <s v="717055"/>
        <s v="717020"/>
        <s v="717032"/>
        <s v="717058"/>
        <s v="717067"/>
        <s v="717069"/>
        <s v="717107"/>
        <s v="717110"/>
        <s v="717122"/>
        <s v="717123"/>
        <s v="717148"/>
        <s v="717152"/>
        <s v="717154"/>
        <s v="717157"/>
        <s v="717184"/>
        <s v="717331"/>
        <s v="717168"/>
        <s v="717360"/>
        <s v="717366"/>
        <s v="717369"/>
        <s v="717370"/>
        <s v="717375"/>
        <s v="717378"/>
        <s v="717381"/>
        <s v="717400"/>
        <s v="717409"/>
        <s v="717448"/>
        <s v="717451"/>
        <s v="717462"/>
        <s v="717467"/>
        <s v="717179"/>
        <s v="717183"/>
        <s v="717186"/>
        <s v="717187"/>
        <s v="717188"/>
        <s v="717323"/>
        <s v="717340"/>
        <s v="717344"/>
        <s v="717354"/>
        <s v="717365"/>
        <s v="717377"/>
        <s v="717394"/>
        <s v="717398"/>
        <s v="717418"/>
        <s v="717420"/>
        <s v="717422"/>
        <s v="717423"/>
        <s v="717427"/>
        <s v="717436"/>
        <s v="717458"/>
        <s v="717464"/>
        <s v="717474"/>
        <s v="717476"/>
        <s v="717170"/>
        <s v="717180"/>
        <s v="717181"/>
        <s v="717189"/>
        <s v="717190"/>
        <s v="717165"/>
        <s v="717166"/>
        <s v="717356"/>
        <s v="717406"/>
        <s v="717444"/>
        <s v="717453"/>
        <s v="717313"/>
        <s v="717336"/>
        <s v="717337"/>
        <s v="717382"/>
        <s v="717386"/>
        <s v="717393"/>
        <s v="717396"/>
        <s v="717472"/>
        <s v="717478"/>
        <s v="717172"/>
        <s v="717177"/>
        <s v="717182"/>
        <s v="717421"/>
        <s v="717450"/>
        <s v="717455"/>
        <s v="717466"/>
        <s v="717175"/>
        <s v="717176"/>
        <s v="717178"/>
        <s v="717164"/>
        <s v="717185"/>
        <s v="717417"/>
        <s v="717463"/>
        <s v="717319"/>
        <s v="717395"/>
        <s v="717747"/>
        <s v="717751"/>
        <s v="717666"/>
        <s v="717764"/>
        <s v="717790"/>
        <s v="717794"/>
        <s v="717795"/>
        <s v="717488"/>
        <s v="717489"/>
        <s v="717490"/>
        <s v="717486"/>
        <s v="717491"/>
        <s v="717503"/>
        <s v="717760"/>
        <s v="717761"/>
        <s v="717796"/>
        <s v="717485"/>
        <s v="717500"/>
        <s v="717501"/>
        <s v="717510"/>
        <s v="717480"/>
        <s v="717482"/>
        <s v="717704"/>
        <s v="717723"/>
        <s v="717749"/>
        <s v="717776"/>
        <s v="717777"/>
        <s v="717780"/>
        <s v="717785"/>
        <s v="717720"/>
        <s v="717493"/>
        <s v="717495"/>
        <s v="717497"/>
        <s v="717499"/>
        <s v="717505"/>
        <s v="717688"/>
        <s v="717689"/>
        <s v="717711"/>
        <s v="717724"/>
        <s v="717750"/>
        <s v="717753"/>
        <s v="717775"/>
        <s v="717694"/>
        <s v="717705"/>
        <s v="717504"/>
        <s v="717506"/>
        <s v="717508"/>
        <s v="717732"/>
        <s v="717774"/>
        <s v="717797"/>
        <s v="717509"/>
        <s v="717710"/>
        <s v="717728"/>
        <s v="717800"/>
        <s v="718127"/>
        <s v="718147"/>
        <s v="718151"/>
        <s v="718153"/>
        <s v="718145"/>
        <s v="717815"/>
        <s v="717818"/>
        <s v="717819"/>
        <s v="717820"/>
        <s v="718140"/>
        <s v="717822"/>
        <s v="718052"/>
        <s v="718062"/>
        <s v="718096"/>
        <s v="718097"/>
        <s v="718098"/>
        <s v="718135"/>
        <s v="718149"/>
        <s v="718152"/>
        <s v="718100"/>
        <s v="718102"/>
        <s v="718106"/>
        <s v="718108"/>
        <s v="718113"/>
        <s v="718137"/>
        <s v="718142"/>
        <s v="717813"/>
        <s v="717816"/>
        <s v="717821"/>
        <s v="717830"/>
        <s v="717805"/>
        <s v="717808"/>
        <s v="717809"/>
        <s v="717810"/>
        <s v="717811"/>
        <s v="718107"/>
        <s v="718123"/>
        <s v="718125"/>
        <s v="717804"/>
        <s v="717817"/>
        <s v="718175"/>
        <s v="718176"/>
        <s v="718183"/>
        <s v="718204"/>
        <s v="718158"/>
        <s v="718159"/>
        <s v="718156"/>
        <s v="718157"/>
        <s v="718155"/>
        <s v="718162"/>
        <s v="718164"/>
        <s v="718172"/>
        <s v="718177"/>
        <s v="718179"/>
        <s v="718208"/>
        <s v="718160"/>
        <s v="718161"/>
        <s v="718201"/>
        <s v="718203"/>
        <s v="718205"/>
        <s v="718206"/>
        <s v="718207"/>
        <s v="718197"/>
        <s v="718163"/>
        <s v="718199"/>
        <s v="718200"/>
        <s v="718443"/>
        <s v="718460"/>
        <s v="718537"/>
        <s v="718559"/>
        <s v="718596"/>
        <s v="718362"/>
        <s v="718472"/>
        <s v="718473"/>
        <s v="718485"/>
        <s v="718506"/>
        <s v="718512"/>
        <s v="718517"/>
        <s v="718528"/>
        <s v="718535"/>
        <s v="718542"/>
        <s v="718549"/>
        <s v="718550"/>
        <s v="718551"/>
        <s v="718554"/>
        <s v="718555"/>
        <s v="718556"/>
        <s v="718557"/>
        <s v="718558"/>
        <s v="718562"/>
        <s v="718571"/>
        <s v="718591"/>
        <s v="718598"/>
        <s v="718496"/>
        <s v="718565"/>
        <s v="718574"/>
        <s v="718575"/>
        <s v="718493"/>
        <s v="718545"/>
        <s v="718546"/>
        <s v="718548"/>
        <s v="718582"/>
        <s v="718585"/>
        <s v="718521"/>
        <s v="718561"/>
        <s v="718566"/>
        <s v="718544"/>
        <s v="718552"/>
        <s v="718361"/>
        <s v="718437"/>
        <s v="718495"/>
        <s v="718458"/>
        <s v="718505"/>
        <s v="718524"/>
        <s v="718525"/>
        <s v="718540"/>
        <s v="718543"/>
        <s v="718614"/>
        <s v="718835"/>
        <s v="718865"/>
        <s v="718867"/>
        <s v="718873"/>
        <s v="718875"/>
        <s v="718884"/>
        <s v="718900"/>
        <s v="718902"/>
        <s v="718905"/>
        <s v="718907"/>
        <s v="718911"/>
        <s v="718912"/>
        <s v="718913"/>
        <s v="718834"/>
        <s v="718849"/>
        <s v="718903"/>
        <s v="718904"/>
        <s v="718909"/>
        <s v="718917"/>
        <s v="718910"/>
        <s v="718615"/>
        <s v="718619"/>
        <s v="718610"/>
        <s v="718616"/>
        <s v="718617"/>
        <s v="718618"/>
        <s v="718844"/>
        <s v="718860"/>
        <s v="718872"/>
        <s v="718887"/>
        <s v="718888"/>
        <s v="718889"/>
        <s v="718620"/>
        <s v="718622"/>
        <s v="718623"/>
        <s v="718624"/>
        <s v="718626"/>
        <s v="718627"/>
        <s v="718628"/>
        <s v="718629"/>
        <s v="718630"/>
        <s v="718631"/>
        <s v="718625"/>
        <s v="718856"/>
        <s v="718862"/>
        <s v="718880"/>
        <s v="718871"/>
        <s v="718869"/>
        <s v="718870"/>
        <s v="718621"/>
        <s v="718906"/>
        <s v="718916"/>
        <s v="719045"/>
        <s v="718934"/>
        <s v="718935"/>
        <s v="719096"/>
        <s v="719108"/>
        <s v="719113"/>
        <s v="719145"/>
        <s v="719173"/>
        <s v="719186"/>
        <s v="719187"/>
        <s v="719188"/>
        <s v="718932"/>
        <s v="719044"/>
        <s v="719138"/>
        <s v="719144"/>
        <s v="719124"/>
        <s v="719184"/>
        <s v="719166"/>
        <s v="718920"/>
        <s v="718936"/>
        <s v="718937"/>
        <s v="718938"/>
        <s v="718939"/>
        <s v="718940"/>
        <s v="718941"/>
        <s v="718944"/>
        <s v="718945"/>
        <s v="719098"/>
        <s v="719116"/>
        <s v="719120"/>
        <s v="719128"/>
        <s v="719152"/>
        <s v="719167"/>
        <s v="719178"/>
        <s v="719179"/>
        <s v="719127"/>
        <s v="719133"/>
        <s v="719151"/>
        <s v="719171"/>
        <s v="719149"/>
        <s v="719150"/>
        <s v="719175"/>
        <s v="719181"/>
        <s v="718928"/>
        <s v="718946"/>
        <s v="718925"/>
        <s v="718927"/>
        <s v="719084"/>
        <s v="718921"/>
        <s v="718923"/>
        <s v="719176"/>
        <s v="719193"/>
        <s v="719194"/>
        <s v="719195"/>
        <s v="719197"/>
        <s v="719199"/>
        <s v="719209"/>
        <s v="719452"/>
        <s v="719454"/>
        <s v="719483"/>
        <s v="719488"/>
        <s v="719490"/>
        <s v="719502"/>
        <s v="719471"/>
        <s v="719417"/>
        <s v="719440"/>
        <s v="719445"/>
        <s v="719462"/>
        <s v="719487"/>
        <s v="719510"/>
        <s v="719501"/>
        <s v="719511"/>
        <s v="719513"/>
        <s v="719192"/>
        <s v="719204"/>
        <s v="719205"/>
        <s v="719458"/>
        <s v="719459"/>
        <s v="719468"/>
        <s v="719472"/>
        <s v="719491"/>
        <s v="719492"/>
        <s v="719493"/>
        <s v="719507"/>
        <s v="719508"/>
        <s v="719455"/>
        <s v="719469"/>
        <s v="719457"/>
        <s v="719503"/>
        <s v="719505"/>
        <s v="719509"/>
        <s v="719515"/>
        <s v="719523"/>
        <s v="719525"/>
        <s v="719526"/>
        <s v="719527"/>
        <s v="719648"/>
        <s v="719635"/>
        <s v="719660"/>
        <s v="719623"/>
        <s v="719675"/>
        <s v="719657"/>
        <s v="719676"/>
        <s v="719649"/>
        <s v="719674"/>
        <s v="719524"/>
        <s v="719662"/>
        <s v="719708"/>
        <s v="719689"/>
        <s v="719685"/>
        <s v="719706"/>
        <s v="719711"/>
        <s v="719691"/>
        <s v="719688"/>
        <s v="719690"/>
        <s v="719697"/>
        <s v="719699"/>
        <s v="719700"/>
        <s v="719701"/>
        <s v="719702"/>
        <s v="719703"/>
        <s v="719704"/>
        <s v="719705"/>
        <s v="719713"/>
        <s v="719753"/>
        <s v="719747"/>
        <s v="719748"/>
        <s v="719754"/>
        <s v="719755"/>
        <s v="719752"/>
        <s v="719758"/>
        <s v="719760"/>
        <s v="719817"/>
        <s v="719823"/>
        <s v="719826"/>
        <s v="719781"/>
        <s v="719782"/>
        <s v="719791"/>
        <s v="719804"/>
        <s v="719842"/>
        <s v="719783"/>
        <s v="719790"/>
        <s v="719841"/>
        <s v="719850"/>
        <s v="719829"/>
        <s v="719846"/>
        <s v="719847"/>
        <s v="719756"/>
        <s v="719757"/>
        <s v="719759"/>
        <s v="719806"/>
        <s v="719810"/>
        <s v="719812"/>
        <s v="719814"/>
        <s v="719792"/>
        <s v="719833"/>
        <s v="719837"/>
        <s v="719816"/>
        <s v="719821"/>
        <s v="719827"/>
        <s v="719830"/>
        <s v="719839"/>
        <s v="719848"/>
        <s v="719851"/>
        <s v="719859"/>
        <s v="719860"/>
        <s v="719943"/>
        <s v="719947"/>
        <s v="719951"/>
        <s v="719852"/>
        <s v="719920"/>
        <s v="719935"/>
        <s v="719936"/>
        <s v="719940"/>
        <s v="719856"/>
        <s v="719857"/>
        <s v="719861"/>
        <s v="719862"/>
        <s v="719864"/>
        <s v="719866"/>
        <s v="719916"/>
        <s v="719953"/>
        <s v="719954"/>
        <s v="719957"/>
        <s v="719918"/>
        <s v="719865"/>
        <s v="719917"/>
        <s v="719941"/>
        <s v="719942"/>
        <s v="719855"/>
        <s v="719858"/>
        <s v="719863"/>
        <s v="719949"/>
        <s v="719958"/>
        <s v="719959"/>
        <s v="719960"/>
        <s v="719962"/>
        <s v="720007"/>
        <s v="720021"/>
        <s v="720009"/>
        <s v="720027"/>
        <s v="720046"/>
        <s v="719963"/>
        <s v="719991"/>
        <s v="720003"/>
        <s v="720029"/>
        <s v="720019"/>
        <s v="720039"/>
        <s v="720053"/>
        <s v="720054"/>
        <s v="720005"/>
        <s v="719964"/>
        <s v="720060"/>
        <s v="720032"/>
        <s v="720033"/>
        <s v="720038"/>
        <s v="719961"/>
        <s v="720045"/>
        <s v="720069"/>
        <s v="720076"/>
        <s v="720121"/>
        <s v="720143"/>
        <s v="720131"/>
        <s v="720139"/>
        <s v="720140"/>
        <s v="720142"/>
        <s v="720148"/>
        <s v="720153"/>
        <s v="720125"/>
        <s v="720130"/>
        <s v="720133"/>
        <s v="720135"/>
        <s v="720146"/>
        <s v="720151"/>
        <s v="720152"/>
        <s v="720079"/>
        <s v="720065"/>
        <s v="720067"/>
        <s v="720070"/>
        <s v="720071"/>
        <s v="720072"/>
        <s v="720073"/>
        <s v="720068"/>
        <s v="720123"/>
        <s v="720161"/>
        <s v="720166"/>
        <s v="720182"/>
        <s v="720189"/>
        <s v="720159"/>
        <s v="720177"/>
        <s v="720176"/>
        <s v="720154"/>
        <s v="720181"/>
        <s v="720186"/>
        <s v="720192"/>
        <s v="720155"/>
        <s v="720188"/>
        <s v="720157"/>
        <s v="720183"/>
        <s v="720187"/>
        <s v="720184"/>
        <s v="720185"/>
        <s v="720201"/>
        <s v="720203"/>
        <s v="720194"/>
        <s v="720197"/>
        <s v="720193"/>
        <s v="720196"/>
        <s v="720200"/>
        <s v="720195"/>
        <s v="720303"/>
        <s v="720304"/>
        <s v="720426"/>
        <s v="720455"/>
        <s v="720456"/>
        <s v="720453"/>
        <s v="720454"/>
        <s v="720638"/>
        <s v="720639"/>
        <s v="720640"/>
        <s v="720768"/>
        <s v="720812"/>
        <s v="720790"/>
        <s v="720813"/>
        <s v="720814"/>
        <s v="720925"/>
        <s v="720923"/>
        <s v="720924"/>
        <s v="720927"/>
        <s v="720921"/>
        <s v="720922"/>
        <s v="720926"/>
        <s v="720816"/>
        <s v="720930"/>
        <s v="721194"/>
        <s v="721198"/>
        <s v="721199"/>
        <s v="721201"/>
        <s v="721202"/>
        <s v="721693"/>
        <s v="721694"/>
        <s v="721697"/>
        <s v="721488"/>
        <s v="721491"/>
        <s v="721689"/>
        <s v="721696"/>
        <s v="721698"/>
        <s v="721699"/>
        <s v="721489"/>
        <s v="721490"/>
        <s v="721700"/>
        <s v="721702"/>
        <s v="721701"/>
        <s v="722333"/>
        <s v="722224"/>
        <s v="722232"/>
        <s v="722323"/>
        <s v="722324"/>
        <s v="722325"/>
        <s v="722328"/>
        <s v="722329"/>
        <s v="722330"/>
        <s v="722331"/>
        <s v="722322"/>
        <s v="722335"/>
        <s v="722358"/>
        <s v="722336"/>
        <s v="722356"/>
        <s v="722802"/>
        <s v="723647"/>
        <s v="723645"/>
        <s v="723649"/>
        <s v="723648"/>
        <s v="8499000163"/>
        <s v="60198116"/>
        <s v="8499000162"/>
        <s v="8499000153"/>
        <s v="60197752"/>
        <s v="8499000151"/>
        <s v="60198555"/>
        <s v="8499000155"/>
        <s v="60197700"/>
        <s v="8499000156"/>
        <s v="8499000152"/>
        <s v="60197603"/>
        <s v="686546"/>
        <s v="8499000166"/>
        <s v="8499000165"/>
        <s v="60198118"/>
        <s v="60198117"/>
        <s v="697595"/>
        <s v="60198119"/>
        <s v="60198120"/>
        <s v="8499000164"/>
        <s v="60197469"/>
        <s v="60197470"/>
        <s v="685640"/>
        <s v="685639"/>
        <s v="685641"/>
        <s v="8499000149"/>
        <s v="60197529"/>
        <s v="8499000150"/>
        <s v="8499000154"/>
        <s v="8499000148"/>
        <s v="60197601"/>
        <s v="60197602"/>
        <s v="685642"/>
        <s v="690003"/>
        <s v="685502"/>
        <s v="685638"/>
        <s v="696896"/>
        <s v="686174"/>
        <s v="686176"/>
        <s v="686528"/>
        <s v="686529"/>
        <s v="686524"/>
        <s v="686530"/>
        <s v="686544"/>
        <s v="686545"/>
        <s v="686522"/>
        <s v="696897"/>
        <s v="60200218"/>
        <s v="690002"/>
        <s v="686517"/>
        <s v="686520"/>
        <s v="688119"/>
        <s v="688120"/>
        <s v="689723"/>
        <s v="689725"/>
        <s v="689728"/>
        <s v="689729"/>
        <s v="689730"/>
        <s v="689736"/>
        <s v="689739"/>
        <s v="689727"/>
        <s v="689731"/>
        <s v="689735"/>
        <s v="689738"/>
        <s v="689724"/>
        <s v="689737"/>
        <s v="689718"/>
        <s v="60198180"/>
        <s v="693079"/>
        <s v="60200076"/>
        <s v="696894"/>
        <s v="696899"/>
        <s v="694114"/>
        <s v="701562"/>
        <s v="700002"/>
        <s v="699434"/>
        <s v="704874"/>
        <s v="704605"/>
        <s v="704307"/>
        <s v="716066"/>
        <s v="8499000179"/>
        <s v="705129"/>
        <s v="703596"/>
        <s v="703597"/>
        <s v="8499000181"/>
        <s v="60200075"/>
        <s v="704326"/>
        <s v="702001"/>
        <s v="702003"/>
        <s v="702002"/>
        <s v="8499000175"/>
        <s v="702365"/>
        <s v="60200393"/>
        <s v="8499000177"/>
        <s v="60200667"/>
        <s v="702367"/>
        <s v="703548"/>
        <s v="8499000172"/>
        <s v="8499000171"/>
        <s v="704875"/>
        <s v="8499000173"/>
        <s v="703066"/>
        <s v="703055"/>
        <s v="703059"/>
        <s v="703334"/>
        <s v="703335"/>
        <s v="703336"/>
        <s v="8499000176"/>
        <s v="703844"/>
        <s v="703769"/>
        <s v="60200059"/>
        <s v="60200069"/>
        <s v="704573"/>
        <s v="704599"/>
        <s v="8499000178"/>
        <s v="704616"/>
        <s v="60200395"/>
        <s v="704314"/>
        <s v="60200631"/>
        <s v="712104"/>
        <s v="8499000182"/>
        <s v="704597"/>
        <s v="704595"/>
        <s v="704594"/>
        <s v="704557"/>
        <s v="704560"/>
        <s v="704559"/>
        <s v="704598"/>
        <s v="704624"/>
        <s v="704596"/>
        <s v="704787"/>
        <s v="704883"/>
        <s v="704884"/>
        <s v="704915"/>
        <s v="704918"/>
        <s v="704917"/>
        <s v="704789"/>
        <s v="704887"/>
        <s v="704897"/>
        <s v="704904"/>
        <s v="704913"/>
        <s v="704886"/>
        <s v="60200621"/>
        <s v="704882"/>
        <s v="704888"/>
        <s v="704889"/>
        <s v="704890"/>
        <s v="704892"/>
        <s v="704896"/>
        <s v="704912"/>
        <s v="704893"/>
        <s v="704899"/>
        <s v="704906"/>
        <s v="704916"/>
        <s v="705144"/>
        <s v="705145"/>
        <s v="705131"/>
        <s v="705150"/>
        <s v="705151"/>
        <s v="705111"/>
        <s v="705141"/>
        <s v="705146"/>
        <s v="705149"/>
        <s v="705136"/>
        <s v="705142"/>
        <s v="705143"/>
        <s v="705147"/>
        <s v="705132"/>
        <s v="705091"/>
        <s v="705092"/>
        <s v="705093"/>
        <s v="705102"/>
        <s v="705108"/>
        <s v="705285"/>
        <s v="705316"/>
        <s v="705310"/>
        <s v="705314"/>
        <s v="705311"/>
        <s v="705246"/>
        <s v="705317"/>
        <s v="705237"/>
        <s v="705243"/>
        <s v="705244"/>
        <s v="705255"/>
        <s v="705252"/>
        <s v="705318"/>
        <s v="705319"/>
        <s v="705251"/>
        <s v="705259"/>
        <s v="705320"/>
        <s v="705321"/>
        <s v="705228"/>
        <s v="705272"/>
        <s v="705313"/>
        <s v="705312"/>
        <s v="705254"/>
        <s v="705247"/>
        <s v="705315"/>
        <s v="705535"/>
        <s v="705536"/>
        <s v="705538"/>
        <s v="705502"/>
        <s v="705532"/>
        <s v="705533"/>
        <s v="705534"/>
        <s v="705452"/>
        <s v="705460"/>
        <s v="705510"/>
        <s v="705537"/>
        <s v="705539"/>
        <s v="708268"/>
        <s v="705546"/>
        <s v="705659"/>
        <s v="705632"/>
        <s v="705592"/>
        <s v="60201414"/>
        <s v="705661"/>
        <s v="60201738"/>
        <s v="705573"/>
        <s v="705590"/>
        <s v="705591"/>
        <s v="60201249"/>
        <s v="705646"/>
        <s v="705651"/>
        <s v="705631"/>
        <s v="705648"/>
        <s v="705652"/>
        <s v="705574"/>
        <s v="705575"/>
        <s v="705653"/>
        <s v="705654"/>
        <s v="705655"/>
        <s v="705656"/>
        <s v="705657"/>
        <s v="705658"/>
        <s v="705660"/>
        <s v="60201737"/>
        <s v="705599"/>
        <s v="705628"/>
        <s v="705633"/>
        <s v="705650"/>
        <s v="705662"/>
        <s v="705602"/>
        <s v="60201413"/>
        <s v="60201721"/>
        <s v="705637"/>
        <s v="705644"/>
        <s v="705846"/>
        <s v="705844"/>
        <s v="705845"/>
        <s v="705847"/>
        <s v="705848"/>
        <s v="705852"/>
        <s v="60201639"/>
        <s v="60200841"/>
        <s v="705986"/>
        <s v="705850"/>
        <s v="705915"/>
        <s v="705983"/>
        <s v="705968"/>
        <s v="705970"/>
        <s v="705971"/>
        <s v="705980"/>
        <s v="705982"/>
        <s v="706223"/>
        <s v="705984"/>
        <s v="705985"/>
        <s v="705663"/>
        <s v="705859"/>
        <s v="705912"/>
        <s v="705914"/>
        <s v="60200838"/>
        <s v="705969"/>
        <s v="705909"/>
        <s v="705936"/>
        <s v="8499000184"/>
        <s v="705910"/>
        <s v="706302"/>
        <s v="706304"/>
        <s v="706305"/>
        <s v="706308"/>
        <s v="706146"/>
        <s v="706303"/>
        <s v="706307"/>
        <s v="706312"/>
        <s v="706152"/>
        <s v="60201034"/>
        <s v="706306"/>
        <s v="706310"/>
        <s v="706577"/>
        <s v="706578"/>
        <s v="706584"/>
        <s v="8499000185"/>
        <s v="706602"/>
        <s v="706581"/>
        <s v="706583"/>
        <s v="60201103"/>
        <s v="706534"/>
        <s v="706576"/>
        <s v="706582"/>
        <s v="706586"/>
        <s v="706588"/>
        <s v="60201687"/>
        <s v="706652"/>
        <s v="706661"/>
        <s v="706660"/>
        <s v="706654"/>
        <s v="706655"/>
        <s v="706662"/>
        <s v="706988"/>
        <s v="707013"/>
        <s v="706928"/>
        <s v="706999"/>
        <s v="707006"/>
        <s v="707007"/>
        <s v="707008"/>
        <s v="707009"/>
        <s v="707010"/>
        <s v="707012"/>
        <s v="707011"/>
        <s v="60201408"/>
        <s v="707003"/>
        <s v="707004"/>
        <s v="706966"/>
        <s v="60201726"/>
        <s v="706908"/>
        <s v="706910"/>
        <s v="706938"/>
        <s v="706986"/>
        <s v="707005"/>
        <s v="707015"/>
        <s v="707017"/>
        <s v="707519"/>
        <s v="707524"/>
        <s v="707531"/>
        <s v="707653"/>
        <s v="707529"/>
        <s v="707638"/>
        <s v="60200574"/>
        <s v="707014"/>
        <s v="707016"/>
        <s v="707523"/>
        <s v="707666"/>
        <s v="707665"/>
        <s v="707664"/>
        <s v="707018"/>
        <s v="707019"/>
        <s v="707594"/>
        <s v="707662"/>
        <s v="708278"/>
        <s v="708087"/>
        <s v="708247"/>
        <s v="708279"/>
        <s v="708250"/>
        <s v="8499000183"/>
        <s v="708246"/>
        <s v="708266"/>
        <s v="708269"/>
        <s v="708270"/>
        <s v="708280"/>
        <s v="708282"/>
        <s v="708783"/>
        <s v="708897"/>
        <s v="708898"/>
        <s v="708907"/>
        <s v="708911"/>
        <s v="708281"/>
        <s v="708909"/>
        <s v="708896"/>
        <s v="708913"/>
        <s v="708283"/>
        <s v="709567"/>
        <s v="709573"/>
        <s v="709569"/>
        <s v="709558"/>
        <s v="709564"/>
        <s v="709565"/>
        <s v="709570"/>
        <s v="709549"/>
        <s v="709572"/>
        <s v="709576"/>
        <s v="709579"/>
        <s v="709580"/>
        <s v="709581"/>
        <s v="709577"/>
        <s v="709578"/>
        <s v="709582"/>
        <s v="710150"/>
        <s v="710145"/>
        <s v="710149"/>
        <s v="710152"/>
        <s v="710154"/>
        <s v="710144"/>
        <s v="710165"/>
        <s v="60201735"/>
        <s v="710146"/>
        <s v="710151"/>
        <s v="710155"/>
        <s v="710141"/>
        <s v="710142"/>
        <s v="710143"/>
        <s v="60202002"/>
        <s v="710170"/>
        <s v="710174"/>
        <s v="710706"/>
        <s v="710707"/>
        <s v="710713"/>
        <s v="710712"/>
        <s v="710685"/>
        <s v="710708"/>
        <s v="710709"/>
        <s v="710710"/>
        <s v="720014"/>
        <s v="710711"/>
        <s v="710172"/>
        <s v="710683"/>
        <s v="710686"/>
        <s v="710705"/>
        <s v="60202001"/>
        <s v="60201736"/>
        <s v="711213"/>
        <s v="711219"/>
        <s v="711232"/>
        <s v="711234"/>
        <s v="711235"/>
        <s v="711236"/>
        <s v="60202003"/>
        <s v="710714"/>
        <s v="711216"/>
        <s v="711217"/>
        <s v="711207"/>
        <s v="711208"/>
        <s v="711209"/>
        <s v="711214"/>
        <s v="60202000"/>
        <s v="711180"/>
        <s v="711205"/>
        <s v="711215"/>
        <s v="711239"/>
        <s v="711240"/>
        <s v="711241"/>
        <s v="711210"/>
        <s v="711243"/>
        <s v="711196"/>
        <s v="711212"/>
        <s v="711233"/>
        <s v="711237"/>
        <s v="711242"/>
        <s v="711164"/>
        <s v="711186"/>
        <s v="711194"/>
        <s v="711596"/>
        <s v="711571"/>
        <s v="711605"/>
        <s v="711607"/>
        <s v="711608"/>
        <s v="711606"/>
        <s v="711782"/>
        <s v="711781"/>
        <s v="711791"/>
        <s v="711788"/>
        <s v="711789"/>
        <s v="711794"/>
        <s v="711795"/>
        <s v="711796"/>
        <s v="711797"/>
        <s v="711779"/>
        <s v="711785"/>
        <s v="711786"/>
        <s v="711777"/>
        <s v="711778"/>
        <s v="711780"/>
        <s v="711793"/>
        <s v="711790"/>
        <s v="711773"/>
        <s v="711783"/>
        <s v="711787"/>
        <s v="711784"/>
        <s v="711798"/>
        <s v="711806"/>
        <s v="711800"/>
        <s v="711803"/>
        <s v="711805"/>
        <s v="711799"/>
        <s v="711807"/>
        <s v="711804"/>
        <s v="711813"/>
        <s v="712106"/>
        <s v="712117"/>
        <s v="712118"/>
        <s v="712102"/>
        <s v="712110"/>
        <s v="712115"/>
        <s v="712116"/>
        <s v="712126"/>
        <s v="712128"/>
        <s v="712010"/>
        <s v="712121"/>
        <s v="712130"/>
        <s v="712099"/>
        <s v="712105"/>
        <s v="712108"/>
        <s v="712127"/>
        <s v="712129"/>
        <s v="712408"/>
        <s v="712444"/>
        <s v="712445"/>
        <s v="712136"/>
        <s v="712137"/>
        <s v="712404"/>
        <s v="712405"/>
        <s v="712406"/>
        <s v="712410"/>
        <s v="712446"/>
        <s v="712449"/>
        <s v="712441"/>
        <s v="712402"/>
        <s v="712419"/>
        <s v="712450"/>
        <s v="712134"/>
        <s v="712135"/>
        <s v="712443"/>
        <s v="712131"/>
        <s v="712132"/>
        <s v="712133"/>
        <s v="712138"/>
        <s v="712142"/>
        <s v="712139"/>
        <s v="712442"/>
        <s v="712451"/>
        <s v="712452"/>
        <s v="712462"/>
        <s v="712453"/>
        <s v="712454"/>
        <s v="712464"/>
        <s v="712467"/>
        <s v="712654"/>
        <s v="712583"/>
        <s v="712584"/>
        <s v="712646"/>
        <s v="712666"/>
        <s v="712455"/>
        <s v="712456"/>
        <s v="712457"/>
        <s v="712458"/>
        <s v="712459"/>
        <s v="712460"/>
        <s v="712660"/>
        <s v="712647"/>
        <s v="712655"/>
        <s v="712461"/>
        <s v="712463"/>
        <s v="712465"/>
        <s v="712466"/>
        <s v="712636"/>
        <s v="712663"/>
        <s v="712468"/>
        <s v="712570"/>
        <s v="712608"/>
        <s v="712639"/>
        <s v="712644"/>
        <s v="712648"/>
        <s v="712651"/>
        <s v="712664"/>
        <s v="712665"/>
        <s v="712667"/>
        <s v="712879"/>
        <s v="712884"/>
        <s v="712885"/>
        <s v="712886"/>
        <s v="712887"/>
        <s v="712888"/>
        <s v="712891"/>
        <s v="712889"/>
        <s v="712890"/>
        <s v="712898"/>
        <s v="713120"/>
        <s v="713121"/>
        <s v="713124"/>
        <s v="713125"/>
        <s v="713129"/>
        <s v="713130"/>
        <s v="713139"/>
        <s v="713143"/>
        <s v="713148"/>
        <s v="713119"/>
        <s v="713122"/>
        <s v="713147"/>
        <s v="713151"/>
        <s v="713154"/>
        <s v="713123"/>
        <s v="713126"/>
        <s v="713127"/>
        <s v="713128"/>
        <s v="713132"/>
        <s v="713134"/>
        <s v="713136"/>
        <s v="713141"/>
        <s v="713144"/>
        <s v="713149"/>
        <s v="712922"/>
        <s v="713093"/>
        <s v="713104"/>
        <s v="713155"/>
        <s v="713156"/>
        <s v="713094"/>
        <s v="713436"/>
        <s v="713437"/>
        <s v="713167"/>
        <s v="713421"/>
        <s v="713423"/>
        <s v="713426"/>
        <s v="713428"/>
        <s v="713403"/>
        <s v="713168"/>
        <s v="713161"/>
        <s v="713163"/>
        <s v="713422"/>
        <s v="713427"/>
        <s v="713158"/>
        <s v="713159"/>
        <s v="713169"/>
        <s v="713409"/>
        <s v="713413"/>
        <s v="713415"/>
        <s v="713416"/>
        <s v="713417"/>
        <s v="713418"/>
        <s v="713419"/>
        <s v="713430"/>
        <s v="713433"/>
        <s v="713164"/>
        <s v="713165"/>
        <s v="713166"/>
        <s v="713170"/>
        <s v="713342"/>
        <s v="713414"/>
        <s v="713420"/>
        <s v="713435"/>
        <s v="713394"/>
        <s v="713429"/>
        <s v="713157"/>
        <s v="713162"/>
        <s v="713160"/>
        <s v="713391"/>
        <s v="713392"/>
        <s v="713393"/>
        <s v="713389"/>
        <s v="713390"/>
        <s v="713406"/>
        <s v="713424"/>
        <s v="713431"/>
        <s v="713432"/>
        <s v="713411"/>
        <s v="713425"/>
        <s v="713434"/>
        <s v="713881"/>
        <s v="713898"/>
        <s v="713901"/>
        <s v="713904"/>
        <s v="713910"/>
        <s v="713945"/>
        <s v="713897"/>
        <s v="713938"/>
        <s v="713918"/>
        <s v="713677"/>
        <s v="713680"/>
        <s v="713768"/>
        <s v="713844"/>
        <s v="713905"/>
        <s v="713923"/>
        <s v="713939"/>
        <s v="713941"/>
        <s v="713942"/>
        <s v="713441"/>
        <s v="713891"/>
        <s v="713893"/>
        <s v="713931"/>
        <s v="713932"/>
        <s v="713933"/>
        <s v="713934"/>
        <s v="713935"/>
        <s v="713443"/>
        <s v="713449"/>
        <s v="713456"/>
        <s v="713439"/>
        <s v="713445"/>
        <s v="713446"/>
        <s v="713458"/>
        <s v="713459"/>
        <s v="713683"/>
        <s v="713686"/>
        <s v="713862"/>
        <s v="713880"/>
        <s v="713884"/>
        <s v="713900"/>
        <s v="713948"/>
        <s v="713447"/>
        <s v="713448"/>
        <s v="713886"/>
        <s v="713887"/>
        <s v="713438"/>
        <s v="713908"/>
        <s v="713440"/>
        <s v="713457"/>
        <s v="713859"/>
        <s v="713867"/>
        <s v="713936"/>
        <s v="713943"/>
        <s v="713866"/>
        <s v="713868"/>
        <s v="713873"/>
        <s v="713883"/>
        <s v="713902"/>
        <s v="713913"/>
        <s v="713914"/>
        <s v="713947"/>
        <s v="713917"/>
        <s v="713919"/>
        <s v="713924"/>
        <s v="713925"/>
        <s v="713944"/>
        <s v="714378"/>
        <s v="714381"/>
        <s v="714384"/>
        <s v="714385"/>
        <s v="714396"/>
        <s v="714398"/>
        <s v="714400"/>
        <s v="714416"/>
        <s v="714465"/>
        <s v="714490"/>
        <s v="713949"/>
        <s v="713953"/>
        <s v="713954"/>
        <s v="713955"/>
        <s v="713962"/>
        <s v="713980"/>
        <s v="714306"/>
        <s v="714401"/>
        <s v="714402"/>
        <s v="714458"/>
        <s v="714467"/>
        <s v="714468"/>
        <s v="714488"/>
        <s v="713966"/>
        <s v="714347"/>
        <s v="60202322"/>
        <s v="714380"/>
        <s v="713951"/>
        <s v="713987"/>
        <s v="60202321"/>
        <s v="713963"/>
        <s v="713964"/>
        <s v="713991"/>
        <s v="60202427"/>
        <s v="714361"/>
        <s v="714379"/>
        <s v="714418"/>
        <s v="714419"/>
        <s v="714421"/>
        <s v="714426"/>
        <s v="714429"/>
        <s v="714430"/>
        <s v="714449"/>
        <s v="714454"/>
        <s v="714388"/>
        <s v="714393"/>
        <s v="714463"/>
        <s v="714464"/>
        <s v="714469"/>
        <s v="714470"/>
        <s v="60202857"/>
        <s v="713952"/>
        <s v="713984"/>
        <s v="713985"/>
        <s v="713999"/>
        <s v="714437"/>
        <s v="714442"/>
        <s v="714492"/>
        <s v="714503"/>
        <s v="714504"/>
        <s v="714636"/>
        <s v="714704"/>
        <s v="714717"/>
        <s v="714724"/>
        <s v="714728"/>
        <s v="714729"/>
        <s v="714781"/>
        <s v="714733"/>
        <s v="714746"/>
        <s v="714764"/>
        <s v="714776"/>
        <s v="714777"/>
        <s v="714712"/>
        <s v="714713"/>
        <s v="714510"/>
        <s v="714731"/>
        <s v="714774"/>
        <s v="714782"/>
        <s v="714751"/>
        <s v="714507"/>
        <s v="714508"/>
        <s v="714759"/>
        <s v="714762"/>
        <s v="714511"/>
        <s v="714761"/>
        <s v="714689"/>
        <s v="714766"/>
        <s v="714498"/>
        <s v="714502"/>
        <s v="714509"/>
        <s v="714514"/>
        <s v="714516"/>
        <s v="714527"/>
        <s v="714702"/>
        <s v="714706"/>
        <s v="714708"/>
        <s v="714714"/>
        <s v="714715"/>
        <s v="714716"/>
        <s v="714718"/>
        <s v="714734"/>
        <s v="714740"/>
        <s v="714753"/>
        <s v="714760"/>
        <s v="714765"/>
        <s v="714767"/>
        <s v="714770"/>
        <s v="714771"/>
        <s v="714772"/>
        <s v="714775"/>
        <s v="714778"/>
        <s v="714779"/>
        <s v="714798"/>
        <s v="714799"/>
        <s v="714802"/>
        <s v="714804"/>
        <s v="714810"/>
        <s v="714813"/>
        <s v="714807"/>
        <s v="714819"/>
        <s v="714794"/>
        <s v="714816"/>
        <s v="714783"/>
        <s v="714784"/>
        <s v="714787"/>
        <s v="714818"/>
        <s v="714805"/>
        <s v="714829"/>
        <s v="714833"/>
        <s v="714834"/>
        <s v="714835"/>
        <s v="714831"/>
        <s v="714826"/>
        <s v="714830"/>
        <s v="714832"/>
        <s v="714836"/>
        <s v="714931"/>
        <s v="715027"/>
        <s v="714971"/>
        <s v="714974"/>
        <s v="714994"/>
        <s v="715002"/>
        <s v="715006"/>
        <s v="715008"/>
        <s v="715009"/>
        <s v="715011"/>
        <s v="715035"/>
        <s v="715036"/>
        <s v="715044"/>
        <s v="715046"/>
        <s v="715051"/>
        <s v="714941"/>
        <s v="714947"/>
        <s v="714983"/>
        <s v="8499000186"/>
        <s v="714988"/>
        <s v="715024"/>
        <s v="715025"/>
        <s v="715012"/>
        <s v="715028"/>
        <s v="715029"/>
        <s v="715030"/>
        <s v="715031"/>
        <s v="715032"/>
        <s v="715037"/>
        <s v="715038"/>
        <s v="714894"/>
        <s v="714960"/>
        <s v="714975"/>
        <s v="714987"/>
        <s v="715034"/>
        <s v="714839"/>
        <s v="714929"/>
        <s v="714969"/>
        <s v="714981"/>
        <s v="714993"/>
        <s v="715007"/>
        <s v="715010"/>
        <s v="715019"/>
        <s v="715020"/>
        <s v="714982"/>
        <s v="714998"/>
        <s v="714999"/>
        <s v="715005"/>
        <s v="715018"/>
        <s v="715021"/>
        <s v="715039"/>
        <s v="715040"/>
        <s v="715042"/>
        <s v="715043"/>
        <s v="715048"/>
        <s v="715049"/>
        <s v="715053"/>
        <s v="715275"/>
        <s v="715280"/>
        <s v="715284"/>
        <s v="715285"/>
        <s v="715300"/>
        <s v="715313"/>
        <s v="715330"/>
        <s v="715334"/>
        <s v="715342"/>
        <s v="715278"/>
        <s v="715283"/>
        <s v="715309"/>
        <s v="715312"/>
        <s v="715326"/>
        <s v="715073"/>
        <s v="715074"/>
        <s v="715075"/>
        <s v="715076"/>
        <s v="715077"/>
        <s v="715079"/>
        <s v="715080"/>
        <s v="715081"/>
        <s v="715082"/>
        <s v="715083"/>
        <s v="715214"/>
        <s v="715310"/>
        <s v="715063"/>
        <s v="715247"/>
        <s v="715262"/>
        <s v="715276"/>
        <s v="715290"/>
        <s v="715297"/>
        <s v="715298"/>
        <s v="715299"/>
        <s v="715321"/>
        <s v="715322"/>
        <s v="715324"/>
        <s v="715325"/>
        <s v="715344"/>
        <s v="715256"/>
        <s v="715072"/>
        <s v="715078"/>
        <s v="715084"/>
        <s v="715090"/>
        <s v="715092"/>
        <s v="715307"/>
        <s v="715308"/>
        <s v="715335"/>
        <s v="715199"/>
        <s v="715217"/>
        <s v="715241"/>
        <s v="715242"/>
        <s v="715243"/>
        <s v="715248"/>
        <s v="715250"/>
        <s v="715260"/>
        <s v="715271"/>
        <s v="715272"/>
        <s v="715273"/>
        <s v="715282"/>
        <s v="715232"/>
        <s v="715070"/>
        <s v="715071"/>
        <s v="715085"/>
        <s v="715086"/>
        <s v="715088"/>
        <s v="715091"/>
        <s v="715196"/>
        <s v="715213"/>
        <s v="715215"/>
        <s v="715216"/>
        <s v="715225"/>
        <s v="715251"/>
        <s v="715259"/>
        <s v="715287"/>
        <s v="715288"/>
        <s v="715289"/>
        <s v="715305"/>
        <s v="715311"/>
        <s v="715316"/>
        <s v="715323"/>
        <s v="715329"/>
        <s v="715332"/>
        <s v="715333"/>
        <s v="715336"/>
        <s v="715337"/>
        <s v="715340"/>
        <s v="715341"/>
        <s v="715343"/>
        <s v="715348"/>
        <s v="715350"/>
        <s v="715363"/>
        <s v="715378"/>
        <s v="715382"/>
        <s v="715353"/>
        <s v="715374"/>
        <s v="715383"/>
        <s v="715385"/>
        <s v="715390"/>
        <s v="715539"/>
        <s v="715541"/>
        <s v="715665"/>
        <s v="715600"/>
        <s v="715628"/>
        <s v="715636"/>
        <s v="715645"/>
        <s v="715648"/>
        <s v="715658"/>
        <s v="715662"/>
        <s v="715663"/>
        <s v="715664"/>
        <s v="715668"/>
        <s v="715673"/>
        <s v="715674"/>
        <s v="715676"/>
        <s v="715681"/>
        <s v="715683"/>
        <s v="715697"/>
        <s v="715698"/>
        <s v="715702"/>
        <s v="715703"/>
        <s v="715704"/>
        <s v="715710"/>
        <s v="715714"/>
        <s v="715719"/>
        <s v="715720"/>
        <s v="715724"/>
        <s v="715727"/>
        <s v="715729"/>
        <s v="715352"/>
        <s v="715371"/>
        <s v="715376"/>
        <s v="715379"/>
        <s v="715399"/>
        <s v="715537"/>
        <s v="715540"/>
        <s v="715543"/>
        <s v="715613"/>
        <s v="715652"/>
        <s v="715670"/>
        <s v="715690"/>
        <s v="715708"/>
        <s v="715713"/>
        <s v="715345"/>
        <s v="715346"/>
        <s v="715347"/>
        <s v="715356"/>
        <s v="715360"/>
        <s v="715361"/>
        <s v="715364"/>
        <s v="715384"/>
        <s v="715400"/>
        <s v="715633"/>
        <s v="715647"/>
        <s v="715655"/>
        <s v="715675"/>
        <s v="715682"/>
        <s v="715705"/>
        <s v="715706"/>
        <s v="715711"/>
        <s v="715722"/>
        <s v="715728"/>
        <s v="715669"/>
        <s v="715679"/>
        <s v="715680"/>
        <s v="715715"/>
        <s v="715717"/>
        <s v="715718"/>
        <s v="715723"/>
        <s v="715639"/>
        <s v="715640"/>
        <s v="715688"/>
        <s v="715767"/>
        <s v="715769"/>
        <s v="715778"/>
        <s v="715974"/>
        <s v="715980"/>
        <s v="715999"/>
        <s v="716002"/>
        <s v="716010"/>
        <s v="716011"/>
        <s v="716019"/>
        <s v="716031"/>
        <s v="716054"/>
        <s v="716083"/>
        <s v="716086"/>
        <s v="715765"/>
        <s v="715787"/>
        <s v="715965"/>
        <s v="715967"/>
        <s v="715981"/>
        <s v="716001"/>
        <s v="716003"/>
        <s v="716004"/>
        <s v="716023"/>
        <s v="716049"/>
        <s v="716050"/>
        <s v="715731"/>
        <s v="715732"/>
        <s v="715733"/>
        <s v="715734"/>
        <s v="715741"/>
        <s v="715751"/>
        <s v="715753"/>
        <s v="715757"/>
        <s v="715766"/>
        <s v="715792"/>
        <s v="715979"/>
        <s v="715985"/>
        <s v="715987"/>
        <s v="716018"/>
        <s v="715920"/>
        <s v="716087"/>
        <s v="715959"/>
        <s v="715976"/>
        <s v="716015"/>
        <s v="716017"/>
        <s v="716020"/>
        <s v="716028"/>
        <s v="716036"/>
        <s v="716043"/>
        <s v="716045"/>
        <s v="716057"/>
        <s v="716058"/>
        <s v="716067"/>
        <s v="716068"/>
        <s v="716070"/>
        <s v="716072"/>
        <s v="716073"/>
        <s v="716074"/>
        <s v="716076"/>
        <s v="716077"/>
        <s v="716084"/>
        <s v="716085"/>
        <s v="715794"/>
        <s v="715737"/>
        <s v="715739"/>
        <s v="715742"/>
        <s v="715743"/>
        <s v="715749"/>
        <s v="715744"/>
        <s v="715747"/>
        <s v="715755"/>
        <s v="715759"/>
        <s v="715762"/>
        <s v="715948"/>
        <s v="715970"/>
        <s v="715973"/>
        <s v="715940"/>
        <s v="715943"/>
        <s v="715963"/>
        <s v="715982"/>
        <s v="715983"/>
        <s v="715984"/>
        <s v="716008"/>
        <s v="716012"/>
        <s v="716013"/>
        <s v="716014"/>
        <s v="715945"/>
        <s v="715946"/>
        <s v="716039"/>
        <s v="716078"/>
        <s v="716081"/>
        <s v="715745"/>
        <s v="715750"/>
        <s v="715771"/>
        <s v="715773"/>
        <s v="715779"/>
        <s v="716108"/>
        <s v="716112"/>
        <s v="716119"/>
        <s v="716129"/>
        <s v="716275"/>
        <s v="716288"/>
        <s v="716289"/>
        <s v="716299"/>
        <s v="716300"/>
        <s v="716301"/>
        <s v="716304"/>
        <s v="716305"/>
        <s v="716324"/>
        <s v="716325"/>
        <s v="716332"/>
        <s v="716349"/>
        <s v="716353"/>
        <s v="716354"/>
        <s v="716302"/>
        <s v="716303"/>
        <s v="716309"/>
        <s v="716315"/>
        <s v="716326"/>
        <s v="716383"/>
        <s v="716366"/>
        <s v="716367"/>
        <s v="716371"/>
        <s v="716372"/>
        <s v="716376"/>
        <s v="716377"/>
        <s v="716381"/>
        <s v="716391"/>
        <s v="716329"/>
        <s v="716330"/>
        <s v="716334"/>
        <s v="716338"/>
        <s v="716342"/>
        <s v="716348"/>
        <s v="716363"/>
        <s v="716120"/>
        <s v="716121"/>
        <s v="716277"/>
        <s v="716379"/>
        <s v="716382"/>
        <s v="716384"/>
        <s v="716099"/>
        <s v="716100"/>
        <s v="716107"/>
        <s v="716109"/>
        <s v="716110"/>
        <s v="716254"/>
        <s v="716259"/>
        <s v="716263"/>
        <s v="716285"/>
        <s v="716286"/>
        <s v="716292"/>
        <s v="716293"/>
        <s v="716307"/>
        <s v="716316"/>
        <s v="716271"/>
        <s v="716272"/>
        <s v="716280"/>
        <s v="716281"/>
        <s v="716282"/>
        <s v="716284"/>
        <s v="716297"/>
        <s v="716313"/>
        <s v="716323"/>
        <s v="716333"/>
        <s v="716344"/>
        <s v="716364"/>
        <s v="716365"/>
        <s v="716373"/>
        <s v="716374"/>
        <s v="716346"/>
        <s v="716361"/>
        <s v="716362"/>
        <s v="716368"/>
        <s v="716369"/>
        <s v="716386"/>
        <s v="716093"/>
        <s v="716248"/>
        <s v="716260"/>
        <s v="716294"/>
        <s v="716318"/>
        <s v="716336"/>
        <s v="716337"/>
        <s v="716096"/>
        <s v="716116"/>
        <s v="716117"/>
        <s v="716118"/>
        <s v="716308"/>
        <s v="716327"/>
        <s v="716091"/>
        <s v="716101"/>
        <s v="716102"/>
        <s v="716103"/>
        <s v="716104"/>
        <s v="716105"/>
        <s v="716113"/>
        <s v="716278"/>
        <s v="716380"/>
        <s v="716398"/>
        <s v="716422"/>
        <s v="716423"/>
        <s v="716424"/>
        <s v="716458"/>
        <s v="716459"/>
        <s v="716404"/>
        <s v="716416"/>
        <s v="716418"/>
        <s v="716421"/>
        <s v="716429"/>
        <s v="716431"/>
        <s v="716433"/>
        <s v="716440"/>
        <s v="716441"/>
        <s v="716466"/>
        <s v="716467"/>
        <s v="716449"/>
        <s v="716428"/>
        <s v="716432"/>
        <s v="716434"/>
        <s v="716439"/>
        <s v="716442"/>
        <s v="716445"/>
        <s v="716454"/>
        <s v="716455"/>
        <s v="716403"/>
        <s v="716443"/>
        <s v="716452"/>
        <s v="716427"/>
        <s v="716395"/>
        <s v="716399"/>
        <s v="716401"/>
        <s v="716456"/>
        <s v="716457"/>
        <s v="716430"/>
        <s v="716438"/>
        <s v="716444"/>
        <s v="716465"/>
        <s v="716436"/>
        <s v="716406"/>
        <s v="716407"/>
        <s v="716470"/>
        <s v="716493"/>
        <s v="716494"/>
        <s v="716497"/>
        <s v="716735"/>
        <s v="716754"/>
        <s v="716781"/>
        <s v="716784"/>
        <s v="716790"/>
        <s v="716798"/>
        <s v="716812"/>
        <s v="716758"/>
        <s v="716762"/>
        <s v="716788"/>
        <s v="716789"/>
        <s v="716793"/>
        <s v="716796"/>
        <s v="716804"/>
        <s v="716805"/>
        <s v="716819"/>
        <s v="716821"/>
        <s v="716824"/>
        <s v="716831"/>
        <s v="716500"/>
        <s v="716741"/>
        <s v="716728"/>
        <s v="716729"/>
        <s v="716731"/>
        <s v="716740"/>
        <s v="716746"/>
        <s v="716750"/>
        <s v="716690"/>
        <s v="716753"/>
        <s v="716768"/>
        <s v="716769"/>
        <s v="716808"/>
        <s v="716813"/>
        <s v="716801"/>
        <s v="716761"/>
        <s v="716766"/>
        <s v="716780"/>
        <s v="716810"/>
        <s v="716811"/>
        <s v="716817"/>
        <s v="716818"/>
        <s v="716825"/>
        <s v="716744"/>
        <s v="716815"/>
        <s v="716833"/>
        <s v="716712"/>
        <s v="716778"/>
        <s v="716783"/>
        <s v="716626"/>
        <s v="716630"/>
        <s v="716739"/>
        <s v="716774"/>
        <s v="716779"/>
        <s v="716782"/>
        <s v="716792"/>
        <s v="716822"/>
        <s v="716710"/>
        <s v="716838"/>
        <s v="716726"/>
        <s v="716755"/>
        <s v="717126"/>
        <s v="717127"/>
        <s v="717142"/>
        <s v="716847"/>
        <s v="716858"/>
        <s v="717075"/>
        <s v="717077"/>
        <s v="717080"/>
        <s v="717081"/>
        <s v="717082"/>
        <s v="717104"/>
        <s v="717108"/>
        <s v="717113"/>
        <s v="717145"/>
        <s v="717159"/>
        <s v="716843"/>
        <s v="717026"/>
        <s v="717044"/>
        <s v="717050"/>
        <s v="717101"/>
        <s v="717079"/>
        <s v="717106"/>
        <s v="717111"/>
        <s v="717128"/>
        <s v="717131"/>
        <s v="717140"/>
        <s v="717146"/>
        <s v="717156"/>
        <s v="717093"/>
        <s v="716864"/>
        <s v="716865"/>
        <s v="716868"/>
        <s v="717047"/>
        <s v="717048"/>
        <s v="716861"/>
        <s v="717068"/>
        <s v="717070"/>
        <s v="717072"/>
        <s v="717074"/>
        <s v="717085"/>
        <s v="717090"/>
        <s v="717094"/>
        <s v="717099"/>
        <s v="717112"/>
        <s v="717115"/>
        <s v="717129"/>
        <s v="717141"/>
        <s v="717143"/>
        <s v="717144"/>
        <s v="717155"/>
        <s v="717160"/>
        <s v="717084"/>
        <s v="717105"/>
        <s v="717117"/>
        <s v="717119"/>
        <s v="717133"/>
        <s v="717134"/>
        <s v="717136"/>
        <s v="717147"/>
        <s v="717158"/>
        <s v="717042"/>
        <s v="716867"/>
        <s v="717057"/>
        <s v="717078"/>
        <s v="717087"/>
        <s v="717092"/>
        <s v="717103"/>
        <s v="717125"/>
        <s v="717150"/>
        <s v="716840"/>
        <s v="716859"/>
        <s v="717054"/>
        <s v="717076"/>
        <s v="717151"/>
        <s v="717053"/>
        <s v="717056"/>
        <s v="717109"/>
        <s v="717114"/>
        <s v="717118"/>
        <s v="717121"/>
        <s v="717138"/>
        <s v="717153"/>
        <s v="717413"/>
        <s v="717161"/>
        <s v="717162"/>
        <s v="717399"/>
        <s v="717401"/>
        <s v="717403"/>
        <s v="717412"/>
        <s v="717414"/>
        <s v="717415"/>
        <s v="717441"/>
        <s v="717445"/>
        <s v="717459"/>
        <s v="717460"/>
        <s v="717425"/>
        <s v="717454"/>
        <s v="717456"/>
        <s v="717317"/>
        <s v="717357"/>
        <s v="717397"/>
        <s v="717402"/>
        <s v="717410"/>
        <s v="717411"/>
        <s v="717429"/>
        <s v="717434"/>
        <s v="717440"/>
        <s v="717465"/>
        <s v="717468"/>
        <s v="717470"/>
        <s v="717473"/>
        <s v="717475"/>
        <s v="717479"/>
        <s v="717471"/>
        <s v="717169"/>
        <s v="717385"/>
        <s v="717405"/>
        <s v="717407"/>
        <s v="717408"/>
        <s v="717419"/>
        <s v="717432"/>
        <s v="717452"/>
        <s v="717461"/>
        <s v="717477"/>
        <s v="717332"/>
        <s v="717383"/>
        <s v="717388"/>
        <s v="717163"/>
        <s v="717167"/>
        <s v="717173"/>
        <s v="717174"/>
        <s v="717442"/>
        <s v="717446"/>
        <s v="717447"/>
        <s v="717457"/>
        <s v="717469"/>
        <s v="717171"/>
        <s v="717387"/>
        <s v="717742"/>
        <s v="717745"/>
        <s v="717746"/>
        <s v="717791"/>
        <s v="717792"/>
        <s v="717793"/>
        <s v="717512"/>
        <s v="717483"/>
        <s v="717502"/>
        <s v="717759"/>
        <s v="717799"/>
        <s v="717787"/>
        <s v="717788"/>
        <s v="717496"/>
        <s v="717739"/>
        <s v="717741"/>
        <s v="717743"/>
        <s v="717492"/>
        <s v="717713"/>
        <s v="717717"/>
        <s v="717752"/>
        <s v="717782"/>
        <s v="717783"/>
        <s v="717729"/>
        <s v="717735"/>
        <s v="717738"/>
        <s v="717662"/>
        <s v="717663"/>
        <s v="717664"/>
        <s v="717494"/>
        <s v="717498"/>
        <s v="717511"/>
        <s v="717667"/>
        <s v="717701"/>
        <s v="717718"/>
        <s v="717740"/>
        <s v="717778"/>
        <s v="717789"/>
        <s v="717706"/>
        <s v="717487"/>
        <s v="717513"/>
        <s v="717557"/>
        <s v="717481"/>
        <s v="717702"/>
        <s v="717703"/>
        <s v="717722"/>
        <s v="717748"/>
        <s v="717757"/>
        <s v="717769"/>
        <s v="717771"/>
        <s v="717772"/>
        <s v="717773"/>
        <s v="717779"/>
        <s v="717781"/>
        <s v="717784"/>
        <s v="717786"/>
        <s v="717561"/>
        <s v="717709"/>
        <s v="717691"/>
        <s v="717719"/>
        <s v="717798"/>
        <s v="717829"/>
        <s v="717835"/>
        <s v="717836"/>
        <s v="717837"/>
        <s v="717838"/>
        <s v="717802"/>
        <s v="718072"/>
        <s v="718079"/>
        <s v="718104"/>
        <s v="718114"/>
        <s v="718116"/>
        <s v="718128"/>
        <s v="718141"/>
        <s v="718148"/>
        <s v="718154"/>
        <s v="718099"/>
        <s v="718143"/>
        <s v="718134"/>
        <s v="718139"/>
        <s v="717801"/>
        <s v="717806"/>
        <s v="717825"/>
        <s v="718025"/>
        <s v="718075"/>
        <s v="717832"/>
        <s v="717833"/>
        <s v="718150"/>
        <s v="718077"/>
        <s v="718086"/>
        <s v="718090"/>
        <s v="718103"/>
        <s v="718105"/>
        <s v="718119"/>
        <s v="718129"/>
        <s v="718131"/>
        <s v="718132"/>
        <s v="718136"/>
        <s v="718138"/>
        <s v="718144"/>
        <s v="718146"/>
        <s v="718038"/>
        <s v="718084"/>
        <s v="718109"/>
        <s v="718110"/>
        <s v="718111"/>
        <s v="718112"/>
        <s v="718121"/>
        <s v="718122"/>
        <s v="718133"/>
        <s v="717812"/>
        <s v="717826"/>
        <s v="717827"/>
        <s v="717831"/>
        <s v="717834"/>
        <s v="717807"/>
        <s v="717823"/>
        <s v="717824"/>
        <s v="717828"/>
        <s v="718124"/>
        <s v="717803"/>
        <s v="718087"/>
        <s v="718069"/>
        <s v="718178"/>
        <s v="718182"/>
        <s v="718185"/>
        <s v="718166"/>
        <s v="718167"/>
        <s v="718168"/>
        <s v="718173"/>
        <s v="718174"/>
        <s v="718202"/>
        <s v="718169"/>
        <s v="718170"/>
        <s v="718180"/>
        <s v="718181"/>
        <s v="718184"/>
        <s v="718165"/>
        <s v="718171"/>
        <s v="718216"/>
        <s v="718217"/>
        <s v="718478"/>
        <s v="718513"/>
        <s v="718569"/>
        <s v="718577"/>
        <s v="718589"/>
        <s v="718520"/>
        <s v="718522"/>
        <s v="718600"/>
        <s v="718601"/>
        <s v="718603"/>
        <s v="718226"/>
        <s v="718602"/>
        <s v="718470"/>
        <s v="718594"/>
        <s v="718471"/>
        <s v="718501"/>
        <s v="718515"/>
        <s v="718526"/>
        <s v="718533"/>
        <s v="718541"/>
        <s v="718564"/>
        <s v="718572"/>
        <s v="718578"/>
        <s v="718579"/>
        <s v="718592"/>
        <s v="718597"/>
        <s v="718456"/>
        <s v="718484"/>
        <s v="718514"/>
        <s v="718518"/>
        <s v="718531"/>
        <s v="718567"/>
        <s v="718568"/>
        <s v="718590"/>
        <s v="718488"/>
        <s v="718532"/>
        <s v="718538"/>
        <s v="718539"/>
        <s v="718553"/>
        <s v="718573"/>
        <s v="718576"/>
        <s v="718580"/>
        <s v="718581"/>
        <s v="718583"/>
        <s v="718584"/>
        <s v="718586"/>
        <s v="718593"/>
        <s v="718464"/>
        <s v="718605"/>
        <s v="718560"/>
        <s v="718587"/>
        <s v="718588"/>
        <s v="718606"/>
        <s v="718595"/>
        <s v="718599"/>
        <s v="718604"/>
        <s v="718227"/>
        <s v="718482"/>
        <s v="718396"/>
        <s v="718504"/>
        <s v="718397"/>
        <s v="718516"/>
        <s v="718519"/>
        <s v="718523"/>
        <s v="718527"/>
        <s v="718529"/>
        <s v="718530"/>
        <s v="718534"/>
        <s v="718570"/>
        <s v="718608"/>
        <s v="718635"/>
        <s v="718637"/>
        <s v="718815"/>
        <s v="718846"/>
        <s v="718857"/>
        <s v="718858"/>
        <s v="718877"/>
        <s v="718879"/>
        <s v="718890"/>
        <s v="718893"/>
        <s v="718894"/>
        <s v="718896"/>
        <s v="718897"/>
        <s v="718915"/>
        <s v="718863"/>
        <s v="718895"/>
        <s v="718885"/>
        <s v="718613"/>
        <s v="718634"/>
        <s v="718632"/>
        <s v="718861"/>
        <s v="718886"/>
        <s v="718891"/>
        <s v="718908"/>
        <s v="718918"/>
        <s v="718919"/>
        <s v="718607"/>
        <s v="718611"/>
        <s v="718612"/>
        <s v="718633"/>
        <s v="718636"/>
        <s v="718638"/>
        <s v="718842"/>
        <s v="718843"/>
        <s v="718876"/>
        <s v="718881"/>
        <s v="718883"/>
        <s v="718914"/>
        <s v="718933"/>
        <s v="719109"/>
        <s v="719110"/>
        <s v="719111"/>
        <s v="719122"/>
        <s v="719123"/>
        <s v="719126"/>
        <s v="719131"/>
        <s v="719136"/>
        <s v="719155"/>
        <s v="719172"/>
        <s v="719180"/>
        <s v="8499000187"/>
        <s v="719020"/>
        <s v="719021"/>
        <s v="719022"/>
        <s v="719132"/>
        <s v="719143"/>
        <s v="719074"/>
        <s v="719137"/>
        <s v="719141"/>
        <s v="719142"/>
        <s v="719053"/>
        <s v="719072"/>
        <s v="719169"/>
        <s v="719185"/>
        <s v="719054"/>
        <s v="719107"/>
        <s v="719112"/>
        <s v="719118"/>
        <s v="719121"/>
        <s v="719134"/>
        <s v="719135"/>
        <s v="719139"/>
        <s v="719147"/>
        <s v="719153"/>
        <s v="719154"/>
        <s v="719170"/>
        <s v="719174"/>
        <s v="719183"/>
        <s v="719066"/>
        <s v="719067"/>
        <s v="719099"/>
        <s v="719125"/>
        <s v="719129"/>
        <s v="719140"/>
        <s v="719158"/>
        <s v="719159"/>
        <s v="719049"/>
        <s v="719059"/>
        <s v="719060"/>
        <s v="719114"/>
        <s v="719148"/>
        <s v="719177"/>
        <s v="718929"/>
        <s v="719056"/>
        <s v="718922"/>
        <s v="718924"/>
        <s v="718930"/>
        <s v="718931"/>
        <s v="718942"/>
        <s v="719023"/>
        <s v="719065"/>
        <s v="719085"/>
        <s v="718926"/>
        <s v="719182"/>
        <s v="719189"/>
        <s v="719198"/>
        <s v="719202"/>
        <s v="719207"/>
        <s v="719419"/>
        <s v="719463"/>
        <s v="719476"/>
        <s v="719481"/>
        <s v="719489"/>
        <s v="719497"/>
        <s v="719500"/>
        <s v="719485"/>
        <s v="719200"/>
        <s v="719423"/>
        <s v="719444"/>
        <s v="719448"/>
        <s v="719453"/>
        <s v="719506"/>
        <s v="719504"/>
        <s v="719512"/>
        <s v="719196"/>
        <s v="719203"/>
        <s v="719208"/>
        <s v="719430"/>
        <s v="719436"/>
        <s v="719460"/>
        <s v="719484"/>
        <s v="719486"/>
        <s v="719494"/>
        <s v="719190"/>
        <s v="719191"/>
        <s v="719498"/>
        <s v="719516"/>
        <s v="719517"/>
        <s v="719456"/>
        <s v="719499"/>
        <s v="719415"/>
        <s v="719431"/>
        <s v="719433"/>
        <s v="719441"/>
        <s v="719477"/>
        <s v="719495"/>
        <s v="719496"/>
        <s v="719514"/>
        <s v="719201"/>
        <s v="719206"/>
        <s v="719210"/>
        <s v="719518"/>
        <s v="719664"/>
        <s v="719665"/>
        <s v="719670"/>
        <s v="719681"/>
        <s v="719654"/>
        <s v="719655"/>
        <s v="719656"/>
        <s v="719522"/>
        <s v="719643"/>
        <s v="719666"/>
        <s v="719669"/>
        <s v="719631"/>
        <s v="719637"/>
        <s v="719659"/>
        <s v="719667"/>
        <s v="719663"/>
        <s v="719519"/>
        <s v="719521"/>
        <s v="719608"/>
        <s v="719653"/>
        <s v="719658"/>
        <s v="719661"/>
        <s v="719668"/>
        <s v="719673"/>
        <s v="719677"/>
        <s v="719678"/>
        <s v="719679"/>
        <s v="719680"/>
        <s v="719520"/>
        <s v="719647"/>
        <s v="719651"/>
        <s v="719671"/>
        <s v="719672"/>
        <s v="719684"/>
        <s v="719686"/>
        <s v="719696"/>
        <s v="719710"/>
        <s v="719712"/>
        <s v="719682"/>
        <s v="719687"/>
        <s v="719698"/>
        <s v="719707"/>
        <s v="719709"/>
        <s v="719683"/>
        <s v="719692"/>
        <s v="719714"/>
        <s v="719745"/>
        <s v="719750"/>
        <s v="719724"/>
        <s v="719726"/>
        <s v="719744"/>
        <s v="719735"/>
        <s v="719749"/>
        <s v="719751"/>
        <s v="719803"/>
        <s v="719813"/>
        <s v="719828"/>
        <s v="719809"/>
        <s v="719819"/>
        <s v="719820"/>
        <s v="719831"/>
        <s v="719838"/>
        <s v="719840"/>
        <s v="719849"/>
        <s v="719825"/>
        <s v="719787"/>
        <s v="719794"/>
        <s v="719796"/>
        <s v="719797"/>
        <s v="719798"/>
        <s v="719815"/>
        <s v="719805"/>
        <s v="719807"/>
        <s v="719822"/>
        <s v="719824"/>
        <s v="719832"/>
        <s v="719843"/>
        <s v="719834"/>
        <s v="719835"/>
        <s v="719836"/>
        <s v="719844"/>
        <s v="719845"/>
        <s v="719913"/>
        <s v="719925"/>
        <s v="719945"/>
        <s v="719948"/>
        <s v="719952"/>
        <s v="719915"/>
        <s v="719921"/>
        <s v="719932"/>
        <s v="719937"/>
        <s v="719939"/>
        <s v="719950"/>
        <s v="719914"/>
        <s v="719928"/>
        <s v="719934"/>
        <s v="719926"/>
        <s v="719946"/>
        <s v="719944"/>
        <s v="719955"/>
        <s v="719854"/>
        <s v="719919"/>
        <s v="719924"/>
        <s v="719938"/>
        <s v="719956"/>
        <s v="720058"/>
        <s v="720028"/>
        <s v="720034"/>
        <s v="720035"/>
        <s v="720036"/>
        <s v="720037"/>
        <s v="720006"/>
        <s v="720040"/>
        <s v="720012"/>
        <s v="719987"/>
        <s v="720004"/>
        <s v="720030"/>
        <s v="720052"/>
        <s v="720017"/>
        <s v="720044"/>
        <s v="720015"/>
        <s v="720049"/>
        <s v="720061"/>
        <s v="720020"/>
        <s v="720043"/>
        <s v="720057"/>
        <s v="720059"/>
        <s v="720056"/>
        <s v="719990"/>
        <s v="720008"/>
        <s v="720013"/>
        <s v="720031"/>
        <s v="720078"/>
        <s v="720109"/>
        <s v="720120"/>
        <s v="720063"/>
        <s v="720118"/>
        <s v="720132"/>
        <s v="720136"/>
        <s v="720137"/>
        <s v="720138"/>
        <s v="720141"/>
        <s v="720147"/>
        <s v="720077"/>
        <s v="720144"/>
        <s v="720149"/>
        <s v="720150"/>
        <s v="720127"/>
        <s v="720128"/>
        <s v="720145"/>
        <s v="720064"/>
        <s v="720066"/>
        <s v="720074"/>
        <s v="720075"/>
        <s v="720081"/>
        <s v="720129"/>
        <s v="720122"/>
        <s v="720158"/>
        <s v="720160"/>
        <s v="720180"/>
        <s v="720167"/>
        <s v="720174"/>
        <s v="720179"/>
        <s v="720190"/>
        <s v="720191"/>
        <s v="720172"/>
        <s v="720178"/>
        <s v="720175"/>
        <s v="720198"/>
        <s v="720202"/>
        <s v="720204"/>
        <s v="720199"/>
        <s v="720300"/>
        <s v="720302"/>
        <s v="720301"/>
        <s v="720448"/>
        <s v="720451"/>
        <s v="720776"/>
        <s v="720808"/>
        <s v="720809"/>
        <s v="720811"/>
        <s v="720815"/>
        <s v="720932"/>
        <s v="721196"/>
        <s v="721197"/>
        <s v="721482"/>
        <s v="721418"/>
        <s v="721481"/>
        <s v="721492"/>
        <s v="721691"/>
        <s v="721692"/>
        <s v="721975"/>
        <s v="722334"/>
        <s v="722801"/>
        <s v="723257"/>
        <s v="723258"/>
        <s v="60203302"/>
        <s v="723626"/>
        <s v="713400"/>
        <s v="713960"/>
        <s v="714758"/>
        <s v="716420"/>
        <s v="717404"/>
        <s v="717507"/>
        <s v="719795"/>
        <s v="720018"/>
        <s v="720062"/>
        <s v="720080"/>
        <s v="712869"/>
        <s v="713986"/>
        <s v="714817"/>
        <s v="716030"/>
        <s v="719070"/>
        <s v="719613"/>
        <s v="719695"/>
        <s v="720025"/>
        <s v="720010"/>
        <s v="710173"/>
      </sharedItems>
    </cacheField>
    <cacheField name="Name SB" numFmtId="0">
      <sharedItems count="58">
        <s v="Ryan Konecny"/>
        <s v="Jake Boersma"/>
        <s v="Jeff Karst"/>
        <s v="Brian Specht"/>
        <s v="Peter Maxwell"/>
        <s v="Ed Croissant"/>
        <s v="Mike Marker"/>
        <s v="Bill Wahlert"/>
        <s v="Roger Stutzman"/>
        <s v="Peter Kukowski"/>
        <s v="Mike Leen"/>
        <s v="Jeff Bieber"/>
        <s v="Dale Icopini"/>
        <s v="Dave Reisig"/>
        <s v="Dan Madden"/>
        <s v="Steve Martineau"/>
        <s v="Doug Manning"/>
        <s v="Bill Garrard"/>
        <s v="Robb Giesbrecht"/>
        <s v="Mike Wheeler"/>
        <s v="Timm Adams"/>
        <s v="Mike Hjelvik"/>
        <s v="Mark Spaur"/>
        <s v="Dan Melcher"/>
        <s v="Blach Bros"/>
        <s v="M &amp; M Farms"/>
        <s v="Aaron Worley"/>
        <s v="Kent Mauser"/>
        <s v="Dave Svobodny"/>
        <s v="Rick Gerstenberger"/>
        <s v="Auburn Fertilizer"/>
        <s v="Jordan Sagert"/>
        <s v="Cody Lehman"/>
        <s v="Scott Edgar"/>
        <s v="Matt Mills"/>
        <s v="Joe Freiburger"/>
        <s v="Dan Ness"/>
        <s v="Ken Nesvig"/>
        <s v="Lance Woinarowicz"/>
        <s v="Steve Williams"/>
        <s v="Wilbur - Elis Company"/>
        <s v="Troy Wyland"/>
        <s v="Jim Roggenbuck"/>
        <s v="Pat Gruehn"/>
        <s v="Dave Bergh"/>
        <s v="Bryan Bauer"/>
        <s v="Jim Chapman"/>
        <s v="Alan Johnson"/>
        <s v="Terry Cayko"/>
        <s v="Eric Blaine"/>
        <s v="Vaughn Casdorph"/>
        <s v="Tom Lorenz"/>
        <s v="Bill Ferguson"/>
        <s v="Royce Otte"/>
        <s v="Phil Bublitz"/>
        <s v="Todd Stoneman"/>
        <s v="Rob McKerrall"/>
        <s v="Todd Schweitzer"/>
      </sharedItems>
    </cacheField>
    <cacheField name="Sales Document Type" numFmtId="0">
      <sharedItems/>
    </cacheField>
    <cacheField name="Partner AG" numFmtId="0">
      <sharedItems count="3330">
        <s v="1504841"/>
        <s v="1503036"/>
        <s v="1502403"/>
        <s v="1503689"/>
        <s v="1504569"/>
        <s v="1504673"/>
        <s v="1502402"/>
        <s v="1500517"/>
        <s v="1502537"/>
        <s v="1502602"/>
        <s v="1504886"/>
        <s v="1500461"/>
        <s v="1504009"/>
        <s v="1503587"/>
        <s v="1502853"/>
        <s v="1502491"/>
        <s v="1504340"/>
        <s v="1502725"/>
        <s v="1503851"/>
        <s v="1503877"/>
        <s v="1503876"/>
        <s v="1503365"/>
        <s v="1502496"/>
        <s v="1502502"/>
        <s v="1503409"/>
        <s v="1504488"/>
        <s v="1502490"/>
        <s v="1502517"/>
        <s v="1500640"/>
        <s v="1500577"/>
        <s v="1504094"/>
        <s v="1504323"/>
        <s v="1500550"/>
        <s v="1502422"/>
        <s v="1503940"/>
        <s v="1502761"/>
        <s v="1504379"/>
        <s v="1502580"/>
        <s v="1502727"/>
        <s v="1503368"/>
        <s v="1500864"/>
        <s v="1500534"/>
        <s v="1503996"/>
        <s v="1504432"/>
        <s v="1502822"/>
        <s v="1503020"/>
        <s v="1500608"/>
        <s v="1502482"/>
        <s v="1504672"/>
        <s v="1502472"/>
        <s v="1502751"/>
        <s v="1503844"/>
        <s v="1502788"/>
        <s v="1504777"/>
        <s v="1503370"/>
        <s v="1503362"/>
        <s v="1500601"/>
        <s v="1500775"/>
        <s v="1503070"/>
        <s v="1503386"/>
        <s v="1500603"/>
        <s v="1504699"/>
        <s v="1503560"/>
        <s v="1502776"/>
        <s v="1502649"/>
        <s v="1503865"/>
        <s v="1504005"/>
        <s v="1503076"/>
        <s v="1504774"/>
        <s v="1503589"/>
        <s v="1502630"/>
        <s v="1502629"/>
        <s v="1502836"/>
        <s v="1504535"/>
        <s v="1504365"/>
        <s v="1504209"/>
        <s v="1503004"/>
        <s v="1504017"/>
        <s v="1504025"/>
        <s v="1504453"/>
        <s v="1504468"/>
        <s v="1503991"/>
        <s v="1503615"/>
        <s v="1503910"/>
        <s v="1504772"/>
        <s v="1502767"/>
        <s v="1503131"/>
        <s v="1500704"/>
        <s v="1504037"/>
        <s v="1504016"/>
        <s v="1502726"/>
        <s v="1503542"/>
        <s v="1504063"/>
        <s v="1504891"/>
        <s v="1502779"/>
        <s v="1502637"/>
        <s v="1504892"/>
        <s v="1504433"/>
        <s v="1503759"/>
        <s v="1504434"/>
        <s v="1500611"/>
        <s v="1500639"/>
        <s v="1500540"/>
        <s v="1503533"/>
        <s v="1503107"/>
        <s v="1504095"/>
        <s v="1503557"/>
        <s v="1503375"/>
        <s v="1504059"/>
        <s v="1504004"/>
        <s v="1504572"/>
        <s v="1502844"/>
        <s v="1502784"/>
        <s v="1504064"/>
        <s v="1502865"/>
        <s v="1502698"/>
        <s v="1503583"/>
        <s v="1502644"/>
        <s v="1500553"/>
        <s v="1504710"/>
        <s v="1503075"/>
        <s v="1504447"/>
        <s v="1504780"/>
        <s v="1502655"/>
        <s v="1502869"/>
        <s v="1502686"/>
        <s v="1502486"/>
        <s v="1504490"/>
        <s v="1503066"/>
        <s v="1504057"/>
        <s v="1502904"/>
        <s v="1504584"/>
        <s v="1503751"/>
        <s v="1503653"/>
        <s v="1502871"/>
        <s v="1503618"/>
        <s v="1503967"/>
        <s v="1504797"/>
        <s v="1504646"/>
        <s v="1503088"/>
        <s v="1502487"/>
        <s v="1503624"/>
        <s v="1502885"/>
        <s v="1503602"/>
        <s v="1503590"/>
        <s v="1502901"/>
        <s v="1503369"/>
        <s v="1502626"/>
        <s v="1504779"/>
        <s v="1503554"/>
        <s v="1504614"/>
        <s v="1500904"/>
        <s v="1503021"/>
        <s v="1500546"/>
        <s v="1503132"/>
        <s v="1504339"/>
        <s v="1500765"/>
        <s v="1503357"/>
        <s v="1502714"/>
        <s v="1502892"/>
        <s v="1504612"/>
        <s v="1503530"/>
        <s v="1500373"/>
        <s v="1503367"/>
        <s v="1502906"/>
        <s v="1502647"/>
        <s v="1502414"/>
        <s v="1502756"/>
        <s v="1503873"/>
        <s v="1504053"/>
        <s v="1502832"/>
        <s v="1503872"/>
        <s v="1503636"/>
        <s v="1503582"/>
        <s v="1503597"/>
        <s v="1504895"/>
        <s v="1502992"/>
        <s v="1502433"/>
        <s v="1502759"/>
        <s v="1500631"/>
        <s v="1503657"/>
        <s v="1503008"/>
        <s v="1502933"/>
        <s v="1503408"/>
        <s v="1504062"/>
        <s v="1500452"/>
        <s v="1504099"/>
        <s v="1502652"/>
        <s v="1502653"/>
        <s v="1504054"/>
        <s v="1502511"/>
        <s v="1503870"/>
        <s v="1502824"/>
        <s v="1502719"/>
        <s v="1503992"/>
        <s v="1504012"/>
        <s v="1504311"/>
        <s v="1504512"/>
        <s v="1504096"/>
        <s v="1504798"/>
        <s v="1502920"/>
        <s v="1503552"/>
        <s v="1503072"/>
        <s v="1504700"/>
        <s v="1502588"/>
        <s v="1504021"/>
        <s v="1503104"/>
        <s v="1503559"/>
        <s v="1500800"/>
        <s v="1504722"/>
        <s v="1503760"/>
        <s v="1503974"/>
        <s v="1500478"/>
        <s v="1502772"/>
        <s v="1503665"/>
        <s v="1503634"/>
        <s v="1502420"/>
        <s v="1503627"/>
        <s v="1504599"/>
        <s v="1504086"/>
        <s v="1504657"/>
        <s v="1502448"/>
        <s v="1502894"/>
        <s v="1503626"/>
        <s v="1504476"/>
        <s v="1503111"/>
        <s v="1502688"/>
        <s v="1504170"/>
        <s v="1503045"/>
        <s v="1504505"/>
        <s v="1504013"/>
        <s v="1502428"/>
        <s v="1500750"/>
        <s v="1504355"/>
        <s v="1504643"/>
        <s v="1502922"/>
        <s v="1504014"/>
        <s v="1504896"/>
        <s v="1504574"/>
        <s v="1502503"/>
        <s v="1500520"/>
        <s v="1502689"/>
        <s v="1500774"/>
        <s v="1503691"/>
        <s v="1504688"/>
        <s v="1502665"/>
        <s v="1503585"/>
        <s v="1504107"/>
        <s v="1504015"/>
        <s v="1504897"/>
        <s v="1502615"/>
        <s v="1502639"/>
        <s v="1504185"/>
        <s v="1504898"/>
        <s v="1504357"/>
        <s v="1503555"/>
        <s v="1502506"/>
        <s v="1500813"/>
        <s v="1503902"/>
        <s v="1503123"/>
        <s v="1502662"/>
        <s v="1501122"/>
        <s v="1504603"/>
        <s v="1500699"/>
        <s v="1504705"/>
        <s v="1500538"/>
        <s v="1500684"/>
        <s v="1500830"/>
        <s v="1504458"/>
        <s v="1504327"/>
        <s v="1500804"/>
        <s v="1503994"/>
        <s v="1503584"/>
        <s v="1503676"/>
        <s v="1500544"/>
        <s v="1503825"/>
        <s v="1504786"/>
        <s v="1502049"/>
        <s v="1500870"/>
        <s v="1502816"/>
        <s v="1502921"/>
        <s v="1504442"/>
        <s v="1504102"/>
        <s v="1504775"/>
        <s v="1504534"/>
        <s v="1500374"/>
        <s v="1503387"/>
        <s v="1502684"/>
        <s v="1504550"/>
        <s v="1502628"/>
        <s v="1502574"/>
        <s v="1503073"/>
        <s v="1503117"/>
        <s v="1502866"/>
        <s v="1504000"/>
        <s v="1504001"/>
        <s v="1503581"/>
        <s v="1504160"/>
        <s v="1502801"/>
        <s v="1502423"/>
        <s v="1502729"/>
        <s v="1502771"/>
        <s v="1502755"/>
        <s v="1503938"/>
        <s v="1504577"/>
        <s v="1504027"/>
        <s v="1504156"/>
        <s v="1504334"/>
        <s v="1503106"/>
        <s v="1503841"/>
        <s v="1504899"/>
        <s v="1504681"/>
        <s v="1503640"/>
        <s v="1500528"/>
        <s v="1504061"/>
        <s v="1504589"/>
        <s v="1502661"/>
        <s v="1503660"/>
        <s v="1503355"/>
        <s v="1502609"/>
        <s v="1504693"/>
        <s v="1500901"/>
        <s v="1503126"/>
        <s v="1503977"/>
        <s v="1504452"/>
        <s v="1503399"/>
        <s v="1500604"/>
        <s v="1500504"/>
        <s v="1504900"/>
        <s v="1504789"/>
        <s v="1503607"/>
        <s v="1503953"/>
        <s v="1504441"/>
        <s v="1502477"/>
        <s v="1504901"/>
        <s v="1502625"/>
        <s v="1504066"/>
        <s v="1504207"/>
        <s v="1504626"/>
        <s v="1502849"/>
        <s v="1502570"/>
        <s v="1503380"/>
        <s v="1502632"/>
        <s v="1503795"/>
        <s v="1502638"/>
        <s v="1503048"/>
        <s v="1500451"/>
        <s v="1500727"/>
        <s v="1504533"/>
        <s v="1502973"/>
        <s v="1503405"/>
        <s v="1503586"/>
        <s v="1500755"/>
        <s v="1502474"/>
        <s v="1502550"/>
        <s v="1502429"/>
        <s v="1503093"/>
        <s v="1503134"/>
        <s v="1502691"/>
        <s v="1502485"/>
        <s v="1504720"/>
        <s v="1500809"/>
        <s v="1503604"/>
        <s v="1504749"/>
        <s v="1502607"/>
        <s v="1500836"/>
        <s v="1504122"/>
        <s v="1503666"/>
        <s v="1504687"/>
        <s v="1503089"/>
        <s v="1502636"/>
        <s v="1503629"/>
        <s v="1503404"/>
        <s v="1503401"/>
        <s v="1502987"/>
        <s v="1502991"/>
        <s v="1502988"/>
        <s v="1503600"/>
        <s v="1504788"/>
        <s v="1502808"/>
        <s v="1503393"/>
        <s v="1500896"/>
        <s v="1500560"/>
        <s v="1504849"/>
        <s v="1503588"/>
        <s v="1502743"/>
        <s v="1504902"/>
        <s v="1504903"/>
        <s v="1504171"/>
        <s v="1504893"/>
        <s v="1504398"/>
        <s v="1504905"/>
        <s v="1502834"/>
        <s v="1504129"/>
        <s v="1502733"/>
        <s v="1502406"/>
        <s v="1502794"/>
        <s v="1504737"/>
        <s v="1504796"/>
        <s v="1500895"/>
        <s v="1503465"/>
        <s v="1504035"/>
        <s v="1503780"/>
        <s v="1502815"/>
        <s v="1500368"/>
        <s v="1503546"/>
        <s v="1502939"/>
        <s v="1504168"/>
        <s v="1500480"/>
        <s v="1504773"/>
        <s v="1503663"/>
        <s v="1503789"/>
        <s v="1500888"/>
        <s v="1502777"/>
        <s v="1502479"/>
        <s v="1502483"/>
        <s v="1504114"/>
        <s v="1502882"/>
        <s v="1504542"/>
        <s v="1503133"/>
        <s v="1504321"/>
        <s v="1500564"/>
        <s v="1503945"/>
        <s v="1503531"/>
        <s v="1500633"/>
        <s v="1504008"/>
        <s v="1504465"/>
        <s v="1504364"/>
        <s v="1503903"/>
        <s v="1503729"/>
        <s v="1504363"/>
        <s v="1502893"/>
        <s v="1503444"/>
        <s v="1500675"/>
        <s v="1504038"/>
        <s v="1503983"/>
        <s v="1500701"/>
        <s v="1502810"/>
        <s v="1503091"/>
        <s v="1503598"/>
        <s v="1502671"/>
        <s v="1504203"/>
        <s v="1504538"/>
        <s v="1502805"/>
        <s v="1500479"/>
        <s v="1502738"/>
        <s v="1504437"/>
        <s v="1503868"/>
        <s v="1503987"/>
        <s v="1504852"/>
        <s v="1502983"/>
        <s v="1502982"/>
        <s v="1504906"/>
        <s v="1500887"/>
        <s v="1504907"/>
        <s v="1503463"/>
        <s v="1504730"/>
        <s v="1503545"/>
        <s v="1500749"/>
        <s v="1504671"/>
        <s v="1502940"/>
        <s v="1504781"/>
        <s v="1504530"/>
        <s v="1500717"/>
        <s v="1502475"/>
        <s v="1502494"/>
        <s v="1503062"/>
        <s v="1503840"/>
        <s v="1502551"/>
        <s v="1502598"/>
        <s v="1502444"/>
        <s v="1503704"/>
        <s v="1504135"/>
        <s v="1503641"/>
        <s v="1503528"/>
        <s v="1504431"/>
        <s v="1504026"/>
        <s v="1504571"/>
        <s v="1500530"/>
        <s v="1503986"/>
        <s v="1504791"/>
        <s v="1502697"/>
        <s v="1502667"/>
        <s v="1503814"/>
        <s v="1504358"/>
        <s v="1502926"/>
        <s v="1503933"/>
        <s v="1503718"/>
        <s v="1503928"/>
        <s v="1504909"/>
        <s v="1504785"/>
        <s v="1503837"/>
        <s v="1502427"/>
        <s v="1502419"/>
        <s v="1503806"/>
        <s v="1502417"/>
        <s v="1504611"/>
        <s v="1503378"/>
        <s v="1502640"/>
        <s v="1504760"/>
        <s v="1503374"/>
        <s v="1502445"/>
        <s v="1503398"/>
        <s v="1504485"/>
        <s v="1503622"/>
        <s v="1502501"/>
        <s v="1502489"/>
        <s v="1503914"/>
        <s v="1503382"/>
        <s v="1503937"/>
        <s v="1503720"/>
        <s v="1503815"/>
        <s v="1503080"/>
        <s v="1503811"/>
        <s v="1502408"/>
        <s v="1503620"/>
        <s v="1502770"/>
        <s v="1503366"/>
        <s v="1502909"/>
        <s v="1504696"/>
        <s v="1503129"/>
        <s v="1503956"/>
        <s v="1503376"/>
        <s v="1504417"/>
        <s v="1503551"/>
        <s v="1503997"/>
        <s v="1504427"/>
        <s v="1504808"/>
        <s v="1504910"/>
        <s v="1500521"/>
        <s v="1504496"/>
        <s v="1502497"/>
        <s v="1502492"/>
        <s v="1504502"/>
        <s v="1504174"/>
        <s v="1502493"/>
        <s v="1502513"/>
        <s v="1500526"/>
        <s v="1502669"/>
        <s v="1503334"/>
        <s v="1502579"/>
        <s v="1502928"/>
        <s v="1504126"/>
        <s v="1503521"/>
        <s v="1504056"/>
        <s v="1504328"/>
        <s v="1503738"/>
        <s v="1503122"/>
        <s v="1502858"/>
        <s v="1503594"/>
        <s v="1503518"/>
        <s v="1502984"/>
        <s v="1503482"/>
        <s v="1502731"/>
        <s v="1502413"/>
        <s v="1503063"/>
        <s v="1500869"/>
        <s v="1503763"/>
        <s v="1502548"/>
        <s v="1503426"/>
        <s v="1503886"/>
        <s v="1504723"/>
        <s v="1504466"/>
        <s v="1500868"/>
        <s v="1504598"/>
        <s v="1503238"/>
        <s v="1504181"/>
        <s v="1503483"/>
        <s v="1503007"/>
        <s v="1502826"/>
        <s v="1502556"/>
        <s v="1503486"/>
        <s v="1503484"/>
        <s v="1504913"/>
        <s v="1504911"/>
        <s v="1503952"/>
        <s v="1500846"/>
        <s v="1504141"/>
        <s v="1503671"/>
        <s v="1504354"/>
        <s v="1504597"/>
        <s v="1502798"/>
        <s v="1504310"/>
        <s v="1504676"/>
        <s v="1502809"/>
        <s v="1502605"/>
        <s v="1504461"/>
        <s v="1503766"/>
        <s v="1503501"/>
        <s v="1500889"/>
        <s v="1500698"/>
        <s v="1503548"/>
        <s v="1502441"/>
        <s v="1504436"/>
        <s v="1504455"/>
        <s v="1504914"/>
        <s v="1504010"/>
        <s v="1504846"/>
        <s v="1504175"/>
        <s v="1503673"/>
        <s v="1502538"/>
        <s v="1504826"/>
        <s v="1503532"/>
        <s v="1502564"/>
        <s v="1504169"/>
        <s v="1502919"/>
        <s v="1503473"/>
        <s v="1503635"/>
        <s v="1504715"/>
        <s v="1504529"/>
        <s v="1504307"/>
        <s v="1503412"/>
        <s v="1503931"/>
        <s v="1503947"/>
        <s v="1500890"/>
        <s v="1504801"/>
        <s v="1500542"/>
        <s v="1503770"/>
        <s v="1504518"/>
        <s v="1504463"/>
        <s v="1502454"/>
        <s v="1502812"/>
        <s v="1504370"/>
        <s v="1504313"/>
        <s v="1500341"/>
        <s v="1504136"/>
        <s v="1504413"/>
        <s v="1500891"/>
        <s v="1503836"/>
        <s v="1504385"/>
        <s v="1504493"/>
        <s v="1503039"/>
        <s v="1503682"/>
        <s v="1500575"/>
        <s v="1502624"/>
        <s v="1504697"/>
        <s v="1503415"/>
        <s v="1504592"/>
        <s v="1504596"/>
        <s v="1503455"/>
        <s v="1500810"/>
        <s v="1500511"/>
        <s v="1503708"/>
        <s v="1503628"/>
        <s v="1504481"/>
        <s v="1503935"/>
        <s v="1504309"/>
        <s v="1503028"/>
        <s v="1504915"/>
        <s v="1503346"/>
        <s v="1504187"/>
        <s v="1502981"/>
        <s v="1502507"/>
        <s v="1500746"/>
        <s v="1504921"/>
        <s v="1503014"/>
        <s v="1502676"/>
        <s v="1503448"/>
        <s v="1504350"/>
        <s v="1503794"/>
        <s v="1502650"/>
        <s v="1500492"/>
        <s v="1502435"/>
        <s v="1500578"/>
        <s v="1502829"/>
        <s v="1503090"/>
        <s v="1504497"/>
        <s v="1502757"/>
        <s v="1504194"/>
        <s v="1504132"/>
        <s v="1502614"/>
        <s v="1504188"/>
        <s v="1504159"/>
        <s v="1503027"/>
        <s v="1503792"/>
        <s v="1503085"/>
        <s v="1502411"/>
        <s v="1503757"/>
        <s v="1504484"/>
        <s v="1503397"/>
        <s v="1503655"/>
        <s v="1500576"/>
        <s v="1504727"/>
        <s v="1504177"/>
        <s v="1503024"/>
        <s v="1504134"/>
        <s v="1504920"/>
        <s v="1503793"/>
        <s v="1503556"/>
        <s v="1502604"/>
        <s v="1502880"/>
        <s v="1503429"/>
        <s v="1502612"/>
        <s v="1503383"/>
        <s v="1503342"/>
        <s v="1502656"/>
        <s v="1504528"/>
        <s v="1503918"/>
        <s v="1500674"/>
        <s v="1503124"/>
        <s v="1504729"/>
        <s v="1504548"/>
        <s v="1504650"/>
        <s v="1503109"/>
        <s v="1503637"/>
        <s v="1500880"/>
        <s v="1502840"/>
        <s v="1504133"/>
        <s v="1504486"/>
        <s v="1504312"/>
        <s v="1502577"/>
        <s v="1504392"/>
        <s v="1500792"/>
        <s v="1504069"/>
        <s v="1504556"/>
        <s v="1504873"/>
        <s v="1503779"/>
        <s v="1503724"/>
        <s v="1504444"/>
        <s v="1503446"/>
        <s v="1504492"/>
        <s v="1504351"/>
        <s v="1503828"/>
        <s v="1504483"/>
        <s v="1500778"/>
        <s v="1504106"/>
        <s v="1504795"/>
        <s v="1504202"/>
        <s v="1504686"/>
        <s v="1500758"/>
        <s v="1503661"/>
        <s v="1504308"/>
        <s v="1504552"/>
        <s v="1504372"/>
        <s v="1500651"/>
        <s v="1504923"/>
        <s v="1504871"/>
        <s v="1504652"/>
        <s v="1503730"/>
        <s v="1504387"/>
        <s v="1503549"/>
        <s v="1504581"/>
        <s v="1504864"/>
        <s v="1504567"/>
        <s v="1503050"/>
        <s v="1503400"/>
        <s v="1503507"/>
        <s v="1504925"/>
        <s v="1503464"/>
        <s v="1504558"/>
        <s v="1504489"/>
        <s v="1500558"/>
        <s v="1503427"/>
        <s v="1500882"/>
        <s v="1503064"/>
        <s v="1504651"/>
        <s v="1503725"/>
        <s v="1502683"/>
        <s v="1504103"/>
        <s v="1503717"/>
        <s v="1503384"/>
        <s v="1503423"/>
        <s v="1503450"/>
        <s v="1504165"/>
        <s v="1504100"/>
        <s v="1503878"/>
        <s v="1504819"/>
        <s v="1504847"/>
        <s v="1502811"/>
        <s v="1502393"/>
        <s v="1500872"/>
        <s v="1504926"/>
        <s v="1503457"/>
        <s v="1504848"/>
        <s v="1504164"/>
        <s v="1500845"/>
        <s v="1504098"/>
        <s v="1504677"/>
        <s v="1504551"/>
        <s v="1500483"/>
        <s v="1500574"/>
        <s v="1504867"/>
        <s v="1504104"/>
        <s v="1504473"/>
        <s v="1502916"/>
        <s v="1500367"/>
        <s v="1504386"/>
        <s v="1504537"/>
        <s v="1503419"/>
        <s v="1504110"/>
        <s v="1502845"/>
        <s v="1503341"/>
        <s v="1502450"/>
        <s v="1504148"/>
        <s v="1503644"/>
        <s v="1502750"/>
        <s v="1504827"/>
        <s v="1502407"/>
        <s v="1504803"/>
        <s v="1500879"/>
        <s v="1503623"/>
        <s v="1504091"/>
        <s v="1502927"/>
        <s v="1504738"/>
        <s v="1502875"/>
        <s v="1504575"/>
        <s v="1504840"/>
        <s v="1504837"/>
        <s v="1503497"/>
        <s v="1503449"/>
        <s v="1502500"/>
        <s v="1500548"/>
        <s v="1500759"/>
        <s v="1504147"/>
        <s v="1503782"/>
        <s v="1504929"/>
        <s v="1503454"/>
        <s v="1504426"/>
        <s v="1502543"/>
        <s v="1502819"/>
        <s v="1504928"/>
        <s v="1502567"/>
        <s v="1504367"/>
        <s v="1503894"/>
        <s v="1503726"/>
        <s v="1504454"/>
        <s v="1503890"/>
        <s v="1504149"/>
        <s v="1503715"/>
        <s v="1504519"/>
        <s v="1504655"/>
        <s v="1503236"/>
        <s v="1504366"/>
        <s v="1503647"/>
        <s v="1504347"/>
        <s v="1503351"/>
        <s v="1503468"/>
        <s v="1504320"/>
        <s v="1503791"/>
        <s v="1504766"/>
        <s v="1504559"/>
        <s v="1502780"/>
        <s v="1502635"/>
        <s v="1503703"/>
        <s v="1504326"/>
        <s v="1503439"/>
        <s v="1504378"/>
        <s v="1504759"/>
        <s v="1503905"/>
        <s v="1504469"/>
        <s v="1504395"/>
        <s v="1503631"/>
        <s v="1504342"/>
        <s v="1503798"/>
        <s v="1504555"/>
        <s v="1504318"/>
        <s v="1503669"/>
        <s v="1502841"/>
        <s v="1503452"/>
        <s v="1504521"/>
        <s v="1504172"/>
        <s v="1504393"/>
        <s v="1502704"/>
        <s v="1502571"/>
        <s v="1504725"/>
        <s v="1504736"/>
        <s v="1503447"/>
        <s v="1504664"/>
        <s v="1503030"/>
        <s v="1502654"/>
        <s v="1504930"/>
        <s v="1500489"/>
        <s v="1502431"/>
        <s v="1502424"/>
        <s v="1502546"/>
        <s v="1504042"/>
        <s v="1503685"/>
        <s v="1504782"/>
        <s v="1504617"/>
        <s v="1504661"/>
        <s v="1502937"/>
        <s v="1503060"/>
        <s v="1503428"/>
        <s v="1504371"/>
        <s v="1503333"/>
        <s v="1500545"/>
        <s v="1504176"/>
        <s v="1502730"/>
        <s v="1502412"/>
        <s v="1504685"/>
        <s v="1503010"/>
        <s v="1500618"/>
        <s v="1502510"/>
        <s v="1502508"/>
        <s v="1504568"/>
        <s v="1502703"/>
        <s v="1504670"/>
        <s v="1502560"/>
        <s v="1504931"/>
        <s v="1504536"/>
        <s v="1504511"/>
        <s v="1503041"/>
        <s v="1504712"/>
        <s v="1504180"/>
        <s v="1504843"/>
        <s v="1500874"/>
        <s v="1503716"/>
        <s v="1504662"/>
        <s v="1502438"/>
        <s v="1502792"/>
        <s v="1504549"/>
        <s v="1504524"/>
        <s v="1504541"/>
        <s v="1503912"/>
        <s v="1503377"/>
        <s v="1502931"/>
        <s v="1503047"/>
        <s v="1503068"/>
        <s v="1502874"/>
        <s v="1503742"/>
        <s v="1504739"/>
        <s v="1504804"/>
        <s v="1504714"/>
        <s v="1504143"/>
        <s v="1504805"/>
        <s v="1504726"/>
        <s v="1504933"/>
        <s v="1504593"/>
        <s v="1504515"/>
        <s v="1503746"/>
        <s v="1503101"/>
        <s v="1502838"/>
        <s v="1502619"/>
        <s v="1503639"/>
        <s v="1504383"/>
        <s v="1503086"/>
        <s v="1500785"/>
        <s v="1500898"/>
        <s v="1504580"/>
        <s v="1503662"/>
        <s v="1504814"/>
        <s v="1504036"/>
        <s v="1504783"/>
        <s v="1502583"/>
        <s v="1502603"/>
        <s v="1504934"/>
        <s v="1504117"/>
        <s v="1504932"/>
        <s v="1500649"/>
        <s v="1503026"/>
        <s v="1504807"/>
        <s v="1504660"/>
        <s v="1504756"/>
        <s v="1500376"/>
        <s v="1503558"/>
        <s v="1503892"/>
        <s v="1504609"/>
        <s v="1503071"/>
        <s v="1503019"/>
        <s v="1502584"/>
        <s v="1502804"/>
        <s v="1504190"/>
        <s v="1504647"/>
        <s v="1503421"/>
        <s v="1502855"/>
        <s v="1502817"/>
        <s v="1500857"/>
        <s v="1504200"/>
        <s v="1503438"/>
        <s v="1502642"/>
        <s v="1504459"/>
        <s v="1504733"/>
        <s v="1504828"/>
        <s v="1503659"/>
        <s v="1503739"/>
        <s v="1504565"/>
        <s v="1500628"/>
        <s v="1504394"/>
        <s v="1503800"/>
        <s v="1502401"/>
        <s v="1502608"/>
        <s v="1500782"/>
        <s v="1500876"/>
        <s v="1503926"/>
        <s v="1503565"/>
        <s v="1504704"/>
        <s v="1503693"/>
        <s v="1504060"/>
        <s v="1502623"/>
        <s v="1503476"/>
        <s v="1504173"/>
        <s v="1504622"/>
        <s v="1504621"/>
        <s v="1504620"/>
        <s v="1502748"/>
        <s v="1503081"/>
        <s v="1502747"/>
        <s v="1502409"/>
        <s v="1503999"/>
        <s v="1502620"/>
        <s v="1502895"/>
        <s v="1503686"/>
        <s v="1504097"/>
        <s v="1504802"/>
        <s v="1504806"/>
        <s v="1504494"/>
        <s v="1504130"/>
        <s v="1503688"/>
        <s v="1503044"/>
        <s v="1504047"/>
        <s v="1504578"/>
        <s v="1503690"/>
        <s v="1503701"/>
        <s v="1502621"/>
        <s v="1503572"/>
        <s v="1503425"/>
        <s v="1504935"/>
        <s v="1503470"/>
        <s v="1504157"/>
        <s v="1504319"/>
        <s v="1500768"/>
        <s v="1500362"/>
        <s v="1504184"/>
        <s v="1503916"/>
        <s v="1504073"/>
        <s v="1503466"/>
        <s v="1504703"/>
        <s v="1503524"/>
        <s v="1500385"/>
        <s v="1504397"/>
        <s v="1504356"/>
        <s v="1503664"/>
        <s v="1504717"/>
        <s v="1503897"/>
        <s v="1500897"/>
        <s v="1503920"/>
        <s v="1503787"/>
        <s v="1500784"/>
        <s v="1504467"/>
        <s v="1503462"/>
        <s v="1502890"/>
        <s v="1504666"/>
        <s v="1504936"/>
        <s v="1502793"/>
        <s v="1504302"/>
        <s v="1502552"/>
        <s v="1500561"/>
        <s v="1503705"/>
        <s v="1504654"/>
        <s v="1504402"/>
        <s v="1504201"/>
        <s v="1503431"/>
        <s v="1503456"/>
        <s v="1503698"/>
        <s v="1504641"/>
        <s v="1503699"/>
        <s v="1500366"/>
        <s v="1503711"/>
        <s v="1503016"/>
        <s v="1504506"/>
        <s v="1503074"/>
        <s v="1504587"/>
        <s v="1504375"/>
        <s v="1504401"/>
        <s v="1500790"/>
        <s v="1500787"/>
        <s v="1504874"/>
        <s v="1502979"/>
        <s v="1504346"/>
        <s v="1500902"/>
        <s v="1504842"/>
        <s v="1504429"/>
        <s v="1503135"/>
        <s v="1504743"/>
        <s v="1503459"/>
        <s v="1502069"/>
        <s v="1503467"/>
        <s v="1500685"/>
        <s v="1504456"/>
        <s v="1504451"/>
        <s v="1504937"/>
        <s v="1500616"/>
        <s v="1504588"/>
        <s v="1504523"/>
        <s v="1503037"/>
        <s v="1503727"/>
        <s v="1504072"/>
        <s v="1500878"/>
        <s v="1504753"/>
        <s v="1504694"/>
        <s v="1504868"/>
        <s v="1504127"/>
        <s v="1503752"/>
        <s v="1500615"/>
        <s v="1503474"/>
        <s v="1504123"/>
        <s v="1504345"/>
        <s v="1500720"/>
        <s v="1502854"/>
        <s v="1503002"/>
        <s v="1504040"/>
        <s v="1503709"/>
        <s v="1504503"/>
        <s v="1504634"/>
        <s v="1504197"/>
        <s v="1504055"/>
        <s v="1500808"/>
        <s v="1504695"/>
        <s v="1504938"/>
        <s v="1502941"/>
        <s v="1504675"/>
        <s v="1502675"/>
        <s v="1503771"/>
        <s v="1504595"/>
        <s v="1500777"/>
        <s v="1503917"/>
        <s v="1503754"/>
        <s v="1502701"/>
        <s v="1500581"/>
        <s v="1504767"/>
        <s v="1504162"/>
        <s v="1503679"/>
        <s v="1500557"/>
        <s v="1504547"/>
        <s v="1504369"/>
        <s v="1504747"/>
        <s v="1504368"/>
        <s v="1503678"/>
        <s v="1503687"/>
        <s v="1503006"/>
        <s v="1500788"/>
        <s v="1504637"/>
        <s v="1504315"/>
        <s v="1500551"/>
        <s v="1504638"/>
        <s v="1502047"/>
        <s v="1504414"/>
        <s v="1504939"/>
        <s v="1504668"/>
        <s v="1503443"/>
        <s v="1500839"/>
        <s v="1504390"/>
        <s v="1503033"/>
        <s v="1503031"/>
        <s v="1502048"/>
        <s v="1504645"/>
        <s v="1504745"/>
        <s v="1503023"/>
        <s v="1504839"/>
        <s v="1504741"/>
        <s v="1503498"/>
        <s v="1503442"/>
        <s v="1504740"/>
        <s v="1500738"/>
        <s v="1500884"/>
        <s v="1502664"/>
        <s v="1502791"/>
        <s v="1502597"/>
        <s v="1504470"/>
        <s v="1503435"/>
        <s v="1504872"/>
        <s v="1502862"/>
        <s v="1504653"/>
        <s v="1504602"/>
        <s v="1504377"/>
        <s v="1504692"/>
        <s v="1502592"/>
        <s v="1503969"/>
        <s v="1502563"/>
        <s v="1500873"/>
        <s v="1503692"/>
        <s v="1503013"/>
        <s v="1504601"/>
        <s v="1503516"/>
        <s v="1503495"/>
        <s v="1502547"/>
        <s v="1504619"/>
        <s v="1503713"/>
        <s v="1504875"/>
        <s v="1503651"/>
        <s v="1503681"/>
        <s v="1504189"/>
        <s v="1504317"/>
        <s v="1503919"/>
        <s v="1504553"/>
        <s v="1500861"/>
        <s v="1502481"/>
        <s v="1503765"/>
        <s v="1502995"/>
        <s v="1504836"/>
        <s v="1504815"/>
        <s v="1500862"/>
        <s v="1504857"/>
        <s v="1503652"/>
        <s v="1504178"/>
        <s v="1504504"/>
        <s v="1503082"/>
        <s v="1504606"/>
        <s v="1504570"/>
        <s v="1504659"/>
        <s v="1504765"/>
        <s v="1500893"/>
        <s v="1502681"/>
        <s v="1503029"/>
        <s v="1504793"/>
        <s v="1503908"/>
        <s v="1503022"/>
        <s v="1500653"/>
        <s v="1503453"/>
        <s v="1503434"/>
        <s v="1504374"/>
        <s v="1504630"/>
        <s v="1503471"/>
        <s v="1502533"/>
        <s v="1504690"/>
        <s v="1503774"/>
        <s v="1502786"/>
        <s v="1500361"/>
        <s v="1503488"/>
        <s v="1504813"/>
        <s v="1504665"/>
        <s v="1503773"/>
        <s v="1504865"/>
        <s v="1502521"/>
        <s v="1504943"/>
        <s v="1502599"/>
        <s v="1502528"/>
        <s v="1503784"/>
        <s v="1503489"/>
        <s v="1502591"/>
        <s v="1500871"/>
        <s v="1503522"/>
        <s v="1504818"/>
        <s v="1502679"/>
        <s v="1503801"/>
        <s v="1502545"/>
        <s v="1503061"/>
        <s v="1502806"/>
        <s v="1504944"/>
        <s v="1504065"/>
        <s v="1503407"/>
        <s v="1504941"/>
        <s v="1504206"/>
        <s v="1503049"/>
        <s v="1500863"/>
        <s v="1504850"/>
        <s v="1504635"/>
        <s v="1503656"/>
        <s v="1502917"/>
        <s v="1504381"/>
        <s v="1504945"/>
        <s v="1500732"/>
        <s v="1504087"/>
        <s v="1503971"/>
        <s v="1502782"/>
        <s v="1502535"/>
        <s v="1503749"/>
        <s v="1502525"/>
        <s v="1504862"/>
        <s v="1502532"/>
        <s v="1502527"/>
        <s v="1504380"/>
        <s v="1504811"/>
        <s v="1504314"/>
        <s v="1503885"/>
        <s v="1502523"/>
        <s v="1503973"/>
        <s v="1503095"/>
        <s v="1500682"/>
        <s v="1504768"/>
        <s v="1503096"/>
        <s v="1502724"/>
        <s v="1504566"/>
        <s v="1503012"/>
        <s v="1500860"/>
        <s v="1503907"/>
        <s v="1504145"/>
        <s v="1500875"/>
        <s v="1504613"/>
        <s v="1502399"/>
        <s v="1504373"/>
        <s v="1503958"/>
        <s v="1504947"/>
        <s v="1504546"/>
        <s v="1504600"/>
        <s v="1500634"/>
        <s v="1502568"/>
        <s v="1504543"/>
        <s v="1503731"/>
        <s v="1504752"/>
        <s v="1504948"/>
        <s v="1504863"/>
        <s v="1504208"/>
        <s v="1503732"/>
        <s v="1503018"/>
        <s v="1500462"/>
        <s v="1504629"/>
        <s v="1504564"/>
        <s v="1503955"/>
        <s v="1504866"/>
        <s v="1500877"/>
        <s v="1504495"/>
        <s v="1504499"/>
        <s v="1503799"/>
        <s v="1504462"/>
        <s v="1503884"/>
        <s v="1504019"/>
        <s v="1504689"/>
        <s v="1504817"/>
        <s v="1504146"/>
        <s v="1500655"/>
        <s v="1500654"/>
        <s v="1503721"/>
        <s v="1503593"/>
        <s v="1503675"/>
        <s v="1504509"/>
        <s v="1500859"/>
        <s v="1504360"/>
        <s v="1503950"/>
        <s v="1503949"/>
        <s v="1504754"/>
        <s v="1504119"/>
        <s v="1504605"/>
        <s v="1503706"/>
        <s v="1503750"/>
        <s v="1503043"/>
        <s v="1504128"/>
        <s v="1504950"/>
        <s v="1504951"/>
        <s v="1503915"/>
        <s v="1504824"/>
        <s v="1117437"/>
        <s v="1116782"/>
        <s v="1117054"/>
        <s v="1117392"/>
        <s v="1116553"/>
        <s v="1117446"/>
        <s v="1117878"/>
        <s v="1117623"/>
        <s v="1119437"/>
        <s v="1117772"/>
        <s v="1119947"/>
        <s v="1119435"/>
        <s v="1118492"/>
        <s v="1117424"/>
        <s v="1118312"/>
        <s v="1117386"/>
        <s v="1119994"/>
        <s v="1118467"/>
        <s v="1119397"/>
        <s v="1119956"/>
        <s v="1119946"/>
        <s v="1120453"/>
        <s v="1118472"/>
        <s v="1118482"/>
        <s v="1118484"/>
        <s v="1118480"/>
        <s v="1118494"/>
        <s v="1118461"/>
        <s v="1119949"/>
        <s v="1118468"/>
        <s v="1119951"/>
        <s v="1120400"/>
        <s v="1120354"/>
        <s v="1119686"/>
        <s v="1118464"/>
        <s v="1119685"/>
        <s v="1118486"/>
        <s v="1118471"/>
        <s v="1118465"/>
        <s v="1119955"/>
        <s v="1120267"/>
        <s v="1118474"/>
        <s v="1119433"/>
        <s v="1118469"/>
        <s v="1119950"/>
        <s v="1120044"/>
        <s v="1118473"/>
        <s v="1116460"/>
        <s v="1118470"/>
        <s v="1118496"/>
        <s v="1118466"/>
        <s v="1119688"/>
        <s v="1119610"/>
        <s v="1121955"/>
        <s v="1121737"/>
        <s v="1118489"/>
        <s v="1119445"/>
        <s v="1117700"/>
        <s v="1120244"/>
        <s v="1118318"/>
        <s v="1120316"/>
        <s v="1119609"/>
        <s v="1122593"/>
        <s v="1120123"/>
        <s v="1118514"/>
        <s v="1117291"/>
        <s v="1119272"/>
        <s v="1117534"/>
        <s v="1118572"/>
        <s v="1117669"/>
        <s v="1117423"/>
        <s v="1117671"/>
        <s v="1118604"/>
        <s v="1119541"/>
        <s v="1117416"/>
        <s v="1119689"/>
        <s v="1119404"/>
        <s v="1119696"/>
        <s v="1117499"/>
        <s v="1117711"/>
        <s v="1117105"/>
        <s v="1117358"/>
        <s v="1117464"/>
        <s v="1119138"/>
        <s v="1122687"/>
        <s v="1120203"/>
        <s v="1117322"/>
        <s v="1119144"/>
        <s v="1117376"/>
        <s v="1117370"/>
        <s v="1117106"/>
        <s v="1119624"/>
        <s v="1117607"/>
        <s v="1117619"/>
        <s v="1117212"/>
        <s v="1120060"/>
        <s v="1119438"/>
        <s v="1117666"/>
        <s v="1117650"/>
        <s v="1117375"/>
        <s v="1117606"/>
        <s v="1117259"/>
        <s v="1118524"/>
        <s v="1120315"/>
        <s v="1117691"/>
        <s v="1115832"/>
        <s v="1117314"/>
        <s v="1118302"/>
        <s v="1117509"/>
        <s v="1118364"/>
        <s v="1117491"/>
        <s v="1117501"/>
        <s v="1119365"/>
        <s v="1117722"/>
        <s v="1119616"/>
        <s v="1119980"/>
        <s v="1117485"/>
        <s v="1118323"/>
        <s v="1117579"/>
        <s v="1117560"/>
        <s v="1118594"/>
        <s v="1117473"/>
        <s v="1117443"/>
        <s v="1120215"/>
        <s v="1117493"/>
        <s v="1117683"/>
        <s v="1117506"/>
        <s v="1117644"/>
        <s v="1119736"/>
        <s v="1118303"/>
        <s v="1119556"/>
        <s v="1119155"/>
        <s v="1117637"/>
        <s v="1117609"/>
        <s v="1117403"/>
        <s v="1119698"/>
        <s v="1117641"/>
        <s v="1117340"/>
        <s v="1119113"/>
        <s v="1117269"/>
        <s v="1118310"/>
        <s v="1117676"/>
        <s v="1118559"/>
        <s v="1117698"/>
        <s v="1119141"/>
        <s v="1117636"/>
        <s v="1120216"/>
        <s v="1117630"/>
        <s v="1120221"/>
        <s v="1117612"/>
        <s v="1117470"/>
        <s v="1117633"/>
        <s v="1117618"/>
        <s v="1118576"/>
        <s v="1118547"/>
        <s v="1117679"/>
        <s v="1119522"/>
        <s v="1120084"/>
        <s v="1118501"/>
        <s v="1122721"/>
        <s v="1117347"/>
        <s v="1117628"/>
        <s v="1119381"/>
        <s v="1119228"/>
        <s v="1119553"/>
        <s v="1122713"/>
        <s v="1119739"/>
        <s v="1117725"/>
        <s v="1117333"/>
        <s v="1119239"/>
        <s v="1117503"/>
        <s v="1120475"/>
        <s v="1117323"/>
        <s v="1120337"/>
        <s v="1119444"/>
        <s v="1117558"/>
        <s v="1120206"/>
        <s v="1122720"/>
        <s v="1117536"/>
        <s v="1117279"/>
        <s v="1117717"/>
        <s v="1117338"/>
        <s v="1117748"/>
        <s v="1118612"/>
        <s v="1119382"/>
        <s v="1117690"/>
        <s v="1118602"/>
        <s v="1117697"/>
        <s v="1117550"/>
        <s v="1117362"/>
        <s v="1117547"/>
        <s v="1117257"/>
        <s v="1117575"/>
        <s v="1120208"/>
        <s v="1118354"/>
        <s v="1118570"/>
        <s v="1117274"/>
        <s v="1119414"/>
        <s v="1119697"/>
        <s v="1117684"/>
        <s v="1119487"/>
        <s v="1117538"/>
        <s v="1117465"/>
        <s v="1119627"/>
        <s v="1117689"/>
        <s v="1117343"/>
        <s v="1117328"/>
        <s v="1117234"/>
        <s v="1117334"/>
        <s v="1117367"/>
        <s v="1120220"/>
        <s v="1117413"/>
        <s v="1117647"/>
        <s v="1120225"/>
        <s v="1119135"/>
        <s v="1117305"/>
        <s v="1120433"/>
        <s v="1117254"/>
        <s v="1117295"/>
        <s v="1116033"/>
        <s v="1117255"/>
        <s v="1117109"/>
        <s v="1117214"/>
        <s v="1117656"/>
        <s v="1119714"/>
        <s v="1117595"/>
        <s v="1118568"/>
        <s v="1118551"/>
        <s v="1119385"/>
        <s v="1122761"/>
        <s v="1117496"/>
        <s v="1120218"/>
        <s v="1117182"/>
        <s v="1117673"/>
        <s v="1117463"/>
        <s v="1117478"/>
        <s v="1117453"/>
        <s v="1117736"/>
        <s v="1117434"/>
        <s v="1117427"/>
        <s v="1117646"/>
        <s v="1117549"/>
        <s v="1119380"/>
        <s v="1119625"/>
        <s v="1119107"/>
        <s v="1117715"/>
        <s v="1122794"/>
        <s v="1119171"/>
        <s v="1118329"/>
        <s v="1117597"/>
        <s v="1120429"/>
        <s v="1119699"/>
        <s v="1117315"/>
        <s v="1117455"/>
        <s v="1118344"/>
        <s v="1117281"/>
        <s v="1118589"/>
        <s v="1118588"/>
        <s v="1117710"/>
        <s v="1119393"/>
        <s v="1118346"/>
        <s v="1117282"/>
        <s v="1120302"/>
        <s v="1117402"/>
        <s v="1119555"/>
        <s v="1116145"/>
        <s v="1119997"/>
        <s v="1117404"/>
        <s v="1119588"/>
        <s v="1117267"/>
        <s v="1117539"/>
        <s v="1117401"/>
        <s v="1117477"/>
        <s v="1117487"/>
        <s v="1117661"/>
        <s v="1119626"/>
        <s v="1118581"/>
        <s v="1120201"/>
        <s v="1117525"/>
        <s v="1117332"/>
        <s v="1117363"/>
        <s v="1118362"/>
        <s v="1120465"/>
        <s v="1117517"/>
        <s v="1118363"/>
        <s v="1118543"/>
        <s v="1117572"/>
        <s v="1117568"/>
        <s v="1117652"/>
        <s v="1118621"/>
        <s v="1117731"/>
        <s v="1118498"/>
        <s v="1117454"/>
        <s v="1119700"/>
        <s v="1117397"/>
        <s v="1120338"/>
        <s v="1119589"/>
        <s v="1118348"/>
        <s v="1117492"/>
        <s v="1117738"/>
        <s v="1118370"/>
        <s v="1119615"/>
        <s v="1117457"/>
        <s v="1117703"/>
        <s v="1118369"/>
        <s v="1117460"/>
        <s v="1117458"/>
        <s v="1118596"/>
        <s v="1119590"/>
        <s v="1118608"/>
        <s v="1118578"/>
        <s v="1118502"/>
        <s v="1118537"/>
        <s v="1118607"/>
        <s v="1119243"/>
        <s v="1119705"/>
        <s v="1119146"/>
        <s v="1120473"/>
        <s v="1119591"/>
        <s v="1118338"/>
        <s v="1119207"/>
        <s v="1117469"/>
        <s v="1118592"/>
        <s v="1117486"/>
        <s v="1117389"/>
        <s v="1117728"/>
        <s v="1119402"/>
        <s v="1117724"/>
        <s v="1119702"/>
        <s v="1120207"/>
        <s v="1117374"/>
        <s v="1120461"/>
        <s v="1117287"/>
        <s v="1119194"/>
        <s v="1120072"/>
        <s v="1117286"/>
        <s v="1117576"/>
        <s v="1117299"/>
        <s v="1117532"/>
        <s v="1117094"/>
        <s v="1118558"/>
        <s v="1117713"/>
        <s v="1120345"/>
        <s v="1117378"/>
        <s v="1116593"/>
        <s v="1118351"/>
        <s v="1118367"/>
        <s v="1117190"/>
        <s v="1120431"/>
        <s v="1120319"/>
        <s v="1120317"/>
        <s v="1117330"/>
        <s v="1117741"/>
        <s v="1118610"/>
        <s v="1118591"/>
        <s v="1117357"/>
        <s v="1119703"/>
        <s v="1119442"/>
        <s v="1117435"/>
        <s v="1117432"/>
        <s v="1118371"/>
        <s v="1117191"/>
        <s v="1118603"/>
        <s v="1119200"/>
        <s v="1118548"/>
        <s v="1117601"/>
        <s v="1118497"/>
        <s v="1117452"/>
        <s v="1117170"/>
        <s v="1118600"/>
        <s v="1117737"/>
        <s v="1118544"/>
        <s v="1118557"/>
        <s v="1118575"/>
        <s v="1117665"/>
        <s v="1117325"/>
        <s v="1119108"/>
        <s v="1118308"/>
        <s v="1117504"/>
        <s v="1117479"/>
        <s v="1120672"/>
        <s v="1117639"/>
        <s v="1117377"/>
        <s v="1118365"/>
        <s v="1117701"/>
        <s v="1119398"/>
        <s v="1118563"/>
        <s v="1117507"/>
        <s v="1119720"/>
        <s v="1117500"/>
        <s v="1117474"/>
        <s v="1117472"/>
        <s v="1117505"/>
        <s v="1119652"/>
        <s v="1120463"/>
        <s v="1117498"/>
        <s v="1123081"/>
        <s v="1120469"/>
        <s v="1118626"/>
        <s v="1118531"/>
        <s v="1117758"/>
        <s v="1118504"/>
        <s v="1118542"/>
        <s v="1118598"/>
        <s v="1119248"/>
        <s v="1118518"/>
        <s v="1119701"/>
        <s v="1118309"/>
        <s v="1115918"/>
        <s v="1120260"/>
        <s v="1119704"/>
        <s v="1117086"/>
        <s v="1117680"/>
        <s v="1117729"/>
        <s v="1118342"/>
        <s v="1119694"/>
        <s v="1117529"/>
        <s v="1118609"/>
        <s v="1117754"/>
        <s v="1117441"/>
        <s v="1119633"/>
        <s v="1117180"/>
        <s v="1117216"/>
        <s v="1119695"/>
        <s v="1117304"/>
        <s v="1119190"/>
        <s v="1119384"/>
        <s v="1118352"/>
        <s v="1117002"/>
        <s v="1116320"/>
        <s v="1116578"/>
        <s v="1118162"/>
        <s v="1117303"/>
        <s v="1118357"/>
        <s v="1118564"/>
        <s v="1118567"/>
        <s v="1120430"/>
        <s v="1119191"/>
        <s v="1117745"/>
        <s v="1117256"/>
        <s v="1117516"/>
        <s v="1118562"/>
        <s v="1117544"/>
        <s v="1117268"/>
        <s v="1117302"/>
        <s v="1120189"/>
        <s v="1117520"/>
        <s v="1117743"/>
        <s v="1117726"/>
        <s v="1117714"/>
        <s v="1118553"/>
        <s v="1116034"/>
        <s v="1117616"/>
        <s v="1117615"/>
        <s v="1117283"/>
        <s v="1120066"/>
        <s v="1117495"/>
        <s v="1119197"/>
        <s v="1117313"/>
        <s v="1117638"/>
        <s v="1118314"/>
        <s v="1117337"/>
        <s v="1119628"/>
        <s v="1118528"/>
        <s v="1117185"/>
        <s v="1117318"/>
        <s v="1117187"/>
        <s v="1119655"/>
        <s v="1118577"/>
        <s v="1117480"/>
        <s v="1117635"/>
        <s v="1117590"/>
        <s v="1118624"/>
        <s v="1117740"/>
        <s v="1118324"/>
        <s v="1116833"/>
        <s v="1117751"/>
        <s v="1118525"/>
        <s v="1120353"/>
        <s v="1116887"/>
        <s v="1119270"/>
        <s v="1117603"/>
        <s v="1119896"/>
        <s v="1117483"/>
        <s v="1117484"/>
        <s v="1117351"/>
        <s v="1116941"/>
        <s v="1120508"/>
        <s v="1118538"/>
        <s v="1119621"/>
        <s v="1117523"/>
        <s v="1118580"/>
        <s v="1117744"/>
        <s v="1117760"/>
        <s v="1117759"/>
        <s v="1116293"/>
        <s v="1119639"/>
        <s v="1118550"/>
        <s v="1117519"/>
        <s v="1117201"/>
        <s v="1117210"/>
        <s v="1118539"/>
        <s v="1120196"/>
        <s v="1118163"/>
        <s v="1118545"/>
        <s v="1117696"/>
        <s v="1119369"/>
        <s v="1119253"/>
        <s v="1120468"/>
        <s v="1118372"/>
        <s v="1117405"/>
        <s v="1117197"/>
        <s v="1119140"/>
        <s v="1117208"/>
        <s v="1119065"/>
        <s v="1116013"/>
        <s v="1116058"/>
        <s v="1119726"/>
        <s v="1118165"/>
        <s v="1117408"/>
        <s v="1116349"/>
        <s v="1117383"/>
        <s v="1118535"/>
        <s v="1118336"/>
        <s v="1120387"/>
        <s v="1119420"/>
        <s v="1119706"/>
        <s v="1116777"/>
        <s v="1118613"/>
        <s v="1117126"/>
        <s v="1117017"/>
        <s v="1117617"/>
        <s v="1120265"/>
        <s v="1116979"/>
        <s v="1120489"/>
        <s v="1116192"/>
        <s v="1116992"/>
        <s v="1117631"/>
        <s v="1118366"/>
        <s v="1117508"/>
        <s v="1115885"/>
        <s v="1117528"/>
        <s v="1117705"/>
        <s v="1118361"/>
        <s v="1119001"/>
        <s v="1119002"/>
        <s v="1116280"/>
        <s v="1119011"/>
        <s v="1123165"/>
        <s v="1117344"/>
        <s v="1118587"/>
        <s v="1118533"/>
        <s v="1118616"/>
        <s v="1116285"/>
        <s v="1117125"/>
        <s v="1119660"/>
        <s v="1116996"/>
        <s v="1117183"/>
        <s v="1119868"/>
        <s v="1117629"/>
        <s v="1120224"/>
        <s v="1119740"/>
        <s v="1119235"/>
        <s v="1117723"/>
        <s v="1120191"/>
        <s v="1117466"/>
        <s v="1116168"/>
        <s v="1117712"/>
        <s v="1115979"/>
        <s v="1119192"/>
        <s v="1116502"/>
        <s v="1117193"/>
        <s v="1116412"/>
        <s v="1117599"/>
        <s v="1117355"/>
        <s v="1116310"/>
        <s v="1117140"/>
        <s v="1116470"/>
        <s v="1116919"/>
        <s v="1116778"/>
        <s v="1117570"/>
        <s v="1118300"/>
        <s v="1117292"/>
        <s v="1120217"/>
        <s v="1120462"/>
        <s v="1119691"/>
        <s v="1116781"/>
        <s v="1119051"/>
        <s v="1116314"/>
        <s v="1116951"/>
        <s v="1119033"/>
        <s v="1117285"/>
        <s v="1117321"/>
        <s v="1119210"/>
        <s v="1119240"/>
        <s v="1119827"/>
        <s v="1116498"/>
        <s v="1118599"/>
        <s v="1116797"/>
        <s v="1116327"/>
        <s v="1118999"/>
        <s v="1115981"/>
        <s v="1119855"/>
        <s v="1116344"/>
        <s v="1119518"/>
        <s v="1116459"/>
        <s v="1119682"/>
        <s v="1118226"/>
        <s v="1119152"/>
        <s v="1120022"/>
        <s v="1119502"/>
        <s v="1119036"/>
        <s v="1116104"/>
        <s v="1119026"/>
        <s v="1117598"/>
        <s v="1119871"/>
        <s v="1119861"/>
        <s v="1118552"/>
        <s v="1117602"/>
        <s v="1116824"/>
        <s v="1117685"/>
        <s v="1117129"/>
        <s v="1116339"/>
        <s v="1116007"/>
        <s v="1117431"/>
        <s v="1119246"/>
        <s v="1117410"/>
        <s v="1120457"/>
        <s v="1118333"/>
        <s v="1117436"/>
        <s v="1118617"/>
        <s v="1119885"/>
        <s v="1119880"/>
        <s v="1117390"/>
        <s v="1117345"/>
        <s v="1119032"/>
        <s v="1119810"/>
        <s v="1120736"/>
        <s v="1117659"/>
        <s v="1120464"/>
        <s v="1116006"/>
        <s v="1119043"/>
        <s v="1116323"/>
        <s v="1118118"/>
        <s v="1116004"/>
        <s v="1118423"/>
        <s v="1118394"/>
        <s v="1120482"/>
        <s v="1116585"/>
        <s v="1118158"/>
        <s v="1123176"/>
        <s v="1120458"/>
        <s v="1117327"/>
        <s v="1120391"/>
        <s v="1116305"/>
        <s v="1116173"/>
        <s v="1120298"/>
        <s v="1120013"/>
        <s v="1116281"/>
        <s v="1119233"/>
        <s v="1118209"/>
        <s v="1119887"/>
        <s v="1118279"/>
        <s v="1120460"/>
        <s v="1116002"/>
        <s v="1120479"/>
        <s v="1118508"/>
        <s v="1119452"/>
        <s v="1117752"/>
        <s v="1118584"/>
        <s v="1119910"/>
        <s v="1118447"/>
        <s v="1119986"/>
        <s v="1115950"/>
        <s v="1117393"/>
        <s v="1120251"/>
        <s v="1118159"/>
        <s v="1119519"/>
        <s v="1119923"/>
        <s v="1120236"/>
        <s v="1116137"/>
        <s v="1120326"/>
        <s v="1118156"/>
        <s v="1120476"/>
        <s v="1119883"/>
        <s v="1116357"/>
        <s v="1119877"/>
        <s v="1117087"/>
        <s v="1119453"/>
        <s v="1115947"/>
        <s v="1116174"/>
        <s v="1116332"/>
        <s v="1115873"/>
        <s v="1119967"/>
        <s v="1119878"/>
        <s v="1119021"/>
        <s v="1117396"/>
        <s v="1118403"/>
        <s v="1119881"/>
        <s v="1120303"/>
        <s v="1120745"/>
        <s v="1119005"/>
        <s v="1115890"/>
        <s v="1119012"/>
        <s v="1116141"/>
        <s v="1118155"/>
        <s v="1119785"/>
        <s v="1116800"/>
        <s v="1119104"/>
        <s v="1116325"/>
        <s v="1115881"/>
        <s v="1116326"/>
        <s v="1118595"/>
        <s v="1116157"/>
        <s v="1118133"/>
        <s v="1116823"/>
        <s v="1116441"/>
        <s v="1116896"/>
        <s v="1116400"/>
        <s v="1120875"/>
        <s v="1116167"/>
        <s v="1115864"/>
        <s v="1118153"/>
        <s v="1119864"/>
        <s v="1118424"/>
        <s v="1119047"/>
        <s v="1120386"/>
        <s v="1118169"/>
        <s v="1116882"/>
        <s v="1115980"/>
        <s v="1117511"/>
        <s v="1118402"/>
        <s v="1117648"/>
        <s v="1116355"/>
        <s v="1118275"/>
        <s v="1119558"/>
        <s v="1116831"/>
        <s v="1119177"/>
        <s v="1118134"/>
        <s v="1119531"/>
        <s v="1120321"/>
        <s v="1116286"/>
        <s v="1118998"/>
        <s v="1119153"/>
        <s v="1118622"/>
        <s v="1118216"/>
        <s v="1118249"/>
        <s v="1117546"/>
        <s v="1116902"/>
        <s v="1119176"/>
        <s v="1116330"/>
        <s v="1119717"/>
        <s v="1115808"/>
        <s v="1116795"/>
        <s v="1116375"/>
        <s v="1120597"/>
        <s v="1119031"/>
        <s v="1118256"/>
        <s v="1116160"/>
        <s v="1119873"/>
        <s v="1115815"/>
        <s v="1116814"/>
        <s v="1119341"/>
        <s v="1118421"/>
        <s v="1119000"/>
        <s v="1116366"/>
        <s v="1118530"/>
        <s v="1115896"/>
        <s v="1120513"/>
        <s v="1118523"/>
        <s v="1116175"/>
        <s v="1116051"/>
        <s v="1119816"/>
        <s v="1123203"/>
        <s v="1117024"/>
        <s v="1118110"/>
        <s v="1118114"/>
        <s v="1119876"/>
        <s v="1116287"/>
        <s v="1116230"/>
        <s v="1119858"/>
        <s v="1118512"/>
        <s v="1118513"/>
        <s v="1115824"/>
        <s v="1119929"/>
        <s v="1118242"/>
        <s v="1116798"/>
        <s v="1117015"/>
        <s v="1119151"/>
        <s v="1119777"/>
        <s v="1116429"/>
        <s v="1119747"/>
        <s v="1116803"/>
        <s v="1116949"/>
        <s v="1116999"/>
        <s v="1117006"/>
        <s v="1119035"/>
        <s v="1119142"/>
        <s v="1117719"/>
        <s v="1120120"/>
        <s v="1115938"/>
        <s v="1118368"/>
        <s v="1118112"/>
        <s v="1116783"/>
        <s v="1117721"/>
        <s v="1115816"/>
        <s v="1116049"/>
        <s v="1119751"/>
        <s v="1118278"/>
        <s v="1118111"/>
        <s v="1119557"/>
        <s v="1116322"/>
        <s v="1118301"/>
        <s v="1118443"/>
        <s v="1118299"/>
        <s v="1119249"/>
        <s v="1119830"/>
        <s v="1116288"/>
        <s v="1120004"/>
        <s v="1116888"/>
        <s v="1116521"/>
        <s v="1117161"/>
        <s v="1120677"/>
        <s v="1120596"/>
        <s v="1116032"/>
        <s v="1123207"/>
        <s v="1123208"/>
        <s v="1116916"/>
        <s v="1119806"/>
        <s v="1120369"/>
        <s v="1123212"/>
        <s v="1116119"/>
        <s v="1119103"/>
        <s v="1119774"/>
        <s v="1116279"/>
        <s v="1119034"/>
        <s v="1116121"/>
        <s v="1119848"/>
        <s v="1119169"/>
        <s v="1117069"/>
        <s v="1118282"/>
        <s v="1117168"/>
        <s v="1120005"/>
        <s v="1117085"/>
        <s v="1117083"/>
        <s v="1117077"/>
        <s v="1117063"/>
        <s v="1117062"/>
        <s v="1116385"/>
        <s v="1115954"/>
        <s v="1115829"/>
        <s v="1118274"/>
        <s v="1116008"/>
        <s v="1117134"/>
        <s v="1116278"/>
        <s v="1119860"/>
        <s v="1119196"/>
        <s v="1120696"/>
        <s v="1118125"/>
        <s v="1118154"/>
        <s v="1120484"/>
        <s v="1116414"/>
        <s v="1115819"/>
        <s v="1116128"/>
        <s v="1119366"/>
        <s v="1119928"/>
        <s v="1119061"/>
        <s v="1119206"/>
        <s v="1117082"/>
        <s v="1115825"/>
        <s v="1119354"/>
        <s v="1118623"/>
        <s v="1119820"/>
        <s v="1116988"/>
        <s v="1116576"/>
        <s v="1119493"/>
        <s v="1119828"/>
        <s v="1119271"/>
        <s v="1115912"/>
        <s v="1116044"/>
        <s v="1119759"/>
        <s v="1116303"/>
        <s v="1116095"/>
        <s v="1120738"/>
        <s v="1116962"/>
        <s v="1123213"/>
        <s v="1118401"/>
        <s v="1117110"/>
        <s v="1116413"/>
        <s v="1119874"/>
        <s v="1116983"/>
        <s v="1115946"/>
        <s v="1119870"/>
        <s v="1118529"/>
        <s v="1116177"/>
        <s v="1120194"/>
        <s v="1119797"/>
        <s v="1116240"/>
        <s v="1115870"/>
        <s v="1116156"/>
        <s v="1116186"/>
        <s v="1117053"/>
        <s v="1119041"/>
        <s v="1123214"/>
        <s v="1116437"/>
        <s v="1119869"/>
        <s v="1116907"/>
        <s v="1119926"/>
        <s v="1116231"/>
        <s v="1118996"/>
        <s v="1115820"/>
        <s v="1119596"/>
        <s v="1118208"/>
        <s v="1116235"/>
        <s v="1118286"/>
        <s v="1115866"/>
        <s v="1116537"/>
        <s v="1116316"/>
        <s v="1116302"/>
        <s v="1120878"/>
        <s v="1118178"/>
        <s v="1119050"/>
        <s v="1120246"/>
        <s v="1116776"/>
        <s v="1119663"/>
        <s v="1119073"/>
        <s v="1117422"/>
        <s v="1118510"/>
        <s v="1120219"/>
        <s v="1120680"/>
        <s v="1119148"/>
        <s v="1116431"/>
        <s v="1119576"/>
        <s v="1119099"/>
        <s v="1116096"/>
        <s v="1116105"/>
        <s v="1117692"/>
        <s v="1120202"/>
        <s v="1120332"/>
        <s v="1119856"/>
        <s v="1118428"/>
        <s v="1117266"/>
        <s v="1116894"/>
        <s v="1117399"/>
        <s v="1117051"/>
        <s v="1117366"/>
        <s v="1118117"/>
        <s v="1118130"/>
        <s v="1118122"/>
        <s v="1116921"/>
        <s v="1116041"/>
        <s v="1116127"/>
        <s v="1119507"/>
        <s v="1118515"/>
        <s v="1116571"/>
        <s v="1119572"/>
        <s v="1116384"/>
        <s v="1120486"/>
        <s v="1116301"/>
        <s v="1116298"/>
        <s v="1116108"/>
        <s v="1117270"/>
        <s v="1117421"/>
        <s v="1117188"/>
        <s v="1116886"/>
        <s v="1117444"/>
        <s v="1118411"/>
        <s v="1116934"/>
        <s v="1115867"/>
        <s v="1120735"/>
        <s v="1119787"/>
        <s v="1118425"/>
        <s v="1118287"/>
        <s v="1116300"/>
        <s v="1120248"/>
        <s v="1119046"/>
        <s v="1116050"/>
        <s v="1116475"/>
        <s v="1119862"/>
        <s v="1120323"/>
        <s v="1116899"/>
        <s v="1120247"/>
        <s v="1118288"/>
        <s v="1119139"/>
        <s v="1119550"/>
        <s v="1119654"/>
        <s v="1120350"/>
        <s v="1119045"/>
        <s v="1116516"/>
        <s v="1116012"/>
        <s v="1118210"/>
        <s v="1118374"/>
        <s v="1119085"/>
        <s v="1119921"/>
        <s v="1118516"/>
        <s v="1119353"/>
        <s v="1120057"/>
        <s v="1116889"/>
        <s v="1123227"/>
        <s v="1116306"/>
        <s v="1119229"/>
        <s v="1116001"/>
        <s v="1116294"/>
        <s v="1119218"/>
        <s v="1116545"/>
        <s v="1119202"/>
        <s v="1123241"/>
        <s v="1118376"/>
        <s v="1116588"/>
        <s v="1118273"/>
        <s v="1119707"/>
        <s v="1120252"/>
        <s v="1116315"/>
        <s v="1119571"/>
        <s v="1118115"/>
        <s v="1116005"/>
        <s v="1119988"/>
        <s v="1120901"/>
        <s v="1116348"/>
        <s v="1118335"/>
        <s v="1116830"/>
        <s v="1116404"/>
        <s v="1119003"/>
        <s v="1119008"/>
        <s v="1116569"/>
        <s v="1118997"/>
        <s v="1119225"/>
        <s v="1119053"/>
        <s v="1116304"/>
        <s v="1119055"/>
        <s v="1123226"/>
        <s v="1117450"/>
        <s v="1116953"/>
        <s v="1119042"/>
        <s v="1115806"/>
        <s v="1123240"/>
        <s v="1116449"/>
        <s v="1120313"/>
        <s v="1120126"/>
        <s v="1116901"/>
        <s v="1119922"/>
        <s v="1123239"/>
        <s v="1123242"/>
        <s v="1116948"/>
        <s v="1116511"/>
        <s v="1119761"/>
        <s v="1119807"/>
        <s v="1116779"/>
        <s v="1118146"/>
        <s v="1117425"/>
        <s v="1120095"/>
        <s v="1119227"/>
        <s v="1119443"/>
        <s v="1119573"/>
        <s v="1119666"/>
        <s v="1118121"/>
        <s v="1115904"/>
        <s v="1116368"/>
        <s v="1123243"/>
        <s v="1119075"/>
        <s v="1120908"/>
        <s v="1116890"/>
        <s v="1116961"/>
        <s v="1120076"/>
        <s v="1119226"/>
        <s v="1116955"/>
        <s v="1116308"/>
        <s v="1116311"/>
        <s v="1116309"/>
        <s v="1116243"/>
        <s v="1118296"/>
        <s v="1117556"/>
        <s v="1116142"/>
        <s v="1116599"/>
        <s v="1120449"/>
        <s v="1116510"/>
        <s v="1118116"/>
        <s v="1119222"/>
        <s v="1118290"/>
        <s v="1116165"/>
        <s v="1117167"/>
        <s v="1119678"/>
        <s v="1119204"/>
        <s v="1119729"/>
        <s v="1119834"/>
        <s v="1119237"/>
        <s v="1119373"/>
        <s v="1120448"/>
        <s v="1119882"/>
        <s v="1116892"/>
        <s v="1116307"/>
        <s v="1117440"/>
        <s v="1123228"/>
        <s v="1116952"/>
        <s v="1115937"/>
        <s v="1116809"/>
        <s v="1115814"/>
        <s v="1119236"/>
        <s v="1116009"/>
        <s v="1120330"/>
        <s v="1118327"/>
        <s v="1117381"/>
        <s v="1119565"/>
        <s v="1116929"/>
        <s v="1115978"/>
        <s v="1116815"/>
        <s v="1119818"/>
        <s v="1117438"/>
        <s v="1119109"/>
        <s v="1119044"/>
        <s v="1119608"/>
        <s v="1119230"/>
        <s v="1120365"/>
        <s v="1118451"/>
        <s v="1118316"/>
        <s v="1116134"/>
        <s v="1117072"/>
        <s v="1117176"/>
        <s v="1117102"/>
        <s v="1117204"/>
        <s v="1119399"/>
        <s v="1116295"/>
        <s v="1117243"/>
        <s v="1119722"/>
        <s v="1118448"/>
        <s v="1116714"/>
        <s v="1119407"/>
        <s v="1116046"/>
        <s v="1116591"/>
        <s v="1116319"/>
        <s v="1116397"/>
        <s v="1117177"/>
        <s v="1119578"/>
        <s v="1116789"/>
        <s v="1116010"/>
        <s v="1116407"/>
        <s v="1118582"/>
        <s v="1120442"/>
        <s v="1119004"/>
        <s v="1120688"/>
        <s v="1116150"/>
        <s v="1117219"/>
        <s v="1115984"/>
        <s v="1115855"/>
        <s v="1115948"/>
        <s v="1116903"/>
        <s v="1120434"/>
        <s v="1115823"/>
        <s v="1118215"/>
        <s v="1116594"/>
        <s v="1119566"/>
        <s v="1116113"/>
        <s v="1119658"/>
        <s v="1117428"/>
        <s v="1119605"/>
        <s v="1119920"/>
        <s v="1116248"/>
        <s v="1116023"/>
        <s v="1119463"/>
        <s v="1116964"/>
        <s v="1118160"/>
        <s v="1116957"/>
        <s v="1118161"/>
        <s v="1119128"/>
        <s v="1116512"/>
        <s v="1117251"/>
        <s v="1118511"/>
        <s v="1116321"/>
        <s v="1115926"/>
        <s v="1120376"/>
        <s v="1117215"/>
        <s v="1117225"/>
        <s v="1119985"/>
        <s v="1120018"/>
        <s v="1120069"/>
        <s v="1120002"/>
        <s v="1117123"/>
        <s v="1116081"/>
        <s v="1117116"/>
        <s v="1116047"/>
        <s v="1118132"/>
        <s v="1119709"/>
        <s v="1119465"/>
        <s v="1116816"/>
        <s v="1119569"/>
        <s v="1117265"/>
        <s v="1119765"/>
        <s v="1119494"/>
        <s v="1116546"/>
        <s v="1116290"/>
        <s v="1119009"/>
        <s v="1119010"/>
        <s v="1116598"/>
        <s v="1115884"/>
        <s v="1117156"/>
        <s v="1116271"/>
        <s v="1117032"/>
        <s v="1117034"/>
        <s v="1116183"/>
        <s v="1119662"/>
        <s v="1117223"/>
        <s v="1119584"/>
        <s v="1123253"/>
        <s v="1119492"/>
        <s v="1117030"/>
        <s v="1119258"/>
        <s v="1119276"/>
        <s v="1116471"/>
        <s v="1119629"/>
        <s v="1117420"/>
        <s v="1119598"/>
        <s v="1117008"/>
        <s v="1116135"/>
        <s v="1120047"/>
        <s v="1117135"/>
        <s v="1116822"/>
        <s v="1117098"/>
        <s v="1117407"/>
        <s v="1119526"/>
        <s v="1123254"/>
        <s v="1116493"/>
        <s v="1120114"/>
        <s v="1119209"/>
        <s v="1119195"/>
        <s v="1120128"/>
        <s v="1116272"/>
        <s v="1116270"/>
        <s v="1119833"/>
        <s v="1119661"/>
        <s v="1118521"/>
        <s v="1119278"/>
        <s v="1118526"/>
        <s v="1116926"/>
        <s v="1115821"/>
        <s v="1118527"/>
        <s v="1119865"/>
        <s v="1118177"/>
        <s v="1115879"/>
        <s v="1115887"/>
        <s v="1119601"/>
        <s v="1116093"/>
        <s v="1119077"/>
        <s v="1116066"/>
        <s v="1118239"/>
        <s v="1119795"/>
        <s v="1119361"/>
        <s v="1123274"/>
        <s v="1119013"/>
        <s v="1119274"/>
        <s v="1119328"/>
        <s v="1119814"/>
        <s v="1118276"/>
        <s v="1116438"/>
        <s v="1116976"/>
        <s v="1116250"/>
        <s v="1115985"/>
        <s v="1119028"/>
        <s v="1123277"/>
        <s v="1119784"/>
        <s v="1118426"/>
        <s v="1116019"/>
        <s v="1118295"/>
        <s v="1115903"/>
        <s v="1116024"/>
        <s v="1119092"/>
        <s v="1119746"/>
        <s v="1119783"/>
        <s v="1119521"/>
        <s v="1117139"/>
        <s v="1119748"/>
        <s v="1119723"/>
        <s v="1116000"/>
        <s v="1116140"/>
        <s v="1118378"/>
        <s v="1116382"/>
        <s v="1118995"/>
        <s v="1116003"/>
        <s v="1116151"/>
        <s v="1117005"/>
        <s v="1116927"/>
        <s v="1118326"/>
        <s v="1115818"/>
        <s v="1116945"/>
        <s v="1116473"/>
        <s v="1119825"/>
        <s v="1119269"/>
        <s v="1115812"/>
        <s v="1116068"/>
        <s v="1116401"/>
        <s v="1117589"/>
        <s v="1117253"/>
        <s v="1116292"/>
        <s v="1120304"/>
        <s v="1119504"/>
        <s v="1116164"/>
        <s v="1117148"/>
        <s v="1120900"/>
        <s v="1116383"/>
        <s v="1117130"/>
        <s v="1115914"/>
        <s v="1119857"/>
        <s v="1115930"/>
        <s v="1119891"/>
        <s v="1117165"/>
        <s v="1118149"/>
        <s v="1119727"/>
        <s v="1115915"/>
        <s v="1115908"/>
        <s v="1119872"/>
        <s v="1119602"/>
        <s v="1119517"/>
        <s v="1116917"/>
        <s v="1116950"/>
        <s v="1119523"/>
        <s v="1115993"/>
        <s v="1119134"/>
        <s v="1118375"/>
        <s v="1116936"/>
        <s v="1119388"/>
        <s v="1116938"/>
        <s v="1116296"/>
        <s v="1119568"/>
        <s v="1118429"/>
        <s v="1118127"/>
        <s v="1119157"/>
        <s v="1119458"/>
        <s v="1115827"/>
        <s v="1116059"/>
        <s v="1118258"/>
        <s v="1118441"/>
        <s v="1116336"/>
        <s v="1116246"/>
        <s v="1118170"/>
        <s v="1119259"/>
        <s v="1123286"/>
        <s v="1118388"/>
        <s v="1119799"/>
        <s v="1118205"/>
        <s v="1116170"/>
        <s v="1115995"/>
        <s v="1117682"/>
        <s v="1118183"/>
        <s v="1116369"/>
        <s v="1118213"/>
        <s v="1118126"/>
        <s v="1116070"/>
        <s v="1120683"/>
        <s v="1120697"/>
        <s v="1117081"/>
        <s v="1116238"/>
        <s v="1119260"/>
        <s v="1119133"/>
        <s v="1119808"/>
        <s v="1116166"/>
        <s v="1117121"/>
        <s v="1117120"/>
        <s v="1119847"/>
        <s v="1116092"/>
        <s v="1119840"/>
        <s v="1116043"/>
        <s v="1119575"/>
        <s v="1116065"/>
        <s v="1116052"/>
        <s v="1117153"/>
        <s v="1117132"/>
        <s v="1119387"/>
        <s v="1118211"/>
        <s v="1119562"/>
        <s v="1119455"/>
        <s v="1119762"/>
        <s v="1119715"/>
        <s v="1120681"/>
        <s v="1119027"/>
        <s v="1116324"/>
        <s v="1116476"/>
        <s v="1119845"/>
        <s v="1120366"/>
        <s v="1119266"/>
        <s v="1119805"/>
        <s v="1119788"/>
        <s v="1117119"/>
        <s v="1119724"/>
        <s v="1119782"/>
        <s v="1120009"/>
        <s v="1120331"/>
        <s v="1117064"/>
        <s v="1123294"/>
        <s v="1120318"/>
        <s v="1120020"/>
        <s v="1119836"/>
        <s v="1118137"/>
        <s v="1123295"/>
        <s v="1115868"/>
        <s v="1115994"/>
        <s v="1119084"/>
        <s v="1116970"/>
        <s v="1116408"/>
        <s v="1116247"/>
        <s v="1119811"/>
        <s v="1116912"/>
        <s v="1116940"/>
        <s v="1116334"/>
        <s v="1117117"/>
        <s v="1116399"/>
        <s v="1119217"/>
        <s v="1115911"/>
        <s v="1116832"/>
        <s v="1119597"/>
        <s v="1116467"/>
        <s v="1123296"/>
        <s v="1117675"/>
        <s v="1116788"/>
        <s v="1115891"/>
        <s v="1118438"/>
        <s v="1119528"/>
        <s v="1116351"/>
        <s v="1115935"/>
        <s v="1116396"/>
        <s v="1116297"/>
        <s v="1119356"/>
        <s v="1117011"/>
        <s v="1116555"/>
        <s v="1119760"/>
        <s v="1116791"/>
        <s v="1116944"/>
        <s v="1116380"/>
        <s v="1116499"/>
        <s v="1117010"/>
        <s v="1115802"/>
        <s v="1118141"/>
        <s v="1119416"/>
        <s v="1120689"/>
        <s v="1120322"/>
        <s v="1116074"/>
        <s v="1119544"/>
        <s v="1117642"/>
        <s v="1118181"/>
        <s v="1116939"/>
        <s v="1119509"/>
        <s v="1119637"/>
        <s v="1119467"/>
        <s v="1117580"/>
        <s v="1123309"/>
        <s v="1117036"/>
        <s v="1115893"/>
        <s v="1119076"/>
        <s v="1116447"/>
        <s v="1120184"/>
        <s v="1116257"/>
        <s v="1119179"/>
        <s v="1115983"/>
        <s v="1116258"/>
        <s v="1115817"/>
        <s v="1117060"/>
        <s v="1116547"/>
        <s v="1116276"/>
        <s v="1117076"/>
        <s v="1116184"/>
        <s v="1118280"/>
        <s v="1119079"/>
        <s v="1117557"/>
        <s v="1116252"/>
        <s v="1120699"/>
        <s v="1115805"/>
        <s v="1119583"/>
        <s v="1116891"/>
        <s v="1118175"/>
        <s v="1118206"/>
        <s v="1123298"/>
        <s v="1115804"/>
        <s v="1120493"/>
        <s v="1116042"/>
        <s v="1117112"/>
        <s v="1119670"/>
        <s v="1117540"/>
        <s v="1116524"/>
        <s v="1123299"/>
        <s v="1116185"/>
        <s v="1118191"/>
        <s v="1116906"/>
        <s v="1116045"/>
        <s v="1116590"/>
        <s v="1119673"/>
        <s v="1118145"/>
        <s v="1119659"/>
        <s v="1118389"/>
        <s v="1119165"/>
        <s v="1115999"/>
        <s v="1116420"/>
        <s v="1117551"/>
        <s v="1120070"/>
        <s v="1115953"/>
        <s v="1120019"/>
        <s v="1118337"/>
        <s v="1116885"/>
        <s v="1115865"/>
        <s v="1118433"/>
        <s v="1117175"/>
        <s v="1115940"/>
        <s v="1116179"/>
        <s v="1116914"/>
        <s v="1116913"/>
        <s v="1116393"/>
        <s v="1119456"/>
        <s v="1115871"/>
        <s v="1120242"/>
        <s v="1116519"/>
        <s v="1120103"/>
        <s v="1119835"/>
        <s v="1116477"/>
        <s v="1117026"/>
        <s v="1119933"/>
        <s v="1118412"/>
        <s v="1117626"/>
        <s v="1120051"/>
        <s v="1117075"/>
        <s v="1123310"/>
        <s v="1119481"/>
        <s v="1115988"/>
        <s v="1117025"/>
        <s v="1117131"/>
        <s v="1115807"/>
        <s v="1119577"/>
        <s v="1116249"/>
        <s v="1119667"/>
        <s v="1120043"/>
        <s v="1119469"/>
        <s v="1116040"/>
        <s v="1118380"/>
        <s v="1117065"/>
        <s v="1116954"/>
        <s v="1120059"/>
        <s v="1117038"/>
        <s v="1117061"/>
        <s v="1120258"/>
        <s v="1119102"/>
        <s v="1119563"/>
        <s v="1118124"/>
        <s v="1116570"/>
        <s v="1116085"/>
        <s v="1120398"/>
        <s v="1116780"/>
        <s v="1119160"/>
        <s v="1116358"/>
        <s v="1116984"/>
        <s v="1118176"/>
        <s v="1119408"/>
        <s v="1117173"/>
        <s v="1119346"/>
        <s v="1120086"/>
        <s v="1115934"/>
        <s v="1115986"/>
        <s v="1118135"/>
        <s v="1119409"/>
        <s v="1116130"/>
        <s v="1116277"/>
        <s v="1120509"/>
        <s v="1119224"/>
        <s v="1118168"/>
        <s v="1119733"/>
        <s v="1118182"/>
        <s v="1116908"/>
        <s v="1116897"/>
        <s v="1117174"/>
        <s v="1119049"/>
        <s v="1116523"/>
        <s v="1116016"/>
        <s v="1117096"/>
        <s v="1119982"/>
        <s v="1116053"/>
        <s v="1120324"/>
        <s v="1119257"/>
        <s v="1115811"/>
        <s v="1116942"/>
        <s v="1119252"/>
        <s v="1123329"/>
        <s v="1120091"/>
        <s v="1116181"/>
        <s v="1119612"/>
        <s v="1116479"/>
        <s v="1118230"/>
        <s v="1120674"/>
        <s v="1119841"/>
        <s v="1119208"/>
        <s v="1118434"/>
        <s v="1116122"/>
        <s v="1119483"/>
        <s v="1116236"/>
        <s v="1119832"/>
        <s v="1120511"/>
        <s v="1118292"/>
        <s v="1119719"/>
        <s v="1119154"/>
        <s v="1116871"/>
        <s v="1119672"/>
        <s v="1119607"/>
        <s v="1116091"/>
        <s v="1115857"/>
        <s v="1115859"/>
        <s v="1118379"/>
        <s v="1116518"/>
        <s v="1118435"/>
        <s v="1116875"/>
        <s v="1116490"/>
        <s v="1116455"/>
        <s v="1119579"/>
        <s v="1116873"/>
        <s v="1115907"/>
        <s v="1118248"/>
        <s v="1120737"/>
        <s v="1120344"/>
        <s v="1116291"/>
        <s v="1116133"/>
        <s v="1119936"/>
        <s v="1116880"/>
        <s v="1116879"/>
        <s v="1119752"/>
        <s v="1116583"/>
        <s v="1116163"/>
        <s v="1118228"/>
        <s v="1120682"/>
        <s v="1116102"/>
        <s v="1116770"/>
        <s v="1116410"/>
        <s v="1116496"/>
        <s v="1118247"/>
        <s v="1116153"/>
        <s v="1118439"/>
        <s v="1123340"/>
        <s v="1118214"/>
        <s v="1116910"/>
        <s v="1120010"/>
        <s v="1119372"/>
        <s v="1118392"/>
        <s v="1119482"/>
        <s v="1118440"/>
        <s v="1119769"/>
        <s v="1119778"/>
        <s v="1116874"/>
        <s v="1119070"/>
        <s v="1119901"/>
        <s v="1118291"/>
        <s v="1116114"/>
        <s v="1116073"/>
        <s v="1116539"/>
        <s v="1115997"/>
        <s v="1116994"/>
        <s v="1120514"/>
        <s v="1116933"/>
        <s v="1120481"/>
        <s v="1119457"/>
        <s v="1120073"/>
        <s v="1116273"/>
        <s v="1116267"/>
        <s v="1119130"/>
        <s v="1115931"/>
        <s v="1115803"/>
        <s v="1119545"/>
        <s v="1119775"/>
        <s v="1116482"/>
        <s v="1119464"/>
        <s v="1116094"/>
        <s v="1119168"/>
        <s v="1119744"/>
        <s v="1117003"/>
        <s v="1116072"/>
        <s v="1119996"/>
        <s v="1116120"/>
        <s v="1117391"/>
        <s v="1120501"/>
        <s v="1120187"/>
        <s v="1118264"/>
        <s v="1120233"/>
        <s v="1116931"/>
        <s v="1118139"/>
        <s v="1123341"/>
        <s v="1118174"/>
        <s v="1115933"/>
        <s v="1120093"/>
        <s v="1116513"/>
        <s v="1115895"/>
        <s v="1118431"/>
        <s v="1120071"/>
        <s v="1119167"/>
        <s v="1118241"/>
        <s v="1116078"/>
        <s v="1116829"/>
        <s v="1119710"/>
        <s v="1119561"/>
        <s v="1118442"/>
        <s v="1120183"/>
        <s v="1118396"/>
        <s v="1119091"/>
        <s v="1119086"/>
        <s v="1117027"/>
        <s v="1120235"/>
        <s v="1117029"/>
        <s v="1123362"/>
        <s v="1116468"/>
        <s v="1116575"/>
        <s v="1115905"/>
        <s v="1117564"/>
        <s v="1116982"/>
        <s v="1120499"/>
        <s v="1119288"/>
        <s v="1119326"/>
        <s v="1116155"/>
        <s v="1116566"/>
        <s v="1118384"/>
        <s v="1116125"/>
        <s v="1116503"/>
        <s v="1116253"/>
        <s v="1119327"/>
        <s v="1116268"/>
        <s v="1119473"/>
        <s v="1119095"/>
        <s v="1116169"/>
        <s v="1119352"/>
        <s v="1119156"/>
        <s v="1116386"/>
        <s v="1119279"/>
        <s v="1119676"/>
        <s v="1123360"/>
        <s v="1119750"/>
        <s v="1116255"/>
        <s v="1116328"/>
        <s v="1116450"/>
        <s v="1116881"/>
        <s v="1119600"/>
        <s v="1115880"/>
        <s v="1117149"/>
        <s v="1116973"/>
        <s v="1116075"/>
        <s v="1119277"/>
        <s v="1118184"/>
        <s v="1119343"/>
        <s v="1115853"/>
        <s v="1119758"/>
        <s v="1118252"/>
        <s v="1119826"/>
        <s v="1119757"/>
        <s v="1119424"/>
        <s v="1120385"/>
        <s v="1119675"/>
        <s v="1116556"/>
        <s v="1120743"/>
        <s v="1119080"/>
        <s v="1115942"/>
        <s v="1119755"/>
        <s v="1120249"/>
        <s v="1119838"/>
        <s v="1123372"/>
        <s v="1119749"/>
        <s v="1118418"/>
        <s v="1119351"/>
        <s v="1116596"/>
        <s v="1120055"/>
        <s v="1119060"/>
        <s v="1116028"/>
        <s v="1119753"/>
        <s v="1116251"/>
        <s v="1120742"/>
        <s v="1116256"/>
        <s v="1119466"/>
        <s v="1119056"/>
        <s v="1116374"/>
        <s v="1119059"/>
        <s v="1116937"/>
        <s v="1119513"/>
        <s v="1119843"/>
        <s v="1119875"/>
        <s v="1118201"/>
        <s v="1116335"/>
        <s v="1118437"/>
        <s v="1116089"/>
        <s v="1117037"/>
        <s v="1120001"/>
        <s v="1117012"/>
        <s v="1116793"/>
        <s v="1116239"/>
        <s v="1119058"/>
        <s v="1116387"/>
        <s v="1116504"/>
        <s v="1116331"/>
        <s v="1120122"/>
        <s v="1120238"/>
        <s v="1119164"/>
        <s v="1115882"/>
        <s v="1119613"/>
        <s v="1117142"/>
        <s v="1116389"/>
        <s v="1118289"/>
        <s v="1116411"/>
        <s v="1118405"/>
        <s v="1116806"/>
        <s v="1120480"/>
        <s v="1116124"/>
        <s v="1119863"/>
        <s v="1117226"/>
        <s v="1120130"/>
        <s v="1116536"/>
        <s v="1119643"/>
        <s v="1119978"/>
        <s v="1116419"/>
        <s v="1116029"/>
        <s v="1119867"/>
        <s v="1120348"/>
        <s v="1117155"/>
        <s v="1119645"/>
        <s v="1116372"/>
        <s v="1120314"/>
        <s v="1115831"/>
        <s v="1117068"/>
        <s v="1115810"/>
        <s v="1120129"/>
        <s v="1118123"/>
        <s v="1116440"/>
        <s v="1117151"/>
        <s v="1118444"/>
        <s v="1119454"/>
        <s v="1115941"/>
        <s v="1119205"/>
        <s v="1116529"/>
        <s v="1115826"/>
        <s v="1116774"/>
        <s v="1118283"/>
        <s v="1118445"/>
        <s v="1118455"/>
        <s v="1119375"/>
        <s v="1119800"/>
        <s v="1116458"/>
        <s v="1119907"/>
        <s v="1116342"/>
        <s v="1118391"/>
        <s v="1120512"/>
        <s v="1119734"/>
        <s v="1116451"/>
        <s v="1116126"/>
        <s v="1118382"/>
        <s v="1119754"/>
        <s v="1119972"/>
        <s v="1116435"/>
        <s v="1117013"/>
        <s v="1117031"/>
        <s v="1116786"/>
        <s v="1115939"/>
        <s v="1120011"/>
        <s v="1123385"/>
        <s v="1119770"/>
        <s v="1116561"/>
        <s v="1118192"/>
        <s v="1116090"/>
        <s v="1116245"/>
        <s v="1116030"/>
        <s v="1116804"/>
        <s v="1116376"/>
        <s v="1120506"/>
        <s v="1118194"/>
        <s v="1116867"/>
        <s v="1116567"/>
        <s v="1116977"/>
        <s v="1120599"/>
        <s v="1119732"/>
        <s v="1119731"/>
        <s v="1120739"/>
        <s v="1119984"/>
        <s v="1119231"/>
        <s v="1120102"/>
        <s v="1116870"/>
        <s v="1116577"/>
        <s v="1119273"/>
        <s v="1117049"/>
        <s v="1120441"/>
        <s v="1119185"/>
        <s v="1120909"/>
        <s v="1115924"/>
        <s v="1116062"/>
        <s v="1116975"/>
        <s v="1117419"/>
        <s v="1116337"/>
        <s v="1119163"/>
        <s v="1117052"/>
        <s v="1115901"/>
        <s v="1116244"/>
        <s v="1117535"/>
        <s v="1116465"/>
        <s v="1120327"/>
        <s v="1120388"/>
        <s v="1120740"/>
        <s v="1123394"/>
        <s v="1120325"/>
        <s v="1116972"/>
        <s v="1119977"/>
        <s v="1120053"/>
        <s v="1120483"/>
        <s v="1117016"/>
        <s v="1119082"/>
        <s v="1116528"/>
        <s v="1116409"/>
        <s v="1117221"/>
        <s v="1120003"/>
        <s v="1116080"/>
        <s v="1120340"/>
        <s v="1120111"/>
        <s v="1119178"/>
        <s v="1116974"/>
        <s v="1119078"/>
        <s v="1116079"/>
        <s v="1116018"/>
        <s v="1120698"/>
        <s v="1116924"/>
        <s v="1123396"/>
        <s v="1118293"/>
        <s v="1119089"/>
        <s v="1117050"/>
        <s v="1116877"/>
        <s v="1119538"/>
        <s v="1116265"/>
        <s v="1120685"/>
        <s v="1120341"/>
        <s v="1117160"/>
        <s v="1119763"/>
        <s v="1116259"/>
        <s v="1116581"/>
        <s v="1123297"/>
        <s v="1116263"/>
        <s v="1123395"/>
        <s v="1119471"/>
        <s v="1116061"/>
        <s v="1118188"/>
        <s v="1120310"/>
        <s v="1120877"/>
        <s v="1120311"/>
        <s v="1119850"/>
        <s v="1120741"/>
        <s v="1116405"/>
        <s v="1119389"/>
        <s v="1118597"/>
        <s v="1120687"/>
        <s v="1119449"/>
        <s v="1119603"/>
        <s v="1116436"/>
        <s v="1119599"/>
        <s v="1123399"/>
        <s v="1119062"/>
        <s v="1118432"/>
        <s v="1119524"/>
        <s v="1123401"/>
        <s v="1123402"/>
        <s v="1118220"/>
        <s v="1119743"/>
        <s v="1120881"/>
        <s v="1116086"/>
        <s v="1120305"/>
        <s v="1115897"/>
        <s v="1120505"/>
        <s v="1116559"/>
        <s v="1117426"/>
        <s v="1118189"/>
        <s v="1119087"/>
        <s v="1119090"/>
        <s v="1119653"/>
        <s v="1120372"/>
        <s v="1117272"/>
        <s v="1120250"/>
        <s v="1119647"/>
        <s v="1119798"/>
        <s v="1115861"/>
        <s v="1116333"/>
        <s v="1116082"/>
        <s v="1119532"/>
        <s v="1123451"/>
        <s v="1117047"/>
        <s v="1119265"/>
        <s v="1116956"/>
        <s v="1116601"/>
        <s v="1120107"/>
        <s v="1117021"/>
        <s v="1118313"/>
        <s v="1117686"/>
        <s v="1119462"/>
        <s v="1503710"/>
        <s v="1500865"/>
        <s v="1503694"/>
        <s v="1503683"/>
        <s v="1504116"/>
        <s v="1504632"/>
        <s v="1504500"/>
        <s v="1503769"/>
        <s v="1502530"/>
        <s v="1502861"/>
        <s v="1116928"/>
        <s v="1116425"/>
        <s v="1119554"/>
        <s v="1117039"/>
        <s v="1117118"/>
        <s v="1119097"/>
        <s v="1123397"/>
        <s v="1119275"/>
      </sharedItems>
    </cacheField>
    <cacheField name="Name AG" numFmtId="0">
      <sharedItems count="2701">
        <s v="FERGUSON SCATTERED ACRES"/>
        <s v="DUANE FERGUSON"/>
        <s v="SOUTHERN MINNESOTA SUGAR COOP"/>
        <s v="TIMOTHY HECHT"/>
        <s v="CHRIS RATAJCZAK"/>
        <s v="KEITH VOGEL"/>
        <s v="MINN-DAK FARMERS COOP"/>
        <s v="LARRY BUTCHER"/>
        <s v="ACKERMAN FARMS INC"/>
        <s v="DAVE L KILDOW"/>
        <s v="CHAR-CREEK FARM DIV OF 625982"/>
        <s v="WEISHAAR BROS"/>
        <s v="ASTLE FARMS LLC"/>
        <s v="ROGER STUTZMAN FARMS INC"/>
        <s v="PETER KUKOWSKI"/>
        <s v="COX &amp; FISHER INC"/>
        <s v="LEEN FARMS LLC"/>
        <s v="HD FARMS INC"/>
        <s v="TEXAS-RED ENTERPRISES INC"/>
        <s v="TIM KARST"/>
        <s v="TED KARST"/>
        <s v="ICOPINI FARMS INC"/>
        <s v="MURRAYMERE FARMS"/>
        <s v="BRET FABER"/>
        <s v="SMITH FARMS"/>
        <s v="RBK FARMS INC"/>
        <s v="FARWELL FARMS INC"/>
        <s v="LYLE &amp; VONY EVELO"/>
        <s v="CHARLES A HESSENTHALER"/>
        <s v="ROBERT GUCCION"/>
        <s v="O HARRIS ASAY FARMS CO"/>
        <s v="MCKIMMY FARMS LLC"/>
        <s v="PETER MAXWELL"/>
        <s v="SCOTT FLYNN"/>
        <s v="SCHILLING FARMS LLC"/>
        <s v="PHILLIP HURLEY"/>
        <s v="KJELD JONSSON"/>
        <s v="UNIVERSITY OF NEBRASKA"/>
        <s v="DANIELSON FARMS INC"/>
        <s v="THREE N FARM"/>
        <s v="BIERLEIN FARMS INC"/>
        <s v="SCHUETTE FARMS INC"/>
        <s v="LUKE &amp; WILL BERRY"/>
        <s v="JOHN HOFFMAN"/>
        <s v="MARK BRAATEN"/>
        <s v="BANKS FARMS INC"/>
        <s v="Z3 BAR FARMS INC"/>
        <s v="PROPP FARMS"/>
        <s v="RICHARD MCPHAIL"/>
        <s v="STUTZMAN INC"/>
        <s v="RON BERRY"/>
        <s v="BRANDON &amp; CHRIS HOFFMAN"/>
        <s v="FOWERS INC"/>
        <s v="DAVID AND SHANE LACKMAN FARMS,"/>
        <s v="RDK FARMS"/>
        <s v="WILLIAM UFFELMAN"/>
        <s v="GREGORY LACKMAN FARM INC"/>
        <s v="STEVEN MAEDEL"/>
        <s v="RUBEN ASUMENDI"/>
        <s v="UFFELMAN FARMS INC"/>
        <s v="PAUL M STIEBER"/>
        <s v="CARL NEDENS"/>
        <s v="HARPER FAMILY LLC"/>
        <s v="MITCH NEIBAUR FARMS"/>
        <s v="TOM H GARRARD"/>
        <s v="BART BOWERS"/>
        <s v="F T FREESTONE JR."/>
        <s v="KODY YOUREE"/>
        <s v="DOWN WIND FARMS"/>
        <s v="E &amp; M FARMS"/>
        <s v="BRENT BOWEN FARMS"/>
        <s v="OAKLEY IDAHO CROPS"/>
        <s v="WEISER RIVER PACKING INC"/>
        <s v="HEWARD BROTHERS"/>
        <s v="ERIC RUSSELL"/>
        <s v="RUSSELL &amp; SONS FARMS LLC"/>
        <s v="VADER FARMS INC"/>
        <s v="DUANE BLAUER"/>
        <s v="GEHRING AGRI-BUSINESS"/>
        <s v="JASON MARCHBANKS"/>
        <s v="KLEIN FAMILY FARMS LLC"/>
        <s v="MAICO FARMS INC"/>
        <s v="FLYING W FARMS"/>
        <s v="JAMES TAYLOR"/>
        <s v="TNT FARMS"/>
        <s v="RODNEY HURLEY"/>
        <s v="RYAN WILKINS"/>
        <s v="ROCKY RIDGE FARMS"/>
        <s v="RM ROBERTSON FARMS"/>
        <s v="BRUCE BOWEN"/>
        <s v="JUSTIN D &amp; ANITA M KARST"/>
        <s v="TIMM ADAMS FARMS INC"/>
        <s v="JERRY WILCOX"/>
        <s v="TRAVIS MAI"/>
        <s v="JOHN R MARSHALL FARMS"/>
        <s v="SHANE DARRINGTON"/>
        <s v="KYLE DARRINGTON"/>
        <s v="ROBYN PURDUM"/>
        <s v="CODY BINGHAM FARMS"/>
        <s v="CROP CARE, INC."/>
        <s v="JOHN COLE"/>
        <s v="STANLEY JOHNSON &amp; K SCHUEBEL"/>
        <s v="JOHNSTON FARM"/>
        <s v="EAMES ACRES"/>
        <s v="TRAIL RANCHES INC"/>
        <s v="R - AG INC"/>
        <s v="SCHAEFFER FARMS INC"/>
        <s v="FORREST EWEN"/>
        <s v="STEVEN NETCHER"/>
        <s v="WALTER FREESTONE"/>
        <s v="C BRIOLAT FARMS INC"/>
        <s v="MATT HORNBACHER"/>
        <s v="DAVID BECK"/>
        <s v="ANDY WILCOX"/>
        <s v="TRI R INC"/>
        <s v="GRESSLEY FARMS"/>
        <s v="4B FARMS"/>
        <s v="EUGENE MATTHEWS"/>
        <s v="HOLBROOK FARMS INC"/>
        <s v="VADER AND SON LLC"/>
        <s v="ROD PANIKE FARMS"/>
        <s v="RYAN OLSEN"/>
        <s v="SCOTT TURPIN"/>
        <s v="RUFF TIMES FARMS"/>
        <s v="JUSTIN HUNTER"/>
        <s v="JOHN FRISCH"/>
        <s v="LIAL SINN"/>
        <s v="LARRY HECHT"/>
        <s v="CLAAR FARMS INC"/>
        <s v="DRISCOLL BROTHERS-JEROME FARM"/>
        <s v="PATRICK FARMS"/>
        <s v="TIM ZUREK"/>
        <s v="HOWARD WILSON"/>
        <s v="BRUCE WILSON"/>
        <s v="BRET AND JOE NELSON"/>
        <s v="HARPER FAMILY PARTNERSHIP"/>
        <s v="DALE DARRINGTON"/>
        <s v="BEARS COULEE RANCH"/>
        <s v="DANA BERWICK"/>
        <s v="DOUG SMITH"/>
        <s v="SINN FARMS"/>
        <s v="VALLEY VIEW OF MAGIC VALLEY IN"/>
        <s v="MIX MILLER FARMS LLP"/>
        <s v="TERRY HOLLIFIELD"/>
        <s v="L RAY STANGER &amp; SONS"/>
        <s v="LARRY WALTER"/>
        <s v="NILE ENTERPRISES"/>
        <s v="D &amp; S SUPPLY"/>
        <s v="ANDY TUMA"/>
        <s v="RYAN SERR"/>
        <s v="KENNETH C MILLER"/>
        <s v="JASON HOUK"/>
        <s v="DWIGHT BARTLE"/>
        <s v="DAVID R &amp; PATTI M BIERLEIN"/>
        <s v="KURT EWALD"/>
        <s v="BEDNARSKI FARMS INC"/>
        <s v="RAYL FARMS INC"/>
        <s v="RICHARD DORN"/>
        <s v="R MUNN LLC"/>
        <s v="JEFF HYATT"/>
        <s v="JEFF ROOT"/>
        <s v="POTEET FARMS INC"/>
        <s v="WESLEY ULLRICH"/>
        <s v="MERENESS FARMS"/>
        <s v="DAVID MARCHBANKS"/>
        <s v="CRANNEY FARMS"/>
        <s v="STEFFAN FARMS INC"/>
        <s v="BAUSTE FARMS"/>
        <s v="SCHRITTER FARMS"/>
        <s v="AARON POVEY FARMS"/>
        <s v="PAHL FARMS"/>
        <s v="E &amp; H FARMS LLC"/>
        <s v="R &amp; B FARMS INC"/>
        <s v="EVERS BROS FARMS"/>
        <s v="C.L.PETERSON FARMS LLC"/>
        <s v="REED FARMS INC"/>
        <s v="JOHN BRENCE"/>
        <s v="R B FARMS INC"/>
        <s v="JNK INC"/>
        <s v="BRIAN &amp; TRISH BUXBAUM"/>
        <s v="GENTNER-BISCHER FARMS LLC"/>
        <s v="MEYLAN FARMS INC"/>
        <s v="RUSSELL LAND &amp; LIVESTOCK"/>
        <s v="JOHN BULLINGER &amp; SONS"/>
        <s v="DUSTIN REUTER"/>
        <s v="KENNETH HORSCH FARMS"/>
        <s v="DOUGLAS EVANS"/>
        <s v="COUNTY LINE FARMS"/>
        <s v="DWIGHT HORSCH"/>
        <s v="JOHN MALMSTROM"/>
        <s v="DAVISON FARMS"/>
        <s v="WADE POVEY FARMS"/>
        <s v="ANDY POVEY FARMS"/>
        <s v="US-2 FARMS"/>
        <s v="FRIESEN FARMS LLC"/>
        <s v="JW N SONS INC"/>
        <s v="DOUBLE D FARMS INC"/>
        <s v="K-D ACRES INC"/>
        <s v="NEWTON BROS &amp; SON"/>
        <s v="COLTON CHANDLER"/>
        <s v="EW CHANDLER INC"/>
        <s v="PATTERSON LAND &amp; LIVESTOCK"/>
        <s v="CAVIN STEIGER"/>
        <s v="CREGG POTEET"/>
        <s v="BILL DEBUS"/>
        <s v="JEFF JENKINS"/>
        <s v="J &amp; R FARMING"/>
        <s v="DENNIS SMITH"/>
        <s v="MICHAEL L HINMAN"/>
        <s v="HIGHLAND FARMS LLC"/>
        <s v="JEFF AND BRIAN DARRINGTON"/>
        <s v="TURNER FARMS"/>
        <s v="NOLLMEYER FARMS"/>
        <s v="J L J FARMS"/>
        <s v="SHARRARD FARMS LLC"/>
        <s v="MARTINEAU FARMS LLC"/>
        <s v="4B FARMS INC"/>
        <s v="ALAN J HARPER"/>
        <s v="NOLL DAIRY FARMS"/>
        <s v="WILLIAM E DUYCK"/>
        <s v="ROBERT ELSTON"/>
        <s v="SCHROEDER &amp; MICHAEL INC"/>
        <s v="DAN DARRINGTON"/>
        <s v="D JAY HARPER"/>
        <s v="BRUCE GARDNER"/>
        <s v="WAGNER FARMS"/>
        <s v="RANDY GLENN"/>
        <s v="D &amp; D THOM FARMS"/>
        <s v="NOLL INC"/>
        <s v="PAUL HOLZ"/>
        <s v="BS FARMS INC"/>
        <s v="BRYAN ROBSON"/>
        <s v="DOUG BLICKENSTAFF"/>
        <s v="DENNIS JAY GARDNER"/>
        <s v="SHARBONO LIVESTOCK AND GRAIN I"/>
        <s v="DMC FARMS"/>
        <s v="BRAD SHARBONO FARMS"/>
        <s v="TODD BLICKENSTAFF"/>
        <s v="R &amp; P GERSTENBERGER LLC"/>
        <s v="RIC RODRIGUEZ"/>
        <s v="NEIL ALLISON FARMS"/>
        <s v="FROERER FARMS"/>
        <s v="NEAL FLANAGAN"/>
        <s v="BROWN BROTHERS"/>
        <s v="TED TATEOKA"/>
        <s v="E &amp; B FARMS INC"/>
        <s v="DUANE RAMSEYER"/>
        <s v="HUBERT SHAW"/>
        <s v="RUPERT IDAHO CROPS"/>
        <s v="MCKAMEY FARMS II LLC"/>
        <s v="DARRELL SCHLEDEWITZ"/>
        <s v="BRET ROBINS"/>
        <s v="WADSWORTH FARMS INC"/>
        <s v="DERRICK MAIER"/>
        <s v="KIRKPATRICK FARMS INC"/>
        <s v="BRENT GRIFFIN"/>
        <s v="DANIEL SHUMWAY"/>
        <s v="AGLER FARMING"/>
        <s v="MIKE WILKINS"/>
        <s v="5-S FARMS INC"/>
        <s v="LANCE FUNK FARMS"/>
        <s v="REIF FARMS INC"/>
        <s v="AMK FARMS"/>
        <s v="ALAN WOODLAND"/>
        <s v="DUSTY WILKINS"/>
        <s v="ALLAN K SHAW INC"/>
        <s v="JAMES L JELINEK"/>
        <s v="HANSEN FARMS JOINT VENTURE"/>
        <s v="NEIL THOMAS"/>
        <s v="PAUL KUCK FARM LLC"/>
        <s v="STARGATE RANCH"/>
        <s v="DONLEY FARMS INC"/>
        <s v="RAMSEYER FARMS INC"/>
        <s v="BRIAN &amp; ANTHONY BIERLEIN LLC"/>
        <s v="ZWERK FARMS"/>
        <s v="GOLDEN VIEW FARMS INC"/>
        <s v="JOHN DYER"/>
        <s v="JAY SCHLATTER"/>
        <s v="WURDEMAN FARMS LLC"/>
        <s v="MIKE KILDOW JR"/>
        <s v="KENDALL  SEDER"/>
        <s v="BEN BECK"/>
        <s v="SHEY TAYLOR"/>
        <s v="SLEEPY T FARMS"/>
        <s v="MIKE MCCALL"/>
        <s v="JIM DARNELL III"/>
        <s v="LAZY AS FARMS"/>
        <s v="VINCENT FARMS INC"/>
        <s v="STEVE BOVEE"/>
        <s v="BRENT HARTLEY FARMS LLC"/>
        <s v="BUEHLER FARM INC"/>
        <s v="WEST RIVER ENTERPRISES LLC"/>
        <s v="RON HEPWORTH"/>
        <s v="BLICK BROS &amp; SRC FARMS"/>
        <s v="M &amp; R FARMS INC"/>
        <s v="MAGIC IRRIGATORS INC"/>
        <s v="ECKERT &amp; SONS"/>
        <s v="GULICK FARMS LLC"/>
        <s v="MCCALL FARMS"/>
        <s v="HARDY AG INC"/>
        <s v="4C SONS INC"/>
        <s v="TVEIT LAND &amp; CATTLE CO"/>
        <s v="NATHAN WELTY"/>
        <s v="SEAN WELTY"/>
        <s v="DANIEL FEINAUER"/>
        <s v="TAYJO LLC"/>
        <s v="BEDNARYCZK FARMS LLC"/>
        <s v="SPEZIA - BRUCE &amp; SONS"/>
        <s v="SAM ROSTI FARMS"/>
        <s v="BERNIA FAMILY FARMS INC"/>
        <s v="2C FARM"/>
        <s v="MATT COFER"/>
        <s v="MARK H CHAFFIN REVOCABLE TRUST"/>
        <s v="AGUILAR BROTHERS LLC"/>
        <s v="MENDEZ BROTHERS"/>
        <s v="QUANDT FARMS INC"/>
        <s v="LAMAR ISAAK"/>
        <s v="DAVID W BRUSIE &amp; SONS INC"/>
        <s v="BENZEL BROS FARMS"/>
        <s v="HALL AG"/>
        <s v="K &amp; S BUTCHER FARMS"/>
        <s v="ADAM BLANK"/>
        <s v="FREEZEOUT FARMS LLC"/>
        <s v="WYATT FARMS/BOWEN FARMS PARTNE"/>
        <s v="MICHAEL ANN RELKA"/>
        <s v="RIVER BEND INC"/>
        <s v="RANDY UFFELMAN INC"/>
        <s v="ELEAZAR GARZA"/>
        <s v="PAUL RASMUSSEN"/>
        <s v="DANIEL BULCHER"/>
        <s v="BULCHER FARMS"/>
        <s v="ROBERT ALEXANDER"/>
        <s v="3B HAY AND FARM"/>
        <s v="EUGENE MILLER &amp; SONS"/>
        <s v="HAMILTON PROPERTIES"/>
        <s v="LIBSACK FARMS INC"/>
        <s v="MIKE HOFER"/>
        <s v="MAXWELL SEED FARMS"/>
        <s v="TY BECK"/>
        <s v="DORN FARMS INC"/>
        <s v="ALVIN FRITZLER"/>
        <s v="MICHAEL KEIL"/>
        <s v="RICK WRIGLEY"/>
        <s v="CALVIN MAUST"/>
        <s v="MATT NAIL"/>
        <s v="MCCONNACHIE BEET PRODUCERS LLC"/>
        <s v="BURUSCO FARMS"/>
        <s v="VAL WAHLEN FARMS"/>
        <s v="SPARTAN ACRES INC"/>
        <s v="BRENTON PAXTON"/>
        <s v="CACTUS HILL CORP"/>
        <s v="TIM WATERS"/>
        <s v="J &amp; J BALING"/>
        <s v="JORDAN FARMS INC"/>
        <s v="RADEMACHER FARMS INC"/>
        <s v="HARLEY, JOHN, JAMES, PAT ASBEC"/>
        <s v="DANE LAND MANAGEMENT GROUP"/>
        <s v="CRUMBAUGH LEGACY INC"/>
        <s v="24/7 FARMS LLC"/>
        <s v="CLARK ENTERPRISES"/>
        <s v="MAPLE LEAF FARMS LLC"/>
        <s v="RASGORSHEK FARMS INC"/>
        <s v="ROGER BLASS"/>
        <s v="ROBERT A SHIRTS"/>
        <s v="GREEN ACRES"/>
        <s v="RYAN SAMPLES"/>
        <s v="HERFORD BROTHERS"/>
        <s v="STEVE &amp; MICHELLE GAYARI"/>
        <s v="BAY HORIZON FARM LLC"/>
        <s v="CRAIG CRAWFORD"/>
        <s v="DMB FARMS LLC"/>
        <s v="PINEVIEW FARMS LLC"/>
        <s v="WERBELOW BROS"/>
        <s v="KEEFE ANDERSON"/>
        <s v="MICHAEL A RASMUSSEN"/>
        <s v="DALE FABRICIUS"/>
        <s v="MICHAEL NEVES"/>
        <s v="SOBOTKA FARMS LLC"/>
        <s v="MATTHEW  BULCHER"/>
        <s v="ECKHARDT FARMS"/>
        <s v="STRECKER FARMS INC"/>
        <s v="DAVE'S DIRT LLC"/>
        <s v="PAUL HICKS"/>
        <s v="DOT ELEVEN FARMS"/>
        <s v="GRANT &amp; HAGAN INC"/>
        <s v="DAVID HOFFMAN"/>
        <s v="NEAL SPENCER"/>
        <s v="CARY SPENCER"/>
        <s v="JADE FARMS"/>
        <s v="FRED HAUN FARMS"/>
        <s v="BRENT HAUN"/>
        <s v="PRIES FARMS, LLC"/>
        <s v="WEBER AG LLC"/>
        <s v="SHAFFNER BROTHERS LLC"/>
        <s v="FEICKERT FARMS LLC"/>
        <s v="RAU FARMS INC"/>
        <s v="STAR FALLS FARMS LLC"/>
        <s v="BEN BERGEN"/>
        <s v="HEATHER GENTNER"/>
        <s v="PHIL WEBER"/>
        <s v="CHAD RIEDER"/>
        <s v="IIBX INC"/>
        <s v="IDAHO FARMS LLC"/>
        <s v="MARIO PITTS"/>
        <s v="SWEET ACRE FARMS"/>
        <s v="TRIPLE ACE INC"/>
        <s v="COLE FARMS INC"/>
        <s v="GERALD R PATHIC"/>
        <s v="HAIDLE FARMS INC"/>
        <s v="ZACK HUBER"/>
        <s v="STOLICKER FARMS SUGAR LLC"/>
        <s v="G 6 FARMS LLC"/>
        <s v="JOSH ODEAN"/>
        <s v="FOSTER FARMS"/>
        <s v="PALESK FARMS INC"/>
        <s v="SAGE CREEK LAND &amp; CATTLE CO"/>
        <s v="TD FARMS INC"/>
        <s v="MCL INVESTMENTS INC"/>
        <s v="CRAIG GETTEL"/>
        <s v="STEVEN E KROHN FARMS LLC"/>
        <s v="SUNRISE FARMS"/>
        <s v="BEN MAUST"/>
        <s v="M &amp; W FARMS LLC"/>
        <s v="GRANT 4-D FARMS"/>
        <s v="A-3 FARMS LLC"/>
        <s v="VALLIVUE FARMS INC"/>
        <s v="FIRESAND INC"/>
        <s v="GARY WARK"/>
        <s v="LARRY MONCHER"/>
        <s v="KEVIN STOKES"/>
        <s v="M &amp; K FARMS INC"/>
        <s v="ONE ROCK FARMS"/>
        <s v="DOUGLAS E CORLISS"/>
        <s v="WALKER FARMS LLC"/>
        <s v="CLYDE ANTHON"/>
        <s v="EDGAR BROTHERS"/>
        <s v="SPENCER MAUGHAN FARMS INC"/>
        <s v="PITTS FARMS"/>
        <s v="KG LAND &amp; LIVESTOCK INC"/>
        <s v="MIKE GOTT"/>
        <s v="BRUCE CORN"/>
        <s v="ZIMMER FARM INC"/>
        <s v="STEVE WEGENER"/>
        <s v="BEAVER MACHINE &amp; CATTLE"/>
        <s v="RAKES FARMS LLC"/>
        <s v="DON R &amp; DOREEN L SNIDEMAN"/>
        <s v="IDA-RIDGE FARMS, LLC"/>
        <s v="KIM WAHLEN FARMS"/>
        <s v="JOHN L MEHLING"/>
        <s v="DAVE  E GORDON"/>
        <s v="SCHLENKER RANCH INC"/>
        <s v="RICHARD A SCHLENKER"/>
        <s v="MADDEN FARMS LLC"/>
        <s v="BRIAN KINDSFATHER"/>
        <s v="ROBERT SHEPARD"/>
        <s v="JARRED SATER"/>
        <s v="KEITH ESSENMACHER"/>
        <s v="NORTHSIDE FARMS INC"/>
        <s v="LAYNE THORNTON"/>
        <s v="D-T PROW FARMS"/>
        <s v="KUKLA FARMS LLC"/>
        <s v="SETH WOODLAND"/>
        <s v="MICHAEL VIGIL"/>
        <s v="NICK GEIS"/>
        <s v="SOUTH FLAT LAND &amp; LIVESTOCK"/>
        <s v="DELFINO JUAREZ"/>
        <s v="DANIEL CHURCH"/>
        <s v="SYLVESTER FARMS"/>
        <s v="PAUL SATER"/>
        <s v="CHIKOS BROTHERS AGRICULTURAL L"/>
        <s v="BARRY KINSFATHER"/>
        <s v="MCCORMACK ENTERPRISES INC"/>
        <s v="CEDAR POND FARMS INC"/>
        <s v="THOMAS A DRESCHER"/>
        <s v="JENTZSCH-KEARL FARMS"/>
        <s v="KELLY KRAMER"/>
        <s v="BRET JOHNSON"/>
        <s v="VANHOOST FARMS INC"/>
        <s v="TUCKNESS FARMS"/>
        <s v="WESTON MEHLING FARMS"/>
        <s v="LEWMAN FARMS LLC"/>
        <s v="M &amp; S FARMS"/>
        <s v="EARNEST OPERATIONS LLC"/>
        <s v="CLEO MILLER FARMS"/>
        <s v="TANTON FAMILY FARMS INC"/>
        <s v="CRAIG PAULSEN"/>
        <s v="MARIO HERRERA"/>
        <s v="BLAYNE RAU"/>
        <s v="PASCO FARMING INC"/>
        <s v="SKS FARMS LLC"/>
        <s v="ADAM MAURER"/>
        <s v="TRIPLE C FARMS"/>
        <s v="COUNTRY LANE FARMS INC"/>
        <s v="BLUE CARRIAGE FARM INC"/>
        <s v="T &amp; J FARMS INC"/>
        <s v="DC FARMS INC"/>
        <s v="D WENDLAND FARMS"/>
        <s v="GARY W KARST"/>
        <s v="D AND B AG"/>
        <s v="LYLE REEVE"/>
        <s v="TERRAL BALZER"/>
        <s v="GREG NEIBAUER"/>
        <s v="MIKE KRUM"/>
        <s v="J P LETE"/>
        <s v="SPRING FARMS"/>
        <s v="DWIGHT GILBERT"/>
        <s v="MAX BAKER"/>
        <s v="JERRY SUMMERALL"/>
        <s v="RAZOR CREEK FARMS"/>
        <s v="SID NAITO"/>
        <s v="MIKE WARK"/>
        <s v="SHROLL FARMS LLC"/>
        <s v="BKS FARMS LLC"/>
        <s v="MCPHERSON FARMS"/>
        <s v="CONRADSEN BROS INC"/>
        <s v="HEGLAR CREEK FARMS"/>
        <s v="DIAMOND I INC"/>
        <s v="SWL FARMS INC"/>
        <s v="DOUG CARLQUIST"/>
        <s v="L &amp; J WINT FARMS"/>
        <s v="SHAWN WOODWARD"/>
        <s v="DON &amp; LEONA ABRAHAM"/>
        <s v="DIAMOND X FARMS INC"/>
        <s v="WAYNE SIEFKA"/>
        <s v="GOLDEN RIDGE FARMS"/>
        <s v="SMITH FARMS INC"/>
        <s v="BRANDY PETTET"/>
        <s v="DON SUHR"/>
        <s v="MAX SUHR"/>
        <s v="JOSH NEIBAUER"/>
        <s v="RADER FARMS LLC"/>
        <s v="D &amp; L FARMS"/>
        <s v="GIMMESON FARMS"/>
        <s v="THOMAS E SCHAEFF"/>
        <s v="STOCKMEYER FAMILY FARMS"/>
        <s v="JONES FARMS"/>
        <s v="BRIAN ASHER"/>
        <s v="BRIAN FRANK"/>
        <s v="ROBERT M MC KELLIP"/>
        <s v="LARACHA FARMS LLC"/>
        <s v="T &amp; R ROTH FARMS"/>
        <s v="FISHER FARMS"/>
        <s v="ERIC J FRAHM &amp; TERESA M CROOK"/>
        <s v="ERNIE DOUGLAS"/>
        <s v="STANDAGE FARMS INC"/>
        <s v="WEBURG FARMS"/>
        <s v="ARLEN WOODWARD"/>
        <s v="B &amp; H FARMING"/>
        <s v="BLN HUETTIG FARM"/>
        <s v="PIERSON FARMS INC"/>
        <s v="DAN MELCHER"/>
        <s v="JOEL SCHAEFER"/>
        <s v="DAVID AND KARLA BLACH"/>
        <s v="L SCHMIERER FARMS INC"/>
        <s v="D K S FARMS INC"/>
        <s v="S J F FARMS INC"/>
        <s v="J D F FARMS"/>
        <s v="SDF FARMS INC"/>
        <s v="NYGREN FARMS"/>
        <s v="RANDY CROISSANT"/>
        <s v="GARY ROGGENBUCK"/>
        <s v="BILL ROGGENBUCK"/>
        <s v="CLAUDE PUVALOWSKI"/>
        <s v="CODY EASUM"/>
        <s v="SCOTT DECKER"/>
        <s v="BRIAN KARG"/>
        <s v="SCOTT PUVALOWSKI"/>
        <s v="RONALD &amp; ALICIA BLACH"/>
        <s v="LODING FARMS"/>
        <s v="MORTENSON FARMS PARTNERS"/>
        <s v="COUNTRY CRUZIN"/>
        <s v="CHAPMAN FARMS INC"/>
        <s v="HAROLD BLACH"/>
        <s v="JERRY ASMUS"/>
        <s v="KEN PATTERSON FARMS"/>
        <s v="TED BUJALSKI"/>
        <s v="DNL FARMS"/>
        <s v="LARRY ROGGENBUCK"/>
        <s v="PATRICK KRENGIELSKI"/>
        <s v="GORDON BROTHERS &amp; SONS INC"/>
        <s v="DAVID DECKER"/>
        <s v="BUTCHER FARMS LLC"/>
        <s v="JOSEPH GEIGER"/>
        <s v="P &amp; L WACKERLE"/>
        <s v="DON DEIBEL"/>
        <s v="MARK BUSKIRK"/>
        <s v="RON HANSON"/>
        <s v="T &amp; K FARMS"/>
        <s v="KO FARMS INC"/>
        <s v="ROBERT KRUG"/>
        <s v="STEVE NEIBAUR FARMS INC"/>
        <s v="TUMA FARMS"/>
        <s v="FOOS FARMS"/>
        <s v="D &amp; K FARMS LLC"/>
        <s v="WAYNE CHANDLER"/>
        <s v="JORDON CHANDLER"/>
        <s v="J &amp; K FARMS"/>
        <s v="MIKE BULKLEY"/>
        <s v="ROBERT BUETOW"/>
        <s v="ERWIN SCHAVE"/>
        <s v="MARVIN L BAY"/>
        <s v="BEN HAMMELMAN"/>
        <s v="MARK THAETE"/>
        <s v="TOM CULLAN"/>
        <s v="LYNN KNUST"/>
        <s v="GARY RUPP FARMS"/>
        <s v="BRIAN PABST"/>
        <s v="GERRY HANSON JR"/>
        <s v="ROY &amp; SHARON COLLINGS"/>
        <s v="THOMAS FAMILY FARMS INC"/>
        <s v="ROTH BROS FARMS INC"/>
        <s v="DALE SIPES"/>
        <s v="CHRIS WAGNER"/>
        <s v="BRYCE JORGENSEN"/>
        <s v="WINTER AG INC"/>
        <s v="STEVE OR JOHN LEJARDI"/>
        <s v="LESLIE &amp; LINDA WEISS"/>
        <s v="JON HORT"/>
        <s v="TROY GINGRICH"/>
        <s v="D&amp;J GUZA FARMS INC"/>
        <s v="OSWALD FARMS INC"/>
        <s v="SEAWORTH AG ENTERPRISE INC"/>
        <s v="JEFFREY &amp; SHERI KARST"/>
        <s v="MARVIN POLLUM"/>
        <s v="DL FARMS INC"/>
        <s v="STACER FARMS LTD PARTNERTHIP"/>
        <s v="RONALD GUZA"/>
        <s v="GARY V KRUG"/>
        <s v="WIEDEMAN BROS LLC"/>
        <s v="BLACKSHIRTS EXPRESS LLC"/>
        <s v="MATT ELLIOTT"/>
        <s v="GERALD OPIFICIUS"/>
        <s v="LARRY KLAMA"/>
        <s v="DWIGHT AND MARVIN SELLE INC"/>
        <s v="HORNS INC"/>
        <s v="ROTH FAMILY FARMS INC"/>
        <s v="DARRELL WAAG"/>
        <s v="RODNEY KIRSCH"/>
        <s v="KEN KRUG"/>
        <s v="PERRY WIEDEMAN"/>
        <s v="MICHAEL J SWARTZ"/>
        <s v="NORMAN HURST"/>
        <s v="JOHN OSENTOSKI"/>
        <s v="WAYNE HURST"/>
        <s v="WALKER BROTHERS PARTNERSHIP"/>
        <s v="TOM SCHLAGEL"/>
        <s v="RALPH A BINDER"/>
        <s v="SYDENHAM FARMS"/>
        <s v="DEREK WANDERS"/>
        <s v="WETSTEIN AG INC"/>
        <s v="J &amp; L FARMS LLC"/>
        <s v="MILLER BROS"/>
        <s v="FAXON FARMS"/>
        <s v="RCS FARMS INC"/>
        <s v="LELAND LEBSACK"/>
        <s v="TOMMY O WEISS"/>
        <s v="NAGAKI FARMS"/>
        <s v="MICHAEL LITZENBERGER"/>
        <s v="CARTOMMA FARMS INC"/>
        <s v="DOUG VOLMERING"/>
        <s v="NB FARMS"/>
        <s v="ALLEN  &amp; CAROL LACHENMAIER"/>
        <s v="DAVID REIDLE"/>
        <s v="JAMES A GREMEL"/>
        <s v="MIKE ST JEAN"/>
        <s v="STEVE KODA"/>
        <s v="TERRY WEISS"/>
        <s v="TORBEN ERIKSTRUP"/>
        <s v="TIMOTHY &amp; DEBRA KUBACKI"/>
        <s v="KOHL FARMS LLC"/>
        <s v="ROCKING T J FARMS INC"/>
        <s v="KUNDINGER FARMS INC"/>
        <s v="TIMOTHY P DEMARAY"/>
        <s v="RICHARDS ROLLING ACRES"/>
        <s v="TROY VOLMERING"/>
        <s v="VAL DARRINGTON"/>
        <s v="KEN IVERSEN"/>
        <s v="LES VOLMERING"/>
        <s v="RICK CLARK"/>
        <s v="CODY E KUNTZ"/>
        <s v="GERSTACKER FARMS"/>
        <s v="BENICKER FARMS"/>
        <s v="BOOMS FARMS LLC"/>
        <s v="D &amp; D FARMS"/>
        <s v="PEACEFUL ACRES LTD"/>
        <s v="BUCKLEY CREEK FARMS INC"/>
        <s v="Jamie Volmering"/>
        <s v="BILL VOLMERING"/>
        <s v="KEVIN KOCH"/>
        <s v="RICK BENDA FARM"/>
        <s v="LARRY R JOLLEY"/>
        <s v="WALKER FARMING INC"/>
        <s v="OGIE ACRES INC"/>
        <s v="RANDY SIAN"/>
        <s v="RUSSEL GRUEL"/>
        <s v="JAMES TIEDE"/>
        <s v="JEFF SEALS"/>
        <s v="FORREST ARTHUR/ANDERSON BROS"/>
        <s v="DAN KUNDINGER"/>
        <s v="DOUG HARTLEY FARMS INC"/>
        <s v="WESTON SCHULTHIES"/>
        <s v="D &amp; L VOKES FARMS"/>
        <s v="JUSTIN JUBENVILLE"/>
        <s v="GILES &amp;MEYERS FARMS LLC"/>
        <s v="RICHARD VOLMERING"/>
        <s v="RYAN VOLMERING"/>
        <s v="AARON BALL"/>
        <s v="BRAUN ACRES INC"/>
        <s v="MICHAEL WEISS"/>
        <s v="BRIAN &amp; DELYNN LEARMAN"/>
        <s v="LRK FARMS INC"/>
        <s v="K M TWO FARMS"/>
        <s v="KELLER BROS FARMS INC"/>
        <s v="JAYSON KELLER"/>
        <s v="ACKERMAN BROS FARMS LLC"/>
        <s v="GRAHAM GLASGOW"/>
        <s v="JASON GAISER"/>
        <s v="KONECNY FARMS INC"/>
        <s v="COZZENS &amp; SONS"/>
        <s v="COZZENS FARMS CO"/>
        <s v="2202219 ONTARIO INC"/>
        <s v="KENNETH D SMITH"/>
        <s v="WBH FARMS LLC"/>
        <s v="BRAD &amp; JOY DELSING"/>
        <s v="FRANK AG"/>
        <s v="BRETT SWARTZ"/>
        <s v="BRAD DARRINGTON"/>
        <s v="CARL J KRUMENACKER"/>
        <s v="KEITH BINDER"/>
        <s v="J WM SCHMIDT"/>
        <s v="JEFFERY H DREHER"/>
        <s v="CHRISTOPHER L KROZEK"/>
        <s v="WALTER HECHT INC"/>
        <s v="MARK MOSSNER"/>
        <s v="EUGEN &amp; SILVIA BURGIN EUSI FAR"/>
        <s v="EBIKON FARMS INC"/>
        <s v="NORBERT FAUBERT"/>
        <s v="2463539 ONTARIO INC"/>
        <s v="CHRIS COUTURE"/>
        <s v="BROOKSTON ACRES 2001 INC"/>
        <s v="PAUL MICKELSEN FARMS INC"/>
        <s v="DESHANO FARMS INC"/>
        <s v="GREG STIEBEN"/>
        <s v="JOHN KRENGIELSKI"/>
        <s v="KENNETH HECHT"/>
        <s v="SHAWN SMITH"/>
        <s v="LODGEPOLE VALLEY POTATOES"/>
        <s v="CHRIS RATAJCZAK JR."/>
        <s v="BINDER BROS"/>
        <s v="GENE MURATA"/>
        <s v="C &amp; W HECHT FARMS LLC"/>
        <s v="KARL HASS"/>
        <s v="STEVE KELLY"/>
        <s v="JACOB BUXBAUM"/>
        <s v="BEEFLAND INC &amp; STEVE TIBBETTS"/>
        <s v="DELRUE AGRI"/>
        <s v="TREKON FARMS INC"/>
        <s v="WINEGAR FARMS INC"/>
        <s v="LARRY CHRISTENSEN"/>
        <s v="AGRI-COUTURE INC"/>
        <s v="DANIEL R SWARTZ INC"/>
        <s v="BARRY JOHNSON"/>
        <s v="GARY SCHMUNK"/>
        <s v="JOHN RETFORD"/>
        <s v="DRISCOLL BROS II"/>
        <s v="DRISCOLL BROTHERS"/>
        <s v="KEVIN ANDERSON"/>
        <s v="LEROY UHRICH"/>
        <s v="FRANK BROS PARTNERSHIP"/>
        <s v="JOHN P BURK"/>
        <s v="BRYAN G HECHT"/>
        <s v="ESKAU FARMS"/>
        <s v="GLEN LEFFLER"/>
        <s v="RODNEY BUXBAUM"/>
        <s v="LEWIS FARMS LLC"/>
        <s v="HECHT BROTHERS FARMS INC"/>
        <s v="SHAWN HURST"/>
        <s v="RANDY BINDER"/>
        <s v="HRABAL FARMS"/>
        <s v="HAROLD WALLACE"/>
        <s v="MARVIN WALLACE"/>
        <s v="RYLEY BUXBAUM"/>
        <s v="ROGER CHRISTENSEN"/>
        <s v="ACKERMAN &amp; SON LLC"/>
        <s v="KRAFT LIVESTOCK LLC"/>
        <s v="KENDALL L BUSCH"/>
        <s v="JP COUTURE"/>
        <s v="JOHN A BURK"/>
        <s v="STEVEN E WINTER"/>
        <s v="STEVE KILDOW"/>
        <s v="RUBEN RICHARDSON"/>
        <s v="HOSKIN FARM"/>
        <s v="MARK W ROBERTUS"/>
        <s v="CHARLES F HARTLEY"/>
        <s v="BRYAN T SCHWAB"/>
        <s v="TOMBRE INC"/>
        <s v="ETHAN CHAMBERLAIN"/>
        <s v="ANDERSEN FARMS LLC"/>
        <s v="PASCO FARMING"/>
        <s v="DAN SCHEETZ"/>
        <s v="RYAN MOSS"/>
        <s v="STORY FARMS"/>
        <s v="CULLEN HOSKIN"/>
        <s v="DORE FARMS LLC"/>
        <s v="TRIPLE M FARMS LLC"/>
        <s v="TRABOR BAUER"/>
        <s v="ANDRE LAPRISE"/>
        <s v="GARRET SHETLER"/>
        <s v="WELP FARMS INC"/>
        <s v="MELVIN MARTIN"/>
        <s v="LYNN ROBIRDS"/>
        <s v="KEN LANDSBURG"/>
        <s v="KEVIN R WACKERLE"/>
        <s v="SCHINDLER FARMS LLC"/>
        <s v="FRANK FARMS INC"/>
        <s v="OWYHEE FARMING"/>
        <s v="WHITMAN BROS INC"/>
        <s v="JARED SNELL"/>
        <s v="KERBS BROS FARMS"/>
        <s v="RICHARD J SCHMUNK"/>
        <s v="DIAMOND S RANCH CORP."/>
        <s v="BELLE ACRES"/>
        <s v="GERALDINE KOTH"/>
        <s v="JEFF SCHLICHT"/>
        <s v="BURM FARMS LTD"/>
        <s v="J-SHINN FARM"/>
        <s v="FROSTIC FARMS INC"/>
        <s v="EUGENE MEYLAN"/>
        <s v="JOHN MAEDEL"/>
        <s v="JLJ PARR FARMS LLC"/>
        <s v="L. C. LECLAIR FARMS INC"/>
        <s v="BEN BOOMS"/>
        <s v="DONALD KOTH"/>
        <s v="JAMES GORETSKI"/>
        <s v="GREG JANSSENS FARMS INC"/>
        <s v="LESLIE J CARLSON"/>
        <s v="CHRISTOPHER SCHNORR"/>
        <s v="YODER FARMS INC"/>
        <s v="JOHN KNOERR"/>
        <s v="ROBERT TANTON"/>
        <s v="HORTON CATTLE CO"/>
        <s v="GREENWOOD AG"/>
        <s v="BART BECK"/>
        <s v="MICHAEL CASASSA"/>
        <s v="SPERO FARMS LLC"/>
        <s v="GLEN FRIHAUF"/>
        <s v="ZECK FOOS"/>
        <s v="JIM MOEGLE"/>
        <s v="EAGER FARMS INC"/>
        <s v="LNA PROWSE FARMS LLC"/>
        <s v="ERIC &amp; ALAN FRANK"/>
        <s v="VALLEY VIEW FARMS LLC VON GIBB"/>
        <s v="DEPCINSKI FARMS LLC"/>
        <s v="KENDALL ENGLISH"/>
        <s v="JIM WILKINSON"/>
        <s v="SID J SMITH"/>
        <s v="SMITH FAMILY FARMS"/>
        <s v="MOO-VIEW COW PALACE"/>
        <s v="SEKICH FARMS"/>
        <s v="KADLEC FARMS"/>
        <s v="TROST FARMS INC"/>
        <s v="DALE KUNDINGER"/>
        <s v="LAUBACHER FARMS"/>
        <s v="JIM &amp; NICK BUSKIRK"/>
        <s v="LOWER SNAKE RIVER FARM"/>
        <s v="TWIN HILL FARMS"/>
        <s v="STEVE FOOS"/>
        <s v="JIM YOUNG"/>
        <s v="FAIRWINDS FARMS INC"/>
        <s v="KROWN FARMS"/>
        <s v="ETL FARMS INC"/>
        <s v="TRIPLE H FARMS"/>
        <s v="VS INC"/>
        <s v="DOUBLE K ENTERPRISE INC"/>
        <s v="M &amp; M FARMS"/>
        <s v="RULON SPEAR"/>
        <s v="JOHN SEIDL"/>
        <s v="CLINT SEIDL"/>
        <s v="MIKE TORKA JR"/>
        <s v="RICHARD YOUNG"/>
        <s v="E TRIANGLE RANCH"/>
        <s v="GERNANT BROTHERS INC"/>
        <s v="MARK SPAUR"/>
        <s v="MOSSNER FARMS LLC"/>
        <s v="STANLEY G GETTEL INC"/>
        <s v="DENNIS ACKERMAN FARMS LLC"/>
        <s v="STEVE FINDLAY"/>
        <s v="RICE &amp; SONS INC"/>
        <s v="STEVE PUST FARMS INC"/>
        <s v="KEESLER FARMS INC"/>
        <s v="E &amp; R FARMS INC"/>
        <s v="MIQUEL AGUILAR"/>
        <s v="SHOSHONE VALLEY CROP &amp; SEED"/>
        <s v="REGAN SMITH"/>
        <s v="DENNY SMITH"/>
        <s v="SCOTT BENNETT FARMS"/>
        <s v="M &amp; K FARMS LLC"/>
        <s v="R2GP"/>
        <s v="GARNER FARMS,LLC"/>
        <s v="ALAN MININGER"/>
        <s v="JEFF MININGER"/>
        <s v="OAK LEA FARMS INC"/>
        <s v="CLIFF GORDON"/>
        <s v="KENNETH DEKOSKI"/>
        <s v="MCCLINTIC FARMS"/>
        <s v="MCLEOD FARMS LLC"/>
        <s v="JEFF COUTURE"/>
        <s v="GRANT BURGESS"/>
        <s v="ASAY FARMS"/>
        <s v="BRIAN JELINEK FARMS INC"/>
        <s v="JOSH HUMM"/>
        <s v="2268308 ONTARIO INC"/>
        <s v="VERMEERSCH FAMILY FARMS LLC"/>
        <s v="LINZNER FARMS INC"/>
        <s v="PERRY HEIN"/>
        <s v="WADE FESSENDEN"/>
        <s v="KENNETH A GORDON"/>
        <s v="D  YAM FARMS LLC"/>
        <s v="TRICO FARMS"/>
        <s v="ROBERT RUSHMAN"/>
        <s v="CALVIN OBERSKI"/>
        <s v="H &amp; M PIONK FARMS INC"/>
        <s v="KURT GEIGER"/>
        <s v="LOREN MAZURE"/>
        <s v="RODNEY MAZURE"/>
        <s v="HOLDWICK ACRES LLC"/>
        <s v="NICK BOOMS"/>
        <s v="PRIME LAND FARMS"/>
        <s v="VOLMERING FAMILY FARM"/>
        <s v="WAYNE MESSING"/>
        <s v="STAN SVEDIN"/>
        <s v="LEVI HEIN"/>
        <s v="SCHOENEMAN &amp; SONS INC"/>
        <s v="LAUER FARM LLC"/>
        <s v="CECIL BECKER"/>
        <s v="LOUIE ASUMENDI"/>
        <s v="V &amp; L BECKER FARMS"/>
        <s v="FRED GORDON"/>
        <s v="DAVID VOLMERING"/>
        <s v="JAMES POHL"/>
        <s v="MILLER BEEF INC"/>
        <s v="BYRON ROVEY FARMS"/>
        <s v="K&amp;B AG PRODUCTIONS"/>
        <s v="KDS FARMING INC"/>
        <s v="BRAD SCHNELL"/>
        <s v="BEBOW BROTHERS LLC"/>
        <s v="LARRY MESSING"/>
        <s v="BART WEBSTER"/>
        <s v="ALLOSERY BROTHERS FARMS INC"/>
        <s v="PROVEG KENT INC"/>
        <s v="TERRY DENSMORE FARMS"/>
        <s v="GENE BURGESS"/>
        <s v="DAVID ORCUTT"/>
        <s v="ANDY SCHLEDEWITZ"/>
        <s v="MONTE BALL"/>
        <s v="SCOTT OBERSKI"/>
        <s v="DVL FARMS LLC"/>
        <s v="SCHIFF PARTNERSHIP"/>
        <s v="STEVE FRANK HOARD"/>
        <s v="GROSKOPF FARMS INC"/>
        <s v="RANDALL KNOPP"/>
        <s v="DAVID W LUTZ"/>
        <s v="DAVID RUPPLE"/>
        <s v="DEINES FARMS LLC"/>
        <s v="TREVOR DOUGLAS"/>
        <s v="DARYL ELDRED"/>
        <s v="BRIAN PINCIK"/>
        <s v="RICHARD DIECK"/>
        <s v="DAN FRIHAUF"/>
        <s v="CRAIG LARSON"/>
        <s v="DEREK LARSON"/>
        <s v="GARY BEOUGHER"/>
        <s v="BOLINGER FARMS INC."/>
        <s v="CLIFFORD BESAW"/>
        <s v="JORDAN PINCIK"/>
        <s v="WILLIAM SAWATZKI"/>
        <s v="POLATIS FARMS"/>
        <s v="DON SPEZIA"/>
        <s v="KEVIN HAUBENSTRICKER"/>
        <s v="KEN VANDENBOOM"/>
        <s v="HAAS FARMS INC"/>
        <s v="STEVE ROTH"/>
        <s v="S &amp; N FARMS INC"/>
        <s v="JACOB LAUX"/>
        <s v="RICK MICHAEL"/>
        <s v="SCHIEFER FARMS LLC"/>
        <s v="WILLIAM LUTZ"/>
        <s v="TYLER AMANO"/>
        <s v="TOM ZAJIC"/>
        <s v="DONALD RICHARDS"/>
        <s v="HOUGHTALING FARMS"/>
        <s v="JOHN SCHIAN"/>
        <s v="RYAN SCHIAN"/>
        <s v="JEFF AND GREG SCHIAN"/>
        <s v="3G JOHNSON FARM 2001"/>
        <s v="STEVE LUNDERBY"/>
        <s v="KIRK MILLER"/>
        <s v="RUSSELL J DIGE"/>
        <s v="HENNING SKOV"/>
        <s v="SPECHT FARMS"/>
        <s v="MARK DARRINGTON"/>
        <s v="MAJESTIC FARMS LLC"/>
        <s v="DANIEL NAVARRETTE"/>
        <s v="ALLAN KREMAN"/>
        <s v="MATT LUTZ"/>
        <s v="FRITZ-KOVACH FARMS INC"/>
        <s v="CHRIS R ZIEHM"/>
        <s v="JAMES A &amp; MARCIA H WEISS"/>
        <s v="PINCIK FARMS"/>
        <s v="PARKS FARMS"/>
        <s v="BROWN FARMS"/>
        <s v="BUSH FARMS LLC"/>
        <s v="CONSTANCE &amp; KURTIS KREGER"/>
        <s v="DONALD &amp; KODY STRICKER"/>
        <s v="BAILES FARMS INC"/>
        <s v="MARC ARNUSCH"/>
        <s v="D N D FARMS"/>
        <s v="CURTIS R POITZ"/>
        <s v="ALBERT TERPENNING"/>
        <s v="RICHMOND BROS FARMS LLC"/>
        <s v="E &amp; B MILLER FARMS"/>
        <s v="K L BATT FARMS INC"/>
        <s v="STOUTENBURG FARMS"/>
        <s v="SIPE FARMS"/>
        <s v="GREG HILLER"/>
        <s v="DOUBLE S FARMS"/>
        <s v="BRENT SELLE"/>
        <s v="TRACY PREUIT"/>
        <s v="TRIPLE T FARMS"/>
        <s v="JMZ FARMS"/>
        <s v="GERALD &amp; MERIANN KEINATH"/>
        <s v="PALMS BOYS LLC"/>
        <s v="TODD MESSING"/>
        <s v="MICHAEL PALMER"/>
        <s v="COLBY FARMS"/>
        <s v="TRIPLE K FARMS"/>
        <s v="FERGUS FARMS"/>
        <s v="ALLAN THORSON"/>
        <s v="KYLE WALTERS"/>
        <s v="RON WALTERS"/>
        <s v="TOM DEGENHART"/>
        <s v="JOSH &amp; JUSTIN HERGENREDER"/>
        <s v="TED BUHRIG"/>
        <s v="BRAD CRAVEN"/>
        <s v="SEDER FARMS INC"/>
        <s v="SCOTT  SCHLAGEL"/>
        <s v="BRUCE SCHLAGEL"/>
        <s v="BENDER FARMS LLC"/>
        <s v="DIANE LYNCH"/>
        <s v="B &amp; D SCHUTTE FARMS LLC"/>
        <s v="AL'S TOP CROP INC"/>
        <s v="REX CRAVEN"/>
        <s v="TERRY L WIEDEMAN"/>
        <s v="DARWIN DEAN SNELLER"/>
        <s v="JOSEPH J EICHOLT"/>
        <s v="WALTER GREMEL"/>
        <s v="STEVE BATT"/>
        <s v="JASON HAAG"/>
        <s v="JOHN C RICHMOND &amp; SONS DAIRY F"/>
        <s v="RICHMOND FARMS PARTNERSHIP"/>
        <s v="DAVID REYNOLDS"/>
        <s v="GEORGE &amp; ROSS MCNAUGHTON"/>
        <s v="GARY MCNAUGHTON"/>
        <s v="GROUT FARMS INC"/>
        <s v="WADE WIMMER"/>
        <s v="LETCHER FARMS"/>
        <s v="BURM AGRI INC"/>
        <s v="RICHARD FOLOT"/>
        <s v="ROBERT AITKEN"/>
        <s v="S &amp; I INC"/>
        <s v="CATTAIL CREEK FARMS"/>
        <s v="KURT SCHANEMAN"/>
        <s v="FIELDVIEW FARMS"/>
        <s v="JASON BIERLEIN"/>
        <s v="M AND M FARMS"/>
        <s v="DANIEL FITTS"/>
        <s v="ROBERT BECKER JR"/>
        <s v="ALBERT BENZEL &amp; SONS"/>
        <s v="PIKE FARMS LLC"/>
        <s v="PRAIRIE GRAIN LLC"/>
        <s v="NATHAN PIKE"/>
        <s v="DENNIS PINCE"/>
        <s v="C &amp; R GORDON FARMS LLC"/>
        <s v="HERITAGE ACRES INC"/>
        <s v="PAT MCGRAIL FARMS LTD"/>
        <s v="HARVEY HANDSOR"/>
        <s v="MICHAEL SCHELLER"/>
        <s v="FOSTER FARMS INC"/>
        <s v="SCHAPER FARMS LLC"/>
        <s v="TERWILLEGAR FARMS"/>
        <s v="DWIGHT CLAPP"/>
        <s v="JOE IVAN FARMS"/>
        <s v="THREE R FARM INC"/>
        <s v="DAN PINCE"/>
        <s v="BILL NICHOLS"/>
        <s v="HADEWAY FARMS INC"/>
        <s v="KERR FARMS LTD"/>
        <s v="DENNIS CHRISTENSEN"/>
        <s v="KENT CHRISTENSEN"/>
        <s v="MOWRY FARMS INC"/>
        <s v="BOYD ANDERSON"/>
        <s v="JASON T CLANCY"/>
        <s v="MESSING &amp; SONS LTD LLC"/>
        <s v="TODD CHRISTY"/>
        <s v="ALAN GERSTENBERGER"/>
        <s v="STEVE IIDA"/>
        <s v="HOWARD FIELD"/>
        <s v="GREG LEUENBERGER"/>
        <s v="KIM KNOERR"/>
        <s v="MARK REIFENRATH"/>
        <s v="ROSS KNOERR"/>
        <s v="KITAMURA FARMS INC"/>
        <s v="TOM KNOERR"/>
        <s v="JOHN JURGES"/>
        <s v="DENNIS ORBACK"/>
        <s v="MIKE GINN"/>
        <s v="TODD FARMS LLC"/>
        <s v="HUEY FARMS INC"/>
        <s v="LYDEN SMITH"/>
        <s v="R&amp;R HORSTMAN"/>
        <s v="MEISSNER FARMS LLC"/>
        <s v="NEAL ROGGENBUCK"/>
        <s v="WARD HOOPER"/>
        <s v="MAPLE LANE FARMS"/>
        <s v="MEADOW MUTH FARMS LLC"/>
        <s v="GH FARMS LLC"/>
        <s v="BICKEL FAMILY FARMS LLC"/>
        <s v="AUERNHAMER DAIRY FARM INC"/>
        <s v="LLOYD HECHT"/>
        <s v="GENE HARRINGTON"/>
        <s v="MATT THORSON"/>
        <s v="JEFFERY J BIERLEIN"/>
        <s v="DANNY H WEISS"/>
        <s v="STANGE FARMS LLC"/>
        <s v="G &amp; R VAN DRIESSCHE FARMS INC"/>
        <s v="TERRY HISTED FARMS LLC"/>
        <s v="JIM LAHAR"/>
        <s v="CONRAD ISAAK"/>
        <s v="TOKNA LTD"/>
        <s v="GARY ALLES"/>
        <s v="BRIDGET SPENCER"/>
        <s v="GENEVIEVE BURGESS"/>
        <s v="CHAD VAN DAMME"/>
        <s v="ALBERT J VAN DAMME"/>
        <s v="SCHUMACHER &amp; SONS FARMS LLC"/>
        <s v="EARL ARNOLD"/>
        <s v="SPENCER VASA"/>
        <s v="FOXBURG ENTERPRISES INC"/>
        <s v="CRAIG FRY"/>
        <s v="DOUG ACKERMAN"/>
        <s v="AARON &amp; PAM WORLEY"/>
        <s v="FAMUER RASMUSSEN JR"/>
        <s v="BRIAN ACKERMAN"/>
        <s v="JAMES WILLIAMS"/>
        <s v="D A WEST FARMS"/>
        <s v="ROBERT GIESBRECHT"/>
        <s v="BRENDEN AND AARON JV WORLEY"/>
        <s v="HENKEL FARMS LLC"/>
        <s v="SCHMID FAMILY FARM LLC"/>
        <s v="AMEN FARMS INC"/>
        <s v="PETER GLASGOW"/>
        <s v="CHRIS FRITZLER"/>
        <s v="DOVERLAND FARMS"/>
        <s v="BRENT WILSON"/>
        <s v="WAYNE BURGESS"/>
        <s v="KENT MAUSER"/>
        <s v="SALMON FALLS LAND &amp; LIVESTOCK"/>
        <s v="BOX W INC"/>
        <s v="HOFMEISTER FARMS INC"/>
        <s v="MARK BAUER"/>
        <s v="ROBERT A SCHLICKER"/>
        <s v="RIVERCREST FARMS INC"/>
        <s v="PARADISE FARMS INC"/>
        <s v="TAMATA LLC"/>
        <s v="NEB BROTHERS"/>
        <s v="BRANT GNAGEY"/>
        <s v="RENATA FARMS LTD"/>
        <s v="ALLAN MARTIN FARMS INC"/>
        <s v="ALFRED STUEVER"/>
        <s v="MAPLE GROVE ACRES INC"/>
        <s v="REITHEL FARMS INC"/>
        <s v="JOHN STOECKLE"/>
        <s v="YACKLE FARMS LLC"/>
        <s v="HAUBENSTRICKER FARM LLC"/>
        <s v="MARK WILLIAM WIRTZ"/>
        <s v="WILDMAN FARMS"/>
        <s v="ADAM MELCHER"/>
        <s v="DON MCNIVEN"/>
        <s v="MICAH LAUX"/>
        <s v="LEONARD MCNIVEN"/>
        <s v="JAMES BADGER"/>
        <s v="FRANK KUNIK"/>
        <s v="DALE STUEVER"/>
        <s v="B &amp; G MAURER FARMS INC"/>
        <s v="KENDALL STOECKLE"/>
        <s v="RICHARD ZWIRN"/>
        <s v="RIDGE RUN FARMS"/>
        <s v="ADAM FARMS LLC"/>
        <s v="MCNEIL FARMS LLC"/>
        <s v="STRIETER HAY FARMS"/>
        <s v="2089900 ONTARIO INC"/>
        <s v="SUNNYSIDE FARM"/>
        <s v="1644553 Ontario Ltd C/O Robert"/>
        <s v="SHIGETA FARMS"/>
        <s v="CARL H PFUNDT"/>
        <s v="TIMOTHY SCHAUFELE"/>
        <s v="JRP PARK FARMS INC"/>
        <s v="CRAIG R STERKEL"/>
        <s v="ROBERT BOXBERGER"/>
        <s v="HELMREICH FARMS INC"/>
        <s v="GRO-GREEN FARMS INC"/>
        <s v="M &amp; K REUTER FARMS LLC"/>
        <s v="MARI BROS INC"/>
        <s v="2301634 ONTARIO LTD"/>
        <s v="PINE FLAT FARMS"/>
        <s v="KEVIN VOLLMER"/>
        <s v="HAUN BROTHERS"/>
        <s v="ERVIN &amp; KATHY FRANK"/>
        <s v="RANDY RUPP"/>
        <s v="MIKE PINE"/>
        <s v="BRIAN HANSEN"/>
        <s v="RYAN MYERS"/>
        <s v="BREIDENBACH BROS INC"/>
        <s v="FRED HAWKER"/>
        <s v="CPN LAPASEOTES FARMS"/>
        <s v="MARTIN FLAMING"/>
        <s v="L &amp; M SCHEUERLEIN"/>
        <s v="KRUEGER ENTERPRISES"/>
        <s v="M &amp; M FARMS &amp; CALVIN"/>
        <s v="S D R INC"/>
        <s v="BARRY WILHELM"/>
        <s v="SHOE SOLE FARMS"/>
        <s v="MIKE RECLA FARMS"/>
        <s v="JONATHAN FLAMING"/>
        <s v="VIC LEFFLER &amp; SONS"/>
        <s v="LAZY ARROW FARMS LLC"/>
        <s v="CHERMONT INC"/>
        <s v="MCCLARY FARMS INC"/>
        <s v="BILL JENNINGS"/>
        <s v="JENNINGS FARMS INC"/>
        <s v="NICK MYERS"/>
        <s v="LOIS BICKEL"/>
        <s v="JASON M BICKEL"/>
        <s v="MARK CLARENCE PALMREUTER"/>
        <s v="BCM FARMS"/>
        <s v="T &amp; T FARMS"/>
        <s v="CHRISTOPHER M GUZA"/>
        <s v="BIEBER FARMS LLC"/>
        <s v="CHARLIE FRAHM"/>
        <s v="MARK SATOR"/>
        <s v="JENIK AG LLC"/>
        <s v="JERRY SCHWINDT"/>
        <s v="ALLEN REUTER"/>
        <s v="NICK WILHELM"/>
        <s v="TONY KIPPES"/>
        <s v="CALE &amp; MICHAEL REINHARDT"/>
        <s v="GARRY SHINO"/>
        <s v="SUNNY VIEW FARMS, LLC."/>
        <s v="ROBERT L ROTH"/>
        <s v="H V RANCH"/>
        <s v="TOM FRAHM"/>
        <s v="CODY ROTH"/>
        <s v="MATTHEW RICKER"/>
        <s v="JASON L HECHT"/>
        <s v="X7 RANCH INC"/>
        <s v="JOHN R KNAUB"/>
        <s v="TOM &amp; KAREN BROWNING"/>
        <s v="MARC &amp; ANNE NEWMAN"/>
        <s v="RUFF FARMS LLC"/>
        <s v="CHRIS HARMS"/>
        <s v="REIDLE FARMS INC"/>
        <s v="MIKE MULDERS FARMS LLC"/>
        <s v="MICHAEL R MAMMEL"/>
        <s v="ALLEN KEINATH"/>
        <s v="KENNETH LABEAN"/>
        <s v="KENNY BROTHERS FARM"/>
        <s v="RONALD P RATAJCZAK"/>
        <s v="PRC RATAJCZAK FARM"/>
        <s v="G &amp; T FARMS INC"/>
        <s v="DEAN M HAUBENSTRICKER"/>
        <s v="BERNREUTER FARMS INC"/>
        <s v="KEVIN KUNIK"/>
        <s v="ROBERT HAAG"/>
        <s v="DAN KEENAN"/>
        <s v="BEAN BROS"/>
        <s v="DARBY JESPERSEN"/>
        <s v="PETER SHUPE"/>
        <s v="WALTER MALBURG"/>
        <s v="KEVIN PERUSKI"/>
        <s v="MAPLEHURST FARMS"/>
        <s v="DOUG STIPE"/>
        <s v="JOHN SCHLUCKEBIER FARMS"/>
        <s v="JEREMY POLEGA"/>
        <s v="JAY R GILLIS"/>
        <s v="RON KUWAHARA"/>
        <s v="BRAD SINGER"/>
        <s v="CHRIS CHANT"/>
        <s v="KEVIN BAILEY"/>
        <s v="KEN REINBOLD"/>
        <s v="MITCH DAVIS"/>
        <s v="E &amp; M ZIEGLER FARMS INC"/>
        <s v="J ZIEGLER FARMS LLC"/>
        <s v="SAGINAW BAY FARMS"/>
        <s v="JOSH JANICEK"/>
        <s v="KBD FARMS INC"/>
        <s v="LITTLE MUDDY RANCH LLC"/>
        <s v="BERTLAND FARMS LTD"/>
        <s v="BILACIC FARMS"/>
        <s v="DAVID LEUENBERGER"/>
        <s v="GARY WEST"/>
        <s v="DURAND FARMS INC"/>
        <s v="MARK MCDONALD"/>
        <s v="RL BROWN FARMS"/>
        <s v="DAVIS FARMS"/>
        <s v="JOE WASMILLER"/>
        <s v="JAMES &amp; JUDITH ZIEGLER"/>
        <s v="PATRICK BELL"/>
        <s v="CHRIS BRANT"/>
        <s v="KYLE BRANT"/>
        <s v="GARY WIRTZ"/>
        <s v="RONALD HOOPER FARMS INC"/>
        <s v="MARK JACOBY"/>
        <s v="RODNEY VANERP"/>
        <s v="CHRIS NEILSIN"/>
        <s v="BRANT FARMS"/>
        <s v="MERRELL FARMS"/>
        <s v="JANICE SCHEIFER"/>
        <s v="SHOWDOWN FARMS"/>
        <s v="TRAVIS HALL"/>
        <s v="WISHOWSKI FARMS"/>
        <s v="SCHANILEC FARMS"/>
        <s v="MAMMEL FARMS"/>
        <s v="MV  COLLETTE FARMS"/>
        <s v="VIVATSON FARMS"/>
        <s v="PILON BROS"/>
        <s v="WESTMORELAND FARMING"/>
        <s v="BAJA FARMS"/>
        <s v="FRED ABATTI"/>
        <s v="MARLIN MEDEARIS RANCHES INC"/>
        <s v="WAYNE LESSARD FARMS"/>
        <s v="LEE GUDAJTES"/>
        <s v="ARNOLD BARCLAY"/>
        <s v="GENTNER BISCHER LLC"/>
        <s v="CHARLES SLATER FARMS INC"/>
        <s v="RYAN ROTHFLEISCH"/>
        <s v="WAVRA BROS"/>
        <s v="TNT MANAGEMENT INC"/>
        <s v="VAL WHITEHEAD FARMS"/>
        <s v="LANCE REEVES"/>
        <s v="LEON LAYAYE"/>
        <s v="MADJAC FARMS INC"/>
        <s v="HANNON RANCHES LTD"/>
        <s v="FRITZ RUEGGER FARMING"/>
        <s v="PAUL CAMERON RANCHES"/>
        <s v="JOHN HANNON"/>
        <s v="VEYSEY FARMS LLC"/>
        <s v="KALIN FARMS"/>
        <s v="COW CHOW CROPPERS"/>
        <s v="JOHN CURTIS RUTHERFORD"/>
        <s v="MAMER CO"/>
        <s v="GARY MAMER FARMS"/>
        <s v="AMC FARMS"/>
        <s v="STEVEN G DAHM RANCHES"/>
        <s v="RICK YOUNG RANCHES"/>
        <s v="OSTERKAMP FARMS INC"/>
        <s v="MICHAEL ABATTI FARMS"/>
        <s v="PATRICK O'CONNELL"/>
        <s v="BRUCE SMITH"/>
        <s v="HORIZON FARMS"/>
        <s v="SPRUCE FARMS"/>
        <s v="BEN ABATTI FARMS LLC"/>
        <s v="BLUE MOUNTAIN FARMS"/>
        <s v="OTIS KRAMER RANCH"/>
        <s v="LAWRENCE COX FARMS"/>
        <s v="TIM ALLEN FARMS LLC"/>
        <s v="THOMAS RUTHERFORD"/>
        <s v="STEVE REEVES RANCHES"/>
        <s v="RANCHO BUENO"/>
        <s v="STOTZ DAIRY"/>
        <s v="AMBIAN DAIRY"/>
        <s v="CHIRP FARMS"/>
        <s v="JCSD FARMS INC"/>
        <s v="TFT"/>
        <s v="RB FARMS INC"/>
        <s v="JUSTIN HINKLE"/>
        <s v="SCOTT HULST"/>
        <s v="ROLLAND B HAMRE INC"/>
        <s v="GINGG DAIRY"/>
        <s v="TREVOR LARSON"/>
        <s v="JOHN COPP"/>
        <s v="WAYNE LARSON"/>
        <s v="R J MUIR FARMS INC"/>
        <s v="JEROME HOPER"/>
        <s v="HALFMANN FARMS INC"/>
        <s v="TREVER SPOKELY"/>
        <s v="RANDY SPOKELY"/>
        <s v="LEE &amp; STEVEN LESSARD"/>
        <s v="HEJL FARMS"/>
        <s v="TIM HOFF"/>
        <s v="MATTHEW HORN"/>
        <s v="BRET KIEMELE"/>
        <s v="DOUG &amp; IAN STEGMAN"/>
        <s v="JOHN EMERSON"/>
        <s v="BAKER FARMS"/>
        <s v="WILLIAMS FARMS INC"/>
        <s v="R &amp; J FARMS OF PERLEY"/>
        <s v="RONNIE IVERSON"/>
        <s v="JARED W SANDS"/>
        <s v="NORM MEYER"/>
        <s v="PAUL KOZOJED"/>
        <s v="BRANDON LAGE"/>
        <s v="RYAN GILBERTSON"/>
        <s v="DAVID KALLOCK"/>
        <s v="PAT OSOWSKI"/>
        <s v="ERIC &amp; NEIL JOHNSON"/>
        <s v="GOODWIN FARMS"/>
        <s v="KASPRICK FARMS"/>
        <s v="CURTIS FUNK"/>
        <s v="RIVARD FARMS INC"/>
        <s v="DENNIS DIPPLE"/>
        <s v="KEVIN DUFAULT"/>
        <s v="DVORAK BROS"/>
        <s v="EMANUELSON COMPANIES, LLC"/>
        <s v="ROBIN &amp; TONY JOHNSON"/>
        <s v="BIENEK FARMS INC"/>
        <s v="H L J FARMS"/>
        <s v="R &amp; R FARMS INC"/>
        <s v="DEMARS FARMS"/>
        <s v="JASON SIEGERT"/>
        <s v="DWIGHT HEITMAN"/>
        <s v="J.J. Hamre Inc."/>
        <s v="DAVID S SYLVESTER"/>
        <s v="TOM WOINAROWICZ"/>
        <s v="CZAPIEWSKI BROTHERS FARM"/>
        <s v="RADI FARMS"/>
        <s v="DOUBLE &quot;D&quot; INC"/>
        <s v="TINKHAM FARMS J.V."/>
        <s v="CURTIS DEBOER &amp; PR LIMITED PAR"/>
        <s v="MARK MARING"/>
        <s v="3J'S FARM PARTNERSHIP"/>
        <s v="CKE FARMS LLC"/>
        <s v="C AND C HONG FARMS"/>
        <s v="SYLVESTER FARMS INC"/>
        <s v="BRENT BALDWIN"/>
        <s v="MYRON PIETRUSZEWSKI"/>
        <s v="DALE PRICE"/>
        <s v="PAKE FARMS"/>
        <s v="C &amp; D REITMEIER INC"/>
        <s v="SWANSON FARMS"/>
        <s v="MARK MORRISON"/>
        <s v="WALD FARMS"/>
        <s v="RICHARD BORGEN"/>
        <s v="B &amp; M FARMS"/>
        <s v="DON MILLER"/>
        <s v="T E O'TOOLE FARM SEED CO."/>
        <s v="PETERSON BROS"/>
        <s v="BRENT MILLER"/>
        <s v="STOLTMAN FARMS"/>
        <s v="NORDLING FARMS INC"/>
        <s v="LARRY RIOPELLE"/>
        <s v="GILLESHAMMER-THIELE FARMS"/>
        <s v="ROB KEMP"/>
        <s v="CIRCLE M FARMS"/>
        <s v="RAYCO FARMS INC"/>
        <s v="STELLON FARMS"/>
        <s v="KSJ FARMS"/>
        <s v="EVERGREEN FARMS INC"/>
        <s v="DANIEL ZIMMERMAN"/>
        <s v="DAVID ARENDS"/>
        <s v="RODNEY OLSON"/>
        <s v="WAYNE TORGERSON"/>
        <s v="ROLLAND MILLER"/>
        <s v="ANTHONY &amp; NICHOLAS MORRISON"/>
        <s v="GEM FARM INC"/>
        <s v="ANDREW GRZADZIELESKI"/>
        <s v="MERLE W STINAR"/>
        <s v="BTN FARMS INC"/>
        <s v="SCOTT LABINE"/>
        <s v="CHRISTENSON FARMS INC"/>
        <s v="C C BORGEN"/>
        <s v="ANDERSON FARMS"/>
        <s v="JEFF BORGEN"/>
        <s v="TOM STINAR"/>
        <s v="SCOTT OBERG"/>
        <s v="DARREN L RADERMACHER"/>
        <s v="HDI"/>
        <s v="ROBERT USELDINGER &amp; SONS INC"/>
        <s v="B&amp;J UGGERUD"/>
        <s v="SCOTT BALSTAD"/>
        <s v="RYAN SCHWENZFEIER"/>
        <s v="TRAVIS UGGERUD"/>
        <s v="WAYNE &amp; BRYAN RATCHENSKI"/>
        <s v="RON AND NICK ADAMS"/>
        <s v="NEIL ROCKSTAD"/>
        <s v="N &amp; J FARM LLP"/>
        <s v="KBG/COTTON"/>
        <s v="DEAN LARSON"/>
        <s v="MERLE SCHWENZFEIER"/>
        <s v="NEIL KNUTSON"/>
        <s v="N&amp;M OLSONAWSKI FARMS"/>
        <s v="DAVE HEMMES"/>
        <s v="CHRIS JEROME"/>
        <s v="BEN DIAMOND"/>
        <s v="BRADY DIAMOND"/>
        <s v="JAMES DIAMOND"/>
        <s v="LONGTIN FARMS"/>
        <s v="SHAWN ELLINGSON"/>
        <s v="PERRY FARMS INC"/>
        <s v="RAY JOHNSON"/>
        <s v="ROB MYERS"/>
        <s v="RICHARD BALSTAD"/>
        <s v="PERRY ELLINGSON"/>
        <s v="ZIMMERMAN FARMS INC"/>
        <s v="GEORGE W MEYER INC"/>
        <s v="MARC LANGEN"/>
        <s v="J W NELSON FARMS INC"/>
        <s v="DARRON BENSON"/>
        <s v="D &amp; B FARMS"/>
        <s v="J L FARMS"/>
        <s v="CASEY LANGEN"/>
        <s v="DENNIS BREKKEN"/>
        <s v="ERIC DYRDAHL"/>
        <s v="LANGEN BROS JV"/>
        <s v="TOM GRZADZIELESKI JR"/>
        <s v="RYAN EGGEN"/>
        <s v="RANDY BORGEN"/>
        <s v="JASON KEMNITZ"/>
        <s v="C &amp; R STEIGER FARMS INC"/>
        <s v="T &amp; K - TB-KM LLP"/>
        <s v="PULKRABEK FARMS"/>
        <s v="ROGER B DYRDAHL"/>
        <s v="SOLEM FARMS"/>
        <s v="LIND BROS"/>
        <s v="OMLID FARMS"/>
        <s v="J &amp; S NELSON LLP"/>
        <s v="HVIDSTEN FARMS"/>
        <s v="STEVE HELM"/>
        <s v="KURT KEMNITZ"/>
        <s v="TIM &amp; KENT RIVARD"/>
        <s v="JOHN BRANDT"/>
        <s v="TIM SEDLACEK"/>
        <s v="BALDWIN FARMS"/>
        <s v="TRAVIS BROWN"/>
        <s v="KEVIN BROWN"/>
        <s v="DALE A RATCHENSKI"/>
        <s v="DARREN DRISCOLL"/>
        <s v="RICHARD M BROWN"/>
        <s v="KELLY BROWN"/>
        <s v="BOB &amp; JARED KOVAR"/>
        <s v="A &amp; R RIVARD"/>
        <s v="REECE BROWN"/>
        <s v="MICHAEL BROWN"/>
        <s v="JC FARMS"/>
        <s v="CHANDLER FARMS INC"/>
        <s v="KYLE HAAKE"/>
        <s v="T &amp; K - DB LLP"/>
        <s v="EUGENE WAGNER INC"/>
        <s v="JADE KLEIN"/>
        <s v="GLENN PRIGGE"/>
        <s v="R DONALD  LOCKHART"/>
        <s v="SCOTT MCDONALD"/>
        <s v="RUTHERFORD FARMS"/>
        <s v="DAVID, ANDREW &amp; JAMES JOHNSTAD"/>
        <s v="KRABBENHOFT &amp; SONS INC"/>
        <s v="KEVIN OLMSTEAD"/>
        <s v="MCCANN FARMS"/>
        <s v="RICK &amp; JUSTIN GAJESKI"/>
        <s v="KEVIN SUNDBY"/>
        <s v="LANE JOHNSTON"/>
        <s v="MICHAEL HOFF"/>
        <s v="JEREMY BAUMGARTEN"/>
        <s v="DAREL L SIP"/>
        <s v="4G FARMS LLP"/>
        <s v="TIM BUSHAW"/>
        <s v="DON BUSHAW"/>
        <s v="SWEENEY BROS FARM"/>
        <s v="STUART FERRY"/>
        <s v="BRAD PECKA"/>
        <s v="THOMAS &amp; TIM FERRY"/>
        <s v="JIM KNOX INC"/>
        <s v="JOHN MCDONALD"/>
        <s v="MAHAR FARMS"/>
        <s v="KEITH MILLER"/>
        <s v="GARY W MILLER"/>
        <s v="JOEL STOLA FARMS INC"/>
        <s v="PRICE JENKINS"/>
        <s v="AWG FARMS INC"/>
        <s v="MCCOLL FARMS LLC"/>
        <s v="DAVID R WATT"/>
        <s v="JFK FARMS"/>
        <s v="DUSTIN GORDER"/>
        <s v="RUSSELL &amp; GEORGE GRABANSKI"/>
        <s v="JOHN PUPPE"/>
        <s v="ROGER GORDER"/>
        <s v="GEORGE &amp; DUSTIN MCDONALD"/>
        <s v="ALLEN HORSLEY"/>
        <s v="CHRIS HELGOE"/>
        <s v="DONALD FRICKE"/>
        <s v="ROBERT H ROSS FARMS INC"/>
        <s v="DELANO L THORESON INC"/>
        <s v="DAMON STROBLE"/>
        <s v="KASOWSKI BROS AND SEIFERT"/>
        <s v="CHARLES HILDE"/>
        <s v="AUSTIN BRODEN"/>
        <s v="SAM LARSON"/>
        <s v="MOEN FARMS"/>
        <s v="C &amp; J OSOWSKI"/>
        <s v="DEBOER ENTERPRISES"/>
        <s v="WAYNE FEUILLERAT"/>
        <s v="DEBOER AG INC"/>
        <s v="FRANCIS DEBOER FARMS INC"/>
        <s v="DEREK SWENSON"/>
        <s v="J AND V INC"/>
        <s v="OLSONAWSKI FARMS"/>
        <s v="JIM POTUCEK"/>
        <s v="MARK T ANDERSON"/>
        <s v="DALE FISCHER"/>
        <s v="DUANE HANSON INC"/>
        <s v="KIEL CORP"/>
        <s v="JOSH LECLERC"/>
        <s v="DAN &amp; ERNIE DUSEK"/>
        <s v="DAVID KNIGHT"/>
        <s v="D R FINKENBINDER, INC"/>
        <s v="DONALD ANDRINGA"/>
        <s v="TOLLEFSON FARM"/>
        <s v="CURT &amp; CHAD LEACH"/>
        <s v="KEVIN CAPISTRAN"/>
        <s v="C J KNUTSON FARMS INC"/>
        <s v="SKAURUD GRAIN FARM"/>
        <s v="TODD EVENSON FARMS"/>
        <s v="OWEN LARSON FARMS INC"/>
        <s v="SCOTT W KNUTSON INC"/>
        <s v="JOSEPH M PROSBY III"/>
        <s v="R&amp;B GROWERS JV"/>
        <s v="JEFF DAHL"/>
        <s v="KELLY BRANTNER"/>
        <s v="TODD WEBER"/>
        <s v="KEITH &amp; JASON SCHATZKE"/>
        <s v="PAUL BRENDEMUHL"/>
        <s v="MATTHEW BRANTNER"/>
        <s v="J &amp; D HOYME"/>
        <s v="OLEK-E DAHLSAD LIMITED PARTNER"/>
        <s v="ANTON GUDAJTES"/>
        <s v="TUPA FARMS LLC"/>
        <s v="CHRISTIAN LARSON"/>
        <s v="SAM J LOCKHART"/>
        <s v="JOEL &amp; KYLE NESS"/>
        <s v="BRAD OLEK"/>
        <s v="I E THORESON INC"/>
        <s v="BENNINGTON FARMS"/>
        <s v="JOEL SATHER"/>
        <s v="BEN SATHER"/>
        <s v="HAUGO FARMS"/>
        <s v="SOUTHLINE FARMS"/>
        <s v="KURT PETERSON"/>
        <s v="H &amp; J FARMS"/>
        <s v="KENT SCHLUCTER"/>
        <s v="MORRISON FARMS"/>
        <s v="ALTEPETER BROS"/>
        <s v="TJ WIDNER FARMS INC"/>
        <s v="GENERATIONS INC &amp; CHARLES MORR"/>
        <s v="DUSTIN WILSON"/>
        <s v="S &amp; O BEET FARMS INC"/>
        <s v="YOUNGGREN BROS"/>
        <s v="DANIEL CAILLIER"/>
        <s v="PAUL R LARSON"/>
        <s v="COURNIA FARMS LLC"/>
        <s v="TYLER MCFARLAND"/>
        <s v="E &amp; J FARMS"/>
        <s v="ROSS PAPE"/>
        <s v="BEISWENGER FARMS INC"/>
        <s v="BRUCE A ERDMANN"/>
        <s v="STAVETEIG FARMING CO LLC"/>
        <s v="THOMPSON BROS -RJ LLP"/>
        <s v="STEVE HAMRE"/>
        <s v="SUDAK FARMS INC"/>
        <s v="MICHAEL MCFARLAND"/>
        <s v="MARTIN FARMS INC"/>
        <s v="JARRED JOHNSON"/>
        <s v="NELSON FARMS LTD PARTNERSHIP"/>
        <s v="OLSON FARMS"/>
        <s v="ST KUEHL KBF SUGARBEET LLLP"/>
        <s v="RYAN TROM"/>
        <s v="OSOWSKI FARMS"/>
        <s v="MONSEBROTEN FARMS"/>
        <s v="GROVE FARMS INC"/>
        <s v="THOMPSON BROS FARMS LLP"/>
        <s v="ERNEST OBERG FARM"/>
        <s v="TREVORE BREKKEN"/>
        <s v="KURT ANDERSON"/>
        <s v="MICHAEL L BEAUDRY"/>
        <s v="BRUCE &amp; EUGENE HANSON"/>
        <s v="GEORGE HANSON INC"/>
        <s v="GERALD KJORVESTAD"/>
        <s v="TANG FARMS"/>
        <s v="KUEHL BROS FARMS"/>
        <s v="SAEWERT BROS"/>
        <s v="JOHNSON BROS FARM INC"/>
        <s v="STEWART L BJORHUS"/>
        <s v="OAKDALE FARMS"/>
        <s v="MIKE KREJCI"/>
        <s v="JARED STORMOE"/>
        <s v="WASYLOW FARMS"/>
        <s v="TODD SORENSON LIMITED PARTNRSP"/>
        <s v="SAMUELSON FARMS"/>
        <s v="PETE CARLSON"/>
        <s v="GARY GRUHOT"/>
        <s v="KJKJ FARMS INC"/>
        <s v="DRAGSETH FARMS INC"/>
        <s v="MICHAEL/MARSHA ROESCH LIMITED"/>
        <s v="BRANDON SCHREINER"/>
        <s v="THOMAS M SCHREINER"/>
        <s v="JASON MORKEN"/>
        <s v="VILMO FARMS"/>
        <s v="JON WURDEN"/>
        <s v="E &amp; L REITMEIER INC"/>
        <s v="R &amp; J CROP PRODUCTION"/>
        <s v="ERIC SORENSON"/>
        <s v="GABRIEL CARLSON"/>
        <s v="BEARD/ERLANDSON FARMS"/>
        <s v="TIM &amp; JOEL FARMS INC"/>
        <s v="GRUHOT KOLBY"/>
        <s v="AARON BRODEN"/>
        <s v="JIM BAKER"/>
        <s v="MIKE ULMER"/>
        <s v="RRR MATTSON PARTNERSHIP"/>
        <s v="LES &amp; LARRY ANDERSON"/>
        <s v="MARK OSLAND"/>
        <s v="SKOLNESS INC"/>
        <s v="SCHREINER FARMS"/>
        <s v="PDM INC"/>
        <s v="NICK HAGEN"/>
        <s v="FOREST RIVER COMMUNITY"/>
        <s v="CLAY VISSER"/>
        <s v="ERIC VISSER"/>
        <s v="BEAU BRANDT"/>
        <s v="TOM BARRETT FARMS LLC"/>
        <s v="GLEN A BRANDT"/>
        <s v="RUEBKE BROS"/>
        <s v="MELLAND FAMILY BEET"/>
        <s v="TIM WEBER"/>
        <s v="LUTHER ANDERSON"/>
        <s v="DANNY MOORE"/>
        <s v="BRIAN &amp; KEVIN KUEHL"/>
        <s v="CYRIL SUDA &amp; SONS"/>
        <s v="DEAN AND DARREN TRONSON"/>
        <s v="MICHAEL L O'LEARY"/>
        <s v="SCHUMACHER FARMS"/>
        <s v="MARK WEBER"/>
        <s v="JIM STREGE"/>
        <s v="TERRY GUTTORMSON INC"/>
        <s v="GARRET PETERSON"/>
        <s v="MICHAEL BOUCHER"/>
        <s v="HELENA FARMS LLC"/>
        <s v="CASEY CROSBY"/>
        <s v="CROSBY FARMS INC"/>
        <s v="JESSE STREGE"/>
        <s v="JON CARLSON"/>
        <s v="SHAWN BREKKE"/>
        <s v="COREY JACOBSON"/>
        <s v="BRIAN DAHL"/>
        <s v="BILL SCZEPANSKI"/>
        <s v="ORLEN VALAN JR"/>
        <s v="CARLSON FARMS"/>
        <s v="JOHN BOUCHER"/>
        <s v="J &amp; J BITKER"/>
        <s v="SOBOLIK FARMS"/>
        <s v="DAN INGEMAN"/>
        <s v="SHANE STEWART"/>
        <s v="DAVID SCHERFENBERG"/>
        <s v="DAVID BRAATEN"/>
        <s v="CHRIS NOBEN"/>
        <s v="JEREMY PAULSRUD"/>
        <s v="ERIK ROCKSTAD"/>
        <s v="HANSON FARMS"/>
        <s v="SHANE SAND"/>
        <s v="R A ANDERSON FARMS INC"/>
        <s v="D &amp; M YUTRZENKA"/>
        <s v="LANDIS MCDONALD"/>
        <s v="JOHN M NORD"/>
        <s v="EARL K WAGNER &amp; SONS INC"/>
        <s v="JEROD HANSON"/>
        <s v="WOINAROWICZ BROS"/>
        <s v="TODD MARUSKA"/>
        <s v="GENE LARSON &amp; SONS"/>
        <s v="PAPE BROS LLP"/>
        <s v="DEREK PAULSRUD"/>
        <s v="KEVIN PAULSRUD FAMILY"/>
        <s v="GERALD ROBERTS INC"/>
        <s v="DAVID AND CURT HAUGEN"/>
        <s v="WALTER ROBERTS INC"/>
        <s v="NATHAN RISKEY"/>
        <s v="PAUL BORGEN FARMS INC"/>
        <s v="PAUL O SORENSON INC"/>
        <s v="LEIN SCHILLER"/>
        <s v="BRENT COSLEY"/>
        <s v="GLENN ALLEN"/>
        <s v="BRIAN &amp; TIM LEISETH"/>
        <s v="CHRIS THOMPSON"/>
        <s v="SCHUETTE FARMS"/>
        <s v="TOM HERFINDAHL"/>
        <s v="SONDREAL FARMS INC"/>
        <s v="BACK ROAD FARMING INC"/>
        <s v="ROGENES &amp; RYE FARMS"/>
        <s v="ALAN MARUSKA"/>
        <s v="BARLOW FARMS"/>
        <s v="DEAN SYLVESTER"/>
        <s v="RUSSELL SYLVESTER INC"/>
        <s v="J PETER BUCK"/>
        <s v="BRETT LEVOS"/>
        <s v="ANDREW LEVOS"/>
        <s v="KELLY THOMPSON"/>
        <s v="LYNN MOE"/>
        <s v="TERRY EIDEM"/>
        <s v="DAN ROSENFELDT"/>
        <s v="AARON BRAKKE"/>
        <s v="TODD BRAKKE"/>
        <s v="ANDREW JOSSUND"/>
        <s v="RAY ARNESON"/>
        <s v="D &amp; D FARMS INC"/>
        <s v="MATHIASON BROS"/>
        <s v="KROGSTAD BROTHERS JV"/>
        <s v="RON SONDROL"/>
        <s v="PETER KRITZBERGER"/>
        <s v="J &amp; L JOSSUND FARMS"/>
        <s v="ROBERT MITCHELL"/>
        <s v="KIETH FISCHER"/>
        <s v="TOM OLSON FARMS LLP"/>
        <s v="GREEN FARMS ASSOC"/>
        <s v="DREES FARMING ASSOC"/>
        <s v="JEFF ELIASON"/>
        <s v="LARRY ELIASON"/>
        <s v="LYLE EVELO"/>
        <s v="WALKER FARMS INC"/>
        <s v="GLENN HEUCHERT"/>
        <s v="JAMES D AASAND FARMS INC"/>
        <s v="BUCHHOLZ SEED FARM"/>
        <s v="CRAIG UNRUH"/>
        <s v="GARY NELSON"/>
        <s v="JJ WHELAN &amp; SONS"/>
        <s v="SCHULZ FARMS"/>
        <s v="AARON WETTERLIN"/>
        <s v="WILLOW CREEK FARMS INC"/>
        <s v="BIGWOOD ENTERPRISES"/>
        <s v="JOEY POTUCEK"/>
        <s v="THEODORE LUCKOW"/>
        <s v="DAVID BRAKKE"/>
        <s v="DEAN LABINE"/>
        <s v="MARK EGELAND INC"/>
        <s v="DAN J STROOT"/>
        <s v="R &amp; R INC"/>
        <s v="TUFTE BROS PARTN"/>
        <s v="CYMBALUK FARMS INC"/>
        <s v="RONNIE L BERRY"/>
        <s v="H.D. FARMS INC"/>
        <s v="BLAINE FARMS LLC"/>
        <s v="TIEDEMANN FARMS"/>
        <s v="MENHOLT FARMS"/>
        <s v="RICHARD CEDERBERG"/>
        <s v="MARK HARRIS"/>
        <s v="DAVID STEIN"/>
        <s v="DAVID DICKSON"/>
        <s v="DOUBLE D FARMS,INC"/>
        <s v="HARVEY PULKRABEK INC &amp; BARRETT"/>
        <s v="WADE POVEY"/>
        <s v="BRAD SCHUSTER"/>
        <s v="JASON HEITMAN"/>
        <s v="SHANE BRAKKE"/>
        <s v="KIRK LUCKOW"/>
        <s v="ERIC HOVEN"/>
        <s v="AARON POVEY"/>
        <s v="RICK MOEN"/>
        <s v="ANDY POVEY"/>
        <s v="WILLIAM K (BILL) CHISHOLM"/>
        <s v="AARON STOLTMAN"/>
        <s v="WILLOW RIDGE FARMS"/>
        <s v="ALLEN FARMS"/>
        <s v="RANSEL ANDERSON"/>
        <s v="WADE STADSTAD"/>
        <s v="CASASSA FARMS"/>
        <s v="VADER &amp; SON LLC"/>
        <s v="ATWATER FARMS INC"/>
        <s v="JEFF RICKENBERG"/>
        <s v="RICH LANE FARMS"/>
        <s v="JEFF NELSON"/>
        <s v="BRANDON UFFELMAN"/>
        <s v="J &amp; S NORD LLC"/>
        <s v="JOSH &amp; MATT GRANHOLT -CG LP"/>
        <s v="ALLAN K SHAW FARMS INC"/>
        <s v="MIKE ONDO"/>
        <s v="WALTER HECHT JR"/>
        <s v="PAUL STIEBER"/>
        <s v="WILLIAM H MOORE JR"/>
        <s v="CRAIG JONES INC"/>
        <s v="TYLER NARLOCH"/>
        <s v="PAUL SULLIVAN"/>
        <s v="KURT KREGER"/>
        <s v="CONNIE KREGER"/>
        <s v="NJB FARMS LLC"/>
        <s v="WILD WEST FARMS LLC"/>
        <s v="DA WEST FARMS"/>
        <s v="CODY BINGHAM"/>
        <s v="BRAD KUEHL"/>
        <s v="ROSS MENHOLT"/>
        <s v="BAUSTE FARMS INC"/>
        <s v="JD ANDERSON FARMS INC"/>
        <s v="SCHATZ BROTHERS INC"/>
        <s v="ERICKSON FARMS"/>
        <s v="JAMES BERGMAN FARMS"/>
        <s v="KAREN FLANAGAN"/>
        <s v="TY BEET INC./THOMAS CARLSON"/>
        <s v="THOMAS C SMAGLINSKI"/>
        <s v="RON PATRICK"/>
        <s v="SAM MONDRY"/>
        <s v="PATRICK FARMS LLC"/>
        <s v="KAY DEE FARMS JV"/>
        <s v="STEPHEN MONDRY"/>
        <s v="TIM MONDRY"/>
        <s v="FELIX &amp; RUDOLPH RUDNIK"/>
        <s v="CRAIG REHDER"/>
        <s v="B J CHRISTENSEN &amp; SONS"/>
        <s v="C &amp; R VENTURES INC"/>
        <s v="RUPERT PAUL IDAHO FARM"/>
        <s v="GREG LACKMAN FARMS"/>
        <s v="BLTT FARMS INC"/>
        <s v="DJK FARMS, INC."/>
        <s v="NEDENS FARMS INC"/>
        <s v="PROUD FARMS INC"/>
        <s v="PERITSA CREEK FARMS INC"/>
        <s v="ANDERSEN FARMS"/>
        <s v="JAMES &amp; ROBERT DORN"/>
        <s v="WINE MAKERS ISLAND"/>
        <s v="WEBBER FARMS INC"/>
        <s v="BRANDON HAMRE"/>
        <s v="PETERSON FARMS OF ROAN"/>
        <s v="RAY LARSON INC"/>
        <s v="RUST FARMS LLC"/>
        <s v="GEORGE SINN &amp; SONS INC"/>
        <s v="DAVID BIERLEIN"/>
        <s v="H &amp; H AG PRODUCTION LLP"/>
        <s v="IVAN &amp; TODD CAYKO"/>
        <s v="JASON BICKEL"/>
        <s v="SAUER BROTHERS LLC"/>
        <s v="PACE-NIELSEN FARMS INC"/>
        <s v="BRETT KUEHL"/>
        <s v="DALLAS  &amp; CINDY  STEIGER"/>
        <s v="ALTERNATE ALTITUDES INC"/>
        <s v="RICHARD DIEHL"/>
        <s v="JOHN BONNER"/>
        <s v="DANIEL K JOHNSON"/>
        <s v="SYME FARMS INC"/>
        <s v="MIKE SULLIVAN"/>
        <s v="ALBOSTA FARMS LLC"/>
        <s v="LONE WOLF FARMS"/>
        <s v="TIMOTHY HOXWORTH"/>
        <s v="JACOB BAUER"/>
        <s v="EAMES ACRES INC"/>
        <s v="MIKE SAVAGE"/>
        <s v="RIVERLAND FARMS INC."/>
        <s v="M&amp;M FARMS"/>
        <s v="THOMPSON FARMS INC"/>
        <s v="COMA FARMS"/>
        <s v="BATEMAN AG"/>
        <s v="BRIAN BOYLE"/>
        <s v="CHRIS GUZA"/>
        <s v="WETTSTEIN FARMS INC"/>
        <s v="DWD FARMS"/>
        <s v="TROMBLEY FARMS"/>
        <s v="SCHRITTER FARMS INC"/>
        <s v="JUSTIN &amp; ANITA KARST"/>
        <s v="ROBERT DESAUTEL"/>
        <s v="TYLER WATT"/>
        <s v="R &amp; P GERSTENBERGER FARMS LLC"/>
        <s v="LYLE BJORNESTAD"/>
        <s v="RICK DORN"/>
        <s v="LEBRUSKA BROTHERS LLC"/>
        <s v="DANIEL KUBACKI"/>
        <s v="WEST MARION FARMS"/>
        <s v="CHRIS &amp; BRANDON HOFFMAN"/>
        <s v="TIM PENDER"/>
        <s v="CHAD MCNAUGHTON"/>
        <s v="JEFF HERONEMUS"/>
        <s v="WILLIAM E DUYCK FARMS"/>
        <s v="TOM FLEISCHMANN"/>
        <s v="DOUG SCHREINER"/>
        <s v="ERIC EGELAND"/>
        <s v="H L WAGNER &amp; SONS INC"/>
        <s v="JEFF GRYSKIEWICZ"/>
        <s v="A &amp; B BIERLEIN LLC"/>
        <s v="HECHT BROS FARMS"/>
        <s v="STEPHENSON LLC"/>
        <s v="DORN AgCo LLC"/>
        <s v="ROY RUTHERFORD"/>
        <s v="PHILIP HURLEY"/>
        <s v="ASKEGAARD FARMS INC"/>
        <s v="JAY LITTLE"/>
        <s v="JUSTIN DAGEN"/>
        <s v="DON JR &amp; ROBERT RAU"/>
        <s v="JAMES WILKINSON"/>
        <s v="NEWTON FARMS LLC"/>
        <s v="ADAM FOOTE"/>
        <s v="L RAY STANGER  SONS"/>
        <s v="D &amp; R FARMS"/>
        <s v="RYAN BRYL FARMS"/>
        <s v="JACOB DAMM"/>
        <s v="SCOTT ROSEVOLD"/>
        <s v="BRYAN BAUER FARMS LTD"/>
        <s v="LOGAN JOHNSON"/>
        <s v="SHORT &amp; SWEET FARM"/>
        <s v="ROB BECK"/>
        <s v="DEICK KUNDINGER"/>
        <s v="ALLEN &amp; CAROL LACHENMAIER"/>
        <s v="DB 2"/>
        <s v="RICHARD HURLEY"/>
        <s v="DB 1"/>
        <s v="BRENT FREELAND"/>
        <s v="GLEN HULTIN"/>
        <s v="ROBERT B HARRIS"/>
        <s v="LARSON FARMS LLC"/>
        <s v="HILLTOP FARMS"/>
        <s v="DON REIN FARMS INC"/>
        <s v="DARREN &amp; DELITE DUKART"/>
        <s v="JAMES JELINEK"/>
        <s v="GORDON BROTHERS FARMS"/>
        <s v="JEFFREY &amp; GREG SCHIAN"/>
        <s v="TIMOTHY SHUMWAY"/>
        <s v="NEIL ALLISON"/>
        <s v="RANDY GREEN"/>
        <s v="GRUEHN FARMS INC"/>
        <s v="HAROLD ERDMAN INC"/>
        <s v="DAVID L DECKER"/>
        <s v="DARIN OANES"/>
        <s v="RICARDO RODRIGUEZ"/>
        <s v="TNT FARMS / HURLEY"/>
        <s v="KELLY DANCE FARMS"/>
        <s v="HEWARD BROS"/>
        <s v="VO ENTERPRISES"/>
        <s v="MICHAEL S NOLL"/>
        <s v="A M K FARMS"/>
        <s v="ALBERT VAN DAMME"/>
        <s v="ANDREW CLYDE"/>
        <s v="BRENT AITKEN"/>
        <s v="PAUL MCKERRALL"/>
        <s v="JOHN C LARSEN FARMS INC."/>
        <s v="RYAN RUPP"/>
        <s v="ERIC, MITCH OR MATT RUSSELL"/>
        <s v="KENNY IVERSEN"/>
        <s v="BRIAN DEVIRES"/>
        <s v="GARY BOWER"/>
        <s v="HENRY LAEVENS"/>
        <s v="HECTOR VANDAMME FARMS INC"/>
        <s v="LAURENT VAN ARKEL"/>
        <s v="BRIAN BURM"/>
        <s v="DON &amp; SCOTT ARDIS"/>
        <s v="JOHN &amp; STEVE BOGAART"/>
        <s v="HERITAGE ACRES LTD"/>
        <s v="KEN SMITH"/>
        <s v="TERRY WEGNER"/>
        <s v="HYMARK FARMS"/>
        <s v="WEGENER FARMS"/>
        <s v="DANIEL SCHEETZ"/>
        <s v="BERNIA FAMILY FARMS"/>
        <s v="MICHAEL ROGGENBUCK"/>
        <s v="DEAN EDGAR"/>
        <s v="BRANDON KUB"/>
        <s v="BLAYNE TONSFELDT"/>
        <s v="PATTERSON LIVESTOCK"/>
        <s v="DNL FARMS LLC"/>
        <s v="MARK STRATTON"/>
        <s v="R &amp; M ROBERTSON FARMS"/>
        <s v="JONATHON ROGGENBUCK"/>
        <s v="GEORGE ROGGENBUCK"/>
        <s v="HAROLD MILLER &amp; SONS"/>
        <s v="MOUNTAIN VALLEY ENTERPRISES"/>
        <s v="CHARLES HARTLEY"/>
        <s v="DON KOTH"/>
        <s v="JEFFRI KUB"/>
        <s v="DRISCOLL BROS - JEROME"/>
        <s v="TRI-R FARMS INC"/>
        <s v="WATSON BROTHERS"/>
        <s v="CROSSROAD FARMS, INC."/>
        <s v="M &amp; M FARMS INC"/>
        <s v="6 J FARMS INC"/>
        <s v="BAUER FARMS INC"/>
        <s v="JASON UFFELMAN LAND AND LIVEST"/>
        <s v="CHUCK GEISER"/>
        <s v="Y D INC"/>
        <s v="LEWIS FAMILY INVESTMENTS"/>
        <s v="KEVIN LEE"/>
        <s v="MILES EVENSON"/>
        <s v="KELBY DORN"/>
        <s v="Y1 FARMS INC"/>
        <s v="ROBERT STOCKMEYER"/>
        <s v="CRAIG NICE"/>
        <s v="RORY HAMRE"/>
        <s v="RICHARD RUTHERFORD"/>
        <s v="QUAD FARMS"/>
        <s v="GREENFIELD FARM INC"/>
        <s v="FOREST RIVER FARMS"/>
        <s v="KYLE NICE"/>
        <s v="CRANNEY BROS"/>
        <s v="BRYANT DORN"/>
        <s v="DONALD MCINNES"/>
        <s v="ROBIN SCHNEIDER"/>
        <s v="REED FARMS"/>
        <s v="BRIAN &amp; BETSY JENSEN"/>
        <s v="LE CLERC FARMS"/>
        <s v="BRYAN ENRIGHT"/>
        <s v="REITHEL FARM INC"/>
        <s v="DRT FARMS"/>
        <s v="REIF FARMS"/>
        <s v="HOLLIFIELD RANCHES INC"/>
        <s v="HANSEN FARMS-JOINT VENTURE"/>
        <s v="MIKE GOODELL"/>
        <s v="CACTUS HILL CORPORATION"/>
        <s v="JOHN R SULLIVAN JR"/>
        <s v="LUCAS STOCKMEYER"/>
        <s v="LAKKE EWALD FARMS INC"/>
        <s v="PALM FARMS INC"/>
        <s v="DIAMOND S RANCH CORP"/>
        <s v="PAUL SUDA FARMS INC"/>
        <s v="RANDY JOHNK"/>
        <s v="STEVEN SCHUSTER"/>
        <s v="MUELLER FARMS"/>
        <s v="KENDALL SEDER"/>
        <s v="JEFF D MCINNES"/>
        <s v="LESLIE D ISAAC"/>
        <s v="STEVE GAYARI"/>
        <s v="PRIES FARMS LLC"/>
        <s v="TANTON FAMILY FARMS"/>
        <s v="LEIGH IRWIN"/>
        <s v="RICHARD &amp; DOUG ROSS"/>
        <s v="CARTOMMA FARMS INC."/>
        <s v="DAVID NEIBAUR"/>
        <s v="SKS FARMS"/>
        <s v="ALLEN OLLERMAN"/>
        <s v="KELLER INC"/>
        <s v="GERALD CHISHOLM"/>
        <s v="SCOTT ABO"/>
        <s v="MICHAEL J THOMPSON FARMS INC"/>
        <s v="TODD SCHWEITZER"/>
        <s v="DOUBLE K ENTERPRISES INC"/>
        <s v="MORTENSON FARM PARTNERS"/>
        <s v="WILLIAM SCHLENKER"/>
        <s v="PINTA BROS LLP"/>
        <s v="SUNRISE FARM"/>
        <s v="BURM AGRI INC."/>
        <s v="DEREK MAZURE"/>
        <s v="BKS FARMS"/>
        <s v="BRYAN JENTZSCH"/>
        <s v="TRUE ACRE INC."/>
        <s v="DANIEL WEISS"/>
        <s v="MC CALL FARMS"/>
        <s v="KIRKPATRICK FARMS"/>
        <s v="GARY KINDSFATHER"/>
        <s v="LIZAKOWSKI BROS"/>
        <s v="ACKERMAN FARMS"/>
        <s v="DEVIN ABENTROTH"/>
        <s v="HELENA CATTLE CO. LLC"/>
        <s v="TIMOTHY J &amp; DEBRA KUBACKI"/>
        <s v="J A D E FARMS"/>
        <s v="KRETZSCHMER BROTHERS"/>
        <s v="MARK &amp; RON MOSSNER"/>
        <s v="BAUER BROTHERS"/>
        <s v="CRAIG PAULSEN FARMS"/>
        <s v="TOM DOWDLE"/>
        <s v="AARON KIRKEBY"/>
        <s v="TIM ROGGENBUCK"/>
        <s v="KLAHR AND SONS LLC"/>
        <s v="CALL FARMS"/>
        <s v="CHPAJO FARMS"/>
        <s v="JEROME WANDERS"/>
        <s v="MILLER FARMS"/>
        <s v="DAVID WEISS"/>
        <s v="HANKEY FARM"/>
        <s v="MECHAM BROS LLC"/>
        <s v="MAUST FARM INC"/>
        <s v="RON SPALE FARM INC"/>
        <s v="HAUBENSTRICKER FARMS LLC"/>
        <s v="DENNIS HAUBENSTRICKER"/>
        <s v="STEVE KROHN FARMS LLC"/>
        <s v="BRAD CARROLL"/>
        <s v="MARK STEGMAN"/>
        <s v="JUSTIN GENTNER"/>
        <s v="GARNER FARMS LLC"/>
        <s v="TUMA FARMS INC."/>
        <s v="O. C. SCHULZ &amp; SONS"/>
        <s v="DALE GENTNER"/>
        <s v="DICK KADLEC"/>
        <s v="D &amp; B AG INC"/>
        <s v="K &amp; K CRONQUIST"/>
        <s v="CHAR-CREEK FARM"/>
        <s v="SCOTT MATTSON"/>
        <s v="GALEGHER FARMS INC"/>
        <s v="DANIEL OLSON"/>
        <s v="KEVIN KRUEGER"/>
        <s v="RYAN KNUTSON"/>
        <s v="POULSON BROTHERS"/>
        <s v="GOLDENRIDGE/CIRCLE D FARMS"/>
        <s v="TISDALE FARMS LLP"/>
        <s v="PAUL WAMBEKE"/>
        <s v="MARK NELSON"/>
        <s v="RALPH BINDER"/>
        <s v="GARY W &amp; DALE W KARST"/>
        <s v="JUSNUFF LTD"/>
        <s v="CRAIG S HURNER"/>
        <s v="JEROME RARICK"/>
        <s v="DEAN HARMON"/>
        <s v="BEARS COULEE RANCH INC"/>
        <s v="STEVE ADAMS"/>
        <s v="RANDY REITER"/>
        <s v="DONALD HELESKI"/>
        <s v="IDA-PO AG"/>
        <s v="ROBERT BRASETH"/>
        <s v="EVAN GENTNER"/>
        <s v="JOSH LIEN"/>
        <s v="RICHARD LIEN FARMS"/>
        <s v="SCHWALM FARMS"/>
        <s v="TOM WEISS"/>
        <s v="DESHANO FARMS"/>
        <s v="TOM FAGERHOLT"/>
        <s v="SCOTT VONASEK"/>
        <s v="K A FOSSUM"/>
        <s v="BJORGE BROTHERS FARM INC"/>
        <s v="GREGG SAURE"/>
        <s v="MARK HOLY"/>
        <s v="BRIAN ROSENFELDT"/>
        <s v="NICHOLAS HELESKI"/>
        <s v="Gentner Dairy"/>
        <s v="D &amp; B KARG FARMS"/>
        <s v="DARRIN ROGGENBUCK"/>
        <s v="MIKE PALMER"/>
        <s v="BISCHER FARMS PARTNERSHIP"/>
        <s v="LANCE GENTNER"/>
        <s v="GUNNARSON FARMS INC"/>
        <s v="PAYETTE FARMS INC"/>
        <s v="ERNEST MAURER"/>
        <s v="RON &amp; ALICIA BLACH"/>
        <s v="GARY D WARK"/>
        <s v="JUSTIN HEIN"/>
        <s v="RODZOS FAMILY FARMS INC"/>
        <s v="RICHARD MOEN"/>
        <s v="MICHEAL LEONHARDT"/>
        <s v="LJR FAMILY FARMS LLC"/>
        <s v="FERGUS FARMS LLC"/>
        <s v="NIC ZDUNIC"/>
        <s v="JEFFERY C KEESLER"/>
        <s v="DALE WOOD"/>
        <s v="NEIL LARSON &amp; SON"/>
        <s v="CARL BEDNARSKI JR."/>
        <s v="JOE EICKHOLT"/>
        <s v="CLIFFORD KEESLER"/>
        <s v="DRISCOLL &amp; DRISCOLL INC"/>
        <s v="HALLS FARMS"/>
        <s v="DANE MANAGEMENT GROUP LLC"/>
        <s v="RAVEN FARMS INC"/>
        <s v="MICHAEL G ERICKSON"/>
        <s v="JAMES MCWALTER"/>
        <s v="DAVE &amp; KARLA BLACH"/>
        <s v="MARK ATKINS"/>
        <s v="NEAL PULSKAMP"/>
        <s v="LEVI ZDUNIC"/>
        <s v="MARK STEENSON"/>
        <s v="K &amp; K KERN FARMS LLC"/>
        <s v="STUART INC"/>
        <s v="RUSSELL PALMER FARMS/TNT FARMS"/>
        <s v="GERSTENBERGER FARMS INC"/>
        <s v="CARL KRUMENACKER"/>
        <s v="MARK KRUMENACKER"/>
        <s v="STAR FALLS FARMS"/>
        <s v="RYAN JOHNSON"/>
        <s v="MARVIN BAY"/>
        <s v="HARVEY, PAT, JAMES &amp; JOHN ASBE"/>
        <s v="FOOS FARMS INC"/>
        <s v="H5 FARMS LLC"/>
        <s v="ALAN HEILBRUN"/>
        <s v="JERRY BALL"/>
        <s v="LEWMAN FARM LLC"/>
        <s v="MICHAEL R SCHORNACK"/>
        <s v="MESSING SONS LLC"/>
        <s v="ZIMMER FARMS"/>
        <s v="J BAR F RANCH CO"/>
        <s v="CLEFT-OF-THE-ROCK FARMS"/>
        <s v="DEAN HAUBENSTRICKER"/>
        <s v="JLJ FARMS PARTNERSHIP"/>
        <s v="JR BAUWENS"/>
        <s v="ROGER WEISS"/>
        <s v="GREG FELTMAN"/>
        <s v="G H FARMS LLC"/>
        <s v="K T M FARMS INC"/>
        <s v="BILL LUTZ"/>
        <s v="ALLAN STEVENSON"/>
        <s v="COREY GROCHOWSKI"/>
        <s v="BRIAN ANDERSON"/>
        <s v="KELLY BRESTER"/>
        <s v="SRC FARMS"/>
        <s v="DWIGHT &amp; MARVIN SELLE INC"/>
        <s v="STEVE NEIBAUR FARM INC"/>
        <s v="DAVE LUTZ"/>
        <s v="RANDY WEBER"/>
        <s v="KEVIN SCHORNACK"/>
        <s v="MONTY &amp; CAROLENE FUNK PARTNERS"/>
        <s v="MIKE HARTNETT"/>
        <s v="DELRUE AGRI INC"/>
        <s v="VAL WAHLEN"/>
        <s v="LADD WAHLEN"/>
        <s v="IMPERIAL AG"/>
        <s v="WALLACE HECHT INC"/>
        <s v="ROBERT GREENFIELD"/>
        <s v="RUSSELL GRUEL"/>
        <s v="N &amp; P LANGWALD INC"/>
        <s v="NEIL BROWN"/>
        <s v="JACK TURSCHAK"/>
        <s v="TIMOTHY CHISHOLM"/>
        <s v="BRYAN HECHT"/>
        <s v="W6 PLUS LLC"/>
        <s v="MATTHEW CHRISTENSEN"/>
        <s v="D &amp; L VOKES FARMS LTD"/>
        <s v="LANNY COOK"/>
        <s v="DOUBLE H AG INC"/>
        <s v="MOO VIEW COW PALACE"/>
        <s v="DONALD F EDEN"/>
        <s v="RCS FARMS LLC"/>
        <s v="TODD JENKINS"/>
        <s v="ROD KENDALL"/>
        <s v="CODY &amp; CHAD KUNTZ"/>
        <s v="SUGAR CREEK FARMS INC"/>
        <s v="GERRY KOBAYASHI"/>
        <s v="LEROY WINTER"/>
        <s v="MCKENZIE WALKER"/>
        <s v="FERGUSON SCATTERED ACRES LTD"/>
        <s v="EUSI FARMS"/>
        <s v="PAUL &amp; STEVE MOFFATT"/>
        <s v="ERIC WHITE"/>
        <s v="NIELSEN RANCH INC"/>
        <s v="JEROME CLINGER"/>
        <s v="WILLIAM L VOLMERING"/>
        <s v="RICHARD G VOLMERING"/>
        <s v="BENDA FARMS"/>
        <s v="3G JOHNSON FARMS 2001"/>
        <s v="LENNARD SIMPSON"/>
        <s v="STANGE FARMS INC"/>
        <s v="ANTHONY BOOMS"/>
        <s v="JEFFERY JACOBS"/>
        <s v="L R K FARMS INC"/>
        <s v="JECKO FUTURES"/>
        <s v="3B HAY AND STRAW"/>
        <s v="TONY WINTER"/>
        <s v="GILES FARMS"/>
        <s v="BRAD DORVALL"/>
        <s v="GJS FARMS LLC"/>
        <s v="ROB &amp; PAUL MCKERRALL"/>
        <s v="SCOTT BAUWENS"/>
        <s v="OWHYEE FARMS"/>
        <s v="BEN &amp; ROSS BROWN"/>
        <s v="LODGEPOLE VALLEY POTATOES INC"/>
        <s v="BRIAN SCHUCH"/>
        <s v="DUANE NIMTZ"/>
        <s v="WESLEY REINBOLD"/>
        <s v="LESLIE WEISS JR"/>
        <s v="RONALD HANSON"/>
        <s v="BRIAN LOEFFLER"/>
        <s v="PASCO FARMING INC."/>
        <s v="RODNEY NELSON"/>
        <s v="MARSHALL LEWIS"/>
        <s v="ROTH BROTHERS"/>
        <s v="TOM ZIEL"/>
        <s v="RICK JOLLEY"/>
        <s v="BUTCH LIND"/>
        <s v="DANIEL R SWARTZ"/>
        <s v="GERRY A HANSON"/>
        <s v="CRAIG BINDER"/>
        <s v="DAVID R SMALLEY"/>
        <s v="ROY STOLZ"/>
        <s v="RONALD KIRSCH"/>
        <s v="KENNETH A RADER"/>
        <s v="SCHLEMMER FARMS INC"/>
        <s v="ROBINSON FARMS"/>
        <s v="JOE HONEK"/>
        <s v="AP FARMS INC"/>
        <s v="KENNETH PICHLA"/>
        <s v="LUKE HARRINGTON"/>
        <s v="HARRINGTON FARMS INC"/>
        <s v="LARSON FARMS"/>
        <s v="LUKE FORNESS"/>
        <s v="PHILIP BUBLITZ"/>
        <s v="KORVEMAKER ACRES INC"/>
        <s v="ROY COLLINGS"/>
        <s v="DON HENDERSON"/>
        <s v="BROOKS BATT"/>
        <s v="BRIAN LEARMAN"/>
        <s v="MAYNARD PETERSON"/>
        <s v="LEE ANDERSON"/>
        <s v="JEFF ANDERSON"/>
        <s v="JAMES E GORETSKI"/>
        <s v="MURAWSKI FARMS INC"/>
        <s v="ERIC MILLER"/>
        <s v="HOLDWICK ARCES LLC"/>
        <s v="C&amp;W HECHT FARMS LLC"/>
        <s v="ROBERT CLEARY"/>
        <s v="KEVIN &amp; SCOTT KLEIN"/>
        <s v="ROTH FAMILY FARMS"/>
        <s v="KEITH MALBURG"/>
        <s v="LINZNER FARMS"/>
        <s v="FLOYD GABEL JR"/>
        <s v="JAMES HOSKIN"/>
        <s v="C &amp; K RATAJCZAK FAMILY FARMS L"/>
        <s v="JACK POST"/>
        <s v="MATT SAHR FARMS LLC"/>
        <s v="KEN KALIN"/>
        <s v="ANDREAS BOEKHORST"/>
        <s v="RENATA FARMS"/>
        <s v="MCGLYNN BROS"/>
        <s v="TERRY HISTED FARM LLC"/>
        <s v="LOYLAND FARMS INC"/>
        <s v="IRION FARM"/>
        <s v="THOMAS DUKELOW"/>
        <s v="HOWARD JURGES"/>
        <s v="L. C LECLAIR FARMS INC"/>
        <s v="Q B Farms LLC"/>
        <s v="KEVIN BUBLITZ"/>
        <s v="G &amp; B THOMPSON PARTNERSHIP"/>
        <s v="G &amp; E MEYLAN FARMS"/>
        <s v="MAURICE LAEVENS"/>
        <s v="LOWER SNAKE RIVER FARMS LLC"/>
        <s v="GLENN SCHREPEL"/>
        <s v="BOB ZENTNER"/>
        <s v="DENNIS MESSING"/>
        <s v="GOEBEL FARMS INC"/>
        <s v="BRAD GRUEHN"/>
        <s v="BLOCK FARMS LLC"/>
        <s v="MCPHERSON FARMS INC"/>
        <s v="ART ALLOSSERY (G A P BROS)"/>
        <s v="PHILLIPS BROS CATTLE CO"/>
        <s v="D.T. ROUECH FARMS LLC"/>
        <s v="FAIRWIND FARMS/MARK LUMLEY"/>
        <s v="JOSH WEBBER"/>
        <s v="RC HERITAGE FARMS"/>
        <s v="PAUL PETT"/>
        <s v="BRAD LYNCH"/>
        <s v="KNOERR FARMS"/>
        <s v="GREENLEAF FARMS INC"/>
        <s v="E &amp; R FARMS"/>
        <s v="JOEY RICKE"/>
        <s v="CARROL LEBACKEN"/>
        <s v="ANDREW T IRION"/>
        <s v="JOHN SCHLUCKEBIER FARMS INC"/>
        <s v="DEAN SPAULDING"/>
        <s v="STEPHENSON FARMS"/>
        <s v="LEBACKEN - LEBACKEN LLP"/>
        <s v="DON &amp; DOREEN SNIDEMAN"/>
        <s v="BROOKSTON ACRES"/>
        <s v="ZIEHM FARMS"/>
        <s v="LEE CRAIG"/>
        <s v="ROBERT LEBACKEN"/>
        <s v="DANIEL G DRISCOLL"/>
        <s v="DEREK DRISCOLL"/>
        <s v="KEITH BAKER"/>
        <s v="ZIEGLER FARMS LLC"/>
        <s v="STEVEN J DOEDEN"/>
        <s v="CHRIS RATAJCZAK JR"/>
        <s v="MICHAEL L HORN"/>
        <s v="GINGRICH FARMS"/>
        <s v="JEFF BUSHEY"/>
        <s v="DCM FARM ACCT"/>
        <s v="MATT RIOPELLE"/>
        <s v="DONALD MAI"/>
        <s v="GARY &amp; BLAINE EVANS"/>
        <s v="KERRY BOWEN"/>
        <s v="F R B FARMS LLC"/>
        <s v="BLAINE LINDLEY"/>
        <s v="ROHRBACHER FARMS LLC"/>
        <s v="HALL POOR FARM LLC"/>
        <s v="ELDRED FARMS"/>
        <s v="WILLIAM  RIOPELLE"/>
        <s v="WALTON AG LLC"/>
        <s v="MATTHEW ASAY"/>
        <s v="KENDALL R ENGLISH"/>
        <s v="WEBURG FARMS INC"/>
        <s v="JASON CLANCY"/>
        <s v="GREG SCOTT MAI"/>
        <s v="BRENT CARL MAI"/>
        <s v="KENNETH &amp; TERRY DEKOSKI"/>
        <s v="DAVE GORDON"/>
        <s v="ASAY FARMS INC"/>
        <s v="CHAFFIN FARMS"/>
        <s v="V &amp; L FARMS"/>
        <s v="CURTIS PETERSON"/>
        <s v="JORDAN CHANDLER"/>
        <s v="CARL MONTGOMERY"/>
        <s v="TURNER FARMS LLC"/>
        <s v="Eskau Farms LLC"/>
        <s v="VERMEESCH FAMILY FARMS LLC"/>
        <s v="AG MAC FARMS INC"/>
        <s v="BERGH FARMS LLC"/>
        <s v="CCK FARMS INC"/>
        <s v="MOSS FARMS"/>
        <s v="RICK LORENZINI"/>
        <s v="NASHCO FARMS INC"/>
        <s v="NEAL FLETCHER"/>
        <s v="DAVID ALTHOFF"/>
        <s v="DOUG AISENBREY"/>
        <s v="FOUR Q FARMS LLC"/>
        <s v="BIG D RANCH INC"/>
        <s v="JAMES A WEISS"/>
        <s v="DARWIN D SNELLER"/>
        <s v="CHRIS ADAMS"/>
        <s v="JOE SPERO"/>
        <s v="MARK C PALMREUTER"/>
        <s v="WILLIAM J ROGGENBUCK"/>
        <s v="Sure Shot Farms LLC"/>
        <s v="ALAN COLLETTE"/>
        <s v="ANTHONY AMOTH"/>
        <s v="MIKE FLETCHER"/>
        <s v="EUGENE PALMREUTER"/>
        <s v="RANDAL HERGENRIDER"/>
        <s v="TRIANGLE T FARMS LLC"/>
        <s v="LOUIS FABRIZIUS"/>
        <s v="RYAN RUPPLE"/>
        <s v="PAUL RUPPLE"/>
        <s v="DON MAURER"/>
        <s v="BRIAN INSKEEP"/>
        <s v="STAN GINGERICH"/>
        <s v="TED BUHRIG FARMS"/>
        <s v="ZOLLINGER DAIRY"/>
        <s v="ELM FARMS INC"/>
        <s v="GISH AMANO"/>
        <s v="MICHAEL MULDERS"/>
        <s v="SHAUN SAHR"/>
        <s v="TIMOTHY VAN DEN BOOM"/>
        <s v="SCOTT SCHLAGEL"/>
        <s v="MARK SEAMON"/>
        <s v="P R C RATAJCZAK FARM"/>
        <s v="TWIN HILL FARMS INC"/>
        <s v="DOUG SCHINDELE"/>
        <s v="G-6 FARMS LLC"/>
        <s v="COREY OESCHGER"/>
        <s v="RON RATAJCZAK"/>
        <s v="DAVE SCHAAL"/>
        <s v="ROGERSON FARMS LLC"/>
        <s v="GREGORY LEUENBERGER"/>
        <s v="JASON MEYERS"/>
        <s v="CHRIS WACKER"/>
        <s v="MARK WIRTZ"/>
        <s v="GRANT AMANO"/>
        <s v="ANDY JOHNSON"/>
        <s v="ZACH RIVETTE"/>
        <s v="ANDREW M. RATAJCZAK"/>
        <s v="K &amp; B AG PRODUCTIONS INC"/>
        <s v="GERALD KEINATH"/>
        <s v="LYNN SCHMIDT"/>
        <s v="DORE FARMS"/>
        <s v="CLIFF BESAW"/>
        <s v="TRIPLE T FARM"/>
        <s v="STEVE BEEM"/>
        <s v="WALTER BOWMAN"/>
        <s v="DAN CORN"/>
        <s v="TRAVIS VAN DEN BOOM"/>
        <s v="SID SMITH"/>
        <s v="SOBOTKA FARMS INC."/>
        <s v="LAMMEY FARMS LLC"/>
        <s v="DUANE YAMAMOTO"/>
        <s v="BYRON SHEETS"/>
        <s v="HYRUM GIBBY"/>
        <s v="DON MORSE"/>
        <s v="BRYAN SCHWAB"/>
        <s v="LETCHER FARMS INC"/>
        <s v="RICK KEINATH"/>
        <s v="J/G &amp; SONS"/>
        <s v="ISAAK RANCHES"/>
        <s v="JAMES KISSLER"/>
        <s v="TOM VAN OCHTEN"/>
        <s v="DANIEL E BALCER"/>
        <s v="ERNEST E BALCER"/>
        <s v="SCOTT GRIFKA"/>
        <s v="CALE &amp; MIKE REINHARDT"/>
        <s v="JERRY WELIEVER"/>
        <s v="KENNY BROS FARMS"/>
        <s v="DUANE ISAAK"/>
        <s v="MEISSNER FARMS OF MINDEN CITY"/>
        <s v="ROBERT WASMILLER"/>
        <s v="STEVE LEJARDI"/>
        <s v="DOUG THURGOOD FARMS"/>
        <s v="DURAND FARMS"/>
        <s v="FRED SCHWAB"/>
        <s v="KENDELL FARMS"/>
        <s v="LOREN KUSTER"/>
        <s v="DICK FISHER"/>
        <s v="MIKE FRANKLIN"/>
        <s v="VERN SCHWAB"/>
        <s v="SCOTT POULSON"/>
        <s v="BRIAN WILLIAMS"/>
        <s v="CLINT ROHRBACHER"/>
        <s v="BOYD BINGHAM"/>
        <s v="HORNBACHER FARMS"/>
        <s v="BUTTE SHADOWS NURSERY INC"/>
        <s v="DOUG PUST FARMS INC"/>
        <s v="SCHMID FAMILY FARMS"/>
        <s v="STEVEN BILACIC"/>
        <s v="MARK HOBSON"/>
        <s v="BEEFLAND INC"/>
        <s v="RAY DEMERS"/>
        <s v="JERRY WEHNER"/>
        <s v="JAN ZONDERLAND"/>
        <s v="BRIAN S HANSEN"/>
        <s v="NATHAN MC KINNEY"/>
        <s v="DMB LLC"/>
        <s v="ROVEY FARMS"/>
        <s v="EVELYN &amp; ED HEID"/>
        <s v="NICK DEURING"/>
        <s v="JED WAYMENT"/>
        <s v="MATTHEW FROSTIC"/>
        <s v="PRIME LAND FARM"/>
        <s v="KENNETH E LANDSBURG"/>
        <s v="TERRY HAAG"/>
        <s v="MARK SPENCER"/>
        <s v="WARNER SCHANEMAN"/>
        <s v="ROBERT SCHLICKER"/>
        <s v="DON THOM"/>
        <s v="STEVE HOARD FARM"/>
        <s v="KIPP DICKSON"/>
        <s v="F &amp; C MEYER FARMS"/>
        <s v="KENDALL MEYER"/>
        <s v="KIRK MEYER"/>
        <s v="KEVIN MEYER"/>
        <s v="AMEN FARMS"/>
        <s v="ALBERT DEPCINSKI"/>
        <s v="BRENDEN &amp; AARON WORLEY JV"/>
        <s v="THOMAS KNOERR"/>
        <s v="DAN HERGENREDER"/>
        <s v="T &amp; T FEEDERS"/>
        <s v="WARREN APPOLD"/>
        <s v="H R KINGSBURY CO"/>
        <s v="FRANK KUNIK REVOCABLE LIVING T"/>
        <s v="L &amp; M SCHEUERLEIN INC"/>
        <s v="MARK PAJOT"/>
        <s v="DAN BUSCH"/>
        <s v="HELGOE FARM INC"/>
        <s v="LETE FARMS LLC"/>
        <s v="WAYNE SAMESHIMA"/>
        <s v="SINGER FARMS"/>
        <s v="KEN ZEILINGER"/>
        <s v="RIVERCREST FARMS"/>
        <s v="STAN POTTHOFF"/>
        <s v="BRETT WEBER"/>
        <s v="COXBILL FARM INC"/>
        <s v="DARREN KNUTSON"/>
        <s v="RICKER FARMS"/>
        <s v="SWEET PRAIRIE FARMS INC"/>
        <s v="RUSSEL REINBOLD"/>
        <s v="BERTLAND FARMS LIMITED"/>
        <s v="TROY FRANK"/>
        <s v="2089900 ON INC - MIKE JACK"/>
        <s v="WILLIAM SCAMAN"/>
        <s v="SUNNY VIEW FARMS"/>
        <s v="SCHLATTER FARMS"/>
        <s v="MICHAEL SIEFKA"/>
        <s v="PURCELL CONSERVATION GROUP"/>
        <s v="BEEBE FARMS"/>
        <s v="JMH FARMS INC"/>
        <s v="1644353 ONTARIO LTD"/>
        <s v="STONEMAN FARMS LLC"/>
        <s v="JEREMY &amp; MEGHANN BLACH"/>
        <s v="DAVID GUENZI FARMS"/>
        <s v="JACE BLACH"/>
        <s v="VIC LEFFLER &amp; SONS INC"/>
        <s v="PETE RATAJCZAK"/>
        <s v="DAVID A REYNOLDS"/>
        <s v="JAMES, CHRIS &amp; HEATHER RENNER"/>
        <s v="RYAN OBERGFELL"/>
        <s v="NICK OSOWSKI"/>
        <s v="NORBY INC"/>
        <s v="STEDMAN INC"/>
        <s v="HV RANCH"/>
        <s v="UNIVERSITY OF WYOMING RESEARCH"/>
        <s v="KENT ANDREAS"/>
        <s v="BERNREUTER FARMS"/>
        <s v="ZACK HAYWARD"/>
        <s v="LYKKEN FARMS"/>
        <s v="JOE DULANEY"/>
        <s v="LON JOHNSON"/>
        <s v="REED STENMARK"/>
        <s v="MIKE KEENAN"/>
        <s v="BRIAN ARMSTRONG"/>
        <s v="TIM RICE"/>
        <s v="MARLOW JACOBSON"/>
        <s v="KEVIN WACKERLE"/>
        <s v="FRITZ &amp; KOVACH FARMS INC"/>
        <s v="CATTAIL CREEK FARMS INC"/>
        <s v="DOUGLAS OLASON"/>
        <s v="KEVIN CHISHOLM"/>
        <s v="KNOCHEL FARMS INC"/>
        <s v="ZWERK &amp; SONS FARMS"/>
        <s v="S &amp; K GREMEL FARMS INC"/>
        <s v="K &amp; J FARMS LLC"/>
        <s v="CHRIS GARZA"/>
        <s v="DURATION FARMS"/>
        <s v="G-4 FARMS LLC"/>
        <s v="SHAFFNER BROS LLC"/>
        <s v="STOUTENBURG FARMS LLC"/>
        <s v="MRH FARMS INC"/>
      </sharedItems>
    </cacheField>
    <cacheField name="Material Group Desc." numFmtId="0">
      <sharedItems/>
    </cacheField>
    <cacheField name="Description 2 for the material group" numFmtId="0">
      <sharedItems/>
    </cacheField>
    <cacheField name="Material" numFmtId="0">
      <sharedItems/>
    </cacheField>
    <cacheField name="Description" numFmtId="0">
      <sharedItems/>
    </cacheField>
    <cacheField name="Order Quantity" numFmtId="3">
      <sharedItems containsSemiMixedTypes="0" containsString="0" containsNumber="1" containsInteger="1" minValue="-260" maxValue="1360"/>
    </cacheField>
    <cacheField name="Delivery quantity" numFmtId="3">
      <sharedItems containsSemiMixedTypes="0" containsString="0" containsNumber="1" containsInteger="1" minValue="-260" maxValue="1228"/>
    </cacheField>
    <cacheField name="Open deliver quant." numFmtId="3">
      <sharedItems containsSemiMixedTypes="0" containsString="0" containsNumber="1" containsInteger="1" minValue="-4" maxValue="1360"/>
    </cacheField>
    <cacheField name="SB_MARKET" numFmtId="0">
      <sharedItems count="10">
        <s v="MIO"/>
        <s v="SMN"/>
        <s v="WSS"/>
        <s v="MND"/>
        <s v="IDH"/>
        <s v="WWN"/>
        <s v="SSI"/>
        <s v="ACS"/>
        <s v="IMV"/>
        <s v="FBW"/>
      </sharedItems>
    </cacheField>
    <cacheField name="SB_PED_CODE" numFmtId="0">
      <sharedItems/>
    </cacheField>
    <cacheField name="SB_SALES_SEED_SIZE" numFmtId="0">
      <sharedItems/>
    </cacheField>
    <cacheField name="SB_TREATMENT" numFmtId="0">
      <sharedItems/>
    </cacheField>
    <cacheField name="SB_PACKAGING_QTY" numFmtId="0">
      <sharedItems/>
    </cacheField>
    <cacheField name="SB_PACKAGING_QTY2" numFmtId="0">
      <sharedItems/>
    </cacheField>
    <cacheField name="SB_CRUISER" numFmtId="0">
      <sharedItems/>
    </cacheField>
    <cacheField name="SB_PONCHO_BETA" numFmtId="0">
      <sharedItems/>
    </cacheField>
    <cacheField name="SB_KABINA" numFmtId="0">
      <sharedItems/>
    </cacheField>
    <cacheField name="SB_TACHIGAREN" numFmtId="0">
      <sharedItems/>
    </cacheField>
    <cacheField name="SB_SYSTIVA" numFmtId="0">
      <sharedItems/>
    </cacheField>
    <cacheField name="SB_CLARIVA" numFmtId="0">
      <sharedItems/>
    </cacheField>
    <cacheField name="SB_STAMINA" numFmtId="0">
      <sharedItems/>
    </cacheField>
    <cacheField name="SB_VIBRANCE" numFmtId="0">
      <sharedItems/>
    </cacheField>
    <cacheField name="Storage Location" numFmtId="0">
      <sharedItems/>
    </cacheField>
    <cacheField name="Requested deliv.date" numFmtId="14">
      <sharedItems containsNonDate="0" containsDate="1" containsString="0" containsBlank="1" minDate="2016-06-20T00:00:00" maxDate="2017-01-26T00:00:00"/>
    </cacheField>
    <cacheField name="Item (SD)" numFmtId="0">
      <sharedItems/>
    </cacheField>
    <cacheField name="Item category" numFmtId="0">
      <sharedItems/>
    </cacheField>
    <cacheField name="Sales Document Type2" numFmtId="0">
      <sharedItems/>
    </cacheField>
    <cacheField name="Document Date" numFmtId="14">
      <sharedItems containsSemiMixedTypes="0" containsNonDate="0" containsDate="1" containsString="0" minDate="2016-07-14T00:00:00" maxDate="2017-01-22T00:00:00"/>
    </cacheField>
    <cacheField name="Region AG" numFmtId="0">
      <sharedItems/>
    </cacheField>
    <cacheField name="Country AG" numFmtId="0">
      <sharedItems/>
    </cacheField>
    <cacheField name="Division" numFmtId="0">
      <sharedItems/>
    </cacheField>
    <cacheField name="Purchase order date" numFmtId="14">
      <sharedItems containsSemiMixedTypes="0" containsNonDate="0" containsDate="1" containsString="0" minDate="2016-05-12T00:00:00" maxDate="2017-01-2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99">
  <r>
    <x v="0"/>
    <x v="0"/>
    <x v="0"/>
    <x v="0"/>
    <s v="Standard order"/>
    <x v="0"/>
    <x v="0"/>
    <s v="R059"/>
    <s v="CRYSTAL RR059"/>
    <s v="5003537"/>
    <s v="RR059 RP Diamond Plated Silver (O)"/>
    <n v="4"/>
    <n v="4"/>
    <n v="0"/>
    <x v="0"/>
    <s v="AP73"/>
    <s v="RP"/>
    <s v="392"/>
    <s v="4.0 UN"/>
    <s v="STANDARD"/>
    <s v="N"/>
    <s v="N"/>
    <s v="N"/>
    <s v="N"/>
    <s v="N"/>
    <s v="N"/>
    <s v="N"/>
    <s v="Y"/>
    <s v=""/>
    <d v="2016-09-14T00:00:00"/>
    <s v="10"/>
    <s v="TAN"/>
    <s v="OR"/>
    <d v="2016-09-14T00:00:00"/>
    <s v="ON"/>
    <s v="CA"/>
    <s v="ZR"/>
    <d v="2016-06-01T00:00:00"/>
  </r>
  <r>
    <x v="0"/>
    <x v="0"/>
    <x v="1"/>
    <x v="0"/>
    <s v="Returns Standard SAP"/>
    <x v="1"/>
    <x v="1"/>
    <s v="R059"/>
    <s v="CRYSTAL RR059"/>
    <s v="5003537"/>
    <s v="RR059 RP Diamond Plated Silver (O)"/>
    <n v="-4"/>
    <n v="-4"/>
    <n v="0"/>
    <x v="0"/>
    <s v="AP73"/>
    <s v="RP"/>
    <s v="392"/>
    <s v="4.0 UN"/>
    <s v="STANDARD"/>
    <s v="N"/>
    <s v="N"/>
    <s v="N"/>
    <s v="N"/>
    <s v="N"/>
    <s v="N"/>
    <s v="N"/>
    <s v="Y"/>
    <s v=""/>
    <m/>
    <s v="10"/>
    <s v="ZSRE"/>
    <s v="ZSRE"/>
    <d v="2016-09-14T00:00:00"/>
    <s v="ON"/>
    <s v="CA"/>
    <s v="ZR"/>
    <d v="2016-06-01T00:00:00"/>
  </r>
  <r>
    <x v="0"/>
    <x v="1"/>
    <x v="2"/>
    <x v="1"/>
    <s v="Returns Standard SAP"/>
    <x v="2"/>
    <x v="2"/>
    <s v="R018"/>
    <s v="CRYSTAL RR018"/>
    <s v="5003096"/>
    <s v="RR018 RP Diamond Plated Silver"/>
    <n v="-4"/>
    <n v="-4"/>
    <n v="0"/>
    <x v="1"/>
    <s v="APMC"/>
    <s v="RP"/>
    <s v="390"/>
    <s v="4.0 UN"/>
    <s v="STANDARD"/>
    <s v="N"/>
    <s v="N"/>
    <s v="Y"/>
    <s v="T45"/>
    <s v="N"/>
    <s v="N"/>
    <s v="N"/>
    <s v="N"/>
    <s v=""/>
    <m/>
    <s v="10"/>
    <s v="ZSRE"/>
    <s v="ZSRE"/>
    <d v="2016-08-30T00:00:00"/>
    <s v="MN"/>
    <s v="US"/>
    <s v="ZR"/>
    <d v="2016-06-01T00:00:00"/>
  </r>
  <r>
    <x v="0"/>
    <x v="1"/>
    <x v="2"/>
    <x v="1"/>
    <s v="Returns Standard SAP"/>
    <x v="2"/>
    <x v="2"/>
    <s v="M375"/>
    <s v="CRYSTAL M375"/>
    <s v="5003030"/>
    <s v="M375 RP Diamond Plated Silver"/>
    <n v="-4"/>
    <n v="-4"/>
    <n v="0"/>
    <x v="1"/>
    <s v="DT74"/>
    <s v="RP"/>
    <s v="390"/>
    <s v="4.0 UN"/>
    <s v="STANDARD"/>
    <s v="N"/>
    <s v="N"/>
    <s v="Y"/>
    <s v="T45"/>
    <s v="N"/>
    <s v="N"/>
    <s v="N"/>
    <s v="N"/>
    <s v=""/>
    <m/>
    <s v="20"/>
    <s v="ZSRE"/>
    <s v="ZSRE"/>
    <d v="2016-08-30T00:00:00"/>
    <s v="MN"/>
    <s v="US"/>
    <s v="ZR"/>
    <d v="2016-06-01T00:00:00"/>
  </r>
  <r>
    <x v="0"/>
    <x v="1"/>
    <x v="2"/>
    <x v="1"/>
    <s v="Returns Standard SAP"/>
    <x v="2"/>
    <x v="2"/>
    <s v="R270"/>
    <s v="CRYSTAL RR270"/>
    <s v="5003608"/>
    <s v="RR270 RP Diamond Plated Silver"/>
    <n v="-4"/>
    <n v="-4"/>
    <n v="0"/>
    <x v="1"/>
    <s v="DFMC"/>
    <s v="RP"/>
    <s v="390"/>
    <s v="4.0 UN"/>
    <s v="STANDARD"/>
    <s v="N"/>
    <s v="N"/>
    <s v="Y"/>
    <s v="T45"/>
    <s v="N"/>
    <s v="N"/>
    <s v="N"/>
    <s v="N"/>
    <s v=""/>
    <m/>
    <s v="30"/>
    <s v="ZSRE"/>
    <s v="ZSRE"/>
    <d v="2016-08-30T00:00:00"/>
    <s v="MN"/>
    <s v="US"/>
    <s v="ZR"/>
    <d v="2016-06-01T00:00:00"/>
  </r>
  <r>
    <x v="0"/>
    <x v="1"/>
    <x v="2"/>
    <x v="1"/>
    <s v="Returns Standard SAP"/>
    <x v="2"/>
    <x v="2"/>
    <s v="R018"/>
    <s v="CRYSTAL RR018"/>
    <s v="5003095"/>
    <s v="RR018 ELS Diamond Plated Silver"/>
    <n v="-4"/>
    <n v="-4"/>
    <n v="0"/>
    <x v="1"/>
    <s v="APMC"/>
    <s v="ELS"/>
    <s v="390"/>
    <s v="4.0 UN"/>
    <s v="STANDARD"/>
    <s v="N"/>
    <s v="N"/>
    <s v="Y"/>
    <s v="T45"/>
    <s v="N"/>
    <s v="N"/>
    <s v="N"/>
    <s v="N"/>
    <s v=""/>
    <m/>
    <s v="40"/>
    <s v="ZSRE"/>
    <s v="ZSRE"/>
    <d v="2016-08-30T00:00:00"/>
    <s v="MN"/>
    <s v="US"/>
    <s v="ZR"/>
    <d v="2016-06-01T00:00:00"/>
  </r>
  <r>
    <x v="0"/>
    <x v="0"/>
    <x v="3"/>
    <x v="2"/>
    <s v="Returns Standard SAP"/>
    <x v="3"/>
    <x v="3"/>
    <s v="R059"/>
    <s v="CRYSTAL RR059"/>
    <s v="5003530"/>
    <s v="RR059 RP Diamond Plated Silver"/>
    <n v="-24"/>
    <n v="-24"/>
    <n v="0"/>
    <x v="0"/>
    <s v="AP73"/>
    <s v="RP"/>
    <s v="387"/>
    <s v="4.0 UN"/>
    <s v="STANDARD"/>
    <s v="N"/>
    <s v="N"/>
    <s v="Y"/>
    <s v="T20"/>
    <s v="N"/>
    <s v="N"/>
    <s v="N"/>
    <s v="N"/>
    <s v=""/>
    <m/>
    <s v="10"/>
    <s v="ZSRE"/>
    <s v="ZSRE"/>
    <d v="2016-09-01T00:00:00"/>
    <s v="MI"/>
    <s v="US"/>
    <s v="ZR"/>
    <d v="2016-06-04T00:00:00"/>
  </r>
  <r>
    <x v="0"/>
    <x v="0"/>
    <x v="4"/>
    <x v="2"/>
    <s v="Replant Order"/>
    <x v="3"/>
    <x v="3"/>
    <s v="R059"/>
    <s v="CRYSTAL RR059"/>
    <s v="5003530"/>
    <s v="RR059 RP Diamond Plated Silver"/>
    <n v="20"/>
    <n v="20"/>
    <n v="0"/>
    <x v="0"/>
    <s v="AP73"/>
    <s v="RP"/>
    <s v="387"/>
    <s v="4.0 UN"/>
    <s v="STANDARD"/>
    <s v="N"/>
    <s v="N"/>
    <s v="Y"/>
    <s v="T20"/>
    <s v="N"/>
    <s v="N"/>
    <s v="N"/>
    <s v="N"/>
    <s v=""/>
    <d v="2016-09-12T00:00:00"/>
    <s v="10"/>
    <s v="TAN"/>
    <s v="ZRPU"/>
    <d v="2016-09-13T00:00:00"/>
    <s v="MI"/>
    <s v="US"/>
    <s v="ZR"/>
    <d v="2016-06-04T00:00:00"/>
  </r>
  <r>
    <x v="0"/>
    <x v="0"/>
    <x v="5"/>
    <x v="2"/>
    <s v="Replant Order"/>
    <x v="3"/>
    <x v="3"/>
    <s v="R059"/>
    <s v="CRYSTAL RR059"/>
    <s v="5003530"/>
    <s v="RR059 RP Diamond Plated Silver"/>
    <n v="4"/>
    <n v="4"/>
    <n v="0"/>
    <x v="0"/>
    <s v="AP73"/>
    <s v="RP"/>
    <s v="387"/>
    <s v="4.0 UN"/>
    <s v="STANDARD"/>
    <s v="N"/>
    <s v="N"/>
    <s v="Y"/>
    <s v="T20"/>
    <s v="N"/>
    <s v="N"/>
    <s v="N"/>
    <s v="N"/>
    <s v=""/>
    <d v="2016-09-12T00:00:00"/>
    <s v="10"/>
    <s v="TAN"/>
    <s v="ZRPU"/>
    <d v="2016-09-13T00:00:00"/>
    <s v="MI"/>
    <s v="US"/>
    <s v="ZR"/>
    <d v="2016-06-20T00:00:00"/>
  </r>
  <r>
    <x v="0"/>
    <x v="0"/>
    <x v="6"/>
    <x v="2"/>
    <s v="Replant Order"/>
    <x v="4"/>
    <x v="4"/>
    <s v="G333"/>
    <s v="CRYSTAL G333NT"/>
    <s v="5003378"/>
    <s v="G333NT RP DiamondPlated Silver"/>
    <n v="8"/>
    <n v="8"/>
    <n v="0"/>
    <x v="0"/>
    <s v="EE73"/>
    <s v="RP"/>
    <s v="387"/>
    <s v="4.0 UN"/>
    <s v="STANDARD"/>
    <s v="N"/>
    <s v="N"/>
    <s v="Y"/>
    <s v="T20"/>
    <s v="N"/>
    <s v="N"/>
    <s v="N"/>
    <s v="N"/>
    <s v=""/>
    <d v="2016-06-21T00:00:00"/>
    <s v="10"/>
    <s v="TAN"/>
    <s v="ZRPU"/>
    <d v="2016-10-04T00:00:00"/>
    <s v="MI"/>
    <s v="US"/>
    <s v="ZR"/>
    <d v="2016-06-21T00:00:00"/>
  </r>
  <r>
    <x v="0"/>
    <x v="2"/>
    <x v="7"/>
    <x v="3"/>
    <s v="Returns Standard SAP"/>
    <x v="5"/>
    <x v="5"/>
    <s v="W322"/>
    <s v="CRYSTAL W322NT"/>
    <s v="5003482"/>
    <s v="W322NT G100 Diamond Plated Gold"/>
    <n v="-4"/>
    <n v="-4"/>
    <n v="0"/>
    <x v="2"/>
    <s v="EE73"/>
    <s v="GEM 100"/>
    <s v="388"/>
    <s v="4.0 UN"/>
    <s v="STANDARD"/>
    <s v="N"/>
    <s v="Y"/>
    <s v="Y"/>
    <s v="T20"/>
    <s v="N"/>
    <s v="N"/>
    <s v="N"/>
    <s v="N"/>
    <s v=""/>
    <m/>
    <s v="10"/>
    <s v="ZSRE"/>
    <s v="ZSRE"/>
    <d v="2016-08-31T00:00:00"/>
    <s v="NE"/>
    <s v="US"/>
    <s v="ZR"/>
    <d v="2016-06-27T00:00:00"/>
  </r>
  <r>
    <x v="0"/>
    <x v="3"/>
    <x v="8"/>
    <x v="1"/>
    <s v="Returns Standard SAP"/>
    <x v="6"/>
    <x v="6"/>
    <s v="R260"/>
    <s v="CRYSTAL RR260"/>
    <s v="5003174"/>
    <s v="RR260 RP Diamond Plated Silver"/>
    <n v="-104"/>
    <n v="-104"/>
    <n v="0"/>
    <x v="3"/>
    <s v="DRMK"/>
    <s v="RP"/>
    <s v="386"/>
    <s v="4.0 UN"/>
    <s v="STANDARD"/>
    <s v="N"/>
    <s v="N"/>
    <s v="Y"/>
    <s v="N"/>
    <s v="N"/>
    <s v="N"/>
    <s v="N"/>
    <s v="N"/>
    <s v=""/>
    <m/>
    <s v="10"/>
    <s v="ZSRE"/>
    <s v="ZSRE"/>
    <d v="2016-09-16T00:00:00"/>
    <s v="ND"/>
    <s v="US"/>
    <s v="ZR"/>
    <d v="2016-07-01T00:00:00"/>
  </r>
  <r>
    <x v="0"/>
    <x v="3"/>
    <x v="9"/>
    <x v="1"/>
    <s v="Standard order"/>
    <x v="6"/>
    <x v="6"/>
    <s v="R012"/>
    <s v="CRYSTAL RR012"/>
    <s v="5003061"/>
    <s v="RR012 RP Diamond Plated Silver"/>
    <n v="4"/>
    <n v="4"/>
    <n v="0"/>
    <x v="3"/>
    <s v="APMC"/>
    <s v="RP"/>
    <s v="386"/>
    <s v="4.0 UN"/>
    <s v="STANDARD"/>
    <s v="N"/>
    <s v="N"/>
    <s v="Y"/>
    <s v="N"/>
    <s v="N"/>
    <s v="N"/>
    <s v="N"/>
    <s v="N"/>
    <s v=""/>
    <d v="2016-09-12T00:00:00"/>
    <s v="10"/>
    <s v="TAN"/>
    <s v="OR"/>
    <d v="2016-09-12T00:00:00"/>
    <s v="ND"/>
    <s v="US"/>
    <s v="ZR"/>
    <d v="2016-07-01T00:00:00"/>
  </r>
  <r>
    <x v="0"/>
    <x v="3"/>
    <x v="10"/>
    <x v="1"/>
    <s v="Returns Standard SAP"/>
    <x v="6"/>
    <x v="6"/>
    <s v="D352"/>
    <s v="CRYSTAL D352"/>
    <s v="5003319"/>
    <s v="D352 MP Diamond Plated Silver"/>
    <n v="-84"/>
    <n v="-84"/>
    <n v="0"/>
    <x v="3"/>
    <s v="DW73"/>
    <s v="MP"/>
    <s v="386"/>
    <s v="4.0 UN"/>
    <s v="STANDARD"/>
    <s v="N"/>
    <s v="N"/>
    <s v="Y"/>
    <s v="N"/>
    <s v="N"/>
    <s v="N"/>
    <s v="N"/>
    <s v="N"/>
    <s v=""/>
    <m/>
    <s v="10"/>
    <s v="ZSRE"/>
    <s v="ZSRE"/>
    <d v="2016-09-12T00:00:00"/>
    <s v="ND"/>
    <s v="US"/>
    <s v="ZR"/>
    <d v="2016-07-01T00:00:00"/>
  </r>
  <r>
    <x v="0"/>
    <x v="3"/>
    <x v="10"/>
    <x v="1"/>
    <s v="Returns Standard SAP"/>
    <x v="6"/>
    <x v="6"/>
    <s v="R830"/>
    <s v="CRYSTAL RR830"/>
    <s v="5003659"/>
    <s v="RR830 RP Diamond Plated Silver"/>
    <n v="-4"/>
    <n v="-4"/>
    <n v="0"/>
    <x v="3"/>
    <s v="3582"/>
    <s v="RP"/>
    <s v="386"/>
    <s v="4.0 UN"/>
    <s v="STANDARD"/>
    <s v="N"/>
    <s v="N"/>
    <s v="Y"/>
    <s v="N"/>
    <s v="N"/>
    <s v="N"/>
    <s v="N"/>
    <s v="N"/>
    <s v=""/>
    <m/>
    <s v="20"/>
    <s v="ZSRE"/>
    <s v="ZSRE"/>
    <d v="2016-09-12T00:00:00"/>
    <s v="ND"/>
    <s v="US"/>
    <s v="ZR"/>
    <d v="2016-07-01T00:00:00"/>
  </r>
  <r>
    <x v="0"/>
    <x v="3"/>
    <x v="11"/>
    <x v="1"/>
    <s v="Replant Order"/>
    <x v="6"/>
    <x v="6"/>
    <s v="D352"/>
    <s v="CRYSTAL D352"/>
    <s v="5003319"/>
    <s v="D352 MP Diamond Plated Silver"/>
    <n v="84"/>
    <n v="84"/>
    <n v="0"/>
    <x v="3"/>
    <s v="DW73"/>
    <s v="MP"/>
    <s v="386"/>
    <s v="4.0 UN"/>
    <s v="STANDARD"/>
    <s v="N"/>
    <s v="N"/>
    <s v="Y"/>
    <s v="N"/>
    <s v="N"/>
    <s v="N"/>
    <s v="N"/>
    <s v="N"/>
    <s v=""/>
    <d v="2016-09-12T00:00:00"/>
    <s v="10"/>
    <s v="TAN"/>
    <s v="ZRPU"/>
    <d v="2016-09-12T00:00:00"/>
    <s v="ND"/>
    <s v="US"/>
    <s v="ZR"/>
    <d v="2016-07-01T00:00:00"/>
  </r>
  <r>
    <x v="0"/>
    <x v="3"/>
    <x v="11"/>
    <x v="1"/>
    <s v="Replant Order"/>
    <x v="6"/>
    <x v="6"/>
    <s v="R830"/>
    <s v="CRYSTAL RR830"/>
    <s v="5003659"/>
    <s v="RR830 RP Diamond Plated Silver"/>
    <n v="4"/>
    <n v="4"/>
    <n v="0"/>
    <x v="3"/>
    <s v="3582"/>
    <s v="RP"/>
    <s v="386"/>
    <s v="4.0 UN"/>
    <s v="STANDARD"/>
    <s v="N"/>
    <s v="N"/>
    <s v="Y"/>
    <s v="N"/>
    <s v="N"/>
    <s v="N"/>
    <s v="N"/>
    <s v="N"/>
    <s v=""/>
    <d v="2016-09-12T00:00:00"/>
    <s v="20"/>
    <s v="TAN"/>
    <s v="ZRPU"/>
    <d v="2016-09-12T00:00:00"/>
    <s v="ND"/>
    <s v="US"/>
    <s v="ZR"/>
    <d v="2016-07-01T00:00:00"/>
  </r>
  <r>
    <x v="0"/>
    <x v="3"/>
    <x v="12"/>
    <x v="1"/>
    <s v="Returns Standard SAP"/>
    <x v="6"/>
    <x v="6"/>
    <s v="R012"/>
    <s v="CRYSTAL RR012"/>
    <s v="5003061"/>
    <s v="RR012 RP Diamond Plated Silver"/>
    <n v="-4"/>
    <n v="-4"/>
    <n v="0"/>
    <x v="3"/>
    <s v="APMC"/>
    <s v="RP"/>
    <s v="386"/>
    <s v="4.0 UN"/>
    <s v="STANDARD"/>
    <s v="N"/>
    <s v="N"/>
    <s v="Y"/>
    <s v="N"/>
    <s v="N"/>
    <s v="N"/>
    <s v="N"/>
    <s v="N"/>
    <s v=""/>
    <m/>
    <s v="10"/>
    <s v="ZSRE"/>
    <s v="ZSRE"/>
    <d v="2016-09-12T00:00:00"/>
    <s v="ND"/>
    <s v="US"/>
    <s v="ZR"/>
    <d v="2016-07-01T00:00:00"/>
  </r>
  <r>
    <x v="0"/>
    <x v="3"/>
    <x v="13"/>
    <x v="1"/>
    <s v="Returns Standard SAP"/>
    <x v="6"/>
    <x v="6"/>
    <s v="R830"/>
    <s v="CRYSTAL RR830"/>
    <s v="5003669"/>
    <s v="RR830 RP Diamond Plated Silver45"/>
    <n v="-16"/>
    <n v="-16"/>
    <n v="0"/>
    <x v="3"/>
    <s v="3582"/>
    <s v="RP"/>
    <s v="390"/>
    <s v="4.0 UN"/>
    <s v="STANDARD"/>
    <s v="N"/>
    <s v="N"/>
    <s v="Y"/>
    <s v="T45"/>
    <s v="N"/>
    <s v="N"/>
    <s v="N"/>
    <s v="N"/>
    <s v=""/>
    <m/>
    <s v="10"/>
    <s v="ZSRE"/>
    <s v="ZSRE"/>
    <d v="2016-09-12T00:00:00"/>
    <s v="ND"/>
    <s v="US"/>
    <s v="ZR"/>
    <d v="2016-07-01T00:00:00"/>
  </r>
  <r>
    <x v="0"/>
    <x v="3"/>
    <x v="14"/>
    <x v="1"/>
    <s v="Replant Order"/>
    <x v="6"/>
    <x v="6"/>
    <s v="R830"/>
    <s v="CRYSTAL RR830"/>
    <s v="5003669"/>
    <s v="RR830 RP Diamond Plated Silver45"/>
    <n v="16"/>
    <n v="16"/>
    <n v="0"/>
    <x v="3"/>
    <s v="3582"/>
    <s v="RP"/>
    <s v="390"/>
    <s v="4.0 UN"/>
    <s v="STANDARD"/>
    <s v="N"/>
    <s v="N"/>
    <s v="Y"/>
    <s v="T45"/>
    <s v="N"/>
    <s v="N"/>
    <s v="N"/>
    <s v="N"/>
    <s v=""/>
    <d v="2016-09-12T00:00:00"/>
    <s v="10"/>
    <s v="TAN"/>
    <s v="ZRPU"/>
    <d v="2016-09-12T00:00:00"/>
    <s v="ND"/>
    <s v="US"/>
    <s v="ZR"/>
    <d v="2016-07-01T00:00:00"/>
  </r>
  <r>
    <x v="0"/>
    <x v="1"/>
    <x v="15"/>
    <x v="1"/>
    <s v="Replant Order"/>
    <x v="2"/>
    <x v="2"/>
    <s v="R018"/>
    <s v="CRYSTAL RR018"/>
    <s v="5003095"/>
    <s v="RR018 ELS Diamond Plated Silver"/>
    <n v="52"/>
    <n v="52"/>
    <n v="0"/>
    <x v="1"/>
    <s v="APMC"/>
    <s v="ELS"/>
    <s v="390"/>
    <s v="4.0 UN"/>
    <s v="STANDARD"/>
    <s v="N"/>
    <s v="N"/>
    <s v="Y"/>
    <s v="T45"/>
    <s v="N"/>
    <s v="N"/>
    <s v="N"/>
    <s v="N"/>
    <s v=""/>
    <d v="2016-07-01T00:00:00"/>
    <s v="10"/>
    <s v="TAN"/>
    <s v="ZRPU"/>
    <d v="2016-08-30T00:00:00"/>
    <s v="MN"/>
    <s v="US"/>
    <s v="ZR"/>
    <d v="2016-07-01T00:00:00"/>
  </r>
  <r>
    <x v="0"/>
    <x v="1"/>
    <x v="16"/>
    <x v="1"/>
    <s v="Returns Standard SAP"/>
    <x v="2"/>
    <x v="2"/>
    <s v="R018"/>
    <s v="CRYSTAL RR018"/>
    <s v="5003095"/>
    <s v="RR018 ELS Diamond Plated Silver"/>
    <n v="-52"/>
    <n v="-52"/>
    <n v="0"/>
    <x v="1"/>
    <s v="APMC"/>
    <s v="ELS"/>
    <s v="390"/>
    <s v="4.0 UN"/>
    <s v="STANDARD"/>
    <s v="N"/>
    <s v="N"/>
    <s v="Y"/>
    <s v="T45"/>
    <s v="N"/>
    <s v="N"/>
    <s v="N"/>
    <s v="N"/>
    <s v=""/>
    <m/>
    <s v="10"/>
    <s v="ZSRE"/>
    <s v="ZSRE"/>
    <d v="2016-08-30T00:00:00"/>
    <s v="MN"/>
    <s v="US"/>
    <s v="ZR"/>
    <d v="2016-07-01T00:00:00"/>
  </r>
  <r>
    <x v="0"/>
    <x v="0"/>
    <x v="17"/>
    <x v="4"/>
    <s v="Replant Order"/>
    <x v="7"/>
    <x v="7"/>
    <s v="R059"/>
    <s v="CRYSTAL RR059"/>
    <s v="5003530"/>
    <s v="RR059 RP Diamond Plated Silver"/>
    <n v="16"/>
    <n v="16"/>
    <n v="0"/>
    <x v="0"/>
    <s v="AP73"/>
    <s v="RP"/>
    <s v="387"/>
    <s v="4.0 UN"/>
    <s v="STANDARD"/>
    <s v="N"/>
    <s v="N"/>
    <s v="Y"/>
    <s v="T20"/>
    <s v="N"/>
    <s v="N"/>
    <s v="N"/>
    <s v="N"/>
    <s v=""/>
    <d v="2016-09-26T00:00:00"/>
    <s v="10"/>
    <s v="TAN"/>
    <s v="ZRPU"/>
    <d v="2016-09-26T00:00:00"/>
    <s v="MI"/>
    <s v="US"/>
    <s v="ZR"/>
    <d v="2016-07-21T00:00:00"/>
  </r>
  <r>
    <x v="0"/>
    <x v="0"/>
    <x v="18"/>
    <x v="4"/>
    <s v="Returns Standard SAP"/>
    <x v="7"/>
    <x v="7"/>
    <s v="R059"/>
    <s v="CRYSTAL RR059"/>
    <s v="5003530"/>
    <s v="RR059 RP Diamond Plated Silver"/>
    <n v="-16"/>
    <n v="-16"/>
    <n v="0"/>
    <x v="0"/>
    <s v="AP73"/>
    <s v="RP"/>
    <s v="387"/>
    <s v="4.0 UN"/>
    <s v="STANDARD"/>
    <s v="N"/>
    <s v="N"/>
    <s v="Y"/>
    <s v="T20"/>
    <s v="N"/>
    <s v="N"/>
    <s v="N"/>
    <s v="N"/>
    <s v=""/>
    <m/>
    <s v="10"/>
    <s v="ZSRE"/>
    <s v="ZSRE"/>
    <d v="2016-09-26T00:00:00"/>
    <s v="MI"/>
    <s v="US"/>
    <s v="ZR"/>
    <d v="2016-07-21T00:00:00"/>
  </r>
  <r>
    <x v="0"/>
    <x v="2"/>
    <x v="19"/>
    <x v="5"/>
    <s v="Replant Order"/>
    <x v="8"/>
    <x v="8"/>
    <s v="W322"/>
    <s v="CRYSTAL W322NT"/>
    <s v="5003481"/>
    <s v="W322NT ELS Diamond Plated Gold"/>
    <n v="12"/>
    <n v="12"/>
    <n v="0"/>
    <x v="2"/>
    <s v="EE73"/>
    <s v="ELS"/>
    <s v="388"/>
    <s v="4.0 UN"/>
    <s v="STANDARD"/>
    <s v="N"/>
    <s v="Y"/>
    <s v="Y"/>
    <s v="T20"/>
    <s v="N"/>
    <s v="N"/>
    <s v="N"/>
    <s v="N"/>
    <s v=""/>
    <d v="2016-09-16T00:00:00"/>
    <s v="10"/>
    <s v="TAN"/>
    <s v="ZRPU"/>
    <d v="2016-09-16T00:00:00"/>
    <s v="CO"/>
    <s v="US"/>
    <s v="ZR"/>
    <d v="2016-08-18T00:00:00"/>
  </r>
  <r>
    <x v="0"/>
    <x v="2"/>
    <x v="20"/>
    <x v="5"/>
    <s v="Returns Standard SAP"/>
    <x v="8"/>
    <x v="8"/>
    <s v="W322"/>
    <s v="CRYSTAL W322NT"/>
    <s v="5003481"/>
    <s v="W322NT ELS Diamond Plated Gold"/>
    <n v="-12"/>
    <n v="-12"/>
    <n v="0"/>
    <x v="2"/>
    <s v="EE73"/>
    <s v="ELS"/>
    <s v="388"/>
    <s v="4.0 UN"/>
    <s v="STANDARD"/>
    <s v="N"/>
    <s v="Y"/>
    <s v="Y"/>
    <s v="T20"/>
    <s v="N"/>
    <s v="N"/>
    <s v="N"/>
    <s v="N"/>
    <s v=""/>
    <m/>
    <s v="10"/>
    <s v="ZSRE"/>
    <s v="ZSRE"/>
    <d v="2016-09-16T00:00:00"/>
    <s v="CO"/>
    <s v="US"/>
    <s v="ZR"/>
    <d v="2016-08-18T00:00:00"/>
  </r>
  <r>
    <x v="0"/>
    <x v="2"/>
    <x v="21"/>
    <x v="6"/>
    <s v="Returns Standard SAP"/>
    <x v="9"/>
    <x v="9"/>
    <s v="R272"/>
    <s v="CRYSTAL RR272"/>
    <s v="5003622"/>
    <s v="RR272 ELS Diamond Plated Gold"/>
    <n v="-52"/>
    <n v="-52"/>
    <n v="0"/>
    <x v="2"/>
    <s v="DG73"/>
    <s v="ELS"/>
    <s v="388"/>
    <s v="4.0 UN"/>
    <s v="STANDARD"/>
    <s v="N"/>
    <s v="Y"/>
    <s v="Y"/>
    <s v="T20"/>
    <s v="N"/>
    <s v="N"/>
    <s v="N"/>
    <s v="N"/>
    <s v=""/>
    <m/>
    <s v="10"/>
    <s v="ZSRE"/>
    <s v="ZSRE"/>
    <d v="2016-10-24T00:00:00"/>
    <s v="NE"/>
    <s v="US"/>
    <s v="ZR"/>
    <d v="2016-10-24T00:00:00"/>
  </r>
  <r>
    <x v="0"/>
    <x v="0"/>
    <x v="22"/>
    <x v="0"/>
    <s v="Returns Standard SAP"/>
    <x v="10"/>
    <x v="10"/>
    <s v="R059"/>
    <s v="CRYSTAL RR059"/>
    <s v="5003518"/>
    <s v="RR059 RP Diamond Plated Gold (O)"/>
    <n v="-24"/>
    <n v="-24"/>
    <n v="0"/>
    <x v="0"/>
    <s v="AP73"/>
    <s v="RP"/>
    <s v="393"/>
    <s v="4.0 UN"/>
    <s v="STANDARD"/>
    <s v="Y"/>
    <s v="N"/>
    <s v="N"/>
    <s v="N"/>
    <s v="N"/>
    <s v="N"/>
    <s v="N"/>
    <s v="Y"/>
    <s v=""/>
    <d v="2016-11-03T00:00:00"/>
    <s v="10"/>
    <s v="ZSRE"/>
    <s v="ZSRE"/>
    <d v="2016-11-03T00:00:00"/>
    <s v="ON"/>
    <s v="CA"/>
    <s v="ZR"/>
    <d v="2016-11-03T00:00:00"/>
  </r>
  <r>
    <x v="0"/>
    <x v="0"/>
    <x v="22"/>
    <x v="0"/>
    <s v="Returns Standard SAP"/>
    <x v="10"/>
    <x v="10"/>
    <s v="G333"/>
    <s v="CRYSTAL G333NT"/>
    <s v="5003366"/>
    <s v="G333NT RP Diamond Plated Gold (O)"/>
    <n v="-8"/>
    <n v="-8"/>
    <n v="0"/>
    <x v="0"/>
    <s v="EE73"/>
    <s v="RP"/>
    <s v="393"/>
    <s v="4.0 UN"/>
    <s v="STANDARD"/>
    <s v="Y"/>
    <s v="N"/>
    <s v="N"/>
    <s v="N"/>
    <s v="N"/>
    <s v="N"/>
    <s v="N"/>
    <s v="Y"/>
    <s v=""/>
    <d v="2016-11-03T00:00:00"/>
    <s v="20"/>
    <s v="ZSRE"/>
    <s v="ZSRE"/>
    <d v="2016-11-03T00:00:00"/>
    <s v="ON"/>
    <s v="CA"/>
    <s v="ZR"/>
    <d v="2016-11-03T00:00:00"/>
  </r>
  <r>
    <x v="0"/>
    <x v="4"/>
    <x v="23"/>
    <x v="7"/>
    <s v="Standard order"/>
    <x v="11"/>
    <x v="11"/>
    <s v="R081"/>
    <s v="CRYSTAL RR081"/>
    <s v="5003572"/>
    <s v="R081 ACH T20 PB MP IDH"/>
    <n v="76"/>
    <n v="0"/>
    <n v="76"/>
    <x v="4"/>
    <s v="AQ82"/>
    <s v="MP"/>
    <s v="318"/>
    <s v="4.0 UN"/>
    <s v="STANDARD"/>
    <s v="N"/>
    <s v="Y"/>
    <s v="N"/>
    <s v="T20"/>
    <s v="N"/>
    <s v="N"/>
    <s v="N"/>
    <s v="N"/>
    <s v="A045"/>
    <d v="2016-11-23T00:00:00"/>
    <s v="10"/>
    <s v="TAN"/>
    <s v="OR"/>
    <d v="2016-11-18T00:00:00"/>
    <s v="OR"/>
    <s v="US"/>
    <s v="ZR"/>
    <d v="2016-11-18T00:00:00"/>
  </r>
  <r>
    <x v="0"/>
    <x v="4"/>
    <x v="24"/>
    <x v="8"/>
    <s v="Standard order"/>
    <x v="12"/>
    <x v="12"/>
    <s v="A399"/>
    <s v="CRYSTAL A399NT"/>
    <s v="5002928"/>
    <s v="A399 ACH PB LRG"/>
    <n v="144"/>
    <n v="0"/>
    <n v="144"/>
    <x v="4"/>
    <s v="DP71"/>
    <s v="LARGE"/>
    <s v="314"/>
    <s v="4.0 UN"/>
    <s v="STANDARD"/>
    <s v="N"/>
    <s v="Y"/>
    <s v="N"/>
    <s v="N"/>
    <s v="N"/>
    <s v="N"/>
    <s v="N"/>
    <s v="N"/>
    <s v="A044"/>
    <d v="2016-11-23T00:00:00"/>
    <s v="10"/>
    <s v="TAN"/>
    <s v="OR"/>
    <d v="2016-11-18T00:00:00"/>
    <s v="ID"/>
    <s v="US"/>
    <s v="ZR"/>
    <d v="2016-11-19T00:00:00"/>
  </r>
  <r>
    <x v="0"/>
    <x v="4"/>
    <x v="25"/>
    <x v="8"/>
    <s v="Standard order"/>
    <x v="13"/>
    <x v="13"/>
    <s v="A399"/>
    <s v="CRYSTAL A399NT"/>
    <s v="5002932"/>
    <s v="A399 ACH PB XL+"/>
    <n v="48"/>
    <n v="0"/>
    <n v="48"/>
    <x v="4"/>
    <s v="DP71"/>
    <s v="XL-PLUS"/>
    <s v="314"/>
    <s v="4.0 UN"/>
    <s v="STANDARD"/>
    <s v="N"/>
    <s v="Y"/>
    <s v="N"/>
    <s v="N"/>
    <s v="N"/>
    <s v="N"/>
    <s v="N"/>
    <s v="N"/>
    <s v="A044"/>
    <d v="2016-11-23T00:00:00"/>
    <s v="10"/>
    <s v="TAN"/>
    <s v="OR"/>
    <d v="2016-11-18T00:00:00"/>
    <s v="ID"/>
    <s v="US"/>
    <s v="ZR"/>
    <d v="2016-11-19T00:00:00"/>
  </r>
  <r>
    <x v="0"/>
    <x v="4"/>
    <x v="25"/>
    <x v="8"/>
    <s v="Standard order"/>
    <x v="13"/>
    <x v="13"/>
    <s v="A404"/>
    <s v="CRYSTAL A404NT"/>
    <s v="5002958"/>
    <s v="A404 ACH PB XL+"/>
    <n v="48"/>
    <n v="0"/>
    <n v="48"/>
    <x v="4"/>
    <s v="DPNE"/>
    <s v="XL-PLUS"/>
    <s v="314"/>
    <s v="4.0 UN"/>
    <s v="STANDARD"/>
    <s v="N"/>
    <s v="Y"/>
    <s v="N"/>
    <s v="N"/>
    <s v="N"/>
    <s v="N"/>
    <s v="N"/>
    <s v="N"/>
    <s v="A044"/>
    <d v="2016-11-23T00:00:00"/>
    <s v="20"/>
    <s v="TAN"/>
    <s v="OR"/>
    <d v="2016-11-18T00:00:00"/>
    <s v="ID"/>
    <s v="US"/>
    <s v="ZR"/>
    <d v="2016-11-19T00:00:00"/>
  </r>
  <r>
    <x v="0"/>
    <x v="4"/>
    <x v="25"/>
    <x v="8"/>
    <s v="Standard order"/>
    <x v="13"/>
    <x v="13"/>
    <s v="A501"/>
    <s v="CRYSTAL A501"/>
    <s v="5003309"/>
    <s v="A501 ACH PB XL+"/>
    <n v="48"/>
    <n v="0"/>
    <n v="48"/>
    <x v="4"/>
    <s v="EZPB"/>
    <s v="XL-PLUS"/>
    <s v="314"/>
    <s v="4.0 UN"/>
    <s v="STANDARD"/>
    <s v="N"/>
    <s v="Y"/>
    <s v="N"/>
    <s v="N"/>
    <s v="N"/>
    <s v="N"/>
    <s v="N"/>
    <s v="N"/>
    <s v="A044"/>
    <d v="2016-11-23T00:00:00"/>
    <s v="30"/>
    <s v="TAN"/>
    <s v="OR"/>
    <d v="2016-11-18T00:00:00"/>
    <s v="ID"/>
    <s v="US"/>
    <s v="ZR"/>
    <d v="2016-11-19T00:00:00"/>
  </r>
  <r>
    <x v="0"/>
    <x v="5"/>
    <x v="26"/>
    <x v="9"/>
    <s v="Standard order"/>
    <x v="14"/>
    <x v="14"/>
    <s v="Y400"/>
    <s v="CRYSTAL Y400NT"/>
    <s v="5003731"/>
    <s v="Y400 ACH T20 PB SYSTIVA ELS"/>
    <n v="20"/>
    <n v="0"/>
    <n v="20"/>
    <x v="5"/>
    <s v="4TBP"/>
    <s v="ELS"/>
    <s v="324"/>
    <s v="4.0 UN"/>
    <s v="STANDARD"/>
    <s v="N"/>
    <s v="Y"/>
    <s v="N"/>
    <s v="T20"/>
    <s v="Y"/>
    <s v="N"/>
    <s v="N"/>
    <s v="N"/>
    <s v="A016"/>
    <d v="2016-11-25T00:00:00"/>
    <s v="10"/>
    <s v="TAN"/>
    <s v="OR"/>
    <d v="2016-11-20T00:00:00"/>
    <s v="WY"/>
    <s v="US"/>
    <s v="ZR"/>
    <d v="2016-11-21T00:00:00"/>
  </r>
  <r>
    <x v="0"/>
    <x v="5"/>
    <x v="27"/>
    <x v="9"/>
    <s v="Standard order"/>
    <x v="15"/>
    <x v="15"/>
    <s v="Y400"/>
    <s v="CRYSTAL Y400NT"/>
    <s v="5003735"/>
    <s v="Y400 ACH T20 PB SYSTIVA RP"/>
    <n v="44"/>
    <n v="0"/>
    <n v="44"/>
    <x v="5"/>
    <s v="4TBP"/>
    <s v="RP"/>
    <s v="324"/>
    <s v="4.0 UN"/>
    <s v="STANDARD"/>
    <s v="N"/>
    <s v="Y"/>
    <s v="N"/>
    <s v="T20"/>
    <s v="Y"/>
    <s v="N"/>
    <s v="N"/>
    <s v="N"/>
    <s v="A016"/>
    <d v="2016-11-28T00:00:00"/>
    <s v="10"/>
    <s v="TAN"/>
    <s v="OR"/>
    <d v="2016-11-22T00:00:00"/>
    <s v="WY"/>
    <s v="US"/>
    <s v="ZR"/>
    <d v="2016-11-22T00:00:00"/>
  </r>
  <r>
    <x v="0"/>
    <x v="5"/>
    <x v="27"/>
    <x v="9"/>
    <s v="Standard order"/>
    <x v="15"/>
    <x v="15"/>
    <s v="R116"/>
    <s v="CRYSTAL RR116"/>
    <s v="5003105"/>
    <s v="R116 ACH T20 PB SYSTIVA RP"/>
    <n v="164"/>
    <n v="0"/>
    <n v="164"/>
    <x v="5"/>
    <s v="AP71"/>
    <s v="RP"/>
    <s v="324"/>
    <s v="4.0 UN"/>
    <s v="STANDARD"/>
    <s v="N"/>
    <s v="Y"/>
    <s v="N"/>
    <s v="T20"/>
    <s v="Y"/>
    <s v="N"/>
    <s v="N"/>
    <s v="N"/>
    <s v="A016"/>
    <d v="2016-11-28T00:00:00"/>
    <s v="20"/>
    <s v="TAN"/>
    <s v="OR"/>
    <d v="2016-11-22T00:00:00"/>
    <s v="WY"/>
    <s v="US"/>
    <s v="ZR"/>
    <d v="2016-11-22T00:00:00"/>
  </r>
  <r>
    <x v="0"/>
    <x v="0"/>
    <x v="28"/>
    <x v="10"/>
    <s v="Standard order"/>
    <x v="16"/>
    <x v="16"/>
    <s v="R059"/>
    <s v="CRYSTAL RR059"/>
    <s v="5003536"/>
    <s v="R059 ACH T20 SYSTIVA RP"/>
    <n v="16"/>
    <n v="0"/>
    <n v="16"/>
    <x v="0"/>
    <s v="AP73"/>
    <s v="RP"/>
    <s v="328"/>
    <s v="4.0 UN"/>
    <s v="STANDARD"/>
    <s v="N"/>
    <s v="N"/>
    <s v="N"/>
    <s v="T20"/>
    <s v="Y"/>
    <s v="N"/>
    <s v="Y"/>
    <s v="N"/>
    <s v="A036"/>
    <d v="2016-11-29T00:00:00"/>
    <s v="10"/>
    <s v="TAN"/>
    <s v="OR"/>
    <d v="2016-11-23T00:00:00"/>
    <s v="MI"/>
    <s v="US"/>
    <s v="ZR"/>
    <d v="2016-11-24T00:00:00"/>
  </r>
  <r>
    <x v="0"/>
    <x v="0"/>
    <x v="28"/>
    <x v="10"/>
    <s v="Standard order"/>
    <x v="16"/>
    <x v="16"/>
    <s v="G515"/>
    <s v="CRYSTAL G515"/>
    <s v="5003019"/>
    <s v="G515 ACH T20 Kabina RP"/>
    <n v="8"/>
    <n v="0"/>
    <n v="8"/>
    <x v="0"/>
    <s v="APND"/>
    <s v="RP"/>
    <s v="387"/>
    <s v="4.0 UN"/>
    <s v="STANDARD"/>
    <s v="N"/>
    <s v="N"/>
    <s v="Y"/>
    <s v="T20"/>
    <s v="N"/>
    <s v="N"/>
    <s v="N"/>
    <s v="N"/>
    <s v="A036"/>
    <d v="2016-11-29T00:00:00"/>
    <s v="20"/>
    <s v="TAN"/>
    <s v="OR"/>
    <d v="2016-11-23T00:00:00"/>
    <s v="MI"/>
    <s v="US"/>
    <s v="ZR"/>
    <d v="2016-11-24T00:00:00"/>
  </r>
  <r>
    <x v="0"/>
    <x v="6"/>
    <x v="29"/>
    <x v="11"/>
    <s v="Standard order"/>
    <x v="17"/>
    <x v="17"/>
    <s v="R052"/>
    <s v="CRYSTAL RR052"/>
    <s v="5003513"/>
    <s v="R052 ACH T20 PB SYSTIVA G100"/>
    <n v="36"/>
    <n v="0"/>
    <n v="36"/>
    <x v="6"/>
    <s v="AP82"/>
    <s v="GEM 100"/>
    <s v="324"/>
    <s v="4.0 UN"/>
    <s v="STANDARD"/>
    <s v="N"/>
    <s v="Y"/>
    <s v="N"/>
    <s v="T20"/>
    <s v="Y"/>
    <s v="N"/>
    <s v="Y"/>
    <s v="N"/>
    <s v="A038"/>
    <d v="2016-11-30T00:00:00"/>
    <s v="10"/>
    <s v="TAN"/>
    <s v="OR"/>
    <d v="2016-11-26T00:00:00"/>
    <s v="MT"/>
    <s v="US"/>
    <s v="ZR"/>
    <d v="2016-11-26T00:00:00"/>
  </r>
  <r>
    <x v="0"/>
    <x v="6"/>
    <x v="29"/>
    <x v="11"/>
    <s v="Standard order"/>
    <x v="17"/>
    <x v="17"/>
    <s v="S517"/>
    <s v="CRYSTAL S517"/>
    <s v="5003467"/>
    <s v="S517 ACH T20 PB SYSTIVA G100"/>
    <n v="8"/>
    <n v="0"/>
    <n v="8"/>
    <x v="6"/>
    <s v="DVNV"/>
    <s v="GEM 100"/>
    <s v="324"/>
    <s v="4.0 UN"/>
    <s v="STANDARD"/>
    <s v="N"/>
    <s v="Y"/>
    <s v="N"/>
    <s v="T20"/>
    <s v="Y"/>
    <s v="N"/>
    <s v="Y"/>
    <s v="N"/>
    <s v="A038"/>
    <d v="2016-11-30T00:00:00"/>
    <s v="20"/>
    <s v="TAN"/>
    <s v="OR"/>
    <d v="2016-11-26T00:00:00"/>
    <s v="MT"/>
    <s v="US"/>
    <s v="ZR"/>
    <d v="2016-11-26T00:00:00"/>
  </r>
  <r>
    <x v="0"/>
    <x v="6"/>
    <x v="29"/>
    <x v="11"/>
    <s v="Standard order"/>
    <x v="17"/>
    <x v="17"/>
    <s v="S360"/>
    <s v="CRYSTAL S360NT"/>
    <s v="5003413"/>
    <s v="S360 ACH T20 PB SYSTIVA G100"/>
    <n v="16"/>
    <n v="0"/>
    <n v="16"/>
    <x v="6"/>
    <s v="DVNB"/>
    <s v="GEM 100"/>
    <s v="324"/>
    <s v="4.0 UN"/>
    <s v="STANDARD"/>
    <s v="N"/>
    <s v="Y"/>
    <s v="N"/>
    <s v="T20"/>
    <s v="Y"/>
    <s v="N"/>
    <s v="Y"/>
    <s v="N"/>
    <s v="A038"/>
    <d v="2016-11-30T00:00:00"/>
    <s v="30"/>
    <s v="TAN"/>
    <s v="OR"/>
    <d v="2016-11-26T00:00:00"/>
    <s v="MT"/>
    <s v="US"/>
    <s v="ZR"/>
    <d v="2016-11-26T00:00:00"/>
  </r>
  <r>
    <x v="0"/>
    <x v="6"/>
    <x v="29"/>
    <x v="11"/>
    <s v="Standard order"/>
    <x v="17"/>
    <x v="17"/>
    <s v="S498"/>
    <s v="CRYSTAL S498"/>
    <s v="5003431"/>
    <s v="S498 ACH T20 PB SYSTIVA G100"/>
    <n v="28"/>
    <n v="0"/>
    <n v="28"/>
    <x v="6"/>
    <s v="FE73"/>
    <s v="GEM 100"/>
    <s v="324"/>
    <s v="4.0 UN"/>
    <s v="STANDARD"/>
    <s v="N"/>
    <s v="Y"/>
    <s v="N"/>
    <s v="T20"/>
    <s v="Y"/>
    <s v="N"/>
    <s v="Y"/>
    <s v="N"/>
    <s v="A038"/>
    <d v="2016-11-30T00:00:00"/>
    <s v="40"/>
    <s v="TAN"/>
    <s v="OR"/>
    <d v="2016-11-26T00:00:00"/>
    <s v="MT"/>
    <s v="US"/>
    <s v="ZR"/>
    <d v="2016-11-26T00:00:00"/>
  </r>
  <r>
    <x v="0"/>
    <x v="6"/>
    <x v="29"/>
    <x v="11"/>
    <s v="Standard order"/>
    <x v="17"/>
    <x v="17"/>
    <s v="R081"/>
    <s v="CRYSTAL RR081"/>
    <s v="5003574"/>
    <s v="R081 ACH T20 PB SYSTIVA G100 SSI"/>
    <n v="8"/>
    <n v="0"/>
    <n v="8"/>
    <x v="6"/>
    <s v="AQ82"/>
    <s v="GEM 100"/>
    <s v="324"/>
    <s v="4.0 UN"/>
    <s v="STANDARD"/>
    <s v="N"/>
    <s v="Y"/>
    <s v="N"/>
    <s v="T20"/>
    <s v="Y"/>
    <s v="N"/>
    <s v="Y"/>
    <s v="N"/>
    <s v="A038"/>
    <d v="2016-11-30T00:00:00"/>
    <s v="50"/>
    <s v="TAN"/>
    <s v="OR"/>
    <d v="2016-11-26T00:00:00"/>
    <s v="MT"/>
    <s v="US"/>
    <s v="ZR"/>
    <d v="2016-11-26T00:00:00"/>
  </r>
  <r>
    <x v="0"/>
    <x v="6"/>
    <x v="30"/>
    <x v="11"/>
    <s v="Standard order"/>
    <x v="18"/>
    <x v="18"/>
    <s v="S360"/>
    <s v="CRYSTAL S360NT"/>
    <s v="5003401"/>
    <s v="S360 ACH T20 PB CL SYSTIVA G100"/>
    <n v="12"/>
    <n v="0"/>
    <n v="12"/>
    <x v="6"/>
    <s v="DVNB"/>
    <s v="GEM 100"/>
    <s v="321"/>
    <s v="4.0 UN"/>
    <s v="STANDARD"/>
    <s v="N"/>
    <s v="N"/>
    <s v="N"/>
    <s v="T20"/>
    <s v="Y"/>
    <s v="N"/>
    <s v="Y"/>
    <s v="N"/>
    <s v="A038"/>
    <d v="2016-11-30T00:00:00"/>
    <s v="40"/>
    <s v="TAN"/>
    <s v="OR"/>
    <d v="2016-11-25T00:00:00"/>
    <s v="MT"/>
    <s v="US"/>
    <s v="ZR"/>
    <d v="2016-11-26T00:00:00"/>
  </r>
  <r>
    <x v="0"/>
    <x v="6"/>
    <x v="30"/>
    <x v="11"/>
    <s v="Standard order"/>
    <x v="18"/>
    <x v="18"/>
    <s v="S517"/>
    <s v="CRYSTAL S517"/>
    <s v="5003455"/>
    <s v="S517 ACH T20 PB CL SYSTIVA G100"/>
    <n v="12"/>
    <n v="0"/>
    <n v="12"/>
    <x v="6"/>
    <s v="DVNV"/>
    <s v="GEM 100"/>
    <s v="321"/>
    <s v="4.0 UN"/>
    <s v="STANDARD"/>
    <s v="N"/>
    <s v="N"/>
    <s v="N"/>
    <s v="T20"/>
    <s v="Y"/>
    <s v="N"/>
    <s v="Y"/>
    <s v="N"/>
    <s v="A038"/>
    <d v="2016-11-30T00:00:00"/>
    <s v="50"/>
    <s v="TAN"/>
    <s v="OR"/>
    <d v="2016-11-25T00:00:00"/>
    <s v="MT"/>
    <s v="US"/>
    <s v="ZR"/>
    <d v="2016-11-26T00:00:00"/>
  </r>
  <r>
    <x v="0"/>
    <x v="6"/>
    <x v="30"/>
    <x v="11"/>
    <s v="Standard order"/>
    <x v="18"/>
    <x v="18"/>
    <s v="R052"/>
    <s v="CRYSTAL RR052"/>
    <s v="5003501"/>
    <s v="R052 ACH T20 PB CL SYSTIVA G100"/>
    <n v="76"/>
    <n v="0"/>
    <n v="76"/>
    <x v="6"/>
    <s v="AP82"/>
    <s v="GEM 100"/>
    <s v="321"/>
    <s v="4.0 UN"/>
    <s v="STANDARD"/>
    <s v="N"/>
    <s v="N"/>
    <s v="N"/>
    <s v="T20"/>
    <s v="Y"/>
    <s v="N"/>
    <s v="Y"/>
    <s v="N"/>
    <s v="A038"/>
    <d v="2016-11-30T00:00:00"/>
    <s v="60"/>
    <s v="TAN"/>
    <s v="OR"/>
    <d v="2016-11-25T00:00:00"/>
    <s v="MT"/>
    <s v="US"/>
    <s v="ZR"/>
    <d v="2016-11-26T00:00:00"/>
  </r>
  <r>
    <x v="0"/>
    <x v="6"/>
    <x v="30"/>
    <x v="11"/>
    <s v="Standard order"/>
    <x v="18"/>
    <x v="18"/>
    <s v="S498"/>
    <s v="CRYSTAL S498"/>
    <s v="5003419"/>
    <s v="S498 ACH T20 PB CL SYSTIVA G100"/>
    <n v="112"/>
    <n v="0"/>
    <n v="112"/>
    <x v="6"/>
    <s v="FE73"/>
    <s v="GEM 100"/>
    <s v="321"/>
    <s v="4.0 UN"/>
    <s v="STANDARD"/>
    <s v="N"/>
    <s v="N"/>
    <s v="N"/>
    <s v="T20"/>
    <s v="Y"/>
    <s v="N"/>
    <s v="Y"/>
    <s v="N"/>
    <s v="A038"/>
    <d v="2016-11-30T00:00:00"/>
    <s v="70"/>
    <s v="TAN"/>
    <s v="OR"/>
    <d v="2016-11-25T00:00:00"/>
    <s v="MT"/>
    <s v="US"/>
    <s v="ZR"/>
    <d v="2016-11-26T00:00:00"/>
  </r>
  <r>
    <x v="0"/>
    <x v="6"/>
    <x v="30"/>
    <x v="11"/>
    <s v="Standard order"/>
    <x v="18"/>
    <x v="18"/>
    <s v="R081"/>
    <s v="CRYSTAL RR081"/>
    <s v="5003558"/>
    <s v="R081 ACH T20 PB CL SYSTIVA G100 SSI"/>
    <n v="68"/>
    <n v="0"/>
    <n v="68"/>
    <x v="6"/>
    <s v="AQ82"/>
    <s v="GEM 100"/>
    <s v="321"/>
    <s v="4.0 UN"/>
    <s v="STANDARD"/>
    <s v="N"/>
    <s v="N"/>
    <s v="N"/>
    <s v="T20"/>
    <s v="Y"/>
    <s v="N"/>
    <s v="Y"/>
    <s v="N"/>
    <s v="A038"/>
    <d v="2016-11-30T00:00:00"/>
    <s v="80"/>
    <s v="TAN"/>
    <s v="OR"/>
    <d v="2016-11-25T00:00:00"/>
    <s v="MT"/>
    <s v="US"/>
    <s v="ZR"/>
    <d v="2016-11-26T00:00:00"/>
  </r>
  <r>
    <x v="0"/>
    <x v="6"/>
    <x v="31"/>
    <x v="11"/>
    <s v="Standard order"/>
    <x v="19"/>
    <x v="19"/>
    <s v="S360"/>
    <s v="CRYSTAL S360NT"/>
    <s v="5003413"/>
    <s v="S360 ACH T20 PB SYSTIVA G100"/>
    <n v="160"/>
    <n v="0"/>
    <n v="160"/>
    <x v="6"/>
    <s v="DVNB"/>
    <s v="GEM 100"/>
    <s v="324"/>
    <s v="4.0 UN"/>
    <s v="STANDARD"/>
    <s v="N"/>
    <s v="Y"/>
    <s v="N"/>
    <s v="T20"/>
    <s v="Y"/>
    <s v="N"/>
    <s v="Y"/>
    <s v="N"/>
    <s v="A038"/>
    <d v="2016-11-30T00:00:00"/>
    <s v="20"/>
    <s v="TAN"/>
    <s v="OR"/>
    <d v="2016-11-26T00:00:00"/>
    <s v="MT"/>
    <s v="US"/>
    <s v="ZR"/>
    <d v="2016-11-26T00:00:00"/>
  </r>
  <r>
    <x v="0"/>
    <x v="6"/>
    <x v="31"/>
    <x v="11"/>
    <s v="Standard order"/>
    <x v="19"/>
    <x v="19"/>
    <s v="S517"/>
    <s v="CRYSTAL S517"/>
    <s v="5003467"/>
    <s v="S517 ACH T20 PB SYSTIVA G100"/>
    <n v="40"/>
    <n v="0"/>
    <n v="40"/>
    <x v="6"/>
    <s v="DVNV"/>
    <s v="GEM 100"/>
    <s v="324"/>
    <s v="4.0 UN"/>
    <s v="STANDARD"/>
    <s v="N"/>
    <s v="Y"/>
    <s v="N"/>
    <s v="T20"/>
    <s v="Y"/>
    <s v="N"/>
    <s v="Y"/>
    <s v="N"/>
    <s v="A038"/>
    <d v="2016-11-30T00:00:00"/>
    <s v="10"/>
    <s v="TAN"/>
    <s v="OR"/>
    <d v="2016-11-26T00:00:00"/>
    <s v="MT"/>
    <s v="US"/>
    <s v="ZR"/>
    <d v="2016-11-26T00:00:00"/>
  </r>
  <r>
    <x v="0"/>
    <x v="6"/>
    <x v="32"/>
    <x v="11"/>
    <s v="Standard order"/>
    <x v="20"/>
    <x v="20"/>
    <s v="S517"/>
    <s v="CRYSTAL S517"/>
    <s v="5003467"/>
    <s v="S517 ACH T20 PB SYSTIVA G100"/>
    <n v="40"/>
    <n v="0"/>
    <n v="40"/>
    <x v="6"/>
    <s v="DVNV"/>
    <s v="GEM 100"/>
    <s v="324"/>
    <s v="4.0 UN"/>
    <s v="STANDARD"/>
    <s v="N"/>
    <s v="Y"/>
    <s v="N"/>
    <s v="T20"/>
    <s v="Y"/>
    <s v="N"/>
    <s v="Y"/>
    <s v="N"/>
    <s v="A038"/>
    <d v="2016-11-30T00:00:00"/>
    <s v="10"/>
    <s v="TAN"/>
    <s v="OR"/>
    <d v="2016-11-26T00:00:00"/>
    <s v="MT"/>
    <s v="US"/>
    <s v="ZR"/>
    <d v="2016-11-26T00:00:00"/>
  </r>
  <r>
    <x v="0"/>
    <x v="6"/>
    <x v="32"/>
    <x v="11"/>
    <s v="Standard order"/>
    <x v="20"/>
    <x v="20"/>
    <s v="S360"/>
    <s v="CRYSTAL S360NT"/>
    <s v="5003413"/>
    <s v="S360 ACH T20 PB SYSTIVA G100"/>
    <n v="132"/>
    <n v="0"/>
    <n v="132"/>
    <x v="6"/>
    <s v="DVNB"/>
    <s v="GEM 100"/>
    <s v="324"/>
    <s v="4.0 UN"/>
    <s v="STANDARD"/>
    <s v="N"/>
    <s v="Y"/>
    <s v="N"/>
    <s v="T20"/>
    <s v="Y"/>
    <s v="N"/>
    <s v="Y"/>
    <s v="N"/>
    <s v="A038"/>
    <d v="2016-11-30T00:00:00"/>
    <s v="20"/>
    <s v="TAN"/>
    <s v="OR"/>
    <d v="2016-11-26T00:00:00"/>
    <s v="MT"/>
    <s v="US"/>
    <s v="ZR"/>
    <d v="2016-11-26T00:00:00"/>
  </r>
  <r>
    <x v="0"/>
    <x v="5"/>
    <x v="33"/>
    <x v="12"/>
    <s v="Standard order"/>
    <x v="21"/>
    <x v="21"/>
    <s v="Y400"/>
    <s v="CRYSTAL Y400NT"/>
    <s v="5003735"/>
    <s v="Y400 ACH T20 PB SYSTIVA RP"/>
    <n v="16"/>
    <n v="0"/>
    <n v="16"/>
    <x v="5"/>
    <s v="4TBP"/>
    <s v="RP"/>
    <s v="324"/>
    <s v="4.0 UN"/>
    <s v="STANDARD"/>
    <s v="N"/>
    <s v="Y"/>
    <s v="N"/>
    <s v="T20"/>
    <s v="Y"/>
    <s v="N"/>
    <s v="N"/>
    <s v="N"/>
    <s v="A014"/>
    <d v="2016-11-30T00:00:00"/>
    <s v="10"/>
    <s v="TAN"/>
    <s v="OR"/>
    <d v="2016-11-26T00:00:00"/>
    <s v="MT"/>
    <s v="US"/>
    <s v="ZR"/>
    <d v="2016-11-27T00:00:00"/>
  </r>
  <r>
    <x v="0"/>
    <x v="5"/>
    <x v="34"/>
    <x v="9"/>
    <s v="Standard order"/>
    <x v="22"/>
    <x v="22"/>
    <s v="Y400"/>
    <s v="CRYSTAL Y400NT"/>
    <s v="5003735"/>
    <s v="Y400 ACH T20 PB SYSTIVA RP"/>
    <n v="32"/>
    <n v="0"/>
    <n v="32"/>
    <x v="5"/>
    <s v="4TBP"/>
    <s v="RP"/>
    <s v="324"/>
    <s v="4.0 UN"/>
    <s v="STANDARD"/>
    <s v="N"/>
    <s v="Y"/>
    <s v="N"/>
    <s v="T20"/>
    <s v="Y"/>
    <s v="N"/>
    <s v="N"/>
    <s v="N"/>
    <s v="A016"/>
    <d v="2016-12-01T00:00:00"/>
    <s v="10"/>
    <s v="TAN"/>
    <s v="OR"/>
    <d v="2016-11-28T00:00:00"/>
    <s v="WY"/>
    <s v="US"/>
    <s v="ZR"/>
    <d v="2016-11-28T00:00:00"/>
  </r>
  <r>
    <x v="0"/>
    <x v="5"/>
    <x v="34"/>
    <x v="9"/>
    <s v="Standard order"/>
    <x v="22"/>
    <x v="22"/>
    <s v="R116"/>
    <s v="CRYSTAL RR116"/>
    <s v="5003105"/>
    <s v="R116 ACH T20 PB SYSTIVA RP"/>
    <n v="48"/>
    <n v="0"/>
    <n v="48"/>
    <x v="5"/>
    <s v="AP71"/>
    <s v="RP"/>
    <s v="324"/>
    <s v="4.0 UN"/>
    <s v="STANDARD"/>
    <s v="N"/>
    <s v="Y"/>
    <s v="N"/>
    <s v="T20"/>
    <s v="Y"/>
    <s v="N"/>
    <s v="N"/>
    <s v="N"/>
    <s v="A016"/>
    <d v="2016-12-01T00:00:00"/>
    <s v="20"/>
    <s v="TAN"/>
    <s v="OR"/>
    <d v="2016-11-28T00:00:00"/>
    <s v="WY"/>
    <s v="US"/>
    <s v="ZR"/>
    <d v="2016-11-28T00:00:00"/>
  </r>
  <r>
    <x v="0"/>
    <x v="5"/>
    <x v="35"/>
    <x v="9"/>
    <s v="Standard order"/>
    <x v="23"/>
    <x v="23"/>
    <s v="Y400"/>
    <s v="CRYSTAL Y400NT"/>
    <s v="5003735"/>
    <s v="Y400 ACH T20 PB SYSTIVA RP"/>
    <n v="12"/>
    <n v="0"/>
    <n v="12"/>
    <x v="5"/>
    <s v="4TBP"/>
    <s v="RP"/>
    <s v="324"/>
    <s v="4.0 UN"/>
    <s v="STANDARD"/>
    <s v="N"/>
    <s v="Y"/>
    <s v="N"/>
    <s v="T20"/>
    <s v="Y"/>
    <s v="N"/>
    <s v="N"/>
    <s v="N"/>
    <s v="A016"/>
    <d v="2016-12-01T00:00:00"/>
    <s v="10"/>
    <s v="TAN"/>
    <s v="OR"/>
    <d v="2016-11-28T00:00:00"/>
    <s v="WY"/>
    <s v="US"/>
    <s v="ZR"/>
    <d v="2016-11-28T00:00:00"/>
  </r>
  <r>
    <x v="0"/>
    <x v="5"/>
    <x v="35"/>
    <x v="9"/>
    <s v="Standard order"/>
    <x v="23"/>
    <x v="23"/>
    <s v="R116"/>
    <s v="CRYSTAL RR116"/>
    <s v="5003105"/>
    <s v="R116 ACH T20 PB SYSTIVA RP"/>
    <n v="60"/>
    <n v="0"/>
    <n v="60"/>
    <x v="5"/>
    <s v="AP71"/>
    <s v="RP"/>
    <s v="324"/>
    <s v="4.0 UN"/>
    <s v="STANDARD"/>
    <s v="N"/>
    <s v="Y"/>
    <s v="N"/>
    <s v="T20"/>
    <s v="Y"/>
    <s v="N"/>
    <s v="N"/>
    <s v="N"/>
    <s v="A016"/>
    <d v="2016-12-01T00:00:00"/>
    <s v="20"/>
    <s v="TAN"/>
    <s v="OR"/>
    <d v="2016-11-28T00:00:00"/>
    <s v="WY"/>
    <s v="US"/>
    <s v="ZR"/>
    <d v="2016-11-28T00:00:00"/>
  </r>
  <r>
    <x v="0"/>
    <x v="5"/>
    <x v="36"/>
    <x v="9"/>
    <s v="Standard order"/>
    <x v="24"/>
    <x v="24"/>
    <s v="Y400"/>
    <s v="CRYSTAL Y400NT"/>
    <s v="5003735"/>
    <s v="Y400 ACH T20 PB SYSTIVA RP"/>
    <n v="40"/>
    <n v="0"/>
    <n v="40"/>
    <x v="5"/>
    <s v="4TBP"/>
    <s v="RP"/>
    <s v="324"/>
    <s v="4.0 UN"/>
    <s v="STANDARD"/>
    <s v="N"/>
    <s v="Y"/>
    <s v="N"/>
    <s v="T20"/>
    <s v="Y"/>
    <s v="N"/>
    <s v="N"/>
    <s v="N"/>
    <s v="A016"/>
    <d v="2016-12-01T00:00:00"/>
    <s v="10"/>
    <s v="TAN"/>
    <s v="OR"/>
    <d v="2016-11-28T00:00:00"/>
    <s v="WY"/>
    <s v="US"/>
    <s v="ZR"/>
    <d v="2016-11-28T00:00:00"/>
  </r>
  <r>
    <x v="0"/>
    <x v="5"/>
    <x v="36"/>
    <x v="9"/>
    <s v="Standard order"/>
    <x v="24"/>
    <x v="24"/>
    <s v="R116"/>
    <s v="CRYSTAL RR116"/>
    <s v="5003105"/>
    <s v="R116 ACH T20 PB SYSTIVA RP"/>
    <n v="60"/>
    <n v="0"/>
    <n v="60"/>
    <x v="5"/>
    <s v="AP71"/>
    <s v="RP"/>
    <s v="324"/>
    <s v="4.0 UN"/>
    <s v="STANDARD"/>
    <s v="N"/>
    <s v="Y"/>
    <s v="N"/>
    <s v="T20"/>
    <s v="Y"/>
    <s v="N"/>
    <s v="N"/>
    <s v="N"/>
    <s v="A016"/>
    <d v="2016-12-01T00:00:00"/>
    <s v="20"/>
    <s v="TAN"/>
    <s v="OR"/>
    <d v="2016-11-28T00:00:00"/>
    <s v="WY"/>
    <s v="US"/>
    <s v="ZR"/>
    <d v="2016-11-28T00:00:00"/>
  </r>
  <r>
    <x v="0"/>
    <x v="0"/>
    <x v="37"/>
    <x v="0"/>
    <s v="Standard order"/>
    <x v="25"/>
    <x v="25"/>
    <s v="R059"/>
    <s v="CRYSTAL RR059"/>
    <s v="5003518"/>
    <s v="R059 ACH CM Vibrance RP"/>
    <n v="20"/>
    <n v="0"/>
    <n v="20"/>
    <x v="0"/>
    <s v="AP73"/>
    <s v="RP"/>
    <s v="393"/>
    <s v="4.0 UN"/>
    <s v="STANDARD"/>
    <s v="Y"/>
    <s v="N"/>
    <s v="N"/>
    <s v="N"/>
    <s v="N"/>
    <s v="N"/>
    <s v="N"/>
    <s v="Y"/>
    <s v="A037"/>
    <d v="2016-12-01T00:00:00"/>
    <s v="20"/>
    <s v="TAN"/>
    <s v="OR"/>
    <d v="2016-11-28T00:00:00"/>
    <s v="ON"/>
    <s v="CA"/>
    <s v="ZR"/>
    <d v="2016-11-28T00:00:00"/>
  </r>
  <r>
    <x v="0"/>
    <x v="0"/>
    <x v="37"/>
    <x v="0"/>
    <s v="Standard order"/>
    <x v="25"/>
    <x v="25"/>
    <s v="G515"/>
    <s v="CRYSTAL G515"/>
    <s v="5003007"/>
    <s v="G515 ACH CM Vibrance RP"/>
    <n v="4"/>
    <n v="0"/>
    <n v="4"/>
    <x v="0"/>
    <s v="APND"/>
    <s v="RP"/>
    <s v="393"/>
    <s v="4.0 UN"/>
    <s v="STANDARD"/>
    <s v="Y"/>
    <s v="N"/>
    <s v="N"/>
    <s v="N"/>
    <s v="N"/>
    <s v="N"/>
    <s v="N"/>
    <s v="Y"/>
    <s v="A037"/>
    <d v="2016-12-01T00:00:00"/>
    <s v="10"/>
    <s v="TAN"/>
    <s v="OR"/>
    <d v="2016-11-28T00:00:00"/>
    <s v="ON"/>
    <s v="CA"/>
    <s v="ZR"/>
    <d v="2016-11-28T00:00:00"/>
  </r>
  <r>
    <x v="0"/>
    <x v="5"/>
    <x v="38"/>
    <x v="9"/>
    <s v="Standard order"/>
    <x v="26"/>
    <x v="26"/>
    <s v="R116"/>
    <s v="CRYSTAL RR116"/>
    <s v="5003101"/>
    <s v="R116 ACH T20 PB SYSTIVA ELS"/>
    <n v="132"/>
    <n v="0"/>
    <n v="132"/>
    <x v="5"/>
    <s v="AP71"/>
    <s v="ELS"/>
    <s v="324"/>
    <s v="4.0 UN"/>
    <s v="STANDARD"/>
    <s v="N"/>
    <s v="Y"/>
    <s v="N"/>
    <s v="T20"/>
    <s v="Y"/>
    <s v="N"/>
    <s v="N"/>
    <s v="N"/>
    <s v="A016"/>
    <d v="2016-12-01T00:00:00"/>
    <s v="10"/>
    <s v="TAN"/>
    <s v="OR"/>
    <d v="2016-11-28T00:00:00"/>
    <s v="WY"/>
    <s v="US"/>
    <s v="ZR"/>
    <d v="2016-11-28T00:00:00"/>
  </r>
  <r>
    <x v="0"/>
    <x v="5"/>
    <x v="38"/>
    <x v="9"/>
    <s v="Standard order"/>
    <x v="26"/>
    <x v="26"/>
    <s v="Y400"/>
    <s v="CRYSTAL Y400NT"/>
    <s v="5003731"/>
    <s v="Y400 ACH T20 PB SYSTIVA ELS"/>
    <n v="20"/>
    <n v="0"/>
    <n v="20"/>
    <x v="5"/>
    <s v="4TBP"/>
    <s v="ELS"/>
    <s v="324"/>
    <s v="4.0 UN"/>
    <s v="STANDARD"/>
    <s v="N"/>
    <s v="Y"/>
    <s v="N"/>
    <s v="T20"/>
    <s v="Y"/>
    <s v="N"/>
    <s v="N"/>
    <s v="N"/>
    <s v="A016"/>
    <d v="2016-12-01T00:00:00"/>
    <s v="20"/>
    <s v="TAN"/>
    <s v="OR"/>
    <d v="2016-11-28T00:00:00"/>
    <s v="WY"/>
    <s v="US"/>
    <s v="ZR"/>
    <d v="2016-11-28T00:00:00"/>
  </r>
  <r>
    <x v="0"/>
    <x v="5"/>
    <x v="39"/>
    <x v="9"/>
    <s v="Standard order"/>
    <x v="27"/>
    <x v="27"/>
    <s v="R116"/>
    <s v="CRYSTAL RR116"/>
    <s v="5003105"/>
    <s v="R116 ACH T20 PB SYSTIVA RP"/>
    <n v="20"/>
    <n v="0"/>
    <n v="20"/>
    <x v="5"/>
    <s v="AP71"/>
    <s v="RP"/>
    <s v="324"/>
    <s v="4.0 UN"/>
    <s v="STANDARD"/>
    <s v="N"/>
    <s v="Y"/>
    <s v="N"/>
    <s v="T20"/>
    <s v="Y"/>
    <s v="N"/>
    <s v="N"/>
    <s v="N"/>
    <s v="A016"/>
    <d v="2016-12-01T00:00:00"/>
    <s v="10"/>
    <s v="TAN"/>
    <s v="OR"/>
    <d v="2016-11-28T00:00:00"/>
    <s v="WY"/>
    <s v="US"/>
    <s v="ZR"/>
    <d v="2016-11-28T00:00:00"/>
  </r>
  <r>
    <x v="0"/>
    <x v="5"/>
    <x v="39"/>
    <x v="9"/>
    <s v="Standard order"/>
    <x v="27"/>
    <x v="27"/>
    <s v="Y400"/>
    <s v="CRYSTAL Y400NT"/>
    <s v="5003735"/>
    <s v="Y400 ACH T20 PB SYSTIVA RP"/>
    <n v="40"/>
    <n v="0"/>
    <n v="40"/>
    <x v="5"/>
    <s v="4TBP"/>
    <s v="RP"/>
    <s v="324"/>
    <s v="4.0 UN"/>
    <s v="STANDARD"/>
    <s v="N"/>
    <s v="Y"/>
    <s v="N"/>
    <s v="T20"/>
    <s v="Y"/>
    <s v="N"/>
    <s v="N"/>
    <s v="N"/>
    <s v="A016"/>
    <d v="2016-12-01T00:00:00"/>
    <s v="20"/>
    <s v="TAN"/>
    <s v="OR"/>
    <d v="2016-11-28T00:00:00"/>
    <s v="WY"/>
    <s v="US"/>
    <s v="ZR"/>
    <d v="2016-11-28T00:00:00"/>
  </r>
  <r>
    <x v="0"/>
    <x v="5"/>
    <x v="40"/>
    <x v="9"/>
    <s v="Standard order"/>
    <x v="23"/>
    <x v="23"/>
    <s v="Y400"/>
    <s v="CRYSTAL Y400NT"/>
    <s v="5003735"/>
    <s v="Y400 ACH T20 PB SYSTIVA RP"/>
    <n v="12"/>
    <n v="0"/>
    <n v="12"/>
    <x v="5"/>
    <s v="4TBP"/>
    <s v="RP"/>
    <s v="324"/>
    <s v="4.0 UN"/>
    <s v="STANDARD"/>
    <s v="N"/>
    <s v="Y"/>
    <s v="N"/>
    <s v="T20"/>
    <s v="Y"/>
    <s v="N"/>
    <s v="N"/>
    <s v="N"/>
    <s v="A016"/>
    <d v="2016-12-01T00:00:00"/>
    <s v="10"/>
    <s v="TAN"/>
    <s v="OR"/>
    <d v="2016-11-28T00:00:00"/>
    <s v="WY"/>
    <s v="US"/>
    <s v="ZR"/>
    <d v="2016-11-28T00:00:00"/>
  </r>
  <r>
    <x v="0"/>
    <x v="5"/>
    <x v="40"/>
    <x v="9"/>
    <s v="Standard order"/>
    <x v="23"/>
    <x v="23"/>
    <s v="R116"/>
    <s v="CRYSTAL RR116"/>
    <s v="5003105"/>
    <s v="R116 ACH T20 PB SYSTIVA RP"/>
    <n v="60"/>
    <n v="0"/>
    <n v="60"/>
    <x v="5"/>
    <s v="AP71"/>
    <s v="RP"/>
    <s v="324"/>
    <s v="4.0 UN"/>
    <s v="STANDARD"/>
    <s v="N"/>
    <s v="Y"/>
    <s v="N"/>
    <s v="T20"/>
    <s v="Y"/>
    <s v="N"/>
    <s v="N"/>
    <s v="N"/>
    <s v="A016"/>
    <d v="2016-12-01T00:00:00"/>
    <s v="20"/>
    <s v="TAN"/>
    <s v="OR"/>
    <d v="2016-11-28T00:00:00"/>
    <s v="WY"/>
    <s v="US"/>
    <s v="ZR"/>
    <d v="2016-11-28T00:00:00"/>
  </r>
  <r>
    <x v="0"/>
    <x v="5"/>
    <x v="41"/>
    <x v="9"/>
    <s v="Standard order"/>
    <x v="28"/>
    <x v="28"/>
    <s v="R116"/>
    <s v="CRYSTAL RR116"/>
    <s v="5003101"/>
    <s v="R116 ACH T20 PB SYSTIVA ELS"/>
    <n v="68"/>
    <n v="0"/>
    <n v="68"/>
    <x v="5"/>
    <s v="AP71"/>
    <s v="ELS"/>
    <s v="324"/>
    <s v="4.0 UN"/>
    <s v="STANDARD"/>
    <s v="N"/>
    <s v="Y"/>
    <s v="N"/>
    <s v="T20"/>
    <s v="Y"/>
    <s v="N"/>
    <s v="N"/>
    <s v="N"/>
    <s v="A016"/>
    <d v="2016-12-01T00:00:00"/>
    <s v="10"/>
    <s v="TAN"/>
    <s v="OR"/>
    <d v="2016-11-28T00:00:00"/>
    <s v="WY"/>
    <s v="US"/>
    <s v="ZR"/>
    <d v="2016-11-28T00:00:00"/>
  </r>
  <r>
    <x v="0"/>
    <x v="5"/>
    <x v="42"/>
    <x v="9"/>
    <s v="Standard order"/>
    <x v="29"/>
    <x v="29"/>
    <s v="R116"/>
    <s v="CRYSTAL RR116"/>
    <s v="5003105"/>
    <s v="R116 ACH T20 PB SYSTIVA RP"/>
    <n v="20"/>
    <n v="0"/>
    <n v="20"/>
    <x v="5"/>
    <s v="AP71"/>
    <s v="RP"/>
    <s v="324"/>
    <s v="4.0 UN"/>
    <s v="STANDARD"/>
    <s v="N"/>
    <s v="Y"/>
    <s v="N"/>
    <s v="T20"/>
    <s v="Y"/>
    <s v="N"/>
    <s v="N"/>
    <s v="N"/>
    <s v="A016"/>
    <d v="2016-12-01T00:00:00"/>
    <s v="10"/>
    <s v="TAN"/>
    <s v="OR"/>
    <d v="2016-11-28T00:00:00"/>
    <s v="WY"/>
    <s v="US"/>
    <s v="ZR"/>
    <d v="2016-11-28T00:00:00"/>
  </r>
  <r>
    <x v="0"/>
    <x v="5"/>
    <x v="43"/>
    <x v="9"/>
    <s v="Standard order"/>
    <x v="30"/>
    <x v="30"/>
    <s v="R116"/>
    <s v="CRYSTAL RR116"/>
    <s v="5003105"/>
    <s v="R116 ACH T20 PB SYSTIVA RP"/>
    <n v="36"/>
    <n v="0"/>
    <n v="36"/>
    <x v="5"/>
    <s v="AP71"/>
    <s v="RP"/>
    <s v="324"/>
    <s v="4.0 UN"/>
    <s v="STANDARD"/>
    <s v="N"/>
    <s v="Y"/>
    <s v="N"/>
    <s v="T20"/>
    <s v="Y"/>
    <s v="N"/>
    <s v="N"/>
    <s v="N"/>
    <s v="A016"/>
    <d v="2016-12-01T00:00:00"/>
    <s v="10"/>
    <s v="TAN"/>
    <s v="OR"/>
    <d v="2016-11-28T00:00:00"/>
    <s v="WY"/>
    <s v="US"/>
    <s v="ZR"/>
    <d v="2016-11-28T00:00:00"/>
  </r>
  <r>
    <x v="0"/>
    <x v="0"/>
    <x v="44"/>
    <x v="4"/>
    <s v="Standard order"/>
    <x v="31"/>
    <x v="31"/>
    <s v="R059"/>
    <s v="CRYSTAL RR059"/>
    <s v="5003529"/>
    <s v="R059 ACH T20 Kabina MP"/>
    <n v="224"/>
    <n v="0"/>
    <n v="224"/>
    <x v="0"/>
    <s v="AP73"/>
    <s v="MP"/>
    <s v="387"/>
    <s v="4.0 UN"/>
    <s v="STANDARD"/>
    <s v="N"/>
    <s v="N"/>
    <s v="Y"/>
    <s v="T20"/>
    <s v="N"/>
    <s v="N"/>
    <s v="N"/>
    <s v="N"/>
    <s v="A035"/>
    <d v="2016-12-01T00:00:00"/>
    <s v="10"/>
    <s v="TAN"/>
    <s v="OR"/>
    <d v="2016-11-28T00:00:00"/>
    <s v="MI"/>
    <s v="US"/>
    <s v="ZR"/>
    <d v="2016-11-28T00:00:00"/>
  </r>
  <r>
    <x v="0"/>
    <x v="0"/>
    <x v="45"/>
    <x v="4"/>
    <s v="Standard order"/>
    <x v="32"/>
    <x v="32"/>
    <s v="G515"/>
    <s v="CRYSTAL G515"/>
    <s v="5003017"/>
    <s v="G515 ACH T20 Kabina ELS"/>
    <n v="8"/>
    <n v="0"/>
    <n v="8"/>
    <x v="0"/>
    <s v="APND"/>
    <s v="ELS"/>
    <s v="387"/>
    <s v="4.0 UN"/>
    <s v="STANDARD"/>
    <s v="N"/>
    <s v="N"/>
    <s v="Y"/>
    <s v="T20"/>
    <s v="N"/>
    <s v="N"/>
    <s v="N"/>
    <s v="N"/>
    <s v="A035"/>
    <d v="2016-12-01T00:00:00"/>
    <s v="10"/>
    <s v="TAN"/>
    <s v="OR"/>
    <d v="2016-11-28T00:00:00"/>
    <s v="MI"/>
    <s v="US"/>
    <s v="ZR"/>
    <d v="2016-11-28T00:00:00"/>
  </r>
  <r>
    <x v="0"/>
    <x v="0"/>
    <x v="45"/>
    <x v="4"/>
    <s v="Standard order"/>
    <x v="32"/>
    <x v="32"/>
    <s v="R059"/>
    <s v="CRYSTAL RR059"/>
    <s v="5003528"/>
    <s v="R059 ACH T20 Kabina ELS"/>
    <n v="44"/>
    <n v="0"/>
    <n v="44"/>
    <x v="0"/>
    <s v="AP73"/>
    <s v="ELS"/>
    <s v="387"/>
    <s v="4.0 UN"/>
    <s v="STANDARD"/>
    <s v="N"/>
    <s v="N"/>
    <s v="Y"/>
    <s v="T20"/>
    <s v="N"/>
    <s v="N"/>
    <s v="N"/>
    <s v="N"/>
    <s v="A035"/>
    <d v="2016-12-01T00:00:00"/>
    <s v="20"/>
    <s v="TAN"/>
    <s v="OR"/>
    <d v="2016-11-28T00:00:00"/>
    <s v="MI"/>
    <s v="US"/>
    <s v="ZR"/>
    <d v="2016-11-28T00:00:00"/>
  </r>
  <r>
    <x v="0"/>
    <x v="6"/>
    <x v="46"/>
    <x v="11"/>
    <s v="Standard order"/>
    <x v="33"/>
    <x v="33"/>
    <s v="S517"/>
    <s v="CRYSTAL S517"/>
    <s v="5003467"/>
    <s v="S517 ACH T20 PB SYSTIVA G100"/>
    <n v="24"/>
    <n v="0"/>
    <n v="24"/>
    <x v="6"/>
    <s v="DVNV"/>
    <s v="GEM 100"/>
    <s v="324"/>
    <s v="4.0 UN"/>
    <s v="STANDARD"/>
    <s v="N"/>
    <s v="Y"/>
    <s v="N"/>
    <s v="T20"/>
    <s v="Y"/>
    <s v="N"/>
    <s v="Y"/>
    <s v="N"/>
    <s v="A038"/>
    <d v="2016-12-02T00:00:00"/>
    <s v="10"/>
    <s v="TAN"/>
    <s v="OR"/>
    <d v="2016-11-29T00:00:00"/>
    <s v="ND"/>
    <s v="US"/>
    <s v="ZR"/>
    <d v="2016-11-29T00:00:00"/>
  </r>
  <r>
    <x v="0"/>
    <x v="6"/>
    <x v="46"/>
    <x v="11"/>
    <s v="Standard order"/>
    <x v="33"/>
    <x v="33"/>
    <s v="S360"/>
    <s v="CRYSTAL S360NT"/>
    <s v="5003413"/>
    <s v="S360 ACH T20 PB SYSTIVA G100"/>
    <n v="20"/>
    <n v="0"/>
    <n v="20"/>
    <x v="6"/>
    <s v="DVNB"/>
    <s v="GEM 100"/>
    <s v="324"/>
    <s v="4.0 UN"/>
    <s v="STANDARD"/>
    <s v="N"/>
    <s v="Y"/>
    <s v="N"/>
    <s v="T20"/>
    <s v="Y"/>
    <s v="N"/>
    <s v="Y"/>
    <s v="N"/>
    <s v="A038"/>
    <d v="2016-12-02T00:00:00"/>
    <s v="20"/>
    <s v="TAN"/>
    <s v="OR"/>
    <d v="2016-11-29T00:00:00"/>
    <s v="ND"/>
    <s v="US"/>
    <s v="ZR"/>
    <d v="2016-11-29T00:00:00"/>
  </r>
  <r>
    <x v="0"/>
    <x v="6"/>
    <x v="46"/>
    <x v="11"/>
    <s v="Standard order"/>
    <x v="33"/>
    <x v="33"/>
    <s v="S498"/>
    <s v="CRYSTAL S498"/>
    <s v="5003431"/>
    <s v="S498 ACH T20 PB SYSTIVA G100"/>
    <n v="24"/>
    <n v="0"/>
    <n v="24"/>
    <x v="6"/>
    <s v="FE73"/>
    <s v="GEM 100"/>
    <s v="324"/>
    <s v="4.0 UN"/>
    <s v="STANDARD"/>
    <s v="N"/>
    <s v="Y"/>
    <s v="N"/>
    <s v="T20"/>
    <s v="Y"/>
    <s v="N"/>
    <s v="Y"/>
    <s v="N"/>
    <s v="A038"/>
    <d v="2016-12-02T00:00:00"/>
    <s v="30"/>
    <s v="TAN"/>
    <s v="OR"/>
    <d v="2016-11-29T00:00:00"/>
    <s v="ND"/>
    <s v="US"/>
    <s v="ZR"/>
    <d v="2016-11-29T00:00:00"/>
  </r>
  <r>
    <x v="0"/>
    <x v="6"/>
    <x v="47"/>
    <x v="11"/>
    <s v="Standard order"/>
    <x v="34"/>
    <x v="34"/>
    <s v="S517"/>
    <s v="CRYSTAL S517"/>
    <s v="5003467"/>
    <s v="S517 ACH T20 PB SYSTIVA G100"/>
    <n v="96"/>
    <n v="0"/>
    <n v="96"/>
    <x v="6"/>
    <s v="DVNV"/>
    <s v="GEM 100"/>
    <s v="324"/>
    <s v="4.0 UN"/>
    <s v="STANDARD"/>
    <s v="N"/>
    <s v="Y"/>
    <s v="N"/>
    <s v="T20"/>
    <s v="Y"/>
    <s v="N"/>
    <s v="Y"/>
    <s v="N"/>
    <s v="A038"/>
    <d v="2016-12-02T00:00:00"/>
    <s v="10"/>
    <s v="TAN"/>
    <s v="OR"/>
    <d v="2016-11-29T00:00:00"/>
    <s v="ND"/>
    <s v="US"/>
    <s v="ZR"/>
    <d v="2016-11-29T00:00:00"/>
  </r>
  <r>
    <x v="0"/>
    <x v="6"/>
    <x v="47"/>
    <x v="11"/>
    <s v="Standard order"/>
    <x v="34"/>
    <x v="34"/>
    <s v="S498"/>
    <s v="CRYSTAL S498"/>
    <s v="5003430"/>
    <s v="S498 ACH T20 PB SYSTIVA ELS"/>
    <n v="72"/>
    <n v="0"/>
    <n v="72"/>
    <x v="6"/>
    <s v="FE73"/>
    <s v="ELS"/>
    <s v="324"/>
    <s v="4.0 UN"/>
    <s v="STANDARD"/>
    <s v="N"/>
    <s v="Y"/>
    <s v="N"/>
    <s v="T20"/>
    <s v="Y"/>
    <s v="N"/>
    <s v="Y"/>
    <s v="N"/>
    <s v="A038"/>
    <d v="2016-12-02T00:00:00"/>
    <s v="20"/>
    <s v="TAN"/>
    <s v="OR"/>
    <d v="2016-11-29T00:00:00"/>
    <s v="ND"/>
    <s v="US"/>
    <s v="ZR"/>
    <d v="2016-11-29T00:00:00"/>
  </r>
  <r>
    <x v="0"/>
    <x v="6"/>
    <x v="48"/>
    <x v="11"/>
    <s v="Standard order"/>
    <x v="35"/>
    <x v="35"/>
    <s v="S517"/>
    <s v="CRYSTAL S517"/>
    <s v="5003467"/>
    <s v="S517 ACH T20 PB SYSTIVA G100"/>
    <n v="24"/>
    <n v="0"/>
    <n v="24"/>
    <x v="6"/>
    <s v="DVNV"/>
    <s v="GEM 100"/>
    <s v="324"/>
    <s v="4.0 UN"/>
    <s v="STANDARD"/>
    <s v="N"/>
    <s v="Y"/>
    <s v="N"/>
    <s v="T20"/>
    <s v="Y"/>
    <s v="N"/>
    <s v="Y"/>
    <s v="N"/>
    <s v="A038"/>
    <d v="2016-12-02T00:00:00"/>
    <s v="10"/>
    <s v="TAN"/>
    <s v="OR"/>
    <d v="2016-11-29T00:00:00"/>
    <s v="MT"/>
    <s v="US"/>
    <s v="ZR"/>
    <d v="2016-11-29T00:00:00"/>
  </r>
  <r>
    <x v="0"/>
    <x v="6"/>
    <x v="48"/>
    <x v="11"/>
    <s v="Standard order"/>
    <x v="35"/>
    <x v="35"/>
    <s v="S498"/>
    <s v="CRYSTAL S498"/>
    <s v="5003431"/>
    <s v="S498 ACH T20 PB SYSTIVA G100"/>
    <n v="100"/>
    <n v="0"/>
    <n v="100"/>
    <x v="6"/>
    <s v="FE73"/>
    <s v="GEM 100"/>
    <s v="324"/>
    <s v="4.0 UN"/>
    <s v="STANDARD"/>
    <s v="N"/>
    <s v="Y"/>
    <s v="N"/>
    <s v="T20"/>
    <s v="Y"/>
    <s v="N"/>
    <s v="Y"/>
    <s v="N"/>
    <s v="A038"/>
    <d v="2016-12-02T00:00:00"/>
    <s v="20"/>
    <s v="TAN"/>
    <s v="OR"/>
    <d v="2016-11-29T00:00:00"/>
    <s v="MT"/>
    <s v="US"/>
    <s v="ZR"/>
    <d v="2016-11-29T00:00:00"/>
  </r>
  <r>
    <x v="0"/>
    <x v="6"/>
    <x v="48"/>
    <x v="11"/>
    <s v="Standard order"/>
    <x v="35"/>
    <x v="35"/>
    <s v="S360"/>
    <s v="CRYSTAL S360NT"/>
    <s v="5003413"/>
    <s v="S360 ACH T20 PB SYSTIVA G100"/>
    <n v="100"/>
    <n v="0"/>
    <n v="100"/>
    <x v="6"/>
    <s v="DVNB"/>
    <s v="GEM 100"/>
    <s v="324"/>
    <s v="4.0 UN"/>
    <s v="STANDARD"/>
    <s v="N"/>
    <s v="Y"/>
    <s v="N"/>
    <s v="T20"/>
    <s v="Y"/>
    <s v="N"/>
    <s v="Y"/>
    <s v="N"/>
    <s v="A038"/>
    <d v="2016-12-02T00:00:00"/>
    <s v="30"/>
    <s v="TAN"/>
    <s v="OR"/>
    <d v="2016-11-29T00:00:00"/>
    <s v="MT"/>
    <s v="US"/>
    <s v="ZR"/>
    <d v="2016-11-29T00:00:00"/>
  </r>
  <r>
    <x v="0"/>
    <x v="6"/>
    <x v="49"/>
    <x v="11"/>
    <s v="Standard order"/>
    <x v="36"/>
    <x v="36"/>
    <s v="S517"/>
    <s v="CRYSTAL S517"/>
    <s v="5003467"/>
    <s v="S517 ACH T20 PB SYSTIVA G100"/>
    <n v="24"/>
    <n v="0"/>
    <n v="24"/>
    <x v="6"/>
    <s v="DVNV"/>
    <s v="GEM 100"/>
    <s v="324"/>
    <s v="4.0 UN"/>
    <s v="STANDARD"/>
    <s v="N"/>
    <s v="Y"/>
    <s v="N"/>
    <s v="T20"/>
    <s v="Y"/>
    <s v="N"/>
    <s v="Y"/>
    <s v="N"/>
    <s v="A038"/>
    <d v="2016-12-02T00:00:00"/>
    <s v="10"/>
    <s v="TAN"/>
    <s v="OR"/>
    <d v="2016-11-29T00:00:00"/>
    <s v="MT"/>
    <s v="US"/>
    <s v="ZR"/>
    <d v="2016-11-29T00:00:00"/>
  </r>
  <r>
    <x v="0"/>
    <x v="6"/>
    <x v="49"/>
    <x v="11"/>
    <s v="Standard order"/>
    <x v="36"/>
    <x v="36"/>
    <s v="S360"/>
    <s v="CRYSTAL S360NT"/>
    <s v="5003413"/>
    <s v="S360 ACH T20 PB SYSTIVA G100"/>
    <n v="192"/>
    <n v="0"/>
    <n v="192"/>
    <x v="6"/>
    <s v="DVNB"/>
    <s v="GEM 100"/>
    <s v="324"/>
    <s v="4.0 UN"/>
    <s v="STANDARD"/>
    <s v="N"/>
    <s v="Y"/>
    <s v="N"/>
    <s v="T20"/>
    <s v="Y"/>
    <s v="N"/>
    <s v="Y"/>
    <s v="N"/>
    <s v="A038"/>
    <d v="2016-12-02T00:00:00"/>
    <s v="20"/>
    <s v="TAN"/>
    <s v="OR"/>
    <d v="2016-11-29T00:00:00"/>
    <s v="MT"/>
    <s v="US"/>
    <s v="ZR"/>
    <d v="2016-11-29T00:00:00"/>
  </r>
  <r>
    <x v="0"/>
    <x v="6"/>
    <x v="49"/>
    <x v="11"/>
    <s v="Standard order"/>
    <x v="36"/>
    <x v="36"/>
    <s v="S498"/>
    <s v="CRYSTAL S498"/>
    <s v="5003431"/>
    <s v="S498 ACH T20 PB SYSTIVA G100"/>
    <n v="144"/>
    <n v="0"/>
    <n v="144"/>
    <x v="6"/>
    <s v="FE73"/>
    <s v="GEM 100"/>
    <s v="324"/>
    <s v="4.0 UN"/>
    <s v="STANDARD"/>
    <s v="N"/>
    <s v="Y"/>
    <s v="N"/>
    <s v="T20"/>
    <s v="Y"/>
    <s v="N"/>
    <s v="Y"/>
    <s v="N"/>
    <s v="A038"/>
    <d v="2016-12-02T00:00:00"/>
    <s v="30"/>
    <s v="TAN"/>
    <s v="OR"/>
    <d v="2016-11-29T00:00:00"/>
    <s v="MT"/>
    <s v="US"/>
    <s v="ZR"/>
    <d v="2016-11-29T00:00:00"/>
  </r>
  <r>
    <x v="0"/>
    <x v="2"/>
    <x v="50"/>
    <x v="6"/>
    <s v="Standard order"/>
    <x v="37"/>
    <x v="37"/>
    <s v="W322"/>
    <s v="CRYSTAL W322NT"/>
    <s v="5003488"/>
    <s v="W322 ACH T20 PB SYSTIVA G100"/>
    <n v="24"/>
    <n v="0"/>
    <n v="24"/>
    <x v="2"/>
    <s v="EE73"/>
    <s v="GEM 100"/>
    <s v="324"/>
    <s v="4.0 UN"/>
    <s v="STANDARD"/>
    <s v="N"/>
    <s v="Y"/>
    <s v="N"/>
    <s v="T20"/>
    <s v="Y"/>
    <s v="N"/>
    <s v="Y"/>
    <s v="N"/>
    <s v="A025"/>
    <d v="2016-12-02T00:00:00"/>
    <s v="10"/>
    <s v="TAN"/>
    <s v="OR"/>
    <d v="2016-11-29T00:00:00"/>
    <s v="NE"/>
    <s v="US"/>
    <s v="ZR"/>
    <d v="2016-11-29T00:00:00"/>
  </r>
  <r>
    <x v="0"/>
    <x v="6"/>
    <x v="51"/>
    <x v="11"/>
    <s v="Standard order"/>
    <x v="38"/>
    <x v="38"/>
    <s v="S517"/>
    <s v="CRYSTAL S517"/>
    <s v="5003467"/>
    <s v="S517 ACH T20 PB SYSTIVA G100"/>
    <n v="24"/>
    <n v="0"/>
    <n v="24"/>
    <x v="6"/>
    <s v="DVNV"/>
    <s v="GEM 100"/>
    <s v="324"/>
    <s v="4.0 UN"/>
    <s v="STANDARD"/>
    <s v="N"/>
    <s v="Y"/>
    <s v="N"/>
    <s v="T20"/>
    <s v="Y"/>
    <s v="N"/>
    <s v="Y"/>
    <s v="N"/>
    <s v="A038"/>
    <d v="2016-12-02T00:00:00"/>
    <s v="10"/>
    <s v="TAN"/>
    <s v="OR"/>
    <d v="2016-11-29T00:00:00"/>
    <s v="MT"/>
    <s v="US"/>
    <s v="ZR"/>
    <d v="2016-11-29T00:00:00"/>
  </r>
  <r>
    <x v="0"/>
    <x v="6"/>
    <x v="51"/>
    <x v="11"/>
    <s v="Standard order"/>
    <x v="38"/>
    <x v="38"/>
    <s v="S360"/>
    <s v="CRYSTAL S360NT"/>
    <s v="5003413"/>
    <s v="S360 ACH T20 PB SYSTIVA G100"/>
    <n v="80"/>
    <n v="0"/>
    <n v="80"/>
    <x v="6"/>
    <s v="DVNB"/>
    <s v="GEM 100"/>
    <s v="324"/>
    <s v="4.0 UN"/>
    <s v="STANDARD"/>
    <s v="N"/>
    <s v="Y"/>
    <s v="N"/>
    <s v="T20"/>
    <s v="Y"/>
    <s v="N"/>
    <s v="Y"/>
    <s v="N"/>
    <s v="A038"/>
    <d v="2016-12-02T00:00:00"/>
    <s v="20"/>
    <s v="TAN"/>
    <s v="OR"/>
    <d v="2016-11-29T00:00:00"/>
    <s v="MT"/>
    <s v="US"/>
    <s v="ZR"/>
    <d v="2016-11-29T00:00:00"/>
  </r>
  <r>
    <x v="0"/>
    <x v="6"/>
    <x v="51"/>
    <x v="11"/>
    <s v="Standard order"/>
    <x v="38"/>
    <x v="38"/>
    <s v="R052"/>
    <s v="CRYSTAL RR052"/>
    <s v="5003513"/>
    <s v="R052 ACH T20 PB SYSTIVA G100"/>
    <n v="100"/>
    <n v="0"/>
    <n v="100"/>
    <x v="6"/>
    <s v="AP82"/>
    <s v="GEM 100"/>
    <s v="324"/>
    <s v="4.0 UN"/>
    <s v="STANDARD"/>
    <s v="N"/>
    <s v="Y"/>
    <s v="N"/>
    <s v="T20"/>
    <s v="Y"/>
    <s v="N"/>
    <s v="Y"/>
    <s v="N"/>
    <s v="A038"/>
    <d v="2016-12-02T00:00:00"/>
    <s v="30"/>
    <s v="TAN"/>
    <s v="OR"/>
    <d v="2016-11-29T00:00:00"/>
    <s v="MT"/>
    <s v="US"/>
    <s v="ZR"/>
    <d v="2016-11-29T00:00:00"/>
  </r>
  <r>
    <x v="0"/>
    <x v="6"/>
    <x v="51"/>
    <x v="11"/>
    <s v="Standard order"/>
    <x v="38"/>
    <x v="38"/>
    <s v="S498"/>
    <s v="CRYSTAL S498"/>
    <s v="5003431"/>
    <s v="S498 ACH T20 PB SYSTIVA G100"/>
    <n v="80"/>
    <n v="0"/>
    <n v="80"/>
    <x v="6"/>
    <s v="FE73"/>
    <s v="GEM 100"/>
    <s v="324"/>
    <s v="4.0 UN"/>
    <s v="STANDARD"/>
    <s v="N"/>
    <s v="Y"/>
    <s v="N"/>
    <s v="T20"/>
    <s v="Y"/>
    <s v="N"/>
    <s v="Y"/>
    <s v="N"/>
    <s v="A038"/>
    <d v="2016-12-02T00:00:00"/>
    <s v="40"/>
    <s v="TAN"/>
    <s v="OR"/>
    <d v="2016-11-29T00:00:00"/>
    <s v="MT"/>
    <s v="US"/>
    <s v="ZR"/>
    <d v="2016-11-29T00:00:00"/>
  </r>
  <r>
    <x v="0"/>
    <x v="5"/>
    <x v="52"/>
    <x v="12"/>
    <s v="Standard order"/>
    <x v="39"/>
    <x v="39"/>
    <s v="Y400"/>
    <s v="CRYSTAL Y400NT"/>
    <s v="5003735"/>
    <s v="Y400 ACH T20 PB SYSTIVA RP"/>
    <n v="8"/>
    <n v="0"/>
    <n v="8"/>
    <x v="5"/>
    <s v="4TBP"/>
    <s v="RP"/>
    <s v="324"/>
    <s v="4.0 UN"/>
    <s v="STANDARD"/>
    <s v="N"/>
    <s v="Y"/>
    <s v="N"/>
    <s v="T20"/>
    <s v="Y"/>
    <s v="N"/>
    <s v="N"/>
    <s v="N"/>
    <s v="A014"/>
    <d v="2016-12-02T00:00:00"/>
    <s v="10"/>
    <s v="TAN"/>
    <s v="OR"/>
    <d v="2016-11-29T00:00:00"/>
    <s v="MT"/>
    <s v="US"/>
    <s v="ZR"/>
    <d v="2016-11-29T00:00:00"/>
  </r>
  <r>
    <x v="0"/>
    <x v="0"/>
    <x v="53"/>
    <x v="2"/>
    <s v="Standard order"/>
    <x v="40"/>
    <x v="40"/>
    <s v="R059"/>
    <s v="CRYSTAL RR059"/>
    <s v="5003536"/>
    <s v="R059 ACH T20 SYSTIVA RP"/>
    <n v="20"/>
    <n v="0"/>
    <n v="20"/>
    <x v="0"/>
    <s v="AP73"/>
    <s v="RP"/>
    <s v="328"/>
    <s v="4.0 UN"/>
    <s v="STANDARD"/>
    <s v="N"/>
    <s v="N"/>
    <s v="N"/>
    <s v="T20"/>
    <s v="Y"/>
    <s v="N"/>
    <s v="Y"/>
    <s v="N"/>
    <s v="A034"/>
    <d v="2016-12-05T00:00:00"/>
    <s v="10"/>
    <s v="TAN"/>
    <s v="OR"/>
    <d v="2016-11-29T00:00:00"/>
    <s v="MI"/>
    <s v="US"/>
    <s v="ZR"/>
    <d v="2016-11-30T00:00:00"/>
  </r>
  <r>
    <x v="0"/>
    <x v="0"/>
    <x v="53"/>
    <x v="2"/>
    <s v="Standard order"/>
    <x v="40"/>
    <x v="40"/>
    <s v="R059"/>
    <s v="CRYSTAL RR059"/>
    <s v="5003530"/>
    <s v="R059 ACH T20 Kabina RP"/>
    <n v="20"/>
    <n v="0"/>
    <n v="20"/>
    <x v="0"/>
    <s v="AP73"/>
    <s v="RP"/>
    <s v="387"/>
    <s v="4.0 UN"/>
    <s v="STANDARD"/>
    <s v="N"/>
    <s v="N"/>
    <s v="Y"/>
    <s v="T20"/>
    <s v="N"/>
    <s v="N"/>
    <s v="N"/>
    <s v="N"/>
    <s v="A034"/>
    <d v="2016-12-05T00:00:00"/>
    <s v="20"/>
    <s v="TAN"/>
    <s v="OR"/>
    <d v="2016-11-29T00:00:00"/>
    <s v="MI"/>
    <s v="US"/>
    <s v="ZR"/>
    <d v="2016-11-30T00:00:00"/>
  </r>
  <r>
    <x v="0"/>
    <x v="0"/>
    <x v="53"/>
    <x v="2"/>
    <s v="Standard order"/>
    <x v="40"/>
    <x v="40"/>
    <s v="G515"/>
    <s v="CRYSTAL G515"/>
    <s v="5003019"/>
    <s v="G515 ACH T20 Kabina RP"/>
    <n v="28"/>
    <n v="0"/>
    <n v="28"/>
    <x v="0"/>
    <s v="APND"/>
    <s v="RP"/>
    <s v="387"/>
    <s v="4.0 UN"/>
    <s v="STANDARD"/>
    <s v="N"/>
    <s v="N"/>
    <s v="Y"/>
    <s v="T20"/>
    <s v="N"/>
    <s v="N"/>
    <s v="N"/>
    <s v="N"/>
    <s v="A034"/>
    <d v="2016-12-05T00:00:00"/>
    <s v="30"/>
    <s v="TAN"/>
    <s v="OR"/>
    <d v="2016-11-29T00:00:00"/>
    <s v="MI"/>
    <s v="US"/>
    <s v="ZR"/>
    <d v="2016-11-30T00:00:00"/>
  </r>
  <r>
    <x v="0"/>
    <x v="0"/>
    <x v="53"/>
    <x v="2"/>
    <s v="Standard order"/>
    <x v="40"/>
    <x v="40"/>
    <s v="G333"/>
    <s v="CRYSTAL G333NT"/>
    <s v="5003384"/>
    <s v="G333 ACH T20 SYSTIVA RP"/>
    <n v="20"/>
    <n v="0"/>
    <n v="20"/>
    <x v="0"/>
    <s v="EE73"/>
    <s v="RP"/>
    <s v="328"/>
    <s v="4.0 UN"/>
    <s v="STANDARD"/>
    <s v="N"/>
    <s v="N"/>
    <s v="N"/>
    <s v="T20"/>
    <s v="Y"/>
    <s v="N"/>
    <s v="Y"/>
    <s v="N"/>
    <s v="A034"/>
    <d v="2016-12-05T00:00:00"/>
    <s v="40"/>
    <s v="TAN"/>
    <s v="OR"/>
    <d v="2016-11-29T00:00:00"/>
    <s v="MI"/>
    <s v="US"/>
    <s v="ZR"/>
    <d v="2016-11-30T00:00:00"/>
  </r>
  <r>
    <x v="0"/>
    <x v="0"/>
    <x v="53"/>
    <x v="2"/>
    <s v="Standard order"/>
    <x v="40"/>
    <x v="40"/>
    <s v="G333"/>
    <s v="CRYSTAL G333NT"/>
    <s v="5003378"/>
    <s v="G333 ACH T20 Kabina RP"/>
    <n v="20"/>
    <n v="0"/>
    <n v="20"/>
    <x v="0"/>
    <s v="EE73"/>
    <s v="RP"/>
    <s v="387"/>
    <s v="4.0 UN"/>
    <s v="STANDARD"/>
    <s v="N"/>
    <s v="N"/>
    <s v="Y"/>
    <s v="T20"/>
    <s v="N"/>
    <s v="N"/>
    <s v="N"/>
    <s v="N"/>
    <s v="A034"/>
    <d v="2016-12-05T00:00:00"/>
    <s v="50"/>
    <s v="TAN"/>
    <s v="OR"/>
    <d v="2016-11-29T00:00:00"/>
    <s v="MI"/>
    <s v="US"/>
    <s v="ZR"/>
    <d v="2016-11-30T00:00:00"/>
  </r>
  <r>
    <x v="0"/>
    <x v="0"/>
    <x v="54"/>
    <x v="2"/>
    <s v="Standard order"/>
    <x v="41"/>
    <x v="41"/>
    <s v="R059"/>
    <s v="CRYSTAL RR059"/>
    <s v="5003493"/>
    <s v="R059 ACH T20 PB Kabina MP"/>
    <n v="104"/>
    <n v="0"/>
    <n v="104"/>
    <x v="0"/>
    <s v="AP73"/>
    <s v="MP"/>
    <s v="388"/>
    <s v="4.0 UN"/>
    <s v="STANDARD"/>
    <s v="N"/>
    <s v="Y"/>
    <s v="Y"/>
    <s v="T20"/>
    <s v="N"/>
    <s v="N"/>
    <s v="N"/>
    <s v="N"/>
    <s v="A034"/>
    <d v="2016-12-05T00:00:00"/>
    <s v="10"/>
    <s v="TAN"/>
    <s v="OR"/>
    <d v="2016-11-29T00:00:00"/>
    <s v="MI"/>
    <s v="US"/>
    <s v="ZR"/>
    <d v="2016-11-30T00:00:00"/>
  </r>
  <r>
    <x v="0"/>
    <x v="0"/>
    <x v="54"/>
    <x v="2"/>
    <s v="Standard order"/>
    <x v="41"/>
    <x v="41"/>
    <s v="G333"/>
    <s v="CRYSTAL G333NT"/>
    <s v="5003738"/>
    <s v="G333 ACH T20 PB Kabina MP"/>
    <n v="104"/>
    <n v="0"/>
    <n v="104"/>
    <x v="0"/>
    <s v="EE73"/>
    <s v="MP"/>
    <s v="388"/>
    <s v="4.0 UN"/>
    <s v="STANDARD"/>
    <s v="N"/>
    <s v="Y"/>
    <s v="Y"/>
    <s v="T20"/>
    <s v="N"/>
    <s v="N"/>
    <s v="N"/>
    <s v="N"/>
    <s v="A034"/>
    <d v="2016-12-05T00:00:00"/>
    <s v="20"/>
    <s v="TAN"/>
    <s v="OR"/>
    <d v="2016-11-29T00:00:00"/>
    <s v="MI"/>
    <s v="US"/>
    <s v="ZR"/>
    <d v="2016-11-30T00:00:00"/>
  </r>
  <r>
    <x v="0"/>
    <x v="0"/>
    <x v="54"/>
    <x v="2"/>
    <s v="Standard order"/>
    <x v="41"/>
    <x v="41"/>
    <s v="G515"/>
    <s v="CRYSTAL G515"/>
    <s v="5003104"/>
    <s v="G515 ACH T20 PB Kabina MP"/>
    <n v="28"/>
    <n v="0"/>
    <n v="28"/>
    <x v="0"/>
    <s v="APND"/>
    <s v="MP"/>
    <s v="388"/>
    <s v="4.0 UN"/>
    <s v="STANDARD"/>
    <s v="N"/>
    <s v="Y"/>
    <s v="Y"/>
    <s v="T20"/>
    <s v="N"/>
    <s v="N"/>
    <s v="N"/>
    <s v="N"/>
    <s v="A034"/>
    <d v="2016-12-05T00:00:00"/>
    <s v="30"/>
    <s v="TAN"/>
    <s v="OR"/>
    <d v="2016-11-29T00:00:00"/>
    <s v="MI"/>
    <s v="US"/>
    <s v="ZR"/>
    <d v="2016-11-30T00:00:00"/>
  </r>
  <r>
    <x v="0"/>
    <x v="6"/>
    <x v="55"/>
    <x v="11"/>
    <s v="Standard order"/>
    <x v="42"/>
    <x v="42"/>
    <s v="S517"/>
    <s v="CRYSTAL S517"/>
    <s v="5003467"/>
    <s v="S517 ACH T20 PB SYSTIVA G100"/>
    <n v="24"/>
    <n v="0"/>
    <n v="24"/>
    <x v="6"/>
    <s v="DVNV"/>
    <s v="GEM 100"/>
    <s v="324"/>
    <s v="4.0 UN"/>
    <s v="STANDARD"/>
    <s v="N"/>
    <s v="Y"/>
    <s v="N"/>
    <s v="T20"/>
    <s v="Y"/>
    <s v="N"/>
    <s v="Y"/>
    <s v="N"/>
    <s v="A038"/>
    <d v="2016-12-05T00:00:00"/>
    <s v="10"/>
    <s v="TAN"/>
    <s v="OR"/>
    <d v="2016-11-29T00:00:00"/>
    <s v="ND"/>
    <s v="US"/>
    <s v="ZR"/>
    <d v="2016-11-30T00:00:00"/>
  </r>
  <r>
    <x v="0"/>
    <x v="6"/>
    <x v="55"/>
    <x v="11"/>
    <s v="Standard order"/>
    <x v="42"/>
    <x v="42"/>
    <s v="R052"/>
    <s v="CRYSTAL RR052"/>
    <s v="5003513"/>
    <s v="R052 ACH T20 PB SYSTIVA G100"/>
    <n v="216"/>
    <n v="0"/>
    <n v="216"/>
    <x v="6"/>
    <s v="AP82"/>
    <s v="GEM 100"/>
    <s v="324"/>
    <s v="4.0 UN"/>
    <s v="STANDARD"/>
    <s v="N"/>
    <s v="Y"/>
    <s v="N"/>
    <s v="T20"/>
    <s v="Y"/>
    <s v="N"/>
    <s v="Y"/>
    <s v="N"/>
    <s v="A038"/>
    <d v="2016-12-05T00:00:00"/>
    <s v="20"/>
    <s v="TAN"/>
    <s v="OR"/>
    <d v="2016-11-29T00:00:00"/>
    <s v="ND"/>
    <s v="US"/>
    <s v="ZR"/>
    <d v="2016-11-30T00:00:00"/>
  </r>
  <r>
    <x v="0"/>
    <x v="6"/>
    <x v="56"/>
    <x v="11"/>
    <s v="Standard order"/>
    <x v="43"/>
    <x v="43"/>
    <s v="R052"/>
    <s v="CRYSTAL RR052"/>
    <s v="5003513"/>
    <s v="R052 ACH T20 PB SYSTIVA G100"/>
    <n v="16"/>
    <n v="0"/>
    <n v="16"/>
    <x v="6"/>
    <s v="AP82"/>
    <s v="GEM 100"/>
    <s v="324"/>
    <s v="4.0 UN"/>
    <s v="STANDARD"/>
    <s v="N"/>
    <s v="Y"/>
    <s v="N"/>
    <s v="T20"/>
    <s v="Y"/>
    <s v="N"/>
    <s v="Y"/>
    <s v="N"/>
    <s v="A038"/>
    <d v="2016-12-05T00:00:00"/>
    <s v="10"/>
    <s v="TAN"/>
    <s v="OR"/>
    <d v="2016-11-29T00:00:00"/>
    <s v="ND"/>
    <s v="US"/>
    <s v="ZR"/>
    <d v="2016-11-30T00:00:00"/>
  </r>
  <r>
    <x v="0"/>
    <x v="6"/>
    <x v="56"/>
    <x v="11"/>
    <s v="Standard order"/>
    <x v="43"/>
    <x v="43"/>
    <s v="S517"/>
    <s v="CRYSTAL S517"/>
    <s v="5003467"/>
    <s v="S517 ACH T20 PB SYSTIVA G100"/>
    <n v="12"/>
    <n v="0"/>
    <n v="12"/>
    <x v="6"/>
    <s v="DVNV"/>
    <s v="GEM 100"/>
    <s v="324"/>
    <s v="4.0 UN"/>
    <s v="STANDARD"/>
    <s v="N"/>
    <s v="Y"/>
    <s v="N"/>
    <s v="T20"/>
    <s v="Y"/>
    <s v="N"/>
    <s v="Y"/>
    <s v="N"/>
    <s v="A038"/>
    <d v="2016-12-05T00:00:00"/>
    <s v="20"/>
    <s v="TAN"/>
    <s v="OR"/>
    <d v="2016-11-29T00:00:00"/>
    <s v="ND"/>
    <s v="US"/>
    <s v="ZR"/>
    <d v="2016-11-30T00:00:00"/>
  </r>
  <r>
    <x v="0"/>
    <x v="6"/>
    <x v="57"/>
    <x v="11"/>
    <s v="Standard order"/>
    <x v="44"/>
    <x v="44"/>
    <s v="R052"/>
    <s v="CRYSTAL RR052"/>
    <s v="5003513"/>
    <s v="R052 ACH T20 PB SYSTIVA G100"/>
    <n v="48"/>
    <n v="0"/>
    <n v="48"/>
    <x v="6"/>
    <s v="AP82"/>
    <s v="GEM 100"/>
    <s v="324"/>
    <s v="4.0 UN"/>
    <s v="STANDARD"/>
    <s v="N"/>
    <s v="Y"/>
    <s v="N"/>
    <s v="T20"/>
    <s v="Y"/>
    <s v="N"/>
    <s v="Y"/>
    <s v="N"/>
    <s v="A038"/>
    <d v="2016-12-05T00:00:00"/>
    <s v="10"/>
    <s v="TAN"/>
    <s v="OR"/>
    <d v="2016-11-29T00:00:00"/>
    <s v="ND"/>
    <s v="US"/>
    <s v="ZR"/>
    <d v="2016-11-30T00:00:00"/>
  </r>
  <r>
    <x v="0"/>
    <x v="6"/>
    <x v="57"/>
    <x v="11"/>
    <s v="Standard order"/>
    <x v="44"/>
    <x v="44"/>
    <s v="S517"/>
    <s v="CRYSTAL S517"/>
    <s v="5003467"/>
    <s v="S517 ACH T20 PB SYSTIVA G100"/>
    <n v="24"/>
    <n v="0"/>
    <n v="24"/>
    <x v="6"/>
    <s v="DVNV"/>
    <s v="GEM 100"/>
    <s v="324"/>
    <s v="4.0 UN"/>
    <s v="STANDARD"/>
    <s v="N"/>
    <s v="Y"/>
    <s v="N"/>
    <s v="T20"/>
    <s v="Y"/>
    <s v="N"/>
    <s v="Y"/>
    <s v="N"/>
    <s v="A038"/>
    <d v="2016-12-05T00:00:00"/>
    <s v="20"/>
    <s v="TAN"/>
    <s v="OR"/>
    <d v="2016-11-29T00:00:00"/>
    <s v="ND"/>
    <s v="US"/>
    <s v="ZR"/>
    <d v="2016-11-30T00:00:00"/>
  </r>
  <r>
    <x v="0"/>
    <x v="6"/>
    <x v="57"/>
    <x v="11"/>
    <s v="Standard order"/>
    <x v="44"/>
    <x v="44"/>
    <s v="S498"/>
    <s v="CRYSTAL S498"/>
    <s v="5003431"/>
    <s v="S498 ACH T20 PB SYSTIVA G100"/>
    <n v="28"/>
    <n v="0"/>
    <n v="28"/>
    <x v="6"/>
    <s v="FE73"/>
    <s v="GEM 100"/>
    <s v="324"/>
    <s v="4.0 UN"/>
    <s v="STANDARD"/>
    <s v="N"/>
    <s v="Y"/>
    <s v="N"/>
    <s v="T20"/>
    <s v="Y"/>
    <s v="N"/>
    <s v="Y"/>
    <s v="N"/>
    <s v="A038"/>
    <d v="2016-12-05T00:00:00"/>
    <s v="30"/>
    <s v="TAN"/>
    <s v="OR"/>
    <d v="2016-11-29T00:00:00"/>
    <s v="ND"/>
    <s v="US"/>
    <s v="ZR"/>
    <d v="2016-11-30T00:00:00"/>
  </r>
  <r>
    <x v="0"/>
    <x v="0"/>
    <x v="58"/>
    <x v="10"/>
    <s v="Standard order"/>
    <x v="45"/>
    <x v="45"/>
    <s v="R059"/>
    <s v="CRYSTAL RR059"/>
    <s v="5003530"/>
    <s v="R059 ACH T20 Kabina RP"/>
    <n v="136"/>
    <n v="0"/>
    <n v="136"/>
    <x v="0"/>
    <s v="AP73"/>
    <s v="RP"/>
    <s v="387"/>
    <s v="4.0 UN"/>
    <s v="STANDARD"/>
    <s v="N"/>
    <s v="N"/>
    <s v="Y"/>
    <s v="T20"/>
    <s v="N"/>
    <s v="N"/>
    <s v="N"/>
    <s v="N"/>
    <s v="A036"/>
    <d v="2016-12-05T00:00:00"/>
    <s v="20"/>
    <s v="TAN"/>
    <s v="OR"/>
    <d v="2016-11-30T00:00:00"/>
    <s v="MI"/>
    <s v="US"/>
    <s v="ZR"/>
    <d v="2016-11-30T00:00:00"/>
  </r>
  <r>
    <x v="0"/>
    <x v="5"/>
    <x v="59"/>
    <x v="13"/>
    <s v="Standard order"/>
    <x v="46"/>
    <x v="46"/>
    <s v="Y400"/>
    <s v="CRYSTAL Y400NT"/>
    <s v="5003735"/>
    <s v="Y400 ACH T20 PB SYSTIVA RP"/>
    <n v="8"/>
    <n v="0"/>
    <n v="8"/>
    <x v="5"/>
    <s v="4TBP"/>
    <s v="RP"/>
    <s v="324"/>
    <s v="4.0 UN"/>
    <s v="STANDARD"/>
    <s v="N"/>
    <s v="Y"/>
    <s v="N"/>
    <s v="T20"/>
    <s v="Y"/>
    <s v="N"/>
    <s v="N"/>
    <s v="N"/>
    <s v="A015"/>
    <d v="2016-12-05T00:00:00"/>
    <s v="10"/>
    <s v="TAN"/>
    <s v="OR"/>
    <d v="2016-11-30T00:00:00"/>
    <s v="MT"/>
    <s v="US"/>
    <s v="ZR"/>
    <d v="2016-11-30T00:00:00"/>
  </r>
  <r>
    <x v="0"/>
    <x v="5"/>
    <x v="60"/>
    <x v="14"/>
    <s v="Standard order"/>
    <x v="47"/>
    <x v="47"/>
    <s v="Y400"/>
    <s v="CRYSTAL Y400NT"/>
    <s v="5003735"/>
    <s v="Y400 ACH T20 PB SYSTIVA RP"/>
    <n v="8"/>
    <n v="0"/>
    <n v="8"/>
    <x v="5"/>
    <s v="4TBP"/>
    <s v="RP"/>
    <s v="324"/>
    <s v="4.0 UN"/>
    <s v="STANDARD"/>
    <s v="N"/>
    <s v="Y"/>
    <s v="N"/>
    <s v="T20"/>
    <s v="Y"/>
    <s v="N"/>
    <s v="N"/>
    <s v="N"/>
    <s v="A017"/>
    <d v="2016-12-05T00:00:00"/>
    <s v="10"/>
    <s v="TAN"/>
    <s v="OR"/>
    <d v="2016-11-30T00:00:00"/>
    <s v="WY"/>
    <s v="US"/>
    <s v="ZR"/>
    <d v="2016-11-30T00:00:00"/>
  </r>
  <r>
    <x v="0"/>
    <x v="0"/>
    <x v="61"/>
    <x v="10"/>
    <s v="Standard order"/>
    <x v="48"/>
    <x v="48"/>
    <s v="R059"/>
    <s v="CRYSTAL RR059"/>
    <s v="5003530"/>
    <s v="R059 ACH T20 Kabina RP"/>
    <n v="24"/>
    <n v="0"/>
    <n v="24"/>
    <x v="0"/>
    <s v="AP73"/>
    <s v="RP"/>
    <s v="387"/>
    <s v="4.0 UN"/>
    <s v="STANDARD"/>
    <s v="N"/>
    <s v="N"/>
    <s v="Y"/>
    <s v="T20"/>
    <s v="N"/>
    <s v="N"/>
    <s v="N"/>
    <s v="N"/>
    <s v="A036"/>
    <d v="2016-12-05T00:00:00"/>
    <s v="10"/>
    <s v="TAN"/>
    <s v="OR"/>
    <d v="2016-11-30T00:00:00"/>
    <s v="MI"/>
    <s v="US"/>
    <s v="ZR"/>
    <d v="2016-11-30T00:00:00"/>
  </r>
  <r>
    <x v="0"/>
    <x v="5"/>
    <x v="62"/>
    <x v="9"/>
    <s v="Standard order"/>
    <x v="49"/>
    <x v="49"/>
    <s v="R116"/>
    <s v="CRYSTAL RR116"/>
    <s v="5003105"/>
    <s v="R116 ACH T20 PB SYSTIVA RP"/>
    <n v="88"/>
    <n v="0"/>
    <n v="88"/>
    <x v="5"/>
    <s v="AP71"/>
    <s v="RP"/>
    <s v="324"/>
    <s v="4.0 UN"/>
    <s v="STANDARD"/>
    <s v="N"/>
    <s v="Y"/>
    <s v="N"/>
    <s v="T20"/>
    <s v="Y"/>
    <s v="N"/>
    <s v="N"/>
    <s v="N"/>
    <s v="A016"/>
    <d v="2016-12-05T00:00:00"/>
    <s v="10"/>
    <s v="TAN"/>
    <s v="OR"/>
    <d v="2016-11-30T00:00:00"/>
    <s v="WY"/>
    <s v="US"/>
    <s v="ZR"/>
    <d v="2016-11-30T00:00:00"/>
  </r>
  <r>
    <x v="0"/>
    <x v="6"/>
    <x v="63"/>
    <x v="11"/>
    <s v="Standard order"/>
    <x v="50"/>
    <x v="50"/>
    <s v="R052"/>
    <s v="CRYSTAL RR052"/>
    <s v="5003513"/>
    <s v="R052 ACH T20 PB SYSTIVA G100"/>
    <n v="96"/>
    <n v="0"/>
    <n v="96"/>
    <x v="6"/>
    <s v="AP82"/>
    <s v="GEM 100"/>
    <s v="324"/>
    <s v="4.0 UN"/>
    <s v="STANDARD"/>
    <s v="N"/>
    <s v="Y"/>
    <s v="N"/>
    <s v="T20"/>
    <s v="Y"/>
    <s v="N"/>
    <s v="Y"/>
    <s v="N"/>
    <s v="A038"/>
    <d v="2016-12-05T00:00:00"/>
    <s v="20"/>
    <s v="TAN"/>
    <s v="OR"/>
    <d v="2016-11-29T00:00:00"/>
    <s v="ND"/>
    <s v="US"/>
    <s v="ZR"/>
    <d v="2016-11-30T00:00:00"/>
  </r>
  <r>
    <x v="0"/>
    <x v="6"/>
    <x v="63"/>
    <x v="11"/>
    <s v="Standard order"/>
    <x v="50"/>
    <x v="50"/>
    <s v="S517"/>
    <s v="CRYSTAL S517"/>
    <s v="5003467"/>
    <s v="S517 ACH T20 PB SYSTIVA G100"/>
    <n v="24"/>
    <n v="0"/>
    <n v="24"/>
    <x v="6"/>
    <s v="DVNV"/>
    <s v="GEM 100"/>
    <s v="324"/>
    <s v="4.0 UN"/>
    <s v="STANDARD"/>
    <s v="N"/>
    <s v="Y"/>
    <s v="N"/>
    <s v="T20"/>
    <s v="Y"/>
    <s v="N"/>
    <s v="Y"/>
    <s v="N"/>
    <s v="A038"/>
    <d v="2016-12-05T00:00:00"/>
    <s v="10"/>
    <s v="TAN"/>
    <s v="OR"/>
    <d v="2016-11-29T00:00:00"/>
    <s v="ND"/>
    <s v="US"/>
    <s v="ZR"/>
    <d v="2016-11-30T00:00:00"/>
  </r>
  <r>
    <x v="0"/>
    <x v="6"/>
    <x v="64"/>
    <x v="11"/>
    <s v="Standard order"/>
    <x v="51"/>
    <x v="51"/>
    <s v="S517"/>
    <s v="CRYSTAL S517"/>
    <s v="5003467"/>
    <s v="S517 ACH T20 PB SYSTIVA G100"/>
    <n v="24"/>
    <n v="0"/>
    <n v="24"/>
    <x v="6"/>
    <s v="DVNV"/>
    <s v="GEM 100"/>
    <s v="324"/>
    <s v="4.0 UN"/>
    <s v="STANDARD"/>
    <s v="N"/>
    <s v="Y"/>
    <s v="N"/>
    <s v="T20"/>
    <s v="Y"/>
    <s v="N"/>
    <s v="Y"/>
    <s v="N"/>
    <s v="A038"/>
    <d v="2016-12-05T00:00:00"/>
    <s v="10"/>
    <s v="TAN"/>
    <s v="OR"/>
    <d v="2016-11-29T00:00:00"/>
    <s v="ND"/>
    <s v="US"/>
    <s v="ZR"/>
    <d v="2016-11-30T00:00:00"/>
  </r>
  <r>
    <x v="0"/>
    <x v="6"/>
    <x v="64"/>
    <x v="11"/>
    <s v="Standard order"/>
    <x v="51"/>
    <x v="51"/>
    <s v="R052"/>
    <s v="CRYSTAL RR052"/>
    <s v="5003513"/>
    <s v="R052 ACH T20 PB SYSTIVA G100"/>
    <n v="48"/>
    <n v="0"/>
    <n v="48"/>
    <x v="6"/>
    <s v="AP82"/>
    <s v="GEM 100"/>
    <s v="324"/>
    <s v="4.0 UN"/>
    <s v="STANDARD"/>
    <s v="N"/>
    <s v="Y"/>
    <s v="N"/>
    <s v="T20"/>
    <s v="Y"/>
    <s v="N"/>
    <s v="Y"/>
    <s v="N"/>
    <s v="A038"/>
    <d v="2016-12-05T00:00:00"/>
    <s v="20"/>
    <s v="TAN"/>
    <s v="OR"/>
    <d v="2016-11-29T00:00:00"/>
    <s v="ND"/>
    <s v="US"/>
    <s v="ZR"/>
    <d v="2016-11-30T00:00:00"/>
  </r>
  <r>
    <x v="0"/>
    <x v="6"/>
    <x v="64"/>
    <x v="11"/>
    <s v="Standard order"/>
    <x v="51"/>
    <x v="51"/>
    <s v="R052"/>
    <s v="CRYSTAL RR052"/>
    <s v="5003517"/>
    <s v="R052 ACH T45 PB SYSTIVA RP"/>
    <n v="24"/>
    <n v="0"/>
    <n v="24"/>
    <x v="6"/>
    <s v="AP82"/>
    <s v="RP"/>
    <s v="330"/>
    <s v="4.0 UN"/>
    <s v="STANDARD"/>
    <s v="N"/>
    <s v="Y"/>
    <s v="N"/>
    <s v="T45"/>
    <s v="Y"/>
    <s v="N"/>
    <s v="Y"/>
    <s v="N"/>
    <s v="A038"/>
    <d v="2016-12-05T00:00:00"/>
    <s v="30"/>
    <s v="TAN"/>
    <s v="OR"/>
    <d v="2016-11-29T00:00:00"/>
    <s v="ND"/>
    <s v="US"/>
    <s v="ZR"/>
    <d v="2016-11-30T00:00:00"/>
  </r>
  <r>
    <x v="0"/>
    <x v="6"/>
    <x v="64"/>
    <x v="11"/>
    <s v="Standard order"/>
    <x v="51"/>
    <x v="51"/>
    <s v="S498"/>
    <s v="CRYSTAL S498"/>
    <s v="5003431"/>
    <s v="S498 ACH T20 PB SYSTIVA G100"/>
    <n v="32"/>
    <n v="0"/>
    <n v="32"/>
    <x v="6"/>
    <s v="FE73"/>
    <s v="GEM 100"/>
    <s v="324"/>
    <s v="4.0 UN"/>
    <s v="STANDARD"/>
    <s v="N"/>
    <s v="Y"/>
    <s v="N"/>
    <s v="T20"/>
    <s v="Y"/>
    <s v="N"/>
    <s v="Y"/>
    <s v="N"/>
    <s v="A038"/>
    <d v="2016-12-05T00:00:00"/>
    <s v="40"/>
    <s v="TAN"/>
    <s v="OR"/>
    <d v="2016-11-29T00:00:00"/>
    <s v="ND"/>
    <s v="US"/>
    <s v="ZR"/>
    <d v="2016-11-30T00:00:00"/>
  </r>
  <r>
    <x v="0"/>
    <x v="6"/>
    <x v="64"/>
    <x v="11"/>
    <s v="Standard order"/>
    <x v="51"/>
    <x v="51"/>
    <s v="S498"/>
    <s v="CRYSTAL S498"/>
    <s v="5003435"/>
    <s v="S498 ACH T45 PB SYSTIVA RP"/>
    <n v="16"/>
    <n v="0"/>
    <n v="16"/>
    <x v="6"/>
    <s v="FE73"/>
    <s v="RP"/>
    <s v="330"/>
    <s v="4.0 UN"/>
    <s v="STANDARD"/>
    <s v="N"/>
    <s v="Y"/>
    <s v="N"/>
    <s v="T45"/>
    <s v="Y"/>
    <s v="N"/>
    <s v="Y"/>
    <s v="N"/>
    <s v="A038"/>
    <d v="2016-12-05T00:00:00"/>
    <s v="50"/>
    <s v="TAN"/>
    <s v="OR"/>
    <d v="2016-11-29T00:00:00"/>
    <s v="ND"/>
    <s v="US"/>
    <s v="ZR"/>
    <d v="2016-11-30T00:00:00"/>
  </r>
  <r>
    <x v="0"/>
    <x v="4"/>
    <x v="65"/>
    <x v="15"/>
    <s v="Standard order"/>
    <x v="52"/>
    <x v="52"/>
    <s v="R933"/>
    <s v="CRYSTAL RR933"/>
    <s v="5003686"/>
    <s v="R933 ACH PB LRG"/>
    <n v="24"/>
    <n v="0"/>
    <n v="24"/>
    <x v="4"/>
    <s v="3571"/>
    <s v="LARGE"/>
    <s v="314"/>
    <s v="4.0 UN"/>
    <s v="STANDARD"/>
    <s v="N"/>
    <s v="Y"/>
    <s v="N"/>
    <s v="N"/>
    <s v="N"/>
    <s v="N"/>
    <s v="N"/>
    <s v="N"/>
    <s v="A043"/>
    <d v="2016-12-05T00:00:00"/>
    <s v="10"/>
    <s v="TAN"/>
    <s v="OR"/>
    <d v="2016-11-30T00:00:00"/>
    <s v="ID"/>
    <s v="US"/>
    <s v="ZR"/>
    <d v="2016-11-30T00:00:00"/>
  </r>
  <r>
    <x v="0"/>
    <x v="4"/>
    <x v="65"/>
    <x v="15"/>
    <s v="Standard order"/>
    <x v="52"/>
    <x v="52"/>
    <s v="A501"/>
    <s v="CRYSTAL A501"/>
    <s v="5003305"/>
    <s v="A501 ACH PB LRG"/>
    <n v="48"/>
    <n v="0"/>
    <n v="48"/>
    <x v="4"/>
    <s v="EZPB"/>
    <s v="LARGE"/>
    <s v="314"/>
    <s v="4.0 UN"/>
    <s v="STANDARD"/>
    <s v="N"/>
    <s v="Y"/>
    <s v="N"/>
    <s v="N"/>
    <s v="N"/>
    <s v="N"/>
    <s v="N"/>
    <s v="N"/>
    <s v="A043"/>
    <d v="2016-12-05T00:00:00"/>
    <s v="20"/>
    <s v="TAN"/>
    <s v="OR"/>
    <d v="2016-11-30T00:00:00"/>
    <s v="ID"/>
    <s v="US"/>
    <s v="ZR"/>
    <d v="2016-11-30T00:00:00"/>
  </r>
  <r>
    <x v="0"/>
    <x v="4"/>
    <x v="65"/>
    <x v="15"/>
    <s v="Standard order"/>
    <x v="52"/>
    <x v="52"/>
    <s v="A404"/>
    <s v="CRYSTAL A404NT"/>
    <s v="5002954"/>
    <s v="A404 ACH PB LRG"/>
    <n v="48"/>
    <n v="0"/>
    <n v="48"/>
    <x v="4"/>
    <s v="DPNE"/>
    <s v="LARGE"/>
    <s v="314"/>
    <s v="4.0 UN"/>
    <s v="STANDARD"/>
    <s v="N"/>
    <s v="Y"/>
    <s v="N"/>
    <s v="N"/>
    <s v="N"/>
    <s v="N"/>
    <s v="N"/>
    <s v="N"/>
    <s v="A043"/>
    <d v="2016-12-05T00:00:00"/>
    <s v="30"/>
    <s v="TAN"/>
    <s v="OR"/>
    <d v="2016-11-30T00:00:00"/>
    <s v="ID"/>
    <s v="US"/>
    <s v="ZR"/>
    <d v="2016-11-30T00:00:00"/>
  </r>
  <r>
    <x v="0"/>
    <x v="4"/>
    <x v="65"/>
    <x v="15"/>
    <s v="Standard order"/>
    <x v="52"/>
    <x v="52"/>
    <s v="A399"/>
    <s v="CRYSTAL A399NT"/>
    <s v="5002928"/>
    <s v="A399 ACH PB LRG"/>
    <n v="48"/>
    <n v="0"/>
    <n v="48"/>
    <x v="4"/>
    <s v="DP71"/>
    <s v="LARGE"/>
    <s v="314"/>
    <s v="4.0 UN"/>
    <s v="STANDARD"/>
    <s v="N"/>
    <s v="Y"/>
    <s v="N"/>
    <s v="N"/>
    <s v="N"/>
    <s v="N"/>
    <s v="N"/>
    <s v="N"/>
    <s v="A043"/>
    <d v="2016-12-05T00:00:00"/>
    <s v="40"/>
    <s v="TAN"/>
    <s v="OR"/>
    <d v="2016-11-30T00:00:00"/>
    <s v="ID"/>
    <s v="US"/>
    <s v="ZR"/>
    <d v="2016-11-30T00:00:00"/>
  </r>
  <r>
    <x v="0"/>
    <x v="4"/>
    <x v="65"/>
    <x v="15"/>
    <s v="Standard order"/>
    <x v="52"/>
    <x v="52"/>
    <s v="A488"/>
    <s v="CRYSTAL A488NT"/>
    <s v="5002980"/>
    <s v="A488 ACH PB LRG"/>
    <n v="48"/>
    <n v="0"/>
    <n v="48"/>
    <x v="4"/>
    <s v="EENE"/>
    <s v="LARGE"/>
    <s v="314"/>
    <s v="4.0 UN"/>
    <s v="STANDARD"/>
    <s v="N"/>
    <s v="Y"/>
    <s v="N"/>
    <s v="N"/>
    <s v="N"/>
    <s v="N"/>
    <s v="N"/>
    <s v="N"/>
    <s v="A043"/>
    <d v="2016-12-05T00:00:00"/>
    <s v="50"/>
    <s v="TAN"/>
    <s v="OR"/>
    <d v="2016-11-30T00:00:00"/>
    <s v="ID"/>
    <s v="US"/>
    <s v="ZR"/>
    <d v="2016-11-30T00:00:00"/>
  </r>
  <r>
    <x v="0"/>
    <x v="5"/>
    <x v="66"/>
    <x v="12"/>
    <s v="Standard order"/>
    <x v="53"/>
    <x v="53"/>
    <s v="Y400"/>
    <s v="CRYSTAL Y400NT"/>
    <s v="5003731"/>
    <s v="Y400 ACH T20 PB SYSTIVA ELS"/>
    <n v="4"/>
    <n v="0"/>
    <n v="4"/>
    <x v="5"/>
    <s v="4TBP"/>
    <s v="ELS"/>
    <s v="324"/>
    <s v="4.0 UN"/>
    <s v="STANDARD"/>
    <s v="N"/>
    <s v="Y"/>
    <s v="N"/>
    <s v="T20"/>
    <s v="Y"/>
    <s v="N"/>
    <s v="N"/>
    <s v="N"/>
    <s v="A014"/>
    <d v="2016-12-05T00:00:00"/>
    <s v="10"/>
    <s v="TAN"/>
    <s v="OR"/>
    <d v="2016-11-30T00:00:00"/>
    <s v="MT"/>
    <s v="US"/>
    <s v="ZR"/>
    <d v="2016-11-30T00:00:00"/>
  </r>
  <r>
    <x v="0"/>
    <x v="5"/>
    <x v="66"/>
    <x v="12"/>
    <s v="Standard order"/>
    <x v="53"/>
    <x v="53"/>
    <s v="R116"/>
    <s v="CRYSTAL RR116"/>
    <s v="5003101"/>
    <s v="R116 ACH T20 PB SYSTIVA ELS"/>
    <n v="24"/>
    <n v="0"/>
    <n v="24"/>
    <x v="5"/>
    <s v="AP71"/>
    <s v="ELS"/>
    <s v="324"/>
    <s v="4.0 UN"/>
    <s v="STANDARD"/>
    <s v="N"/>
    <s v="Y"/>
    <s v="N"/>
    <s v="T20"/>
    <s v="Y"/>
    <s v="N"/>
    <s v="N"/>
    <s v="N"/>
    <s v="A014"/>
    <d v="2016-12-05T00:00:00"/>
    <s v="20"/>
    <s v="TAN"/>
    <s v="OR"/>
    <d v="2016-11-30T00:00:00"/>
    <s v="MT"/>
    <s v="US"/>
    <s v="ZR"/>
    <d v="2016-11-30T00:00:00"/>
  </r>
  <r>
    <x v="0"/>
    <x v="5"/>
    <x v="67"/>
    <x v="12"/>
    <s v="Standard order"/>
    <x v="54"/>
    <x v="54"/>
    <s v="Y400"/>
    <s v="CRYSTAL Y400NT"/>
    <s v="5003735"/>
    <s v="Y400 ACH T20 PB SYSTIVA RP"/>
    <n v="12"/>
    <n v="0"/>
    <n v="12"/>
    <x v="5"/>
    <s v="4TBP"/>
    <s v="RP"/>
    <s v="324"/>
    <s v="4.0 UN"/>
    <s v="STANDARD"/>
    <s v="N"/>
    <s v="Y"/>
    <s v="N"/>
    <s v="T20"/>
    <s v="Y"/>
    <s v="N"/>
    <s v="N"/>
    <s v="N"/>
    <s v="A014"/>
    <d v="2016-12-05T00:00:00"/>
    <s v="10"/>
    <s v="TAN"/>
    <s v="OR"/>
    <d v="2016-11-29T00:00:00"/>
    <s v="MT"/>
    <s v="US"/>
    <s v="ZR"/>
    <d v="2016-11-30T00:00:00"/>
  </r>
  <r>
    <x v="0"/>
    <x v="5"/>
    <x v="68"/>
    <x v="13"/>
    <s v="Standard order"/>
    <x v="55"/>
    <x v="55"/>
    <s v="Y400"/>
    <s v="CRYSTAL Y400NT"/>
    <s v="5003735"/>
    <s v="Y400 ACH T20 PB SYSTIVA RP"/>
    <n v="8"/>
    <n v="0"/>
    <n v="8"/>
    <x v="5"/>
    <s v="4TBP"/>
    <s v="RP"/>
    <s v="324"/>
    <s v="4.0 UN"/>
    <s v="STANDARD"/>
    <s v="N"/>
    <s v="Y"/>
    <s v="N"/>
    <s v="T20"/>
    <s v="Y"/>
    <s v="N"/>
    <s v="N"/>
    <s v="N"/>
    <s v="A015"/>
    <d v="2016-12-05T00:00:00"/>
    <s v="10"/>
    <s v="TAN"/>
    <s v="OR"/>
    <d v="2016-11-30T00:00:00"/>
    <s v="MT"/>
    <s v="US"/>
    <s v="ZR"/>
    <d v="2016-11-30T00:00:00"/>
  </r>
  <r>
    <x v="0"/>
    <x v="5"/>
    <x v="69"/>
    <x v="12"/>
    <s v="Standard order"/>
    <x v="56"/>
    <x v="56"/>
    <s v="Y400"/>
    <s v="CRYSTAL Y400NT"/>
    <s v="5003731"/>
    <s v="Y400 ACH T20 PB SYSTIVA ELS"/>
    <n v="24"/>
    <n v="0"/>
    <n v="24"/>
    <x v="5"/>
    <s v="4TBP"/>
    <s v="ELS"/>
    <s v="324"/>
    <s v="4.0 UN"/>
    <s v="STANDARD"/>
    <s v="N"/>
    <s v="Y"/>
    <s v="N"/>
    <s v="T20"/>
    <s v="Y"/>
    <s v="N"/>
    <s v="N"/>
    <s v="N"/>
    <s v="A014"/>
    <d v="2016-12-05T00:00:00"/>
    <s v="10"/>
    <s v="TAN"/>
    <s v="OR"/>
    <d v="2016-11-30T00:00:00"/>
    <s v="MT"/>
    <s v="US"/>
    <s v="ZR"/>
    <d v="2016-11-30T00:00:00"/>
  </r>
  <r>
    <x v="0"/>
    <x v="0"/>
    <x v="70"/>
    <x v="10"/>
    <s v="Standard order"/>
    <x v="57"/>
    <x v="57"/>
    <s v="R059"/>
    <s v="CRYSTAL RR059"/>
    <s v="5003528"/>
    <s v="R059 ACH T20 Kabina ELS"/>
    <n v="36"/>
    <n v="0"/>
    <n v="36"/>
    <x v="0"/>
    <s v="AP73"/>
    <s v="ELS"/>
    <s v="387"/>
    <s v="4.0 UN"/>
    <s v="STANDARD"/>
    <s v="N"/>
    <s v="N"/>
    <s v="Y"/>
    <s v="T20"/>
    <s v="N"/>
    <s v="N"/>
    <s v="N"/>
    <s v="N"/>
    <s v="A036"/>
    <d v="2016-12-05T00:00:00"/>
    <s v="10"/>
    <s v="TAN"/>
    <s v="OR"/>
    <d v="2016-11-30T00:00:00"/>
    <s v="MI"/>
    <s v="US"/>
    <s v="ZR"/>
    <d v="2016-11-30T00:00:00"/>
  </r>
  <r>
    <x v="0"/>
    <x v="0"/>
    <x v="70"/>
    <x v="10"/>
    <s v="Standard order"/>
    <x v="57"/>
    <x v="57"/>
    <s v="G515"/>
    <s v="CRYSTAL G515"/>
    <s v="5003017"/>
    <s v="G515 ACH T20 Kabina ELS"/>
    <n v="8"/>
    <n v="0"/>
    <n v="8"/>
    <x v="0"/>
    <s v="APND"/>
    <s v="ELS"/>
    <s v="387"/>
    <s v="4.0 UN"/>
    <s v="STANDARD"/>
    <s v="N"/>
    <s v="N"/>
    <s v="Y"/>
    <s v="T20"/>
    <s v="N"/>
    <s v="N"/>
    <s v="N"/>
    <s v="N"/>
    <s v="A036"/>
    <d v="2016-12-05T00:00:00"/>
    <s v="20"/>
    <s v="TAN"/>
    <s v="OR"/>
    <d v="2016-11-30T00:00:00"/>
    <s v="MI"/>
    <s v="US"/>
    <s v="ZR"/>
    <d v="2016-11-30T00:00:00"/>
  </r>
  <r>
    <x v="0"/>
    <x v="0"/>
    <x v="70"/>
    <x v="10"/>
    <s v="Standard order"/>
    <x v="57"/>
    <x v="57"/>
    <s v="G333"/>
    <s v="CRYSTAL G333NT"/>
    <s v="5003376"/>
    <s v="G333 ACH T20 Kabina ELS"/>
    <n v="20"/>
    <n v="0"/>
    <n v="20"/>
    <x v="0"/>
    <s v="EE73"/>
    <s v="ELS"/>
    <s v="387"/>
    <s v="4.0 UN"/>
    <s v="STANDARD"/>
    <s v="N"/>
    <s v="N"/>
    <s v="Y"/>
    <s v="T20"/>
    <s v="N"/>
    <s v="N"/>
    <s v="N"/>
    <s v="N"/>
    <s v="A036"/>
    <d v="2016-12-05T00:00:00"/>
    <s v="30"/>
    <s v="TAN"/>
    <s v="OR"/>
    <d v="2016-11-30T00:00:00"/>
    <s v="MI"/>
    <s v="US"/>
    <s v="ZR"/>
    <d v="2016-11-30T00:00:00"/>
  </r>
  <r>
    <x v="0"/>
    <x v="4"/>
    <x v="71"/>
    <x v="15"/>
    <s v="Standard order"/>
    <x v="58"/>
    <x v="58"/>
    <s v="A404"/>
    <s v="CRYSTAL A404NT"/>
    <s v="5002961"/>
    <s v="A404 ACH T20 PB Kabina CL MP"/>
    <n v="96"/>
    <n v="0"/>
    <n v="96"/>
    <x v="4"/>
    <s v="DPNE"/>
    <s v="MP"/>
    <s v="323"/>
    <s v="4.0 UN"/>
    <s v="STANDARD"/>
    <s v="N"/>
    <s v="Y"/>
    <s v="Y"/>
    <s v="T20"/>
    <s v="N"/>
    <s v="N"/>
    <s v="N"/>
    <s v="N"/>
    <s v="A043"/>
    <d v="2016-12-05T00:00:00"/>
    <s v="10"/>
    <s v="TAN"/>
    <s v="OR"/>
    <d v="2016-11-30T00:00:00"/>
    <s v="ID"/>
    <s v="US"/>
    <s v="ZR"/>
    <d v="2016-11-30T00:00:00"/>
  </r>
  <r>
    <x v="0"/>
    <x v="5"/>
    <x v="72"/>
    <x v="13"/>
    <s v="Standard order"/>
    <x v="59"/>
    <x v="59"/>
    <s v="Y400"/>
    <s v="CRYSTAL Y400NT"/>
    <s v="5003735"/>
    <s v="Y400 ACH T20 PB SYSTIVA RP"/>
    <n v="36"/>
    <n v="0"/>
    <n v="36"/>
    <x v="5"/>
    <s v="4TBP"/>
    <s v="RP"/>
    <s v="324"/>
    <s v="4.0 UN"/>
    <s v="STANDARD"/>
    <s v="N"/>
    <s v="Y"/>
    <s v="N"/>
    <s v="T20"/>
    <s v="Y"/>
    <s v="N"/>
    <s v="N"/>
    <s v="N"/>
    <s v="A015"/>
    <d v="2016-12-05T00:00:00"/>
    <s v="10"/>
    <s v="TAN"/>
    <s v="OR"/>
    <d v="2016-11-30T00:00:00"/>
    <s v="MT"/>
    <s v="US"/>
    <s v="ZR"/>
    <d v="2016-11-30T00:00:00"/>
  </r>
  <r>
    <x v="0"/>
    <x v="5"/>
    <x v="73"/>
    <x v="13"/>
    <s v="Standard order"/>
    <x v="60"/>
    <x v="60"/>
    <s v="Y400"/>
    <s v="CRYSTAL Y400NT"/>
    <s v="5003735"/>
    <s v="Y400 ACH T20 PB SYSTIVA RP"/>
    <n v="16"/>
    <n v="0"/>
    <n v="16"/>
    <x v="5"/>
    <s v="4TBP"/>
    <s v="RP"/>
    <s v="324"/>
    <s v="4.0 UN"/>
    <s v="STANDARD"/>
    <s v="N"/>
    <s v="Y"/>
    <s v="N"/>
    <s v="T20"/>
    <s v="Y"/>
    <s v="N"/>
    <s v="N"/>
    <s v="N"/>
    <s v="A015"/>
    <d v="2016-12-05T00:00:00"/>
    <s v="10"/>
    <s v="TAN"/>
    <s v="OR"/>
    <d v="2016-11-30T00:00:00"/>
    <s v="MT"/>
    <s v="US"/>
    <s v="ZR"/>
    <d v="2016-11-30T00:00:00"/>
  </r>
  <r>
    <x v="0"/>
    <x v="5"/>
    <x v="74"/>
    <x v="13"/>
    <s v="Standard order"/>
    <x v="61"/>
    <x v="61"/>
    <s v="Y400"/>
    <s v="CRYSTAL Y400NT"/>
    <s v="5003735"/>
    <s v="Y400 ACH T20 PB SYSTIVA RP"/>
    <n v="120"/>
    <n v="0"/>
    <n v="120"/>
    <x v="5"/>
    <s v="4TBP"/>
    <s v="RP"/>
    <s v="324"/>
    <s v="4.0 UN"/>
    <s v="STANDARD"/>
    <s v="N"/>
    <s v="Y"/>
    <s v="N"/>
    <s v="T20"/>
    <s v="Y"/>
    <s v="N"/>
    <s v="N"/>
    <s v="N"/>
    <s v="A015"/>
    <d v="2016-12-06T00:00:00"/>
    <s v="10"/>
    <s v="TAN"/>
    <s v="OR"/>
    <d v="2016-12-01T00:00:00"/>
    <s v="MT"/>
    <s v="US"/>
    <s v="ZR"/>
    <d v="2016-12-01T00:00:00"/>
  </r>
  <r>
    <x v="0"/>
    <x v="4"/>
    <x v="75"/>
    <x v="16"/>
    <s v="Standard order"/>
    <x v="62"/>
    <x v="62"/>
    <s v="A501"/>
    <s v="CRYSTAL A501"/>
    <s v="5003308"/>
    <s v="A501 ACH PB XL"/>
    <n v="132"/>
    <n v="0"/>
    <n v="132"/>
    <x v="4"/>
    <s v="EZPB"/>
    <s v="X-LARGE"/>
    <s v="314"/>
    <s v="4.0 UN"/>
    <s v="STANDARD"/>
    <s v="N"/>
    <s v="Y"/>
    <s v="N"/>
    <s v="N"/>
    <s v="N"/>
    <s v="N"/>
    <s v="N"/>
    <s v="N"/>
    <s v="A042"/>
    <d v="2016-12-06T00:00:00"/>
    <s v="10"/>
    <s v="TAN"/>
    <s v="OR"/>
    <d v="2016-12-01T00:00:00"/>
    <s v="ID"/>
    <s v="US"/>
    <s v="ZR"/>
    <d v="2016-12-01T00:00:00"/>
  </r>
  <r>
    <x v="0"/>
    <x v="4"/>
    <x v="75"/>
    <x v="16"/>
    <s v="Standard order"/>
    <x v="62"/>
    <x v="62"/>
    <s v="R933"/>
    <s v="CRYSTAL RR933"/>
    <s v="5003697"/>
    <s v="R933 ACH XL"/>
    <n v="320"/>
    <n v="0"/>
    <n v="320"/>
    <x v="4"/>
    <s v="3571"/>
    <s v="X-LARGE"/>
    <s v="316"/>
    <s v="4.0 UN"/>
    <s v="STANDARD"/>
    <s v="N"/>
    <s v="N"/>
    <s v="N"/>
    <s v="N"/>
    <s v="N"/>
    <s v="N"/>
    <s v="N"/>
    <s v="N"/>
    <s v="A042"/>
    <d v="2016-12-06T00:00:00"/>
    <s v="20"/>
    <s v="TAN"/>
    <s v="OR"/>
    <d v="2016-12-01T00:00:00"/>
    <s v="ID"/>
    <s v="US"/>
    <s v="ZR"/>
    <d v="2016-12-01T00:00:00"/>
  </r>
  <r>
    <x v="0"/>
    <x v="4"/>
    <x v="75"/>
    <x v="16"/>
    <s v="Standard order"/>
    <x v="62"/>
    <x v="62"/>
    <s v="A404"/>
    <s v="CRYSTAL A404NT"/>
    <s v="5002957"/>
    <s v="A404 ACH PB XL"/>
    <n v="200"/>
    <n v="0"/>
    <n v="200"/>
    <x v="4"/>
    <s v="DPNE"/>
    <s v="X-LARGE"/>
    <s v="314"/>
    <s v="4.0 UN"/>
    <s v="STANDARD"/>
    <s v="N"/>
    <s v="Y"/>
    <s v="N"/>
    <s v="N"/>
    <s v="N"/>
    <s v="N"/>
    <s v="N"/>
    <s v="N"/>
    <s v="A042"/>
    <d v="2016-12-06T00:00:00"/>
    <s v="30"/>
    <s v="TAN"/>
    <s v="OR"/>
    <d v="2016-12-01T00:00:00"/>
    <s v="ID"/>
    <s v="US"/>
    <s v="ZR"/>
    <d v="2016-12-01T00:00:00"/>
  </r>
  <r>
    <x v="0"/>
    <x v="4"/>
    <x v="76"/>
    <x v="16"/>
    <s v="Standard order"/>
    <x v="63"/>
    <x v="63"/>
    <s v="A399"/>
    <s v="CRYSTAL A399NT"/>
    <s v="5002928"/>
    <s v="A399 ACH PB LRG"/>
    <n v="76"/>
    <n v="0"/>
    <n v="76"/>
    <x v="4"/>
    <s v="DP71"/>
    <s v="LARGE"/>
    <s v="314"/>
    <s v="4.0 UN"/>
    <s v="STANDARD"/>
    <s v="N"/>
    <s v="Y"/>
    <s v="N"/>
    <s v="N"/>
    <s v="N"/>
    <s v="N"/>
    <s v="N"/>
    <s v="N"/>
    <s v="A042"/>
    <d v="2016-12-06T00:00:00"/>
    <s v="10"/>
    <s v="TAN"/>
    <s v="OR"/>
    <d v="2016-12-01T00:00:00"/>
    <s v="ID"/>
    <s v="US"/>
    <s v="ZR"/>
    <d v="2016-12-01T00:00:00"/>
  </r>
  <r>
    <x v="0"/>
    <x v="4"/>
    <x v="76"/>
    <x v="16"/>
    <s v="Standard order"/>
    <x v="63"/>
    <x v="63"/>
    <s v="A404"/>
    <s v="CRYSTAL A404NT"/>
    <s v="5002954"/>
    <s v="A404 ACH PB LRG"/>
    <n v="80"/>
    <n v="0"/>
    <n v="80"/>
    <x v="4"/>
    <s v="DPNE"/>
    <s v="LARGE"/>
    <s v="314"/>
    <s v="4.0 UN"/>
    <s v="STANDARD"/>
    <s v="N"/>
    <s v="Y"/>
    <s v="N"/>
    <s v="N"/>
    <s v="N"/>
    <s v="N"/>
    <s v="N"/>
    <s v="N"/>
    <s v="A042"/>
    <d v="2016-12-06T00:00:00"/>
    <s v="20"/>
    <s v="TAN"/>
    <s v="OR"/>
    <d v="2016-12-01T00:00:00"/>
    <s v="ID"/>
    <s v="US"/>
    <s v="ZR"/>
    <d v="2016-12-01T00:00:00"/>
  </r>
  <r>
    <x v="0"/>
    <x v="4"/>
    <x v="76"/>
    <x v="16"/>
    <s v="Standard order"/>
    <x v="63"/>
    <x v="63"/>
    <s v="A501"/>
    <s v="CRYSTAL A501"/>
    <s v="5003305"/>
    <s v="A501 ACH PB LRG"/>
    <n v="72"/>
    <n v="0"/>
    <n v="72"/>
    <x v="4"/>
    <s v="EZPB"/>
    <s v="LARGE"/>
    <s v="314"/>
    <s v="4.0 UN"/>
    <s v="STANDARD"/>
    <s v="N"/>
    <s v="Y"/>
    <s v="N"/>
    <s v="N"/>
    <s v="N"/>
    <s v="N"/>
    <s v="N"/>
    <s v="N"/>
    <s v="A042"/>
    <d v="2016-12-06T00:00:00"/>
    <s v="30"/>
    <s v="TAN"/>
    <s v="OR"/>
    <d v="2016-12-01T00:00:00"/>
    <s v="ID"/>
    <s v="US"/>
    <s v="ZR"/>
    <d v="2016-12-01T00:00:00"/>
  </r>
  <r>
    <x v="0"/>
    <x v="4"/>
    <x v="77"/>
    <x v="17"/>
    <s v="Standard order"/>
    <x v="64"/>
    <x v="64"/>
    <s v="A501"/>
    <s v="CRYSTAL A501"/>
    <s v="5003308"/>
    <s v="A501 ACH PB XL"/>
    <n v="32"/>
    <n v="0"/>
    <n v="32"/>
    <x v="4"/>
    <s v="EZPB"/>
    <s v="X-LARGE"/>
    <s v="314"/>
    <s v="4.0 UN"/>
    <s v="STANDARD"/>
    <s v="N"/>
    <s v="Y"/>
    <s v="N"/>
    <s v="N"/>
    <s v="N"/>
    <s v="N"/>
    <s v="N"/>
    <s v="N"/>
    <s v="A040"/>
    <d v="2016-12-06T00:00:00"/>
    <s v="10"/>
    <s v="TAN"/>
    <s v="OR"/>
    <d v="2016-12-01T00:00:00"/>
    <s v="ID"/>
    <s v="US"/>
    <s v="ZR"/>
    <d v="2016-12-01T00:00:00"/>
  </r>
  <r>
    <x v="0"/>
    <x v="4"/>
    <x v="77"/>
    <x v="17"/>
    <s v="Standard order"/>
    <x v="64"/>
    <x v="64"/>
    <s v="R933"/>
    <s v="CRYSTAL RR933"/>
    <s v="5003689"/>
    <s v="R933 ACH PB XL"/>
    <n v="16"/>
    <n v="0"/>
    <n v="16"/>
    <x v="4"/>
    <s v="3571"/>
    <s v="X-LARGE"/>
    <s v="314"/>
    <s v="4.0 UN"/>
    <s v="STANDARD"/>
    <s v="N"/>
    <s v="Y"/>
    <s v="N"/>
    <s v="N"/>
    <s v="N"/>
    <s v="N"/>
    <s v="N"/>
    <s v="N"/>
    <s v="A040"/>
    <d v="2016-12-06T00:00:00"/>
    <s v="20"/>
    <s v="TAN"/>
    <s v="OR"/>
    <d v="2016-12-01T00:00:00"/>
    <s v="ID"/>
    <s v="US"/>
    <s v="ZR"/>
    <d v="2016-12-01T00:00:00"/>
  </r>
  <r>
    <x v="0"/>
    <x v="4"/>
    <x v="77"/>
    <x v="17"/>
    <s v="Standard order"/>
    <x v="64"/>
    <x v="64"/>
    <s v="A399"/>
    <s v="CRYSTAL A399NT"/>
    <s v="5002931"/>
    <s v="A399 ACH PB XL"/>
    <n v="20"/>
    <n v="0"/>
    <n v="20"/>
    <x v="4"/>
    <s v="DP71"/>
    <s v="X-LARGE"/>
    <s v="314"/>
    <s v="4.0 UN"/>
    <s v="STANDARD"/>
    <s v="N"/>
    <s v="Y"/>
    <s v="N"/>
    <s v="N"/>
    <s v="N"/>
    <s v="N"/>
    <s v="N"/>
    <s v="N"/>
    <s v="A040"/>
    <d v="2016-12-06T00:00:00"/>
    <s v="30"/>
    <s v="TAN"/>
    <s v="OR"/>
    <d v="2016-12-01T00:00:00"/>
    <s v="ID"/>
    <s v="US"/>
    <s v="ZR"/>
    <d v="2016-12-01T00:00:00"/>
  </r>
  <r>
    <x v="0"/>
    <x v="4"/>
    <x v="78"/>
    <x v="17"/>
    <s v="Standard order"/>
    <x v="65"/>
    <x v="65"/>
    <s v="A488"/>
    <s v="CRYSTAL A488NT"/>
    <s v="5002988"/>
    <s v="A488 ACH T20 PB Kabina MP"/>
    <n v="92"/>
    <n v="0"/>
    <n v="92"/>
    <x v="4"/>
    <s v="EENE"/>
    <s v="MP"/>
    <s v="388"/>
    <s v="4.0 UN"/>
    <s v="STANDARD"/>
    <s v="N"/>
    <s v="Y"/>
    <s v="Y"/>
    <s v="T20"/>
    <s v="N"/>
    <s v="N"/>
    <s v="N"/>
    <s v="N"/>
    <s v="A040"/>
    <d v="2016-12-06T00:00:00"/>
    <s v="10"/>
    <s v="TAN"/>
    <s v="OR"/>
    <d v="2016-12-01T00:00:00"/>
    <s v="ID"/>
    <s v="US"/>
    <s v="ZR"/>
    <d v="2016-12-01T00:00:00"/>
  </r>
  <r>
    <x v="0"/>
    <x v="4"/>
    <x v="78"/>
    <x v="17"/>
    <s v="Standard order"/>
    <x v="65"/>
    <x v="65"/>
    <s v="R240"/>
    <s v="CRYSTAL RR240NT"/>
    <s v="5003167"/>
    <s v="R240 ACH T20 PB Kabina MP"/>
    <n v="92"/>
    <n v="0"/>
    <n v="92"/>
    <x v="4"/>
    <s v="BHMP"/>
    <s v="MP"/>
    <s v="388"/>
    <s v="4.0 UN"/>
    <s v="STANDARD"/>
    <s v="N"/>
    <s v="Y"/>
    <s v="Y"/>
    <s v="T20"/>
    <s v="N"/>
    <s v="N"/>
    <s v="N"/>
    <s v="N"/>
    <s v="A040"/>
    <d v="2016-12-06T00:00:00"/>
    <s v="20"/>
    <s v="TAN"/>
    <s v="OR"/>
    <d v="2016-12-01T00:00:00"/>
    <s v="ID"/>
    <s v="US"/>
    <s v="ZR"/>
    <d v="2016-12-01T00:00:00"/>
  </r>
  <r>
    <x v="0"/>
    <x v="4"/>
    <x v="79"/>
    <x v="8"/>
    <s v="Standard order"/>
    <x v="66"/>
    <x v="66"/>
    <s v="A399"/>
    <s v="CRYSTAL A399NT"/>
    <s v="5002931"/>
    <s v="A399 ACH PB XL"/>
    <n v="20"/>
    <n v="0"/>
    <n v="20"/>
    <x v="4"/>
    <s v="DP71"/>
    <s v="X-LARGE"/>
    <s v="314"/>
    <s v="4.0 UN"/>
    <s v="STANDARD"/>
    <s v="N"/>
    <s v="Y"/>
    <s v="N"/>
    <s v="N"/>
    <s v="N"/>
    <s v="N"/>
    <s v="N"/>
    <s v="N"/>
    <s v="A044"/>
    <d v="2016-12-06T00:00:00"/>
    <s v="10"/>
    <s v="TAN"/>
    <s v="OR"/>
    <d v="2016-12-01T00:00:00"/>
    <s v="ID"/>
    <s v="US"/>
    <s v="ZR"/>
    <d v="2016-12-01T00:00:00"/>
  </r>
  <r>
    <x v="0"/>
    <x v="4"/>
    <x v="80"/>
    <x v="8"/>
    <s v="Standard order"/>
    <x v="67"/>
    <x v="67"/>
    <s v="A399"/>
    <s v="CRYSTAL A399NT"/>
    <s v="5002931"/>
    <s v="A399 ACH PB XL"/>
    <n v="40"/>
    <n v="0"/>
    <n v="40"/>
    <x v="4"/>
    <s v="DP71"/>
    <s v="X-LARGE"/>
    <s v="314"/>
    <s v="4.0 UN"/>
    <s v="STANDARD"/>
    <s v="N"/>
    <s v="Y"/>
    <s v="N"/>
    <s v="N"/>
    <s v="N"/>
    <s v="N"/>
    <s v="N"/>
    <s v="N"/>
    <s v="A044"/>
    <d v="2016-12-06T00:00:00"/>
    <s v="10"/>
    <s v="TAN"/>
    <s v="OR"/>
    <d v="2016-12-01T00:00:00"/>
    <s v="ID"/>
    <s v="US"/>
    <s v="ZR"/>
    <d v="2016-12-01T00:00:00"/>
  </r>
  <r>
    <x v="0"/>
    <x v="4"/>
    <x v="81"/>
    <x v="8"/>
    <s v="Standard order"/>
    <x v="68"/>
    <x v="68"/>
    <s v="A399"/>
    <s v="CRYSTAL A399NT"/>
    <s v="5002931"/>
    <s v="A399 ACH PB XL"/>
    <n v="40"/>
    <n v="0"/>
    <n v="40"/>
    <x v="4"/>
    <s v="DP71"/>
    <s v="X-LARGE"/>
    <s v="314"/>
    <s v="4.0 UN"/>
    <s v="STANDARD"/>
    <s v="N"/>
    <s v="Y"/>
    <s v="N"/>
    <s v="N"/>
    <s v="N"/>
    <s v="N"/>
    <s v="N"/>
    <s v="N"/>
    <s v="A044"/>
    <d v="2016-12-06T00:00:00"/>
    <s v="10"/>
    <s v="TAN"/>
    <s v="OR"/>
    <d v="2016-12-01T00:00:00"/>
    <s v="ID"/>
    <s v="US"/>
    <s v="ZR"/>
    <d v="2016-12-01T00:00:00"/>
  </r>
  <r>
    <x v="0"/>
    <x v="4"/>
    <x v="82"/>
    <x v="8"/>
    <s v="Standard order"/>
    <x v="69"/>
    <x v="69"/>
    <s v="A399"/>
    <s v="CRYSTAL A399NT"/>
    <s v="5002931"/>
    <s v="A399 ACH PB XL"/>
    <n v="16"/>
    <n v="0"/>
    <n v="16"/>
    <x v="4"/>
    <s v="DP71"/>
    <s v="X-LARGE"/>
    <s v="314"/>
    <s v="4.0 UN"/>
    <s v="STANDARD"/>
    <s v="N"/>
    <s v="Y"/>
    <s v="N"/>
    <s v="N"/>
    <s v="N"/>
    <s v="N"/>
    <s v="N"/>
    <s v="N"/>
    <s v="A044"/>
    <d v="2016-12-06T00:00:00"/>
    <s v="10"/>
    <s v="TAN"/>
    <s v="OR"/>
    <d v="2016-12-01T00:00:00"/>
    <s v="ID"/>
    <s v="US"/>
    <s v="ZR"/>
    <d v="2016-12-01T00:00:00"/>
  </r>
  <r>
    <x v="0"/>
    <x v="4"/>
    <x v="82"/>
    <x v="8"/>
    <s v="Standard order"/>
    <x v="69"/>
    <x v="69"/>
    <s v="A404"/>
    <s v="CRYSTAL A404NT"/>
    <s v="5002957"/>
    <s v="A404 ACH PB XL"/>
    <n v="20"/>
    <n v="0"/>
    <n v="20"/>
    <x v="4"/>
    <s v="DPNE"/>
    <s v="X-LARGE"/>
    <s v="314"/>
    <s v="4.0 UN"/>
    <s v="STANDARD"/>
    <s v="N"/>
    <s v="Y"/>
    <s v="N"/>
    <s v="N"/>
    <s v="N"/>
    <s v="N"/>
    <s v="N"/>
    <s v="N"/>
    <s v="A044"/>
    <d v="2016-12-06T00:00:00"/>
    <s v="20"/>
    <s v="TAN"/>
    <s v="OR"/>
    <d v="2016-12-01T00:00:00"/>
    <s v="ID"/>
    <s v="US"/>
    <s v="ZR"/>
    <d v="2016-12-01T00:00:00"/>
  </r>
  <r>
    <x v="0"/>
    <x v="4"/>
    <x v="82"/>
    <x v="8"/>
    <s v="Standard order"/>
    <x v="69"/>
    <x v="69"/>
    <s v="A501"/>
    <s v="CRYSTAL A501"/>
    <s v="5003308"/>
    <s v="A501 ACH PB XL"/>
    <n v="12"/>
    <n v="0"/>
    <n v="12"/>
    <x v="4"/>
    <s v="EZPB"/>
    <s v="X-LARGE"/>
    <s v="314"/>
    <s v="4.0 UN"/>
    <s v="STANDARD"/>
    <s v="N"/>
    <s v="Y"/>
    <s v="N"/>
    <s v="N"/>
    <s v="N"/>
    <s v="N"/>
    <s v="N"/>
    <s v="N"/>
    <s v="A044"/>
    <d v="2016-12-06T00:00:00"/>
    <s v="30"/>
    <s v="TAN"/>
    <s v="OR"/>
    <d v="2016-12-01T00:00:00"/>
    <s v="ID"/>
    <s v="US"/>
    <s v="ZR"/>
    <d v="2016-12-01T00:00:00"/>
  </r>
  <r>
    <x v="0"/>
    <x v="4"/>
    <x v="83"/>
    <x v="17"/>
    <s v="Standard order"/>
    <x v="70"/>
    <x v="70"/>
    <s v="A488"/>
    <s v="CRYSTAL A488NT"/>
    <s v="5002980"/>
    <s v="A488 ACH PB LRG"/>
    <n v="88"/>
    <n v="0"/>
    <n v="88"/>
    <x v="4"/>
    <s v="EENE"/>
    <s v="LARGE"/>
    <s v="314"/>
    <s v="4.0 UN"/>
    <s v="STANDARD"/>
    <s v="N"/>
    <s v="Y"/>
    <s v="N"/>
    <s v="N"/>
    <s v="N"/>
    <s v="N"/>
    <s v="N"/>
    <s v="N"/>
    <s v="A040"/>
    <d v="2016-12-06T00:00:00"/>
    <s v="10"/>
    <s v="TAN"/>
    <s v="OR"/>
    <d v="2016-12-01T00:00:00"/>
    <s v="ID"/>
    <s v="US"/>
    <s v="ZR"/>
    <d v="2016-12-01T00:00:00"/>
  </r>
  <r>
    <x v="0"/>
    <x v="4"/>
    <x v="83"/>
    <x v="17"/>
    <s v="Standard order"/>
    <x v="70"/>
    <x v="70"/>
    <s v="A501"/>
    <s v="CRYSTAL A501"/>
    <s v="5003305"/>
    <s v="A501 ACH PB LRG"/>
    <n v="40"/>
    <n v="0"/>
    <n v="40"/>
    <x v="4"/>
    <s v="EZPB"/>
    <s v="LARGE"/>
    <s v="314"/>
    <s v="4.0 UN"/>
    <s v="STANDARD"/>
    <s v="N"/>
    <s v="Y"/>
    <s v="N"/>
    <s v="N"/>
    <s v="N"/>
    <s v="N"/>
    <s v="N"/>
    <s v="N"/>
    <s v="A040"/>
    <d v="2016-12-06T00:00:00"/>
    <s v="20"/>
    <s v="TAN"/>
    <s v="OR"/>
    <d v="2016-12-01T00:00:00"/>
    <s v="ID"/>
    <s v="US"/>
    <s v="ZR"/>
    <d v="2016-12-01T00:00:00"/>
  </r>
  <r>
    <x v="0"/>
    <x v="4"/>
    <x v="83"/>
    <x v="17"/>
    <s v="Standard order"/>
    <x v="70"/>
    <x v="70"/>
    <s v="A399"/>
    <s v="CRYSTAL A399NT"/>
    <s v="5002928"/>
    <s v="A399 ACH PB LRG"/>
    <n v="88"/>
    <n v="0"/>
    <n v="88"/>
    <x v="4"/>
    <s v="DP71"/>
    <s v="LARGE"/>
    <s v="314"/>
    <s v="4.0 UN"/>
    <s v="STANDARD"/>
    <s v="N"/>
    <s v="Y"/>
    <s v="N"/>
    <s v="N"/>
    <s v="N"/>
    <s v="N"/>
    <s v="N"/>
    <s v="N"/>
    <s v="A040"/>
    <d v="2016-12-06T00:00:00"/>
    <s v="30"/>
    <s v="TAN"/>
    <s v="OR"/>
    <d v="2016-12-01T00:00:00"/>
    <s v="ID"/>
    <s v="US"/>
    <s v="ZR"/>
    <d v="2016-12-01T00:00:00"/>
  </r>
  <r>
    <x v="0"/>
    <x v="4"/>
    <x v="84"/>
    <x v="17"/>
    <s v="Standard order"/>
    <x v="71"/>
    <x v="71"/>
    <s v="A399"/>
    <s v="CRYSTAL A399NT"/>
    <s v="5002935"/>
    <s v="A399 ACH T20 PB Kabina CL MP"/>
    <n v="224"/>
    <n v="0"/>
    <n v="224"/>
    <x v="4"/>
    <s v="DP71"/>
    <s v="MP"/>
    <s v="323"/>
    <s v="4.0 UN"/>
    <s v="STANDARD"/>
    <s v="N"/>
    <s v="Y"/>
    <s v="Y"/>
    <s v="T20"/>
    <s v="N"/>
    <s v="N"/>
    <s v="N"/>
    <s v="N"/>
    <s v="A040"/>
    <d v="2016-12-06T00:00:00"/>
    <s v="10"/>
    <s v="TAN"/>
    <s v="OR"/>
    <d v="2016-12-01T00:00:00"/>
    <s v="ID"/>
    <s v="US"/>
    <s v="ZR"/>
    <d v="2016-12-01T00:00:00"/>
  </r>
  <r>
    <x v="0"/>
    <x v="4"/>
    <x v="84"/>
    <x v="17"/>
    <s v="Standard order"/>
    <x v="71"/>
    <x v="71"/>
    <s v="A404"/>
    <s v="CRYSTAL A404NT"/>
    <s v="5002961"/>
    <s v="A404 ACH T20 PB Kabina CL MP"/>
    <n v="40"/>
    <n v="0"/>
    <n v="40"/>
    <x v="4"/>
    <s v="DPNE"/>
    <s v="MP"/>
    <s v="323"/>
    <s v="4.0 UN"/>
    <s v="STANDARD"/>
    <s v="N"/>
    <s v="Y"/>
    <s v="Y"/>
    <s v="T20"/>
    <s v="N"/>
    <s v="N"/>
    <s v="N"/>
    <s v="N"/>
    <s v="A040"/>
    <d v="2016-12-06T00:00:00"/>
    <s v="20"/>
    <s v="TAN"/>
    <s v="OR"/>
    <d v="2016-12-01T00:00:00"/>
    <s v="ID"/>
    <s v="US"/>
    <s v="ZR"/>
    <d v="2016-12-01T00:00:00"/>
  </r>
  <r>
    <x v="0"/>
    <x v="4"/>
    <x v="85"/>
    <x v="7"/>
    <s v="Standard order"/>
    <x v="72"/>
    <x v="72"/>
    <s v="R933"/>
    <s v="CRYSTAL RR933"/>
    <s v="5003694"/>
    <s v="R933 ACH T20 PB Kabina MP"/>
    <n v="24"/>
    <n v="0"/>
    <n v="24"/>
    <x v="4"/>
    <s v="3571"/>
    <s v="MP"/>
    <s v="388"/>
    <s v="4.0 UN"/>
    <s v="STANDARD"/>
    <s v="N"/>
    <s v="Y"/>
    <s v="Y"/>
    <s v="T20"/>
    <s v="N"/>
    <s v="N"/>
    <s v="N"/>
    <s v="N"/>
    <s v="A045"/>
    <d v="2016-12-06T00:00:00"/>
    <s v="10"/>
    <s v="TAN"/>
    <s v="OR"/>
    <d v="2016-12-01T00:00:00"/>
    <s v="ID"/>
    <s v="US"/>
    <s v="ZR"/>
    <d v="2016-12-01T00:00:00"/>
  </r>
  <r>
    <x v="0"/>
    <x v="4"/>
    <x v="86"/>
    <x v="17"/>
    <s v="Standard order"/>
    <x v="73"/>
    <x v="73"/>
    <s v="A399"/>
    <s v="CRYSTAL A399NT"/>
    <s v="5002929"/>
    <s v="A399 ACH PB MED"/>
    <n v="128"/>
    <n v="0"/>
    <n v="128"/>
    <x v="4"/>
    <s v="DP71"/>
    <s v="MEDIUM"/>
    <s v="314"/>
    <s v="4.0 UN"/>
    <s v="STANDARD"/>
    <s v="N"/>
    <s v="Y"/>
    <s v="N"/>
    <s v="N"/>
    <s v="N"/>
    <s v="N"/>
    <s v="N"/>
    <s v="N"/>
    <s v="A040"/>
    <d v="2016-12-06T00:00:00"/>
    <s v="10"/>
    <s v="TAN"/>
    <s v="OR"/>
    <d v="2016-12-01T00:00:00"/>
    <s v="ID"/>
    <s v="US"/>
    <s v="ZR"/>
    <d v="2016-12-01T00:00:00"/>
  </r>
  <r>
    <x v="0"/>
    <x v="0"/>
    <x v="87"/>
    <x v="2"/>
    <s v="Standard order"/>
    <x v="74"/>
    <x v="74"/>
    <s v="G333"/>
    <s v="CRYSTAL G333NT"/>
    <s v="5003376"/>
    <s v="G333 ACH T20 Kabina ELS"/>
    <n v="36"/>
    <n v="0"/>
    <n v="36"/>
    <x v="0"/>
    <s v="EE73"/>
    <s v="ELS"/>
    <s v="387"/>
    <s v="4.0 UN"/>
    <s v="STANDARD"/>
    <s v="N"/>
    <s v="N"/>
    <s v="Y"/>
    <s v="T20"/>
    <s v="N"/>
    <s v="N"/>
    <s v="N"/>
    <s v="N"/>
    <s v="A034"/>
    <d v="2016-12-06T00:00:00"/>
    <s v="10"/>
    <s v="TAN"/>
    <s v="OR"/>
    <d v="2016-12-01T00:00:00"/>
    <s v="MI"/>
    <s v="US"/>
    <s v="ZR"/>
    <d v="2016-12-01T00:00:00"/>
  </r>
  <r>
    <x v="0"/>
    <x v="0"/>
    <x v="88"/>
    <x v="2"/>
    <s v="Standard order"/>
    <x v="75"/>
    <x v="75"/>
    <s v="G333"/>
    <s v="CRYSTAL G333NT"/>
    <s v="5003376"/>
    <s v="G333 ACH T20 Kabina ELS"/>
    <n v="60"/>
    <n v="0"/>
    <n v="60"/>
    <x v="0"/>
    <s v="EE73"/>
    <s v="ELS"/>
    <s v="387"/>
    <s v="4.0 UN"/>
    <s v="STANDARD"/>
    <s v="N"/>
    <s v="N"/>
    <s v="Y"/>
    <s v="T20"/>
    <s v="N"/>
    <s v="N"/>
    <s v="N"/>
    <s v="N"/>
    <s v="A034"/>
    <d v="2016-12-06T00:00:00"/>
    <s v="10"/>
    <s v="TAN"/>
    <s v="OR"/>
    <d v="2016-12-01T00:00:00"/>
    <s v="MI"/>
    <s v="US"/>
    <s v="ZR"/>
    <d v="2016-12-01T00:00:00"/>
  </r>
  <r>
    <x v="0"/>
    <x v="0"/>
    <x v="88"/>
    <x v="2"/>
    <s v="Standard order"/>
    <x v="75"/>
    <x v="75"/>
    <s v="G351"/>
    <s v="CRYSTAL G351NT"/>
    <s v="5003396"/>
    <s v="G351 ACH T20 Kabina ELS"/>
    <n v="96"/>
    <n v="0"/>
    <n v="96"/>
    <x v="0"/>
    <s v="DA73"/>
    <s v="ELS"/>
    <s v="387"/>
    <s v="4.0 UN"/>
    <s v="STANDARD"/>
    <s v="N"/>
    <s v="N"/>
    <s v="Y"/>
    <s v="T20"/>
    <s v="N"/>
    <s v="N"/>
    <s v="N"/>
    <s v="N"/>
    <s v="A034"/>
    <d v="2016-12-06T00:00:00"/>
    <s v="20"/>
    <s v="TAN"/>
    <s v="OR"/>
    <d v="2016-12-01T00:00:00"/>
    <s v="MI"/>
    <s v="US"/>
    <s v="ZR"/>
    <d v="2016-12-01T00:00:00"/>
  </r>
  <r>
    <x v="0"/>
    <x v="0"/>
    <x v="89"/>
    <x v="2"/>
    <s v="Standard order"/>
    <x v="76"/>
    <x v="76"/>
    <s v="G333"/>
    <s v="CRYSTAL G333NT"/>
    <s v="5003376"/>
    <s v="G333 ACH T20 Kabina ELS"/>
    <n v="12"/>
    <n v="0"/>
    <n v="12"/>
    <x v="0"/>
    <s v="EE73"/>
    <s v="ELS"/>
    <s v="387"/>
    <s v="4.0 UN"/>
    <s v="STANDARD"/>
    <s v="N"/>
    <s v="N"/>
    <s v="Y"/>
    <s v="T20"/>
    <s v="N"/>
    <s v="N"/>
    <s v="N"/>
    <s v="N"/>
    <s v="A034"/>
    <d v="2016-12-06T00:00:00"/>
    <s v="10"/>
    <s v="TAN"/>
    <s v="OR"/>
    <d v="2016-12-01T00:00:00"/>
    <s v="MI"/>
    <s v="US"/>
    <s v="ZR"/>
    <d v="2016-12-01T00:00:00"/>
  </r>
  <r>
    <x v="0"/>
    <x v="0"/>
    <x v="89"/>
    <x v="2"/>
    <s v="Standard order"/>
    <x v="76"/>
    <x v="76"/>
    <s v="G351"/>
    <s v="CRYSTAL G351NT"/>
    <s v="5003396"/>
    <s v="G351 ACH T20 Kabina ELS"/>
    <n v="16"/>
    <n v="0"/>
    <n v="16"/>
    <x v="0"/>
    <s v="DA73"/>
    <s v="ELS"/>
    <s v="387"/>
    <s v="4.0 UN"/>
    <s v="STANDARD"/>
    <s v="N"/>
    <s v="N"/>
    <s v="Y"/>
    <s v="T20"/>
    <s v="N"/>
    <s v="N"/>
    <s v="N"/>
    <s v="N"/>
    <s v="A034"/>
    <d v="2016-12-06T00:00:00"/>
    <s v="20"/>
    <s v="TAN"/>
    <s v="OR"/>
    <d v="2016-12-01T00:00:00"/>
    <s v="MI"/>
    <s v="US"/>
    <s v="ZR"/>
    <d v="2016-12-01T00:00:00"/>
  </r>
  <r>
    <x v="0"/>
    <x v="0"/>
    <x v="90"/>
    <x v="2"/>
    <s v="Standard order"/>
    <x v="76"/>
    <x v="76"/>
    <s v="G333"/>
    <s v="CRYSTAL G333NT"/>
    <s v="5003376"/>
    <s v="G333 ACH T20 Kabina ELS"/>
    <n v="40"/>
    <n v="0"/>
    <n v="40"/>
    <x v="0"/>
    <s v="EE73"/>
    <s v="ELS"/>
    <s v="387"/>
    <s v="4.0 UN"/>
    <s v="STANDARD"/>
    <s v="N"/>
    <s v="N"/>
    <s v="Y"/>
    <s v="T20"/>
    <s v="N"/>
    <s v="N"/>
    <s v="N"/>
    <s v="N"/>
    <s v="A034"/>
    <d v="2016-12-06T00:00:00"/>
    <s v="10"/>
    <s v="TAN"/>
    <s v="OR"/>
    <d v="2016-12-01T00:00:00"/>
    <s v="MI"/>
    <s v="US"/>
    <s v="ZR"/>
    <d v="2016-12-01T00:00:00"/>
  </r>
  <r>
    <x v="0"/>
    <x v="0"/>
    <x v="90"/>
    <x v="2"/>
    <s v="Standard order"/>
    <x v="76"/>
    <x v="76"/>
    <s v="G351"/>
    <s v="CRYSTAL G351NT"/>
    <s v="5003396"/>
    <s v="G351 ACH T20 Kabina ELS"/>
    <n v="40"/>
    <n v="0"/>
    <n v="40"/>
    <x v="0"/>
    <s v="DA73"/>
    <s v="ELS"/>
    <s v="387"/>
    <s v="4.0 UN"/>
    <s v="STANDARD"/>
    <s v="N"/>
    <s v="N"/>
    <s v="Y"/>
    <s v="T20"/>
    <s v="N"/>
    <s v="N"/>
    <s v="N"/>
    <s v="N"/>
    <s v="A034"/>
    <d v="2016-12-06T00:00:00"/>
    <s v="20"/>
    <s v="TAN"/>
    <s v="OR"/>
    <d v="2016-12-01T00:00:00"/>
    <s v="MI"/>
    <s v="US"/>
    <s v="ZR"/>
    <d v="2016-12-01T00:00:00"/>
  </r>
  <r>
    <x v="0"/>
    <x v="4"/>
    <x v="91"/>
    <x v="17"/>
    <s v="Standard order"/>
    <x v="77"/>
    <x v="77"/>
    <s v="A404"/>
    <s v="CRYSTAL A404NT"/>
    <s v="5002962"/>
    <s v="A404 ACH T20 PB Kabina MP"/>
    <n v="44"/>
    <n v="0"/>
    <n v="44"/>
    <x v="4"/>
    <s v="DPNE"/>
    <s v="MP"/>
    <s v="388"/>
    <s v="4.0 UN"/>
    <s v="STANDARD"/>
    <s v="N"/>
    <s v="Y"/>
    <s v="Y"/>
    <s v="T20"/>
    <s v="N"/>
    <s v="N"/>
    <s v="N"/>
    <s v="N"/>
    <s v="A040"/>
    <d v="2016-12-06T00:00:00"/>
    <s v="30"/>
    <s v="TAN"/>
    <s v="OR"/>
    <d v="2016-12-01T00:00:00"/>
    <s v="ID"/>
    <s v="US"/>
    <s v="ZR"/>
    <d v="2016-12-01T00:00:00"/>
  </r>
  <r>
    <x v="0"/>
    <x v="4"/>
    <x v="91"/>
    <x v="17"/>
    <s v="Standard order"/>
    <x v="77"/>
    <x v="77"/>
    <s v="A501"/>
    <s v="CRYSTAL A501"/>
    <s v="5003308"/>
    <s v="A501 ACH PB XL"/>
    <n v="20"/>
    <n v="0"/>
    <n v="20"/>
    <x v="4"/>
    <s v="EZPB"/>
    <s v="X-LARGE"/>
    <s v="314"/>
    <s v="4.0 UN"/>
    <s v="STANDARD"/>
    <s v="N"/>
    <s v="Y"/>
    <s v="N"/>
    <s v="N"/>
    <s v="N"/>
    <s v="N"/>
    <s v="N"/>
    <s v="N"/>
    <s v="A040"/>
    <d v="2016-12-06T00:00:00"/>
    <s v="10"/>
    <s v="TAN"/>
    <s v="OR"/>
    <d v="2016-12-01T00:00:00"/>
    <s v="ID"/>
    <s v="US"/>
    <s v="ZR"/>
    <d v="2016-12-01T00:00:00"/>
  </r>
  <r>
    <x v="0"/>
    <x v="4"/>
    <x v="92"/>
    <x v="18"/>
    <s v="Standard order"/>
    <x v="78"/>
    <x v="78"/>
    <s v="R081"/>
    <s v="CRYSTAL RR081"/>
    <s v="5003554"/>
    <s v="R081 ACH PB XL IDH"/>
    <n v="552"/>
    <n v="0"/>
    <n v="552"/>
    <x v="4"/>
    <s v="AQ82"/>
    <s v="X-LARGE"/>
    <s v="314"/>
    <s v="4.0 UN"/>
    <s v="STANDARD"/>
    <s v="N"/>
    <s v="Y"/>
    <s v="N"/>
    <s v="N"/>
    <s v="N"/>
    <s v="N"/>
    <s v="N"/>
    <s v="N"/>
    <s v="A041"/>
    <d v="2016-12-06T00:00:00"/>
    <s v="10"/>
    <s v="TAN"/>
    <s v="OR"/>
    <d v="2016-12-01T00:00:00"/>
    <s v="ID"/>
    <s v="US"/>
    <s v="ZR"/>
    <d v="2016-12-01T00:00:00"/>
  </r>
  <r>
    <x v="0"/>
    <x v="4"/>
    <x v="92"/>
    <x v="18"/>
    <s v="Standard order"/>
    <x v="78"/>
    <x v="78"/>
    <s v="A501"/>
    <s v="CRYSTAL A501"/>
    <s v="5003308"/>
    <s v="A501 ACH PB XL"/>
    <n v="236"/>
    <n v="0"/>
    <n v="236"/>
    <x v="4"/>
    <s v="EZPB"/>
    <s v="X-LARGE"/>
    <s v="314"/>
    <s v="4.0 UN"/>
    <s v="STANDARD"/>
    <s v="N"/>
    <s v="Y"/>
    <s v="N"/>
    <s v="N"/>
    <s v="N"/>
    <s v="N"/>
    <s v="N"/>
    <s v="N"/>
    <s v="A041"/>
    <d v="2016-12-06T00:00:00"/>
    <s v="20"/>
    <s v="TAN"/>
    <s v="OR"/>
    <d v="2016-12-01T00:00:00"/>
    <s v="ID"/>
    <s v="US"/>
    <s v="ZR"/>
    <d v="2016-12-01T00:00:00"/>
  </r>
  <r>
    <x v="0"/>
    <x v="4"/>
    <x v="92"/>
    <x v="18"/>
    <s v="Standard order"/>
    <x v="78"/>
    <x v="78"/>
    <s v="A404"/>
    <s v="CRYSTAL A404NT"/>
    <s v="5002957"/>
    <s v="A404 ACH PB XL"/>
    <n v="68"/>
    <n v="0"/>
    <n v="68"/>
    <x v="4"/>
    <s v="DPNE"/>
    <s v="X-LARGE"/>
    <s v="314"/>
    <s v="4.0 UN"/>
    <s v="STANDARD"/>
    <s v="N"/>
    <s v="Y"/>
    <s v="N"/>
    <s v="N"/>
    <s v="N"/>
    <s v="N"/>
    <s v="N"/>
    <s v="N"/>
    <s v="A041"/>
    <d v="2016-12-06T00:00:00"/>
    <s v="30"/>
    <s v="TAN"/>
    <s v="OR"/>
    <d v="2016-12-01T00:00:00"/>
    <s v="ID"/>
    <s v="US"/>
    <s v="ZR"/>
    <d v="2016-12-01T00:00:00"/>
  </r>
  <r>
    <x v="0"/>
    <x v="4"/>
    <x v="93"/>
    <x v="7"/>
    <s v="Standard order"/>
    <x v="79"/>
    <x v="79"/>
    <s v="A501"/>
    <s v="CRYSTAL A501"/>
    <s v="5003307"/>
    <s v="A501 ACH PB MP"/>
    <n v="20"/>
    <n v="0"/>
    <n v="20"/>
    <x v="4"/>
    <s v="EZPB"/>
    <s v="MP"/>
    <s v="314"/>
    <s v="4.0 UN"/>
    <s v="STANDARD"/>
    <s v="N"/>
    <s v="Y"/>
    <s v="N"/>
    <s v="N"/>
    <s v="N"/>
    <s v="N"/>
    <s v="N"/>
    <s v="N"/>
    <s v="A045"/>
    <d v="2016-12-06T00:00:00"/>
    <s v="10"/>
    <s v="TAN"/>
    <s v="OR"/>
    <d v="2016-12-01T00:00:00"/>
    <s v="ID"/>
    <s v="US"/>
    <s v="ZR"/>
    <d v="2016-12-01T00:00:00"/>
  </r>
  <r>
    <x v="0"/>
    <x v="5"/>
    <x v="94"/>
    <x v="14"/>
    <s v="Standard order"/>
    <x v="80"/>
    <x v="80"/>
    <s v="Y400"/>
    <s v="CRYSTAL Y400NT"/>
    <s v="5003735"/>
    <s v="Y400 ACH T20 PB SYSTIVA RP"/>
    <n v="8"/>
    <n v="0"/>
    <n v="8"/>
    <x v="5"/>
    <s v="4TBP"/>
    <s v="RP"/>
    <s v="324"/>
    <s v="4.0 UN"/>
    <s v="STANDARD"/>
    <s v="N"/>
    <s v="Y"/>
    <s v="N"/>
    <s v="T20"/>
    <s v="Y"/>
    <s v="N"/>
    <s v="N"/>
    <s v="N"/>
    <s v="A017"/>
    <d v="2016-12-06T00:00:00"/>
    <s v="10"/>
    <s v="TAN"/>
    <s v="OR"/>
    <d v="2016-11-30T00:00:00"/>
    <s v="WY"/>
    <s v="US"/>
    <s v="ZR"/>
    <d v="2016-12-01T00:00:00"/>
  </r>
  <r>
    <x v="0"/>
    <x v="5"/>
    <x v="94"/>
    <x v="14"/>
    <s v="Standard order"/>
    <x v="80"/>
    <x v="80"/>
    <s v="R116"/>
    <s v="CRYSTAL RR116"/>
    <s v="5003105"/>
    <s v="R116 ACH T20 PB SYSTIVA RP"/>
    <n v="24"/>
    <n v="0"/>
    <n v="24"/>
    <x v="5"/>
    <s v="AP71"/>
    <s v="RP"/>
    <s v="324"/>
    <s v="4.0 UN"/>
    <s v="STANDARD"/>
    <s v="N"/>
    <s v="Y"/>
    <s v="N"/>
    <s v="T20"/>
    <s v="Y"/>
    <s v="N"/>
    <s v="N"/>
    <s v="N"/>
    <s v="A017"/>
    <d v="2016-12-06T00:00:00"/>
    <s v="20"/>
    <s v="TAN"/>
    <s v="OR"/>
    <d v="2016-11-30T00:00:00"/>
    <s v="WY"/>
    <s v="US"/>
    <s v="ZR"/>
    <d v="2016-12-01T00:00:00"/>
  </r>
  <r>
    <x v="0"/>
    <x v="4"/>
    <x v="95"/>
    <x v="8"/>
    <s v="Standard order"/>
    <x v="81"/>
    <x v="81"/>
    <s v="A399"/>
    <s v="CRYSTAL A399NT"/>
    <s v="5002928"/>
    <s v="A399 ACH PB LRG"/>
    <n v="56"/>
    <n v="0"/>
    <n v="56"/>
    <x v="4"/>
    <s v="DP71"/>
    <s v="LARGE"/>
    <s v="314"/>
    <s v="4.0 UN"/>
    <s v="STANDARD"/>
    <s v="N"/>
    <s v="Y"/>
    <s v="N"/>
    <s v="N"/>
    <s v="N"/>
    <s v="N"/>
    <s v="N"/>
    <s v="N"/>
    <s v="A044"/>
    <d v="2016-12-06T00:00:00"/>
    <s v="10"/>
    <s v="TAN"/>
    <s v="OR"/>
    <d v="2016-11-30T00:00:00"/>
    <s v="ID"/>
    <s v="US"/>
    <s v="ZR"/>
    <d v="2016-12-01T00:00:00"/>
  </r>
  <r>
    <x v="0"/>
    <x v="4"/>
    <x v="96"/>
    <x v="19"/>
    <s v="Standard order"/>
    <x v="82"/>
    <x v="82"/>
    <s v="A501"/>
    <s v="CRYSTAL A501"/>
    <s v="5003308"/>
    <s v="A501 ACH PB XL"/>
    <n v="60"/>
    <n v="0"/>
    <n v="60"/>
    <x v="4"/>
    <s v="EZPB"/>
    <s v="X-LARGE"/>
    <s v="314"/>
    <s v="4.0 UN"/>
    <s v="STANDARD"/>
    <s v="N"/>
    <s v="Y"/>
    <s v="N"/>
    <s v="N"/>
    <s v="N"/>
    <s v="N"/>
    <s v="N"/>
    <s v="N"/>
    <s v="A046"/>
    <d v="2016-12-06T00:00:00"/>
    <s v="10"/>
    <s v="TAN"/>
    <s v="OR"/>
    <d v="2016-11-30T00:00:00"/>
    <s v="ID"/>
    <s v="US"/>
    <s v="ZR"/>
    <d v="2016-12-01T00:00:00"/>
  </r>
  <r>
    <x v="0"/>
    <x v="4"/>
    <x v="96"/>
    <x v="19"/>
    <s v="Standard order"/>
    <x v="82"/>
    <x v="82"/>
    <s v="A404"/>
    <s v="CRYSTAL A404NT"/>
    <s v="5002957"/>
    <s v="A404 ACH PB XL"/>
    <n v="72"/>
    <n v="0"/>
    <n v="72"/>
    <x v="4"/>
    <s v="DPNE"/>
    <s v="X-LARGE"/>
    <s v="314"/>
    <s v="4.0 UN"/>
    <s v="STANDARD"/>
    <s v="N"/>
    <s v="Y"/>
    <s v="N"/>
    <s v="N"/>
    <s v="N"/>
    <s v="N"/>
    <s v="N"/>
    <s v="N"/>
    <s v="A046"/>
    <d v="2016-12-06T00:00:00"/>
    <s v="20"/>
    <s v="TAN"/>
    <s v="OR"/>
    <d v="2016-11-30T00:00:00"/>
    <s v="ID"/>
    <s v="US"/>
    <s v="ZR"/>
    <d v="2016-12-01T00:00:00"/>
  </r>
  <r>
    <x v="0"/>
    <x v="4"/>
    <x v="96"/>
    <x v="19"/>
    <s v="Standard order"/>
    <x v="82"/>
    <x v="82"/>
    <s v="A399"/>
    <s v="CRYSTAL A399NT"/>
    <s v="5002931"/>
    <s v="A399 ACH PB XL"/>
    <n v="68"/>
    <n v="0"/>
    <n v="68"/>
    <x v="4"/>
    <s v="DP71"/>
    <s v="X-LARGE"/>
    <s v="314"/>
    <s v="4.0 UN"/>
    <s v="STANDARD"/>
    <s v="N"/>
    <s v="Y"/>
    <s v="N"/>
    <s v="N"/>
    <s v="N"/>
    <s v="N"/>
    <s v="N"/>
    <s v="N"/>
    <s v="A046"/>
    <d v="2016-12-06T00:00:00"/>
    <s v="30"/>
    <s v="TAN"/>
    <s v="OR"/>
    <d v="2016-11-30T00:00:00"/>
    <s v="ID"/>
    <s v="US"/>
    <s v="ZR"/>
    <d v="2016-12-01T00:00:00"/>
  </r>
  <r>
    <x v="0"/>
    <x v="4"/>
    <x v="96"/>
    <x v="19"/>
    <s v="Standard order"/>
    <x v="82"/>
    <x v="82"/>
    <s v="A488"/>
    <s v="CRYSTAL A488NT"/>
    <s v="5002983"/>
    <s v="A488 ACH PB XL"/>
    <n v="68"/>
    <n v="0"/>
    <n v="68"/>
    <x v="4"/>
    <s v="EENE"/>
    <s v="X-LARGE"/>
    <s v="314"/>
    <s v="4.0 UN"/>
    <s v="STANDARD"/>
    <s v="N"/>
    <s v="Y"/>
    <s v="N"/>
    <s v="N"/>
    <s v="N"/>
    <s v="N"/>
    <s v="N"/>
    <s v="N"/>
    <s v="A046"/>
    <d v="2016-12-06T00:00:00"/>
    <s v="40"/>
    <s v="TAN"/>
    <s v="OR"/>
    <d v="2016-11-30T00:00:00"/>
    <s v="ID"/>
    <s v="US"/>
    <s v="ZR"/>
    <d v="2016-12-01T00:00:00"/>
  </r>
  <r>
    <x v="0"/>
    <x v="4"/>
    <x v="97"/>
    <x v="19"/>
    <s v="Standard order"/>
    <x v="83"/>
    <x v="83"/>
    <s v="A501"/>
    <s v="CRYSTAL A501"/>
    <s v="5003305"/>
    <s v="A501 ACH PB LRG"/>
    <n v="20"/>
    <n v="0"/>
    <n v="20"/>
    <x v="4"/>
    <s v="EZPB"/>
    <s v="LARGE"/>
    <s v="314"/>
    <s v="4.0 UN"/>
    <s v="STANDARD"/>
    <s v="N"/>
    <s v="Y"/>
    <s v="N"/>
    <s v="N"/>
    <s v="N"/>
    <s v="N"/>
    <s v="N"/>
    <s v="N"/>
    <s v="A046"/>
    <d v="2016-12-06T00:00:00"/>
    <s v="10"/>
    <s v="TAN"/>
    <s v="OR"/>
    <d v="2016-11-30T00:00:00"/>
    <s v="ID"/>
    <s v="US"/>
    <s v="ZR"/>
    <d v="2016-12-01T00:00:00"/>
  </r>
  <r>
    <x v="0"/>
    <x v="4"/>
    <x v="97"/>
    <x v="19"/>
    <s v="Standard order"/>
    <x v="83"/>
    <x v="83"/>
    <s v="A399"/>
    <s v="CRYSTAL A399NT"/>
    <s v="5002928"/>
    <s v="A399 ACH PB LRG"/>
    <n v="28"/>
    <n v="0"/>
    <n v="28"/>
    <x v="4"/>
    <s v="DP71"/>
    <s v="LARGE"/>
    <s v="314"/>
    <s v="4.0 UN"/>
    <s v="STANDARD"/>
    <s v="N"/>
    <s v="Y"/>
    <s v="N"/>
    <s v="N"/>
    <s v="N"/>
    <s v="N"/>
    <s v="N"/>
    <s v="N"/>
    <s v="A046"/>
    <d v="2016-12-06T00:00:00"/>
    <s v="20"/>
    <s v="TAN"/>
    <s v="OR"/>
    <d v="2016-11-30T00:00:00"/>
    <s v="ID"/>
    <s v="US"/>
    <s v="ZR"/>
    <d v="2016-12-01T00:00:00"/>
  </r>
  <r>
    <x v="0"/>
    <x v="6"/>
    <x v="98"/>
    <x v="11"/>
    <s v="Standard order"/>
    <x v="84"/>
    <x v="84"/>
    <s v="S498"/>
    <s v="CRYSTAL S498"/>
    <s v="5003432"/>
    <s v="S498 ACH T20 PB SYSTIVA G50"/>
    <n v="8"/>
    <n v="0"/>
    <n v="8"/>
    <x v="6"/>
    <s v="FE73"/>
    <s v="GEM 50"/>
    <s v="324"/>
    <s v="4.0 UN"/>
    <s v="STANDARD"/>
    <s v="N"/>
    <s v="Y"/>
    <s v="N"/>
    <s v="T20"/>
    <s v="Y"/>
    <s v="N"/>
    <s v="Y"/>
    <s v="N"/>
    <s v="A038"/>
    <d v="2016-12-06T00:00:00"/>
    <s v="10"/>
    <s v="TAN"/>
    <s v="OR"/>
    <d v="2016-11-30T00:00:00"/>
    <s v="MT"/>
    <s v="US"/>
    <s v="ZR"/>
    <d v="2016-12-01T00:00:00"/>
  </r>
  <r>
    <x v="0"/>
    <x v="6"/>
    <x v="98"/>
    <x v="11"/>
    <s v="Standard order"/>
    <x v="84"/>
    <x v="84"/>
    <s v="R052"/>
    <s v="CRYSTAL RR052"/>
    <s v="5003514"/>
    <s v="R052 ACH T20 PB SYSTIVA G50"/>
    <n v="44"/>
    <n v="0"/>
    <n v="44"/>
    <x v="6"/>
    <s v="AP82"/>
    <s v="GEM 50"/>
    <s v="324"/>
    <s v="4.0 UN"/>
    <s v="STANDARD"/>
    <s v="N"/>
    <s v="Y"/>
    <s v="N"/>
    <s v="T20"/>
    <s v="Y"/>
    <s v="N"/>
    <s v="Y"/>
    <s v="N"/>
    <s v="A038"/>
    <d v="2016-12-06T00:00:00"/>
    <s v="20"/>
    <s v="TAN"/>
    <s v="OR"/>
    <d v="2016-11-30T00:00:00"/>
    <s v="MT"/>
    <s v="US"/>
    <s v="ZR"/>
    <d v="2016-12-01T00:00:00"/>
  </r>
  <r>
    <x v="0"/>
    <x v="6"/>
    <x v="99"/>
    <x v="11"/>
    <s v="Standard order"/>
    <x v="85"/>
    <x v="85"/>
    <s v="S498"/>
    <s v="CRYSTAL S498"/>
    <s v="5003432"/>
    <s v="S498 ACH T20 PB SYSTIVA G50"/>
    <n v="8"/>
    <n v="0"/>
    <n v="8"/>
    <x v="6"/>
    <s v="FE73"/>
    <s v="GEM 50"/>
    <s v="324"/>
    <s v="4.0 UN"/>
    <s v="STANDARD"/>
    <s v="N"/>
    <s v="Y"/>
    <s v="N"/>
    <s v="T20"/>
    <s v="Y"/>
    <s v="N"/>
    <s v="Y"/>
    <s v="N"/>
    <s v="A038"/>
    <d v="2016-12-06T00:00:00"/>
    <s v="10"/>
    <s v="TAN"/>
    <s v="OR"/>
    <d v="2016-11-30T00:00:00"/>
    <s v="MT"/>
    <s v="US"/>
    <s v="ZR"/>
    <d v="2016-12-01T00:00:00"/>
  </r>
  <r>
    <x v="0"/>
    <x v="6"/>
    <x v="99"/>
    <x v="11"/>
    <s v="Standard order"/>
    <x v="85"/>
    <x v="85"/>
    <s v="R052"/>
    <s v="CRYSTAL RR052"/>
    <s v="5003514"/>
    <s v="R052 ACH T20 PB SYSTIVA G50"/>
    <n v="44"/>
    <n v="0"/>
    <n v="44"/>
    <x v="6"/>
    <s v="AP82"/>
    <s v="GEM 50"/>
    <s v="324"/>
    <s v="4.0 UN"/>
    <s v="STANDARD"/>
    <s v="N"/>
    <s v="Y"/>
    <s v="N"/>
    <s v="T20"/>
    <s v="Y"/>
    <s v="N"/>
    <s v="Y"/>
    <s v="N"/>
    <s v="A038"/>
    <d v="2016-12-06T00:00:00"/>
    <s v="20"/>
    <s v="TAN"/>
    <s v="OR"/>
    <d v="2016-11-30T00:00:00"/>
    <s v="MT"/>
    <s v="US"/>
    <s v="ZR"/>
    <d v="2016-12-01T00:00:00"/>
  </r>
  <r>
    <x v="0"/>
    <x v="4"/>
    <x v="100"/>
    <x v="16"/>
    <s v="Standard order"/>
    <x v="86"/>
    <x v="86"/>
    <s v="A501"/>
    <s v="CRYSTAL A501"/>
    <s v="5003305"/>
    <s v="A501 ACH PB LRG"/>
    <n v="40"/>
    <n v="0"/>
    <n v="40"/>
    <x v="4"/>
    <s v="EZPB"/>
    <s v="LARGE"/>
    <s v="314"/>
    <s v="4.0 UN"/>
    <s v="STANDARD"/>
    <s v="N"/>
    <s v="Y"/>
    <s v="N"/>
    <s v="N"/>
    <s v="N"/>
    <s v="N"/>
    <s v="N"/>
    <s v="N"/>
    <s v="A042"/>
    <d v="2016-12-06T00:00:00"/>
    <s v="10"/>
    <s v="TAN"/>
    <s v="OR"/>
    <d v="2016-12-01T00:00:00"/>
    <s v="ID"/>
    <s v="US"/>
    <s v="ZR"/>
    <d v="2016-12-01T00:00:00"/>
  </r>
  <r>
    <x v="0"/>
    <x v="4"/>
    <x v="100"/>
    <x v="16"/>
    <s v="Standard order"/>
    <x v="86"/>
    <x v="86"/>
    <s v="A399"/>
    <s v="CRYSTAL A399NT"/>
    <s v="5002928"/>
    <s v="A399 ACH PB LRG"/>
    <n v="84"/>
    <n v="0"/>
    <n v="84"/>
    <x v="4"/>
    <s v="DP71"/>
    <s v="LARGE"/>
    <s v="314"/>
    <s v="4.0 UN"/>
    <s v="STANDARD"/>
    <s v="N"/>
    <s v="Y"/>
    <s v="N"/>
    <s v="N"/>
    <s v="N"/>
    <s v="N"/>
    <s v="N"/>
    <s v="N"/>
    <s v="A042"/>
    <d v="2016-12-06T00:00:00"/>
    <s v="20"/>
    <s v="TAN"/>
    <s v="OR"/>
    <d v="2016-12-01T00:00:00"/>
    <s v="ID"/>
    <s v="US"/>
    <s v="ZR"/>
    <d v="2016-12-01T00:00:00"/>
  </r>
  <r>
    <x v="0"/>
    <x v="4"/>
    <x v="100"/>
    <x v="16"/>
    <s v="Standard order"/>
    <x v="86"/>
    <x v="86"/>
    <s v="A404"/>
    <s v="CRYSTAL A404NT"/>
    <s v="5002954"/>
    <s v="A404 ACH PB LRG"/>
    <n v="40"/>
    <n v="0"/>
    <n v="40"/>
    <x v="4"/>
    <s v="DPNE"/>
    <s v="LARGE"/>
    <s v="314"/>
    <s v="4.0 UN"/>
    <s v="STANDARD"/>
    <s v="N"/>
    <s v="Y"/>
    <s v="N"/>
    <s v="N"/>
    <s v="N"/>
    <s v="N"/>
    <s v="N"/>
    <s v="N"/>
    <s v="A042"/>
    <d v="2016-12-06T00:00:00"/>
    <s v="30"/>
    <s v="TAN"/>
    <s v="OR"/>
    <d v="2016-12-01T00:00:00"/>
    <s v="ID"/>
    <s v="US"/>
    <s v="ZR"/>
    <d v="2016-12-01T00:00:00"/>
  </r>
  <r>
    <x v="0"/>
    <x v="4"/>
    <x v="101"/>
    <x v="16"/>
    <s v="Standard order"/>
    <x v="87"/>
    <x v="87"/>
    <s v="A501"/>
    <s v="CRYSTAL A501"/>
    <s v="5003308"/>
    <s v="A501 ACH PB XL"/>
    <n v="32"/>
    <n v="0"/>
    <n v="32"/>
    <x v="4"/>
    <s v="EZPB"/>
    <s v="X-LARGE"/>
    <s v="314"/>
    <s v="4.0 UN"/>
    <s v="STANDARD"/>
    <s v="N"/>
    <s v="Y"/>
    <s v="N"/>
    <s v="N"/>
    <s v="N"/>
    <s v="N"/>
    <s v="N"/>
    <s v="N"/>
    <s v="A042"/>
    <d v="2016-12-06T00:00:00"/>
    <s v="10"/>
    <s v="TAN"/>
    <s v="OR"/>
    <d v="2016-12-01T00:00:00"/>
    <s v="ID"/>
    <s v="US"/>
    <s v="ZR"/>
    <d v="2016-12-01T00:00:00"/>
  </r>
  <r>
    <x v="0"/>
    <x v="4"/>
    <x v="101"/>
    <x v="16"/>
    <s v="Standard order"/>
    <x v="87"/>
    <x v="87"/>
    <s v="A399"/>
    <s v="CRYSTAL A399NT"/>
    <s v="5002931"/>
    <s v="A399 ACH PB XL"/>
    <n v="156"/>
    <n v="0"/>
    <n v="156"/>
    <x v="4"/>
    <s v="DP71"/>
    <s v="X-LARGE"/>
    <s v="314"/>
    <s v="4.0 UN"/>
    <s v="STANDARD"/>
    <s v="N"/>
    <s v="Y"/>
    <s v="N"/>
    <s v="N"/>
    <s v="N"/>
    <s v="N"/>
    <s v="N"/>
    <s v="N"/>
    <s v="A042"/>
    <d v="2016-12-06T00:00:00"/>
    <s v="20"/>
    <s v="TAN"/>
    <s v="OR"/>
    <d v="2016-12-01T00:00:00"/>
    <s v="ID"/>
    <s v="US"/>
    <s v="ZR"/>
    <d v="2016-12-01T00:00:00"/>
  </r>
  <r>
    <x v="0"/>
    <x v="4"/>
    <x v="101"/>
    <x v="16"/>
    <s v="Standard order"/>
    <x v="87"/>
    <x v="87"/>
    <s v="A404"/>
    <s v="CRYSTAL A404NT"/>
    <s v="5002957"/>
    <s v="A404 ACH PB XL"/>
    <n v="44"/>
    <n v="0"/>
    <n v="44"/>
    <x v="4"/>
    <s v="DPNE"/>
    <s v="X-LARGE"/>
    <s v="314"/>
    <s v="4.0 UN"/>
    <s v="STANDARD"/>
    <s v="N"/>
    <s v="Y"/>
    <s v="N"/>
    <s v="N"/>
    <s v="N"/>
    <s v="N"/>
    <s v="N"/>
    <s v="N"/>
    <s v="A042"/>
    <d v="2016-12-06T00:00:00"/>
    <s v="30"/>
    <s v="TAN"/>
    <s v="OR"/>
    <d v="2016-12-01T00:00:00"/>
    <s v="ID"/>
    <s v="US"/>
    <s v="ZR"/>
    <d v="2016-12-01T00:00:00"/>
  </r>
  <r>
    <x v="0"/>
    <x v="4"/>
    <x v="102"/>
    <x v="16"/>
    <s v="Standard order"/>
    <x v="88"/>
    <x v="88"/>
    <s v="A501"/>
    <s v="CRYSTAL A501"/>
    <s v="5003308"/>
    <s v="A501 ACH PB XL"/>
    <n v="76"/>
    <n v="0"/>
    <n v="76"/>
    <x v="4"/>
    <s v="EZPB"/>
    <s v="X-LARGE"/>
    <s v="314"/>
    <s v="4.0 UN"/>
    <s v="STANDARD"/>
    <s v="N"/>
    <s v="Y"/>
    <s v="N"/>
    <s v="N"/>
    <s v="N"/>
    <s v="N"/>
    <s v="N"/>
    <s v="N"/>
    <s v="A042"/>
    <d v="2016-12-06T00:00:00"/>
    <s v="10"/>
    <s v="TAN"/>
    <s v="OR"/>
    <d v="2016-12-01T00:00:00"/>
    <s v="ID"/>
    <s v="US"/>
    <s v="ZR"/>
    <d v="2016-12-01T00:00:00"/>
  </r>
  <r>
    <x v="0"/>
    <x v="4"/>
    <x v="102"/>
    <x v="16"/>
    <s v="Standard order"/>
    <x v="88"/>
    <x v="88"/>
    <s v="R933"/>
    <s v="CRYSTAL RR933"/>
    <s v="5003697"/>
    <s v="R933 ACH XL"/>
    <n v="92"/>
    <n v="0"/>
    <n v="92"/>
    <x v="4"/>
    <s v="3571"/>
    <s v="X-LARGE"/>
    <s v="316"/>
    <s v="4.0 UN"/>
    <s v="STANDARD"/>
    <s v="N"/>
    <s v="N"/>
    <s v="N"/>
    <s v="N"/>
    <s v="N"/>
    <s v="N"/>
    <s v="N"/>
    <s v="N"/>
    <s v="A042"/>
    <d v="2016-12-06T00:00:00"/>
    <s v="20"/>
    <s v="TAN"/>
    <s v="OR"/>
    <d v="2016-12-01T00:00:00"/>
    <s v="ID"/>
    <s v="US"/>
    <s v="ZR"/>
    <d v="2016-12-01T00:00:00"/>
  </r>
  <r>
    <x v="0"/>
    <x v="4"/>
    <x v="103"/>
    <x v="17"/>
    <s v="Standard order"/>
    <x v="89"/>
    <x v="89"/>
    <s v="A488"/>
    <s v="CRYSTAL A488NT"/>
    <s v="5002980"/>
    <s v="A488 ACH PB LRG"/>
    <n v="28"/>
    <n v="0"/>
    <n v="28"/>
    <x v="4"/>
    <s v="EENE"/>
    <s v="LARGE"/>
    <s v="314"/>
    <s v="4.0 UN"/>
    <s v="STANDARD"/>
    <s v="N"/>
    <s v="Y"/>
    <s v="N"/>
    <s v="N"/>
    <s v="N"/>
    <s v="N"/>
    <s v="N"/>
    <s v="N"/>
    <s v="A040"/>
    <d v="2016-12-06T00:00:00"/>
    <s v="10"/>
    <s v="TAN"/>
    <s v="OR"/>
    <d v="2016-12-01T00:00:00"/>
    <s v="ID"/>
    <s v="US"/>
    <s v="ZR"/>
    <d v="2016-12-01T00:00:00"/>
  </r>
  <r>
    <x v="0"/>
    <x v="6"/>
    <x v="104"/>
    <x v="11"/>
    <s v="Standard order"/>
    <x v="90"/>
    <x v="90"/>
    <s v="S517"/>
    <s v="CRYSTAL S517"/>
    <s v="5003454"/>
    <s v="S517 ACH T20 PB CL SYSTIVA ELS"/>
    <n v="24"/>
    <n v="0"/>
    <n v="24"/>
    <x v="6"/>
    <s v="DVNV"/>
    <s v="ELS"/>
    <s v="321"/>
    <s v="4.0 UN"/>
    <s v="STANDARD"/>
    <s v="N"/>
    <s v="N"/>
    <s v="N"/>
    <s v="T20"/>
    <s v="Y"/>
    <s v="N"/>
    <s v="Y"/>
    <s v="N"/>
    <s v="A038"/>
    <d v="2016-12-06T00:00:00"/>
    <s v="10"/>
    <s v="TAN"/>
    <s v="OR"/>
    <d v="2016-11-30T00:00:00"/>
    <s v="MT"/>
    <s v="US"/>
    <s v="ZR"/>
    <d v="2016-12-01T00:00:00"/>
  </r>
  <r>
    <x v="0"/>
    <x v="6"/>
    <x v="104"/>
    <x v="11"/>
    <s v="Standard order"/>
    <x v="90"/>
    <x v="90"/>
    <s v="S360"/>
    <s v="CRYSTAL S360NT"/>
    <s v="5003412"/>
    <s v="S360 ACH T20 PB SYSTIVA ELS"/>
    <n v="48"/>
    <n v="0"/>
    <n v="48"/>
    <x v="6"/>
    <s v="DVNB"/>
    <s v="ELS"/>
    <s v="324"/>
    <s v="4.0 UN"/>
    <s v="STANDARD"/>
    <s v="N"/>
    <s v="Y"/>
    <s v="N"/>
    <s v="T20"/>
    <s v="Y"/>
    <s v="N"/>
    <s v="Y"/>
    <s v="N"/>
    <s v="A038"/>
    <d v="2016-12-06T00:00:00"/>
    <s v="20"/>
    <s v="TAN"/>
    <s v="OR"/>
    <d v="2016-11-30T00:00:00"/>
    <s v="MT"/>
    <s v="US"/>
    <s v="ZR"/>
    <d v="2016-12-01T00:00:00"/>
  </r>
  <r>
    <x v="0"/>
    <x v="6"/>
    <x v="104"/>
    <x v="11"/>
    <s v="Standard order"/>
    <x v="90"/>
    <x v="90"/>
    <s v="R052"/>
    <s v="CRYSTAL RR052"/>
    <s v="5003513"/>
    <s v="R052 ACH T20 PB SYSTIVA G100"/>
    <n v="48"/>
    <n v="0"/>
    <n v="48"/>
    <x v="6"/>
    <s v="AP82"/>
    <s v="GEM 100"/>
    <s v="324"/>
    <s v="4.0 UN"/>
    <s v="STANDARD"/>
    <s v="N"/>
    <s v="Y"/>
    <s v="N"/>
    <s v="T20"/>
    <s v="Y"/>
    <s v="N"/>
    <s v="Y"/>
    <s v="N"/>
    <s v="A038"/>
    <d v="2016-12-06T00:00:00"/>
    <s v="30"/>
    <s v="TAN"/>
    <s v="OR"/>
    <d v="2016-11-30T00:00:00"/>
    <s v="MT"/>
    <s v="US"/>
    <s v="ZR"/>
    <d v="2016-12-01T00:00:00"/>
  </r>
  <r>
    <x v="0"/>
    <x v="6"/>
    <x v="104"/>
    <x v="11"/>
    <s v="Standard order"/>
    <x v="90"/>
    <x v="90"/>
    <s v="R081"/>
    <s v="CRYSTAL RR081"/>
    <s v="5003573"/>
    <s v="R081 ACH T20 PB SYSTIVA ELS SSI"/>
    <n v="24"/>
    <n v="0"/>
    <n v="24"/>
    <x v="6"/>
    <s v="AQ82"/>
    <s v="ELS"/>
    <s v="324"/>
    <s v="4.0 UN"/>
    <s v="STANDARD"/>
    <s v="N"/>
    <s v="Y"/>
    <s v="N"/>
    <s v="T20"/>
    <s v="Y"/>
    <s v="N"/>
    <s v="Y"/>
    <s v="N"/>
    <s v="A038"/>
    <d v="2016-12-06T00:00:00"/>
    <s v="40"/>
    <s v="TAN"/>
    <s v="OR"/>
    <d v="2016-11-30T00:00:00"/>
    <s v="MT"/>
    <s v="US"/>
    <s v="ZR"/>
    <d v="2016-12-01T00:00:00"/>
  </r>
  <r>
    <x v="0"/>
    <x v="6"/>
    <x v="104"/>
    <x v="11"/>
    <s v="Standard order"/>
    <x v="90"/>
    <x v="90"/>
    <s v="S498"/>
    <s v="CRYSTAL S498"/>
    <s v="5003430"/>
    <s v="S498 ACH T20 PB SYSTIVA ELS"/>
    <n v="24"/>
    <n v="0"/>
    <n v="24"/>
    <x v="6"/>
    <s v="FE73"/>
    <s v="ELS"/>
    <s v="324"/>
    <s v="4.0 UN"/>
    <s v="STANDARD"/>
    <s v="N"/>
    <s v="Y"/>
    <s v="N"/>
    <s v="T20"/>
    <s v="Y"/>
    <s v="N"/>
    <s v="Y"/>
    <s v="N"/>
    <s v="A038"/>
    <d v="2016-12-06T00:00:00"/>
    <s v="50"/>
    <s v="TAN"/>
    <s v="OR"/>
    <d v="2016-11-30T00:00:00"/>
    <s v="MT"/>
    <s v="US"/>
    <s v="ZR"/>
    <d v="2016-12-01T00:00:00"/>
  </r>
  <r>
    <x v="0"/>
    <x v="4"/>
    <x v="105"/>
    <x v="20"/>
    <s v="Standard order"/>
    <x v="91"/>
    <x v="91"/>
    <s v="A488"/>
    <s v="CRYSTAL A488NT"/>
    <s v="5002988"/>
    <s v="A488 ACH T20 PB Kabina MP"/>
    <n v="184"/>
    <n v="0"/>
    <n v="184"/>
    <x v="4"/>
    <s v="EENE"/>
    <s v="MP"/>
    <s v="388"/>
    <s v="4.0 UN"/>
    <s v="STANDARD"/>
    <s v="N"/>
    <s v="Y"/>
    <s v="Y"/>
    <s v="T20"/>
    <s v="N"/>
    <s v="N"/>
    <s v="N"/>
    <s v="N"/>
    <s v="A039"/>
    <d v="2016-12-06T00:00:00"/>
    <s v="10"/>
    <s v="TAN"/>
    <s v="OR"/>
    <d v="2016-11-30T00:00:00"/>
    <s v="ID"/>
    <s v="US"/>
    <s v="ZR"/>
    <d v="2016-12-01T00:00:00"/>
  </r>
  <r>
    <x v="0"/>
    <x v="4"/>
    <x v="105"/>
    <x v="20"/>
    <s v="Standard order"/>
    <x v="91"/>
    <x v="91"/>
    <s v="A404"/>
    <s v="CRYSTAL A404NT"/>
    <s v="5002961"/>
    <s v="A404 ACH T20 PB Kabina CL MP"/>
    <n v="92"/>
    <n v="0"/>
    <n v="92"/>
    <x v="4"/>
    <s v="DPNE"/>
    <s v="MP"/>
    <s v="323"/>
    <s v="4.0 UN"/>
    <s v="STANDARD"/>
    <s v="N"/>
    <s v="Y"/>
    <s v="Y"/>
    <s v="T20"/>
    <s v="N"/>
    <s v="N"/>
    <s v="N"/>
    <s v="N"/>
    <s v="A039"/>
    <d v="2016-12-06T00:00:00"/>
    <s v="20"/>
    <s v="TAN"/>
    <s v="OR"/>
    <d v="2016-11-30T00:00:00"/>
    <s v="ID"/>
    <s v="US"/>
    <s v="ZR"/>
    <d v="2016-12-01T00:00:00"/>
  </r>
  <r>
    <x v="0"/>
    <x v="4"/>
    <x v="105"/>
    <x v="20"/>
    <s v="Standard order"/>
    <x v="91"/>
    <x v="91"/>
    <s v="A404"/>
    <s v="CRYSTAL A404NT"/>
    <s v="5002954"/>
    <s v="A404 ACH PB LRG"/>
    <n v="68"/>
    <n v="0"/>
    <n v="68"/>
    <x v="4"/>
    <s v="DPNE"/>
    <s v="LARGE"/>
    <s v="314"/>
    <s v="4.0 UN"/>
    <s v="STANDARD"/>
    <s v="N"/>
    <s v="Y"/>
    <s v="N"/>
    <s v="N"/>
    <s v="N"/>
    <s v="N"/>
    <s v="N"/>
    <s v="N"/>
    <s v="A039"/>
    <d v="2016-12-06T00:00:00"/>
    <s v="30"/>
    <s v="TAN"/>
    <s v="OR"/>
    <d v="2016-11-30T00:00:00"/>
    <s v="ID"/>
    <s v="US"/>
    <s v="ZR"/>
    <d v="2016-12-01T00:00:00"/>
  </r>
  <r>
    <x v="0"/>
    <x v="4"/>
    <x v="105"/>
    <x v="20"/>
    <s v="Standard order"/>
    <x v="91"/>
    <x v="91"/>
    <s v="A399"/>
    <s v="CRYSTAL A399NT"/>
    <s v="5002928"/>
    <s v="A399 ACH PB LRG"/>
    <n v="296"/>
    <n v="0"/>
    <n v="296"/>
    <x v="4"/>
    <s v="DP71"/>
    <s v="LARGE"/>
    <s v="314"/>
    <s v="4.0 UN"/>
    <s v="STANDARD"/>
    <s v="N"/>
    <s v="Y"/>
    <s v="N"/>
    <s v="N"/>
    <s v="N"/>
    <s v="N"/>
    <s v="N"/>
    <s v="N"/>
    <s v="A039"/>
    <d v="2016-12-06T00:00:00"/>
    <s v="40"/>
    <s v="TAN"/>
    <s v="OR"/>
    <d v="2016-11-30T00:00:00"/>
    <s v="ID"/>
    <s v="US"/>
    <s v="ZR"/>
    <d v="2016-12-01T00:00:00"/>
  </r>
  <r>
    <x v="0"/>
    <x v="4"/>
    <x v="105"/>
    <x v="20"/>
    <s v="Standard order"/>
    <x v="91"/>
    <x v="91"/>
    <s v="A501"/>
    <s v="CRYSTAL A501"/>
    <s v="5003313"/>
    <s v="A501 ACH T20 PB Kabina MP"/>
    <n v="80"/>
    <n v="0"/>
    <n v="80"/>
    <x v="4"/>
    <s v="EZPB"/>
    <s v="MP"/>
    <s v="388"/>
    <s v="4.0 UN"/>
    <s v="STANDARD"/>
    <s v="N"/>
    <s v="Y"/>
    <s v="Y"/>
    <s v="T20"/>
    <s v="N"/>
    <s v="N"/>
    <s v="N"/>
    <s v="N"/>
    <s v="A039"/>
    <d v="2016-12-06T00:00:00"/>
    <s v="50"/>
    <s v="TAN"/>
    <s v="OR"/>
    <d v="2016-11-30T00:00:00"/>
    <s v="ID"/>
    <s v="US"/>
    <s v="ZR"/>
    <d v="2016-12-01T00:00:00"/>
  </r>
  <r>
    <x v="0"/>
    <x v="4"/>
    <x v="106"/>
    <x v="7"/>
    <s v="Standard order"/>
    <x v="92"/>
    <x v="92"/>
    <s v="R933"/>
    <s v="CRYSTAL RR933"/>
    <s v="5003686"/>
    <s v="R933 ACH PB LRG"/>
    <n v="24"/>
    <n v="0"/>
    <n v="24"/>
    <x v="4"/>
    <s v="3571"/>
    <s v="LARGE"/>
    <s v="314"/>
    <s v="4.0 UN"/>
    <s v="STANDARD"/>
    <s v="N"/>
    <s v="Y"/>
    <s v="N"/>
    <s v="N"/>
    <s v="N"/>
    <s v="N"/>
    <s v="N"/>
    <s v="N"/>
    <s v="A045"/>
    <d v="2016-12-06T00:00:00"/>
    <s v="10"/>
    <s v="TAN"/>
    <s v="OR"/>
    <d v="2016-12-01T00:00:00"/>
    <s v="OR"/>
    <s v="US"/>
    <s v="ZR"/>
    <d v="2016-12-01T00:00:00"/>
  </r>
  <r>
    <x v="0"/>
    <x v="4"/>
    <x v="106"/>
    <x v="7"/>
    <s v="Standard order"/>
    <x v="92"/>
    <x v="92"/>
    <s v="A501"/>
    <s v="CRYSTAL A501"/>
    <s v="5003305"/>
    <s v="A501 ACH PB LRG"/>
    <n v="4"/>
    <n v="0"/>
    <n v="4"/>
    <x v="4"/>
    <s v="EZPB"/>
    <s v="LARGE"/>
    <s v="314"/>
    <s v="4.0 UN"/>
    <s v="STANDARD"/>
    <s v="N"/>
    <s v="Y"/>
    <s v="N"/>
    <s v="N"/>
    <s v="N"/>
    <s v="N"/>
    <s v="N"/>
    <s v="N"/>
    <s v="A045"/>
    <d v="2016-12-06T00:00:00"/>
    <s v="20"/>
    <s v="TAN"/>
    <s v="OR"/>
    <d v="2016-12-01T00:00:00"/>
    <s v="OR"/>
    <s v="US"/>
    <s v="ZR"/>
    <d v="2016-12-01T00:00:00"/>
  </r>
  <r>
    <x v="0"/>
    <x v="4"/>
    <x v="107"/>
    <x v="8"/>
    <s v="Standard order"/>
    <x v="93"/>
    <x v="93"/>
    <s v="A501"/>
    <s v="CRYSTAL A501"/>
    <s v="5003305"/>
    <s v="A501 ACH PB LRG"/>
    <n v="16"/>
    <n v="0"/>
    <n v="16"/>
    <x v="4"/>
    <s v="EZPB"/>
    <s v="LARGE"/>
    <s v="314"/>
    <s v="4.0 UN"/>
    <s v="STANDARD"/>
    <s v="N"/>
    <s v="Y"/>
    <s v="N"/>
    <s v="N"/>
    <s v="N"/>
    <s v="N"/>
    <s v="N"/>
    <s v="N"/>
    <s v="A044"/>
    <d v="2016-12-06T00:00:00"/>
    <s v="10"/>
    <s v="TAN"/>
    <s v="OR"/>
    <d v="2016-11-30T00:00:00"/>
    <s v="ID"/>
    <s v="US"/>
    <s v="ZR"/>
    <d v="2016-12-01T00:00:00"/>
  </r>
  <r>
    <x v="0"/>
    <x v="4"/>
    <x v="107"/>
    <x v="8"/>
    <s v="Standard order"/>
    <x v="93"/>
    <x v="93"/>
    <s v="A399"/>
    <s v="CRYSTAL A399NT"/>
    <s v="5002928"/>
    <s v="A399 ACH PB LRG"/>
    <n v="32"/>
    <n v="0"/>
    <n v="32"/>
    <x v="4"/>
    <s v="DP71"/>
    <s v="LARGE"/>
    <s v="314"/>
    <s v="4.0 UN"/>
    <s v="STANDARD"/>
    <s v="N"/>
    <s v="Y"/>
    <s v="N"/>
    <s v="N"/>
    <s v="N"/>
    <s v="N"/>
    <s v="N"/>
    <s v="N"/>
    <s v="A044"/>
    <d v="2016-12-06T00:00:00"/>
    <s v="20"/>
    <s v="TAN"/>
    <s v="OR"/>
    <d v="2016-11-30T00:00:00"/>
    <s v="ID"/>
    <s v="US"/>
    <s v="ZR"/>
    <d v="2016-12-01T00:00:00"/>
  </r>
  <r>
    <x v="0"/>
    <x v="4"/>
    <x v="108"/>
    <x v="19"/>
    <s v="Standard order"/>
    <x v="94"/>
    <x v="94"/>
    <s v="A501"/>
    <s v="CRYSTAL A501"/>
    <s v="5003305"/>
    <s v="A501 ACH PB LRG"/>
    <n v="20"/>
    <n v="0"/>
    <n v="20"/>
    <x v="4"/>
    <s v="EZPB"/>
    <s v="LARGE"/>
    <s v="314"/>
    <s v="4.0 UN"/>
    <s v="STANDARD"/>
    <s v="N"/>
    <s v="Y"/>
    <s v="N"/>
    <s v="N"/>
    <s v="N"/>
    <s v="N"/>
    <s v="N"/>
    <s v="N"/>
    <s v="A046"/>
    <d v="2016-12-06T00:00:00"/>
    <s v="10"/>
    <s v="TAN"/>
    <s v="OR"/>
    <d v="2016-11-30T00:00:00"/>
    <s v="ID"/>
    <s v="US"/>
    <s v="ZR"/>
    <d v="2016-12-01T00:00:00"/>
  </r>
  <r>
    <x v="0"/>
    <x v="4"/>
    <x v="108"/>
    <x v="19"/>
    <s v="Standard order"/>
    <x v="94"/>
    <x v="94"/>
    <s v="A399"/>
    <s v="CRYSTAL A399NT"/>
    <s v="5002928"/>
    <s v="A399 ACH PB LRG"/>
    <n v="64"/>
    <n v="0"/>
    <n v="64"/>
    <x v="4"/>
    <s v="DP71"/>
    <s v="LARGE"/>
    <s v="314"/>
    <s v="4.0 UN"/>
    <s v="STANDARD"/>
    <s v="N"/>
    <s v="Y"/>
    <s v="N"/>
    <s v="N"/>
    <s v="N"/>
    <s v="N"/>
    <s v="N"/>
    <s v="N"/>
    <s v="A046"/>
    <d v="2016-12-06T00:00:00"/>
    <s v="20"/>
    <s v="TAN"/>
    <s v="OR"/>
    <d v="2016-11-30T00:00:00"/>
    <s v="ID"/>
    <s v="US"/>
    <s v="ZR"/>
    <d v="2016-12-01T00:00:00"/>
  </r>
  <r>
    <x v="0"/>
    <x v="4"/>
    <x v="108"/>
    <x v="19"/>
    <s v="Standard order"/>
    <x v="94"/>
    <x v="94"/>
    <s v="A399"/>
    <s v="CRYSTAL A399NT"/>
    <s v="5002936"/>
    <s v="A399 ACH T20 PB Kabina MP"/>
    <n v="40"/>
    <n v="0"/>
    <n v="40"/>
    <x v="4"/>
    <s v="DP71"/>
    <s v="MP"/>
    <s v="388"/>
    <s v="4.0 UN"/>
    <s v="STANDARD"/>
    <s v="N"/>
    <s v="Y"/>
    <s v="Y"/>
    <s v="T20"/>
    <s v="N"/>
    <s v="N"/>
    <s v="N"/>
    <s v="N"/>
    <s v="A046"/>
    <d v="2016-12-06T00:00:00"/>
    <s v="30"/>
    <s v="TAN"/>
    <s v="OR"/>
    <d v="2016-11-30T00:00:00"/>
    <s v="ID"/>
    <s v="US"/>
    <s v="ZR"/>
    <d v="2016-12-01T00:00:00"/>
  </r>
  <r>
    <x v="0"/>
    <x v="4"/>
    <x v="109"/>
    <x v="19"/>
    <s v="Standard order"/>
    <x v="95"/>
    <x v="95"/>
    <s v="A399"/>
    <s v="CRYSTAL A399NT"/>
    <s v="5002931"/>
    <s v="A399 ACH PB XL"/>
    <n v="312"/>
    <n v="0"/>
    <n v="312"/>
    <x v="4"/>
    <s v="DP71"/>
    <s v="X-LARGE"/>
    <s v="314"/>
    <s v="4.0 UN"/>
    <s v="STANDARD"/>
    <s v="N"/>
    <s v="Y"/>
    <s v="N"/>
    <s v="N"/>
    <s v="N"/>
    <s v="N"/>
    <s v="N"/>
    <s v="N"/>
    <s v="A046"/>
    <d v="2016-12-06T00:00:00"/>
    <s v="10"/>
    <s v="TAN"/>
    <s v="OR"/>
    <d v="2016-11-30T00:00:00"/>
    <s v="ID"/>
    <s v="US"/>
    <s v="ZR"/>
    <d v="2016-12-01T00:00:00"/>
  </r>
  <r>
    <x v="0"/>
    <x v="4"/>
    <x v="110"/>
    <x v="19"/>
    <s v="Standard order"/>
    <x v="96"/>
    <x v="96"/>
    <s v="A399"/>
    <s v="CRYSTAL A399NT"/>
    <s v="5002931"/>
    <s v="A399 ACH PB XL"/>
    <n v="64"/>
    <n v="0"/>
    <n v="64"/>
    <x v="4"/>
    <s v="DP71"/>
    <s v="X-LARGE"/>
    <s v="314"/>
    <s v="4.0 UN"/>
    <s v="STANDARD"/>
    <s v="N"/>
    <s v="Y"/>
    <s v="N"/>
    <s v="N"/>
    <s v="N"/>
    <s v="N"/>
    <s v="N"/>
    <s v="N"/>
    <s v="A046"/>
    <d v="2016-12-06T00:00:00"/>
    <s v="10"/>
    <s v="TAN"/>
    <s v="OR"/>
    <d v="2016-11-30T00:00:00"/>
    <s v="ID"/>
    <s v="US"/>
    <s v="ZR"/>
    <d v="2016-12-01T00:00:00"/>
  </r>
  <r>
    <x v="0"/>
    <x v="4"/>
    <x v="111"/>
    <x v="7"/>
    <s v="Standard order"/>
    <x v="97"/>
    <x v="97"/>
    <s v="A399"/>
    <s v="CRYSTAL A399NT"/>
    <s v="5002930"/>
    <s v="A399 ACH PB MP"/>
    <n v="36"/>
    <n v="0"/>
    <n v="36"/>
    <x v="4"/>
    <s v="DP71"/>
    <s v="MP"/>
    <s v="314"/>
    <s v="4.0 UN"/>
    <s v="STANDARD"/>
    <s v="N"/>
    <s v="Y"/>
    <s v="N"/>
    <s v="N"/>
    <s v="N"/>
    <s v="N"/>
    <s v="N"/>
    <s v="N"/>
    <s v="A045"/>
    <d v="2016-12-06T00:00:00"/>
    <s v="10"/>
    <s v="TAN"/>
    <s v="OR"/>
    <d v="2016-12-01T00:00:00"/>
    <s v="ID"/>
    <s v="US"/>
    <s v="ZR"/>
    <d v="2016-12-01T00:00:00"/>
  </r>
  <r>
    <x v="0"/>
    <x v="4"/>
    <x v="112"/>
    <x v="17"/>
    <s v="Standard order"/>
    <x v="98"/>
    <x v="98"/>
    <s v="A399"/>
    <s v="CRYSTAL A399NT"/>
    <s v="5002928"/>
    <s v="A399 ACH PB LRG"/>
    <n v="32"/>
    <n v="0"/>
    <n v="32"/>
    <x v="4"/>
    <s v="DP71"/>
    <s v="LARGE"/>
    <s v="314"/>
    <s v="4.0 UN"/>
    <s v="STANDARD"/>
    <s v="N"/>
    <s v="Y"/>
    <s v="N"/>
    <s v="N"/>
    <s v="N"/>
    <s v="N"/>
    <s v="N"/>
    <s v="N"/>
    <s v="A040"/>
    <d v="2016-12-06T00:00:00"/>
    <s v="10"/>
    <s v="TAN"/>
    <s v="OR"/>
    <d v="2016-12-01T00:00:00"/>
    <s v="ID"/>
    <s v="US"/>
    <s v="ZR"/>
    <d v="2016-12-01T00:00:00"/>
  </r>
  <r>
    <x v="0"/>
    <x v="4"/>
    <x v="112"/>
    <x v="17"/>
    <s v="Standard order"/>
    <x v="98"/>
    <x v="98"/>
    <s v="A501"/>
    <s v="CRYSTAL A501"/>
    <s v="5003305"/>
    <s v="A501 ACH PB LRG"/>
    <n v="36"/>
    <n v="0"/>
    <n v="36"/>
    <x v="4"/>
    <s v="EZPB"/>
    <s v="LARGE"/>
    <s v="314"/>
    <s v="4.0 UN"/>
    <s v="STANDARD"/>
    <s v="N"/>
    <s v="Y"/>
    <s v="N"/>
    <s v="N"/>
    <s v="N"/>
    <s v="N"/>
    <s v="N"/>
    <s v="N"/>
    <s v="A040"/>
    <d v="2016-12-06T00:00:00"/>
    <s v="20"/>
    <s v="TAN"/>
    <s v="OR"/>
    <d v="2016-12-01T00:00:00"/>
    <s v="ID"/>
    <s v="US"/>
    <s v="ZR"/>
    <d v="2016-12-01T00:00:00"/>
  </r>
  <r>
    <x v="0"/>
    <x v="4"/>
    <x v="113"/>
    <x v="16"/>
    <s v="Standard order"/>
    <x v="99"/>
    <x v="99"/>
    <s v="R933"/>
    <s v="CRYSTAL RR933"/>
    <s v="5003686"/>
    <s v="R933 ACH PB LRG"/>
    <n v="68"/>
    <n v="0"/>
    <n v="68"/>
    <x v="4"/>
    <s v="3571"/>
    <s v="LARGE"/>
    <s v="314"/>
    <s v="4.0 UN"/>
    <s v="STANDARD"/>
    <s v="N"/>
    <s v="Y"/>
    <s v="N"/>
    <s v="N"/>
    <s v="N"/>
    <s v="N"/>
    <s v="N"/>
    <s v="N"/>
    <s v="A042"/>
    <d v="2016-12-06T00:00:00"/>
    <s v="10"/>
    <s v="TAN"/>
    <s v="OR"/>
    <d v="2016-12-01T00:00:00"/>
    <s v="ID"/>
    <s v="US"/>
    <s v="ZR"/>
    <d v="2016-12-01T00:00:00"/>
  </r>
  <r>
    <x v="0"/>
    <x v="5"/>
    <x v="114"/>
    <x v="13"/>
    <s v="Standard order"/>
    <x v="100"/>
    <x v="100"/>
    <s v="Y400"/>
    <s v="CRYSTAL Y400NT"/>
    <s v="5003735"/>
    <s v="Y400 ACH T20 PB SYSTIVA RP"/>
    <n v="12"/>
    <n v="0"/>
    <n v="12"/>
    <x v="5"/>
    <s v="4TBP"/>
    <s v="RP"/>
    <s v="324"/>
    <s v="4.0 UN"/>
    <s v="STANDARD"/>
    <s v="N"/>
    <s v="Y"/>
    <s v="N"/>
    <s v="T20"/>
    <s v="Y"/>
    <s v="N"/>
    <s v="N"/>
    <s v="N"/>
    <s v="A015"/>
    <d v="2016-12-06T00:00:00"/>
    <s v="10"/>
    <s v="TAN"/>
    <s v="OR"/>
    <d v="2016-11-30T00:00:00"/>
    <s v="MT"/>
    <s v="US"/>
    <s v="ZR"/>
    <d v="2016-12-01T00:00:00"/>
  </r>
  <r>
    <x v="0"/>
    <x v="5"/>
    <x v="114"/>
    <x v="13"/>
    <s v="Standard order"/>
    <x v="100"/>
    <x v="100"/>
    <s v="R116"/>
    <s v="CRYSTAL RR116"/>
    <s v="5003105"/>
    <s v="R116 ACH T20 PB SYSTIVA RP"/>
    <n v="112"/>
    <n v="0"/>
    <n v="112"/>
    <x v="5"/>
    <s v="AP71"/>
    <s v="RP"/>
    <s v="324"/>
    <s v="4.0 UN"/>
    <s v="STANDARD"/>
    <s v="N"/>
    <s v="Y"/>
    <s v="N"/>
    <s v="T20"/>
    <s v="Y"/>
    <s v="N"/>
    <s v="N"/>
    <s v="N"/>
    <s v="A015"/>
    <d v="2016-12-06T00:00:00"/>
    <s v="20"/>
    <s v="TAN"/>
    <s v="OR"/>
    <d v="2016-11-30T00:00:00"/>
    <s v="MT"/>
    <s v="US"/>
    <s v="ZR"/>
    <d v="2016-12-01T00:00:00"/>
  </r>
  <r>
    <x v="0"/>
    <x v="5"/>
    <x v="115"/>
    <x v="9"/>
    <s v="Standard order"/>
    <x v="101"/>
    <x v="101"/>
    <s v="R116"/>
    <s v="CRYSTAL RR116"/>
    <s v="5003105"/>
    <s v="R116 ACH T20 PB SYSTIVA RP"/>
    <n v="112"/>
    <n v="0"/>
    <n v="112"/>
    <x v="5"/>
    <s v="AP71"/>
    <s v="RP"/>
    <s v="324"/>
    <s v="4.0 UN"/>
    <s v="STANDARD"/>
    <s v="N"/>
    <s v="Y"/>
    <s v="N"/>
    <s v="T20"/>
    <s v="Y"/>
    <s v="N"/>
    <s v="N"/>
    <s v="N"/>
    <s v="A016"/>
    <d v="2016-12-06T00:00:00"/>
    <s v="10"/>
    <s v="TAN"/>
    <s v="OR"/>
    <d v="2016-11-30T00:00:00"/>
    <s v="WY"/>
    <s v="US"/>
    <s v="ZR"/>
    <d v="2016-12-01T00:00:00"/>
  </r>
  <r>
    <x v="0"/>
    <x v="0"/>
    <x v="116"/>
    <x v="10"/>
    <s v="Standard order"/>
    <x v="102"/>
    <x v="102"/>
    <s v="R059"/>
    <s v="CRYSTAL RR059"/>
    <s v="5003530"/>
    <s v="R059 ACH T20 Kabina RP"/>
    <n v="60"/>
    <n v="0"/>
    <n v="60"/>
    <x v="0"/>
    <s v="AP73"/>
    <s v="RP"/>
    <s v="387"/>
    <s v="4.0 UN"/>
    <s v="STANDARD"/>
    <s v="N"/>
    <s v="N"/>
    <s v="Y"/>
    <s v="T20"/>
    <s v="N"/>
    <s v="N"/>
    <s v="N"/>
    <s v="N"/>
    <s v="A036"/>
    <d v="2016-12-06T00:00:00"/>
    <s v="10"/>
    <s v="TAN"/>
    <s v="OR"/>
    <d v="2016-11-30T00:00:00"/>
    <s v="MI"/>
    <s v="US"/>
    <s v="ZR"/>
    <d v="2016-12-01T00:00:00"/>
  </r>
  <r>
    <x v="0"/>
    <x v="4"/>
    <x v="117"/>
    <x v="20"/>
    <s v="Standard order"/>
    <x v="103"/>
    <x v="103"/>
    <s v="A399"/>
    <s v="CRYSTAL A399NT"/>
    <s v="5002920"/>
    <s v="A399 ACH LRG"/>
    <n v="56"/>
    <n v="0"/>
    <n v="56"/>
    <x v="4"/>
    <s v="DP71"/>
    <s v="LARGE"/>
    <s v="316"/>
    <s v="4.0 UN"/>
    <s v="STANDARD"/>
    <s v="N"/>
    <s v="N"/>
    <s v="N"/>
    <s v="N"/>
    <s v="N"/>
    <s v="N"/>
    <s v="N"/>
    <s v="N"/>
    <s v="A039"/>
    <d v="2016-12-06T00:00:00"/>
    <s v="10"/>
    <s v="TAN"/>
    <s v="OR"/>
    <d v="2016-12-01T00:00:00"/>
    <s v="ID"/>
    <s v="US"/>
    <s v="ZR"/>
    <d v="2016-12-01T00:00:00"/>
  </r>
  <r>
    <x v="0"/>
    <x v="4"/>
    <x v="117"/>
    <x v="20"/>
    <s v="Standard order"/>
    <x v="103"/>
    <x v="103"/>
    <s v="A501"/>
    <s v="CRYSTAL A501"/>
    <s v="5003305"/>
    <s v="A501 ACH PB LRG"/>
    <n v="52"/>
    <n v="0"/>
    <n v="52"/>
    <x v="4"/>
    <s v="EZPB"/>
    <s v="LARGE"/>
    <s v="314"/>
    <s v="4.0 UN"/>
    <s v="STANDARD"/>
    <s v="N"/>
    <s v="Y"/>
    <s v="N"/>
    <s v="N"/>
    <s v="N"/>
    <s v="N"/>
    <s v="N"/>
    <s v="N"/>
    <s v="A039"/>
    <d v="2016-12-06T00:00:00"/>
    <s v="20"/>
    <s v="TAN"/>
    <s v="OR"/>
    <d v="2016-12-01T00:00:00"/>
    <s v="ID"/>
    <s v="US"/>
    <s v="ZR"/>
    <d v="2016-12-01T00:00:00"/>
  </r>
  <r>
    <x v="0"/>
    <x v="4"/>
    <x v="117"/>
    <x v="20"/>
    <s v="Standard order"/>
    <x v="103"/>
    <x v="103"/>
    <s v="R933"/>
    <s v="CRYSTAL RR933"/>
    <s v="5003678"/>
    <s v="R933 ACH LRG"/>
    <n v="292"/>
    <n v="0"/>
    <n v="292"/>
    <x v="4"/>
    <s v="3571"/>
    <s v="LARGE"/>
    <s v="316"/>
    <s v="4.0 UN"/>
    <s v="STANDARD"/>
    <s v="N"/>
    <s v="N"/>
    <s v="N"/>
    <s v="N"/>
    <s v="N"/>
    <s v="N"/>
    <s v="N"/>
    <s v="N"/>
    <s v="A039"/>
    <d v="2016-12-06T00:00:00"/>
    <s v="30"/>
    <s v="TAN"/>
    <s v="OR"/>
    <d v="2016-12-01T00:00:00"/>
    <s v="ID"/>
    <s v="US"/>
    <s v="ZR"/>
    <d v="2016-12-01T00:00:00"/>
  </r>
  <r>
    <x v="0"/>
    <x v="4"/>
    <x v="118"/>
    <x v="15"/>
    <s v="Standard order"/>
    <x v="104"/>
    <x v="104"/>
    <s v="A399"/>
    <s v="CRYSTAL A399NT"/>
    <s v="5002931"/>
    <s v="A399 ACH PB XL"/>
    <n v="64"/>
    <n v="0"/>
    <n v="64"/>
    <x v="4"/>
    <s v="DP71"/>
    <s v="X-LARGE"/>
    <s v="314"/>
    <s v="4.0 UN"/>
    <s v="STANDARD"/>
    <s v="N"/>
    <s v="Y"/>
    <s v="N"/>
    <s v="N"/>
    <s v="N"/>
    <s v="N"/>
    <s v="N"/>
    <s v="N"/>
    <s v="A043"/>
    <d v="2016-12-06T00:00:00"/>
    <s v="10"/>
    <s v="TAN"/>
    <s v="OR"/>
    <d v="2016-12-01T00:00:00"/>
    <s v="ID"/>
    <s v="US"/>
    <s v="ZR"/>
    <d v="2016-12-01T00:00:00"/>
  </r>
  <r>
    <x v="0"/>
    <x v="4"/>
    <x v="119"/>
    <x v="16"/>
    <s v="Standard order"/>
    <x v="105"/>
    <x v="105"/>
    <s v="A501"/>
    <s v="CRYSTAL A501"/>
    <s v="5003308"/>
    <s v="A501 ACH PB XL"/>
    <n v="72"/>
    <n v="0"/>
    <n v="72"/>
    <x v="4"/>
    <s v="EZPB"/>
    <s v="X-LARGE"/>
    <s v="314"/>
    <s v="4.0 UN"/>
    <s v="STANDARD"/>
    <s v="N"/>
    <s v="Y"/>
    <s v="N"/>
    <s v="N"/>
    <s v="N"/>
    <s v="N"/>
    <s v="N"/>
    <s v="N"/>
    <s v="A042"/>
    <d v="2016-12-06T00:00:00"/>
    <s v="10"/>
    <s v="TAN"/>
    <s v="OR"/>
    <d v="2016-12-01T00:00:00"/>
    <s v="ID"/>
    <s v="US"/>
    <s v="ZR"/>
    <d v="2016-12-01T00:00:00"/>
  </r>
  <r>
    <x v="0"/>
    <x v="4"/>
    <x v="119"/>
    <x v="16"/>
    <s v="Standard order"/>
    <x v="105"/>
    <x v="105"/>
    <s v="R933"/>
    <s v="CRYSTAL RR933"/>
    <s v="5003697"/>
    <s v="R933 ACH XL"/>
    <n v="140"/>
    <n v="0"/>
    <n v="140"/>
    <x v="4"/>
    <s v="3571"/>
    <s v="X-LARGE"/>
    <s v="316"/>
    <s v="4.0 UN"/>
    <s v="STANDARD"/>
    <s v="N"/>
    <s v="N"/>
    <s v="N"/>
    <s v="N"/>
    <s v="N"/>
    <s v="N"/>
    <s v="N"/>
    <s v="N"/>
    <s v="A042"/>
    <d v="2016-12-06T00:00:00"/>
    <s v="20"/>
    <s v="TAN"/>
    <s v="OR"/>
    <d v="2016-12-01T00:00:00"/>
    <s v="ID"/>
    <s v="US"/>
    <s v="ZR"/>
    <d v="2016-12-01T00:00:00"/>
  </r>
  <r>
    <x v="0"/>
    <x v="4"/>
    <x v="119"/>
    <x v="16"/>
    <s v="Standard order"/>
    <x v="105"/>
    <x v="105"/>
    <s v="A399"/>
    <s v="CRYSTAL A399NT"/>
    <s v="5002939"/>
    <s v="A399 ACH XL"/>
    <n v="80"/>
    <n v="0"/>
    <n v="80"/>
    <x v="4"/>
    <s v="DP71"/>
    <s v="X-LARGE"/>
    <s v="316"/>
    <s v="4.0 UN"/>
    <s v="STANDARD"/>
    <s v="N"/>
    <s v="N"/>
    <s v="N"/>
    <s v="N"/>
    <s v="N"/>
    <s v="N"/>
    <s v="N"/>
    <s v="N"/>
    <s v="A042"/>
    <d v="2016-12-06T00:00:00"/>
    <s v="30"/>
    <s v="TAN"/>
    <s v="OR"/>
    <d v="2016-12-01T00:00:00"/>
    <s v="ID"/>
    <s v="US"/>
    <s v="ZR"/>
    <d v="2016-12-01T00:00:00"/>
  </r>
  <r>
    <x v="0"/>
    <x v="4"/>
    <x v="120"/>
    <x v="16"/>
    <s v="Standard order"/>
    <x v="106"/>
    <x v="106"/>
    <s v="A501"/>
    <s v="CRYSTAL A501"/>
    <s v="5003305"/>
    <s v="A501 ACH PB LRG"/>
    <n v="32"/>
    <n v="0"/>
    <n v="32"/>
    <x v="4"/>
    <s v="EZPB"/>
    <s v="LARGE"/>
    <s v="314"/>
    <s v="4.0 UN"/>
    <s v="STANDARD"/>
    <s v="N"/>
    <s v="Y"/>
    <s v="N"/>
    <s v="N"/>
    <s v="N"/>
    <s v="N"/>
    <s v="N"/>
    <s v="N"/>
    <s v="A042"/>
    <d v="2016-12-06T00:00:00"/>
    <s v="10"/>
    <s v="TAN"/>
    <s v="OR"/>
    <d v="2016-12-01T00:00:00"/>
    <s v="ID"/>
    <s v="US"/>
    <s v="ZR"/>
    <d v="2016-12-01T00:00:00"/>
  </r>
  <r>
    <x v="0"/>
    <x v="5"/>
    <x v="121"/>
    <x v="12"/>
    <s v="Standard order"/>
    <x v="107"/>
    <x v="107"/>
    <s v="R116"/>
    <s v="CRYSTAL RR116"/>
    <s v="5003105"/>
    <s v="R116 ACH T20 PB SYSTIVA RP"/>
    <n v="32"/>
    <n v="0"/>
    <n v="32"/>
    <x v="5"/>
    <s v="AP71"/>
    <s v="RP"/>
    <s v="324"/>
    <s v="4.0 UN"/>
    <s v="STANDARD"/>
    <s v="N"/>
    <s v="Y"/>
    <s v="N"/>
    <s v="T20"/>
    <s v="Y"/>
    <s v="N"/>
    <s v="N"/>
    <s v="N"/>
    <s v="A014"/>
    <d v="2016-12-06T00:00:00"/>
    <s v="10"/>
    <s v="TAN"/>
    <s v="OR"/>
    <d v="2016-12-01T00:00:00"/>
    <s v="MT"/>
    <s v="US"/>
    <s v="ZR"/>
    <d v="2016-12-01T00:00:00"/>
  </r>
  <r>
    <x v="0"/>
    <x v="5"/>
    <x v="121"/>
    <x v="12"/>
    <s v="Standard order"/>
    <x v="107"/>
    <x v="107"/>
    <s v="Y400"/>
    <s v="CRYSTAL Y400NT"/>
    <s v="5003735"/>
    <s v="Y400 ACH T20 PB SYSTIVA RP"/>
    <n v="12"/>
    <n v="0"/>
    <n v="12"/>
    <x v="5"/>
    <s v="4TBP"/>
    <s v="RP"/>
    <s v="324"/>
    <s v="4.0 UN"/>
    <s v="STANDARD"/>
    <s v="N"/>
    <s v="Y"/>
    <s v="N"/>
    <s v="T20"/>
    <s v="Y"/>
    <s v="N"/>
    <s v="N"/>
    <s v="N"/>
    <s v="A014"/>
    <d v="2016-12-06T00:00:00"/>
    <s v="20"/>
    <s v="TAN"/>
    <s v="OR"/>
    <d v="2016-12-01T00:00:00"/>
    <s v="MT"/>
    <s v="US"/>
    <s v="ZR"/>
    <d v="2016-12-01T00:00:00"/>
  </r>
  <r>
    <x v="0"/>
    <x v="4"/>
    <x v="122"/>
    <x v="7"/>
    <s v="Standard order"/>
    <x v="108"/>
    <x v="108"/>
    <s v="A399"/>
    <s v="CRYSTAL A399NT"/>
    <s v="5002928"/>
    <s v="A399 ACH PB LRG"/>
    <n v="20"/>
    <n v="0"/>
    <n v="20"/>
    <x v="4"/>
    <s v="DP71"/>
    <s v="LARGE"/>
    <s v="314"/>
    <s v="4.0 UN"/>
    <s v="STANDARD"/>
    <s v="N"/>
    <s v="Y"/>
    <s v="N"/>
    <s v="N"/>
    <s v="N"/>
    <s v="N"/>
    <s v="N"/>
    <s v="N"/>
    <s v="A045"/>
    <d v="2016-12-06T00:00:00"/>
    <s v="10"/>
    <s v="TAN"/>
    <s v="OR"/>
    <d v="2016-12-01T00:00:00"/>
    <s v="OR"/>
    <s v="US"/>
    <s v="ZR"/>
    <d v="2016-12-01T00:00:00"/>
  </r>
  <r>
    <x v="0"/>
    <x v="4"/>
    <x v="123"/>
    <x v="8"/>
    <s v="Standard order"/>
    <x v="109"/>
    <x v="109"/>
    <s v="A399"/>
    <s v="CRYSTAL A399NT"/>
    <s v="5002931"/>
    <s v="A399 ACH PB XL"/>
    <n v="12"/>
    <n v="0"/>
    <n v="12"/>
    <x v="4"/>
    <s v="DP71"/>
    <s v="X-LARGE"/>
    <s v="314"/>
    <s v="4.0 UN"/>
    <s v="STANDARD"/>
    <s v="N"/>
    <s v="Y"/>
    <s v="N"/>
    <s v="N"/>
    <s v="N"/>
    <s v="N"/>
    <s v="N"/>
    <s v="N"/>
    <s v="A044"/>
    <d v="2016-12-06T00:00:00"/>
    <s v="10"/>
    <s v="TAN"/>
    <s v="OR"/>
    <d v="2016-12-01T00:00:00"/>
    <s v="ID"/>
    <s v="US"/>
    <s v="ZR"/>
    <d v="2016-12-01T00:00:00"/>
  </r>
  <r>
    <x v="0"/>
    <x v="0"/>
    <x v="124"/>
    <x v="10"/>
    <s v="Standard order"/>
    <x v="110"/>
    <x v="110"/>
    <s v="R059"/>
    <s v="CRYSTAL RR059"/>
    <s v="5003530"/>
    <s v="R059 ACH T20 Kabina RP"/>
    <n v="80"/>
    <n v="0"/>
    <n v="80"/>
    <x v="0"/>
    <s v="AP73"/>
    <s v="RP"/>
    <s v="387"/>
    <s v="4.0 UN"/>
    <s v="STANDARD"/>
    <s v="N"/>
    <s v="N"/>
    <s v="Y"/>
    <s v="T20"/>
    <s v="N"/>
    <s v="N"/>
    <s v="N"/>
    <s v="N"/>
    <s v="A036"/>
    <d v="2016-12-06T00:00:00"/>
    <s v="10"/>
    <s v="TAN"/>
    <s v="OR"/>
    <d v="2016-12-01T00:00:00"/>
    <s v="MI"/>
    <s v="US"/>
    <s v="ZR"/>
    <d v="2016-12-01T00:00:00"/>
  </r>
  <r>
    <x v="0"/>
    <x v="4"/>
    <x v="125"/>
    <x v="18"/>
    <s v="Standard order"/>
    <x v="111"/>
    <x v="111"/>
    <s v="R081"/>
    <s v="CRYSTAL RR081"/>
    <s v="5003552"/>
    <s v="R081 ACH PB MED IDH"/>
    <n v="64"/>
    <n v="0"/>
    <n v="64"/>
    <x v="4"/>
    <s v="AQ82"/>
    <s v="MEDIUM"/>
    <s v="314"/>
    <s v="4.0 UN"/>
    <s v="STANDARD"/>
    <s v="N"/>
    <s v="Y"/>
    <s v="N"/>
    <s v="N"/>
    <s v="N"/>
    <s v="N"/>
    <s v="N"/>
    <s v="N"/>
    <s v="A041"/>
    <d v="2016-12-06T00:00:00"/>
    <s v="10"/>
    <s v="TAN"/>
    <s v="OR"/>
    <d v="2016-12-01T00:00:00"/>
    <s v="ID"/>
    <s v="US"/>
    <s v="ZR"/>
    <d v="2016-12-01T00:00:00"/>
  </r>
  <r>
    <x v="0"/>
    <x v="4"/>
    <x v="125"/>
    <x v="18"/>
    <s v="Standard order"/>
    <x v="111"/>
    <x v="111"/>
    <s v="A501"/>
    <s v="CRYSTAL A501"/>
    <s v="5003306"/>
    <s v="A501 ACH PB MED"/>
    <n v="32"/>
    <n v="0"/>
    <n v="32"/>
    <x v="4"/>
    <s v="EZPB"/>
    <s v="MEDIUM"/>
    <s v="314"/>
    <s v="4.0 UN"/>
    <s v="STANDARD"/>
    <s v="N"/>
    <s v="Y"/>
    <s v="N"/>
    <s v="N"/>
    <s v="N"/>
    <s v="N"/>
    <s v="N"/>
    <s v="N"/>
    <s v="A041"/>
    <d v="2016-12-06T00:00:00"/>
    <s v="20"/>
    <s v="TAN"/>
    <s v="OR"/>
    <d v="2016-12-01T00:00:00"/>
    <s v="ID"/>
    <s v="US"/>
    <s v="ZR"/>
    <d v="2016-12-01T00:00:00"/>
  </r>
  <r>
    <x v="0"/>
    <x v="4"/>
    <x v="126"/>
    <x v="17"/>
    <s v="Standard order"/>
    <x v="112"/>
    <x v="112"/>
    <s v="A488"/>
    <s v="CRYSTAL A488NT"/>
    <s v="5002983"/>
    <s v="A488 ACH PB XL"/>
    <n v="76"/>
    <n v="0"/>
    <n v="76"/>
    <x v="4"/>
    <s v="EENE"/>
    <s v="X-LARGE"/>
    <s v="314"/>
    <s v="4.0 UN"/>
    <s v="STANDARD"/>
    <s v="N"/>
    <s v="Y"/>
    <s v="N"/>
    <s v="N"/>
    <s v="N"/>
    <s v="N"/>
    <s v="N"/>
    <s v="N"/>
    <s v="A040"/>
    <d v="2016-12-06T00:00:00"/>
    <s v="10"/>
    <s v="TAN"/>
    <s v="OR"/>
    <d v="2016-12-01T00:00:00"/>
    <s v="ID"/>
    <s v="US"/>
    <s v="ZR"/>
    <d v="2016-12-01T00:00:00"/>
  </r>
  <r>
    <x v="0"/>
    <x v="4"/>
    <x v="126"/>
    <x v="17"/>
    <s v="Standard order"/>
    <x v="112"/>
    <x v="112"/>
    <s v="A501"/>
    <s v="CRYSTAL A501"/>
    <s v="5003308"/>
    <s v="A501 ACH PB XL"/>
    <n v="40"/>
    <n v="0"/>
    <n v="40"/>
    <x v="4"/>
    <s v="EZPB"/>
    <s v="X-LARGE"/>
    <s v="314"/>
    <s v="4.0 UN"/>
    <s v="STANDARD"/>
    <s v="N"/>
    <s v="Y"/>
    <s v="N"/>
    <s v="N"/>
    <s v="N"/>
    <s v="N"/>
    <s v="N"/>
    <s v="N"/>
    <s v="A040"/>
    <d v="2016-12-06T00:00:00"/>
    <s v="20"/>
    <s v="TAN"/>
    <s v="OR"/>
    <d v="2016-12-01T00:00:00"/>
    <s v="ID"/>
    <s v="US"/>
    <s v="ZR"/>
    <d v="2016-12-01T00:00:00"/>
  </r>
  <r>
    <x v="0"/>
    <x v="4"/>
    <x v="126"/>
    <x v="17"/>
    <s v="Standard order"/>
    <x v="112"/>
    <x v="112"/>
    <s v="A399"/>
    <s v="CRYSTAL A399NT"/>
    <s v="5002931"/>
    <s v="A399 ACH PB XL"/>
    <n v="44"/>
    <n v="0"/>
    <n v="44"/>
    <x v="4"/>
    <s v="DP71"/>
    <s v="X-LARGE"/>
    <s v="314"/>
    <s v="4.0 UN"/>
    <s v="STANDARD"/>
    <s v="N"/>
    <s v="Y"/>
    <s v="N"/>
    <s v="N"/>
    <s v="N"/>
    <s v="N"/>
    <s v="N"/>
    <s v="N"/>
    <s v="A040"/>
    <d v="2016-12-06T00:00:00"/>
    <s v="30"/>
    <s v="TAN"/>
    <s v="OR"/>
    <d v="2016-12-01T00:00:00"/>
    <s v="ID"/>
    <s v="US"/>
    <s v="ZR"/>
    <d v="2016-12-01T00:00:00"/>
  </r>
  <r>
    <x v="0"/>
    <x v="4"/>
    <x v="127"/>
    <x v="7"/>
    <s v="Standard order"/>
    <x v="113"/>
    <x v="113"/>
    <s v="R933"/>
    <s v="CRYSTAL RR933"/>
    <s v="5003686"/>
    <s v="R933 ACH PB LRG"/>
    <n v="28"/>
    <n v="0"/>
    <n v="28"/>
    <x v="4"/>
    <s v="3571"/>
    <s v="LARGE"/>
    <s v="314"/>
    <s v="4.0 UN"/>
    <s v="STANDARD"/>
    <s v="N"/>
    <s v="Y"/>
    <s v="N"/>
    <s v="N"/>
    <s v="N"/>
    <s v="N"/>
    <s v="N"/>
    <s v="N"/>
    <s v="A045"/>
    <d v="2016-12-06T00:00:00"/>
    <s v="10"/>
    <s v="TAN"/>
    <s v="OR"/>
    <d v="2016-12-01T00:00:00"/>
    <s v="OR"/>
    <s v="US"/>
    <s v="ZR"/>
    <d v="2016-12-01T00:00:00"/>
  </r>
  <r>
    <x v="0"/>
    <x v="4"/>
    <x v="128"/>
    <x v="16"/>
    <s v="Standard order"/>
    <x v="114"/>
    <x v="114"/>
    <s v="A404"/>
    <s v="CRYSTAL A404NT"/>
    <s v="5002957"/>
    <s v="A404 ACH PB XL"/>
    <n v="112"/>
    <n v="0"/>
    <n v="112"/>
    <x v="4"/>
    <s v="DPNE"/>
    <s v="X-LARGE"/>
    <s v="314"/>
    <s v="4.0 UN"/>
    <s v="STANDARD"/>
    <s v="N"/>
    <s v="Y"/>
    <s v="N"/>
    <s v="N"/>
    <s v="N"/>
    <s v="N"/>
    <s v="N"/>
    <s v="N"/>
    <s v="A042"/>
    <d v="2016-12-06T00:00:00"/>
    <s v="10"/>
    <s v="TAN"/>
    <s v="OR"/>
    <d v="2016-12-01T00:00:00"/>
    <s v="ID"/>
    <s v="US"/>
    <s v="ZR"/>
    <d v="2016-12-01T00:00:00"/>
  </r>
  <r>
    <x v="0"/>
    <x v="4"/>
    <x v="128"/>
    <x v="16"/>
    <s v="Standard order"/>
    <x v="114"/>
    <x v="114"/>
    <s v="R933"/>
    <s v="CRYSTAL RR933"/>
    <s v="5003697"/>
    <s v="R933 ACH XL"/>
    <n v="96"/>
    <n v="0"/>
    <n v="96"/>
    <x v="4"/>
    <s v="3571"/>
    <s v="X-LARGE"/>
    <s v="316"/>
    <s v="4.0 UN"/>
    <s v="STANDARD"/>
    <s v="N"/>
    <s v="N"/>
    <s v="N"/>
    <s v="N"/>
    <s v="N"/>
    <s v="N"/>
    <s v="N"/>
    <s v="N"/>
    <s v="A042"/>
    <d v="2016-12-06T00:00:00"/>
    <s v="20"/>
    <s v="TAN"/>
    <s v="OR"/>
    <d v="2016-12-01T00:00:00"/>
    <s v="ID"/>
    <s v="US"/>
    <s v="ZR"/>
    <d v="2016-12-01T00:00:00"/>
  </r>
  <r>
    <x v="0"/>
    <x v="4"/>
    <x v="129"/>
    <x v="7"/>
    <s v="Standard order"/>
    <x v="115"/>
    <x v="115"/>
    <s v="A488"/>
    <s v="CRYSTAL A488NT"/>
    <s v="5002983"/>
    <s v="A488 ACH PB XL"/>
    <n v="28"/>
    <n v="0"/>
    <n v="28"/>
    <x v="4"/>
    <s v="EENE"/>
    <s v="X-LARGE"/>
    <s v="314"/>
    <s v="4.0 UN"/>
    <s v="STANDARD"/>
    <s v="N"/>
    <s v="Y"/>
    <s v="N"/>
    <s v="N"/>
    <s v="N"/>
    <s v="N"/>
    <s v="N"/>
    <s v="N"/>
    <s v="A045"/>
    <d v="2016-12-06T00:00:00"/>
    <s v="10"/>
    <s v="TAN"/>
    <s v="OR"/>
    <d v="2016-12-01T00:00:00"/>
    <s v="OR"/>
    <s v="US"/>
    <s v="ZR"/>
    <d v="2016-12-01T00:00:00"/>
  </r>
  <r>
    <x v="0"/>
    <x v="4"/>
    <x v="129"/>
    <x v="7"/>
    <s v="Standard order"/>
    <x v="115"/>
    <x v="115"/>
    <s v="A501"/>
    <s v="CRYSTAL A501"/>
    <s v="5003308"/>
    <s v="A501 ACH PB XL"/>
    <n v="16"/>
    <n v="0"/>
    <n v="16"/>
    <x v="4"/>
    <s v="EZPB"/>
    <s v="X-LARGE"/>
    <s v="314"/>
    <s v="4.0 UN"/>
    <s v="STANDARD"/>
    <s v="N"/>
    <s v="Y"/>
    <s v="N"/>
    <s v="N"/>
    <s v="N"/>
    <s v="N"/>
    <s v="N"/>
    <s v="N"/>
    <s v="A045"/>
    <d v="2016-12-06T00:00:00"/>
    <s v="20"/>
    <s v="TAN"/>
    <s v="OR"/>
    <d v="2016-12-01T00:00:00"/>
    <s v="OR"/>
    <s v="US"/>
    <s v="ZR"/>
    <d v="2016-12-01T00:00:00"/>
  </r>
  <r>
    <x v="0"/>
    <x v="4"/>
    <x v="130"/>
    <x v="17"/>
    <s v="Standard order"/>
    <x v="116"/>
    <x v="116"/>
    <s v="A501"/>
    <s v="CRYSTAL A501"/>
    <s v="5003305"/>
    <s v="A501 ACH PB LRG"/>
    <n v="40"/>
    <n v="0"/>
    <n v="40"/>
    <x v="4"/>
    <s v="EZPB"/>
    <s v="LARGE"/>
    <s v="314"/>
    <s v="4.0 UN"/>
    <s v="STANDARD"/>
    <s v="N"/>
    <s v="Y"/>
    <s v="N"/>
    <s v="N"/>
    <s v="N"/>
    <s v="N"/>
    <s v="N"/>
    <s v="N"/>
    <s v="A040"/>
    <d v="2016-12-06T00:00:00"/>
    <s v="10"/>
    <s v="TAN"/>
    <s v="OR"/>
    <d v="2016-12-01T00:00:00"/>
    <s v="ID"/>
    <s v="US"/>
    <s v="ZR"/>
    <d v="2016-12-01T00:00:00"/>
  </r>
  <r>
    <x v="0"/>
    <x v="4"/>
    <x v="130"/>
    <x v="17"/>
    <s v="Standard order"/>
    <x v="116"/>
    <x v="116"/>
    <s v="A399"/>
    <s v="CRYSTAL A399NT"/>
    <s v="5002928"/>
    <s v="A399 ACH PB LRG"/>
    <n v="80"/>
    <n v="0"/>
    <n v="80"/>
    <x v="4"/>
    <s v="DP71"/>
    <s v="LARGE"/>
    <s v="314"/>
    <s v="4.0 UN"/>
    <s v="STANDARD"/>
    <s v="N"/>
    <s v="Y"/>
    <s v="N"/>
    <s v="N"/>
    <s v="N"/>
    <s v="N"/>
    <s v="N"/>
    <s v="N"/>
    <s v="A040"/>
    <d v="2016-12-06T00:00:00"/>
    <s v="20"/>
    <s v="TAN"/>
    <s v="OR"/>
    <d v="2016-12-01T00:00:00"/>
    <s v="ID"/>
    <s v="US"/>
    <s v="ZR"/>
    <d v="2016-12-01T00:00:00"/>
  </r>
  <r>
    <x v="0"/>
    <x v="4"/>
    <x v="130"/>
    <x v="17"/>
    <s v="Standard order"/>
    <x v="116"/>
    <x v="116"/>
    <s v="A404"/>
    <s v="CRYSTAL A404NT"/>
    <s v="5002954"/>
    <s v="A404 ACH PB LRG"/>
    <n v="108"/>
    <n v="0"/>
    <n v="108"/>
    <x v="4"/>
    <s v="DPNE"/>
    <s v="LARGE"/>
    <s v="314"/>
    <s v="4.0 UN"/>
    <s v="STANDARD"/>
    <s v="N"/>
    <s v="Y"/>
    <s v="N"/>
    <s v="N"/>
    <s v="N"/>
    <s v="N"/>
    <s v="N"/>
    <s v="N"/>
    <s v="A040"/>
    <d v="2016-12-06T00:00:00"/>
    <s v="30"/>
    <s v="TAN"/>
    <s v="OR"/>
    <d v="2016-12-01T00:00:00"/>
    <s v="ID"/>
    <s v="US"/>
    <s v="ZR"/>
    <d v="2016-12-01T00:00:00"/>
  </r>
  <r>
    <x v="0"/>
    <x v="4"/>
    <x v="131"/>
    <x v="17"/>
    <s v="Standard order"/>
    <x v="117"/>
    <x v="117"/>
    <s v="A501"/>
    <s v="CRYSTAL A501"/>
    <s v="5003308"/>
    <s v="A501 ACH PB XL"/>
    <n v="36"/>
    <n v="0"/>
    <n v="36"/>
    <x v="4"/>
    <s v="EZPB"/>
    <s v="X-LARGE"/>
    <s v="314"/>
    <s v="4.0 UN"/>
    <s v="STANDARD"/>
    <s v="N"/>
    <s v="Y"/>
    <s v="N"/>
    <s v="N"/>
    <s v="N"/>
    <s v="N"/>
    <s v="N"/>
    <s v="N"/>
    <s v="A040"/>
    <d v="2016-12-06T00:00:00"/>
    <s v="10"/>
    <s v="TAN"/>
    <s v="OR"/>
    <d v="2016-12-01T00:00:00"/>
    <s v="ID"/>
    <s v="US"/>
    <s v="ZR"/>
    <d v="2016-12-01T00:00:00"/>
  </r>
  <r>
    <x v="0"/>
    <x v="4"/>
    <x v="131"/>
    <x v="17"/>
    <s v="Standard order"/>
    <x v="117"/>
    <x v="117"/>
    <s v="A404"/>
    <s v="CRYSTAL A404NT"/>
    <s v="5002957"/>
    <s v="A404 ACH PB XL"/>
    <n v="80"/>
    <n v="0"/>
    <n v="80"/>
    <x v="4"/>
    <s v="DPNE"/>
    <s v="X-LARGE"/>
    <s v="314"/>
    <s v="4.0 UN"/>
    <s v="STANDARD"/>
    <s v="N"/>
    <s v="Y"/>
    <s v="N"/>
    <s v="N"/>
    <s v="N"/>
    <s v="N"/>
    <s v="N"/>
    <s v="N"/>
    <s v="A040"/>
    <d v="2016-12-06T00:00:00"/>
    <s v="20"/>
    <s v="TAN"/>
    <s v="OR"/>
    <d v="2016-12-01T00:00:00"/>
    <s v="ID"/>
    <s v="US"/>
    <s v="ZR"/>
    <d v="2016-12-01T00:00:00"/>
  </r>
  <r>
    <x v="0"/>
    <x v="0"/>
    <x v="132"/>
    <x v="10"/>
    <s v="Standard order"/>
    <x v="118"/>
    <x v="118"/>
    <s v="R059"/>
    <s v="CRYSTAL RR059"/>
    <s v="5003536"/>
    <s v="R059 ACH T20 SYSTIVA RP"/>
    <n v="72"/>
    <n v="0"/>
    <n v="72"/>
    <x v="0"/>
    <s v="AP73"/>
    <s v="RP"/>
    <s v="328"/>
    <s v="4.0 UN"/>
    <s v="STANDARD"/>
    <s v="N"/>
    <s v="N"/>
    <s v="N"/>
    <s v="T20"/>
    <s v="Y"/>
    <s v="N"/>
    <s v="Y"/>
    <s v="N"/>
    <s v="A036"/>
    <d v="2016-12-06T00:00:00"/>
    <s v="10"/>
    <s v="TAN"/>
    <s v="OR"/>
    <d v="2016-12-01T00:00:00"/>
    <s v="MI"/>
    <s v="US"/>
    <s v="ZR"/>
    <d v="2016-12-01T00:00:00"/>
  </r>
  <r>
    <x v="0"/>
    <x v="0"/>
    <x v="132"/>
    <x v="10"/>
    <s v="Standard order"/>
    <x v="118"/>
    <x v="118"/>
    <s v="G515"/>
    <s v="CRYSTAL G515"/>
    <s v="5003019"/>
    <s v="G515 ACH T20 Kabina RP"/>
    <n v="20"/>
    <n v="0"/>
    <n v="20"/>
    <x v="0"/>
    <s v="APND"/>
    <s v="RP"/>
    <s v="387"/>
    <s v="4.0 UN"/>
    <s v="STANDARD"/>
    <s v="N"/>
    <s v="N"/>
    <s v="Y"/>
    <s v="T20"/>
    <s v="N"/>
    <s v="N"/>
    <s v="N"/>
    <s v="N"/>
    <s v="A036"/>
    <d v="2016-12-06T00:00:00"/>
    <s v="20"/>
    <s v="TAN"/>
    <s v="OR"/>
    <d v="2016-12-01T00:00:00"/>
    <s v="MI"/>
    <s v="US"/>
    <s v="ZR"/>
    <d v="2016-12-01T00:00:00"/>
  </r>
  <r>
    <x v="0"/>
    <x v="0"/>
    <x v="133"/>
    <x v="2"/>
    <s v="Standard order"/>
    <x v="119"/>
    <x v="119"/>
    <s v="G333"/>
    <s v="CRYSTAL G333NT"/>
    <s v="5003376"/>
    <s v="G333 ACH T20 Kabina ELS"/>
    <n v="32"/>
    <n v="0"/>
    <n v="32"/>
    <x v="0"/>
    <s v="EE73"/>
    <s v="ELS"/>
    <s v="387"/>
    <s v="4.0 UN"/>
    <s v="STANDARD"/>
    <s v="N"/>
    <s v="N"/>
    <s v="Y"/>
    <s v="T20"/>
    <s v="N"/>
    <s v="N"/>
    <s v="N"/>
    <s v="N"/>
    <s v="A034"/>
    <d v="2016-12-06T00:00:00"/>
    <s v="10"/>
    <s v="TAN"/>
    <s v="OR"/>
    <d v="2016-12-01T00:00:00"/>
    <s v="MI"/>
    <s v="US"/>
    <s v="ZR"/>
    <d v="2016-12-01T00:00:00"/>
  </r>
  <r>
    <x v="0"/>
    <x v="0"/>
    <x v="133"/>
    <x v="2"/>
    <s v="Standard order"/>
    <x v="119"/>
    <x v="119"/>
    <s v="G351"/>
    <s v="CRYSTAL G351NT"/>
    <s v="5003396"/>
    <s v="G351 ACH T20 Kabina ELS"/>
    <n v="32"/>
    <n v="0"/>
    <n v="32"/>
    <x v="0"/>
    <s v="DA73"/>
    <s v="ELS"/>
    <s v="387"/>
    <s v="4.0 UN"/>
    <s v="STANDARD"/>
    <s v="N"/>
    <s v="N"/>
    <s v="Y"/>
    <s v="T20"/>
    <s v="N"/>
    <s v="N"/>
    <s v="N"/>
    <s v="N"/>
    <s v="A034"/>
    <d v="2016-12-06T00:00:00"/>
    <s v="20"/>
    <s v="TAN"/>
    <s v="OR"/>
    <d v="2016-12-01T00:00:00"/>
    <s v="MI"/>
    <s v="US"/>
    <s v="ZR"/>
    <d v="2016-12-01T00:00:00"/>
  </r>
  <r>
    <x v="0"/>
    <x v="4"/>
    <x v="134"/>
    <x v="7"/>
    <s v="Standard order"/>
    <x v="120"/>
    <x v="120"/>
    <s v="A488"/>
    <s v="CRYSTAL A488NT"/>
    <s v="5002988"/>
    <s v="A488 ACH T20 PB Kabina MP"/>
    <n v="8"/>
    <n v="0"/>
    <n v="8"/>
    <x v="4"/>
    <s v="EENE"/>
    <s v="MP"/>
    <s v="388"/>
    <s v="4.0 UN"/>
    <s v="STANDARD"/>
    <s v="N"/>
    <s v="Y"/>
    <s v="Y"/>
    <s v="T20"/>
    <s v="N"/>
    <s v="N"/>
    <s v="N"/>
    <s v="N"/>
    <s v="A045"/>
    <d v="2016-12-06T00:00:00"/>
    <s v="10"/>
    <s v="TAN"/>
    <s v="OR"/>
    <d v="2016-12-01T00:00:00"/>
    <s v="ID"/>
    <s v="US"/>
    <s v="ZR"/>
    <d v="2016-12-01T00:00:00"/>
  </r>
  <r>
    <x v="0"/>
    <x v="4"/>
    <x v="135"/>
    <x v="7"/>
    <s v="Standard order"/>
    <x v="121"/>
    <x v="121"/>
    <s v="R933"/>
    <s v="CRYSTAL RR933"/>
    <s v="5003694"/>
    <s v="R933 ACH T20 PB Kabina MP"/>
    <n v="20"/>
    <n v="0"/>
    <n v="20"/>
    <x v="4"/>
    <s v="3571"/>
    <s v="MP"/>
    <s v="388"/>
    <s v="4.0 UN"/>
    <s v="STANDARD"/>
    <s v="N"/>
    <s v="Y"/>
    <s v="Y"/>
    <s v="T20"/>
    <s v="N"/>
    <s v="N"/>
    <s v="N"/>
    <s v="N"/>
    <s v="A045"/>
    <d v="2016-12-06T00:00:00"/>
    <s v="10"/>
    <s v="TAN"/>
    <s v="OR"/>
    <d v="2016-12-01T00:00:00"/>
    <s v="OR"/>
    <s v="US"/>
    <s v="ZR"/>
    <d v="2016-12-01T00:00:00"/>
  </r>
  <r>
    <x v="0"/>
    <x v="4"/>
    <x v="136"/>
    <x v="17"/>
    <s v="Standard order"/>
    <x v="122"/>
    <x v="122"/>
    <s v="A501"/>
    <s v="CRYSTAL A501"/>
    <s v="5003313"/>
    <s v="A501 ACH T20 PB Kabina MP"/>
    <n v="24"/>
    <n v="0"/>
    <n v="24"/>
    <x v="4"/>
    <s v="EZPB"/>
    <s v="MP"/>
    <s v="388"/>
    <s v="4.0 UN"/>
    <s v="STANDARD"/>
    <s v="N"/>
    <s v="Y"/>
    <s v="Y"/>
    <s v="T20"/>
    <s v="N"/>
    <s v="N"/>
    <s v="N"/>
    <s v="N"/>
    <s v="A040"/>
    <d v="2016-12-06T00:00:00"/>
    <s v="10"/>
    <s v="TAN"/>
    <s v="OR"/>
    <d v="2016-12-01T00:00:00"/>
    <s v="ID"/>
    <s v="US"/>
    <s v="ZR"/>
    <d v="2016-12-01T00:00:00"/>
  </r>
  <r>
    <x v="0"/>
    <x v="4"/>
    <x v="136"/>
    <x v="17"/>
    <s v="Standard order"/>
    <x v="122"/>
    <x v="122"/>
    <s v="A399"/>
    <s v="CRYSTAL A399NT"/>
    <s v="5002936"/>
    <s v="A399 ACH T20 PB Kabina MP"/>
    <n v="24"/>
    <n v="0"/>
    <n v="24"/>
    <x v="4"/>
    <s v="DP71"/>
    <s v="MP"/>
    <s v="388"/>
    <s v="4.0 UN"/>
    <s v="STANDARD"/>
    <s v="N"/>
    <s v="Y"/>
    <s v="Y"/>
    <s v="T20"/>
    <s v="N"/>
    <s v="N"/>
    <s v="N"/>
    <s v="N"/>
    <s v="A040"/>
    <d v="2016-12-06T00:00:00"/>
    <s v="20"/>
    <s v="TAN"/>
    <s v="OR"/>
    <d v="2016-12-01T00:00:00"/>
    <s v="ID"/>
    <s v="US"/>
    <s v="ZR"/>
    <d v="2016-12-01T00:00:00"/>
  </r>
  <r>
    <x v="0"/>
    <x v="4"/>
    <x v="137"/>
    <x v="18"/>
    <s v="Standard order"/>
    <x v="123"/>
    <x v="123"/>
    <s v="R081"/>
    <s v="CRYSTAL RR081"/>
    <s v="5003554"/>
    <s v="R081 ACH PB XL IDH"/>
    <n v="120"/>
    <n v="0"/>
    <n v="120"/>
    <x v="4"/>
    <s v="AQ82"/>
    <s v="X-LARGE"/>
    <s v="314"/>
    <s v="4.0 UN"/>
    <s v="STANDARD"/>
    <s v="N"/>
    <s v="Y"/>
    <s v="N"/>
    <s v="N"/>
    <s v="N"/>
    <s v="N"/>
    <s v="N"/>
    <s v="N"/>
    <s v="A041"/>
    <d v="2016-12-06T00:00:00"/>
    <s v="10"/>
    <s v="TAN"/>
    <s v="OR"/>
    <d v="2016-12-01T00:00:00"/>
    <s v="ID"/>
    <s v="US"/>
    <s v="ZR"/>
    <d v="2016-12-01T00:00:00"/>
  </r>
  <r>
    <x v="0"/>
    <x v="4"/>
    <x v="137"/>
    <x v="18"/>
    <s v="Standard order"/>
    <x v="123"/>
    <x v="123"/>
    <s v="A399"/>
    <s v="CRYSTAL A399NT"/>
    <s v="5002931"/>
    <s v="A399 ACH PB XL"/>
    <n v="80"/>
    <n v="0"/>
    <n v="80"/>
    <x v="4"/>
    <s v="DP71"/>
    <s v="X-LARGE"/>
    <s v="314"/>
    <s v="4.0 UN"/>
    <s v="STANDARD"/>
    <s v="N"/>
    <s v="Y"/>
    <s v="N"/>
    <s v="N"/>
    <s v="N"/>
    <s v="N"/>
    <s v="N"/>
    <s v="N"/>
    <s v="A041"/>
    <d v="2016-12-06T00:00:00"/>
    <s v="20"/>
    <s v="TAN"/>
    <s v="OR"/>
    <d v="2016-12-01T00:00:00"/>
    <s v="ID"/>
    <s v="US"/>
    <s v="ZR"/>
    <d v="2016-12-01T00:00:00"/>
  </r>
  <r>
    <x v="0"/>
    <x v="4"/>
    <x v="137"/>
    <x v="18"/>
    <s v="Standard order"/>
    <x v="123"/>
    <x v="123"/>
    <s v="A501"/>
    <s v="CRYSTAL A501"/>
    <s v="5003308"/>
    <s v="A501 ACH PB XL"/>
    <n v="40"/>
    <n v="0"/>
    <n v="40"/>
    <x v="4"/>
    <s v="EZPB"/>
    <s v="X-LARGE"/>
    <s v="314"/>
    <s v="4.0 UN"/>
    <s v="STANDARD"/>
    <s v="N"/>
    <s v="Y"/>
    <s v="N"/>
    <s v="N"/>
    <s v="N"/>
    <s v="N"/>
    <s v="N"/>
    <s v="N"/>
    <s v="A041"/>
    <d v="2016-12-06T00:00:00"/>
    <s v="30"/>
    <s v="TAN"/>
    <s v="OR"/>
    <d v="2016-12-01T00:00:00"/>
    <s v="ID"/>
    <s v="US"/>
    <s v="ZR"/>
    <d v="2016-12-01T00:00:00"/>
  </r>
  <r>
    <x v="0"/>
    <x v="4"/>
    <x v="138"/>
    <x v="20"/>
    <s v="Standard order"/>
    <x v="124"/>
    <x v="124"/>
    <s v="A399"/>
    <s v="CRYSTAL A399NT"/>
    <s v="5002939"/>
    <s v="A399 ACH XL"/>
    <n v="52"/>
    <n v="0"/>
    <n v="52"/>
    <x v="4"/>
    <s v="DP71"/>
    <s v="X-LARGE"/>
    <s v="316"/>
    <s v="4.0 UN"/>
    <s v="STANDARD"/>
    <s v="N"/>
    <s v="N"/>
    <s v="N"/>
    <s v="N"/>
    <s v="N"/>
    <s v="N"/>
    <s v="N"/>
    <s v="N"/>
    <s v="A039"/>
    <d v="2016-12-06T00:00:00"/>
    <s v="10"/>
    <s v="TAN"/>
    <s v="OR"/>
    <d v="2016-12-01T00:00:00"/>
    <s v="ID"/>
    <s v="US"/>
    <s v="ZR"/>
    <d v="2016-12-01T00:00:00"/>
  </r>
  <r>
    <x v="0"/>
    <x v="4"/>
    <x v="139"/>
    <x v="7"/>
    <s v="Standard order"/>
    <x v="125"/>
    <x v="125"/>
    <s v="R081"/>
    <s v="CRYSTAL RR081"/>
    <s v="5003572"/>
    <s v="R081 ACH T20 PB MP IDH"/>
    <n v="80"/>
    <n v="0"/>
    <n v="80"/>
    <x v="4"/>
    <s v="AQ82"/>
    <s v="MP"/>
    <s v="318"/>
    <s v="4.0 UN"/>
    <s v="STANDARD"/>
    <s v="N"/>
    <s v="Y"/>
    <s v="N"/>
    <s v="T20"/>
    <s v="N"/>
    <s v="N"/>
    <s v="N"/>
    <s v="N"/>
    <s v="A045"/>
    <d v="2016-12-06T00:00:00"/>
    <s v="10"/>
    <s v="TAN"/>
    <s v="OR"/>
    <d v="2016-11-30T00:00:00"/>
    <s v="OR"/>
    <s v="US"/>
    <s v="ZR"/>
    <d v="2016-12-01T00:00:00"/>
  </r>
  <r>
    <x v="0"/>
    <x v="5"/>
    <x v="140"/>
    <x v="14"/>
    <s v="Standard order"/>
    <x v="126"/>
    <x v="126"/>
    <s v="Y313"/>
    <s v="CRYSTAL Y313NT"/>
    <s v="5003709"/>
    <s v="Y313 ACH T20 PB SYSTIVA MP"/>
    <n v="12"/>
    <n v="0"/>
    <n v="12"/>
    <x v="5"/>
    <s v="DLNC"/>
    <s v="MP"/>
    <s v="324"/>
    <s v="4.0 UN"/>
    <s v="STANDARD"/>
    <s v="N"/>
    <s v="Y"/>
    <s v="N"/>
    <s v="T20"/>
    <s v="Y"/>
    <s v="N"/>
    <s v="N"/>
    <s v="N"/>
    <s v="A017"/>
    <d v="2016-12-06T00:00:00"/>
    <s v="10"/>
    <s v="TAN"/>
    <s v="OR"/>
    <d v="2016-11-30T00:00:00"/>
    <s v="WY"/>
    <s v="US"/>
    <s v="ZR"/>
    <d v="2016-12-01T00:00:00"/>
  </r>
  <r>
    <x v="0"/>
    <x v="0"/>
    <x v="141"/>
    <x v="2"/>
    <s v="Standard order"/>
    <x v="127"/>
    <x v="127"/>
    <s v="G515"/>
    <s v="CRYSTAL G515"/>
    <s v="5003018"/>
    <s v="G515 ACH T20 Kabina MP"/>
    <n v="4"/>
    <n v="0"/>
    <n v="4"/>
    <x v="0"/>
    <s v="APND"/>
    <s v="MP"/>
    <s v="387"/>
    <s v="4.0 UN"/>
    <s v="STANDARD"/>
    <s v="N"/>
    <s v="N"/>
    <s v="Y"/>
    <s v="T20"/>
    <s v="N"/>
    <s v="N"/>
    <s v="N"/>
    <s v="N"/>
    <s v="A034"/>
    <d v="2016-12-06T00:00:00"/>
    <s v="10"/>
    <s v="TAN"/>
    <s v="OR"/>
    <d v="2016-11-30T00:00:00"/>
    <s v="MI"/>
    <s v="US"/>
    <s v="ZR"/>
    <d v="2016-12-01T00:00:00"/>
  </r>
  <r>
    <x v="0"/>
    <x v="4"/>
    <x v="142"/>
    <x v="8"/>
    <s v="Standard order"/>
    <x v="128"/>
    <x v="128"/>
    <s v="A404"/>
    <s v="CRYSTAL A404NT"/>
    <s v="5002957"/>
    <s v="A404 ACH PB XL"/>
    <n v="24"/>
    <n v="0"/>
    <n v="24"/>
    <x v="4"/>
    <s v="DPNE"/>
    <s v="X-LARGE"/>
    <s v="314"/>
    <s v="4.0 UN"/>
    <s v="STANDARD"/>
    <s v="N"/>
    <s v="Y"/>
    <s v="N"/>
    <s v="N"/>
    <s v="N"/>
    <s v="N"/>
    <s v="N"/>
    <s v="N"/>
    <s v="A044"/>
    <d v="2016-12-06T00:00:00"/>
    <s v="10"/>
    <s v="TAN"/>
    <s v="OR"/>
    <d v="2016-11-30T00:00:00"/>
    <s v="ID"/>
    <s v="US"/>
    <s v="ZR"/>
    <d v="2016-12-01T00:00:00"/>
  </r>
  <r>
    <x v="0"/>
    <x v="4"/>
    <x v="142"/>
    <x v="8"/>
    <s v="Standard order"/>
    <x v="128"/>
    <x v="128"/>
    <s v="A399"/>
    <s v="CRYSTAL A399NT"/>
    <s v="5002931"/>
    <s v="A399 ACH PB XL"/>
    <n v="192"/>
    <n v="0"/>
    <n v="192"/>
    <x v="4"/>
    <s v="DP71"/>
    <s v="X-LARGE"/>
    <s v="314"/>
    <s v="4.0 UN"/>
    <s v="STANDARD"/>
    <s v="N"/>
    <s v="Y"/>
    <s v="N"/>
    <s v="N"/>
    <s v="N"/>
    <s v="N"/>
    <s v="N"/>
    <s v="N"/>
    <s v="A044"/>
    <d v="2016-12-06T00:00:00"/>
    <s v="20"/>
    <s v="TAN"/>
    <s v="OR"/>
    <d v="2016-11-30T00:00:00"/>
    <s v="ID"/>
    <s v="US"/>
    <s v="ZR"/>
    <d v="2016-12-01T00:00:00"/>
  </r>
  <r>
    <x v="0"/>
    <x v="4"/>
    <x v="143"/>
    <x v="8"/>
    <s v="Standard order"/>
    <x v="129"/>
    <x v="129"/>
    <s v="A399"/>
    <s v="CRYSTAL A399NT"/>
    <s v="5002931"/>
    <s v="A399 ACH PB XL"/>
    <n v="168"/>
    <n v="0"/>
    <n v="168"/>
    <x v="4"/>
    <s v="DP71"/>
    <s v="X-LARGE"/>
    <s v="314"/>
    <s v="4.0 UN"/>
    <s v="STANDARD"/>
    <s v="N"/>
    <s v="Y"/>
    <s v="N"/>
    <s v="N"/>
    <s v="N"/>
    <s v="N"/>
    <s v="N"/>
    <s v="N"/>
    <s v="A044"/>
    <d v="2016-12-06T00:00:00"/>
    <s v="10"/>
    <s v="TAN"/>
    <s v="OR"/>
    <d v="2016-11-30T00:00:00"/>
    <s v="ID"/>
    <s v="US"/>
    <s v="ZR"/>
    <d v="2016-12-01T00:00:00"/>
  </r>
  <r>
    <x v="0"/>
    <x v="4"/>
    <x v="143"/>
    <x v="8"/>
    <s v="Standard order"/>
    <x v="129"/>
    <x v="129"/>
    <s v="A404"/>
    <s v="CRYSTAL A404NT"/>
    <s v="5002957"/>
    <s v="A404 ACH PB XL"/>
    <n v="224"/>
    <n v="0"/>
    <n v="224"/>
    <x v="4"/>
    <s v="DPNE"/>
    <s v="X-LARGE"/>
    <s v="314"/>
    <s v="4.0 UN"/>
    <s v="STANDARD"/>
    <s v="N"/>
    <s v="Y"/>
    <s v="N"/>
    <s v="N"/>
    <s v="N"/>
    <s v="N"/>
    <s v="N"/>
    <s v="N"/>
    <s v="A044"/>
    <d v="2016-12-06T00:00:00"/>
    <s v="20"/>
    <s v="TAN"/>
    <s v="OR"/>
    <d v="2016-11-30T00:00:00"/>
    <s v="ID"/>
    <s v="US"/>
    <s v="ZR"/>
    <d v="2016-12-01T00:00:00"/>
  </r>
  <r>
    <x v="0"/>
    <x v="4"/>
    <x v="143"/>
    <x v="8"/>
    <s v="Standard order"/>
    <x v="129"/>
    <x v="129"/>
    <s v="A501"/>
    <s v="CRYSTAL A501"/>
    <s v="5003308"/>
    <s v="A501 ACH PB XL"/>
    <n v="24"/>
    <n v="0"/>
    <n v="24"/>
    <x v="4"/>
    <s v="EZPB"/>
    <s v="X-LARGE"/>
    <s v="314"/>
    <s v="4.0 UN"/>
    <s v="STANDARD"/>
    <s v="N"/>
    <s v="Y"/>
    <s v="N"/>
    <s v="N"/>
    <s v="N"/>
    <s v="N"/>
    <s v="N"/>
    <s v="N"/>
    <s v="A044"/>
    <d v="2016-12-06T00:00:00"/>
    <s v="30"/>
    <s v="TAN"/>
    <s v="OR"/>
    <d v="2016-11-30T00:00:00"/>
    <s v="ID"/>
    <s v="US"/>
    <s v="ZR"/>
    <d v="2016-12-01T00:00:00"/>
  </r>
  <r>
    <x v="0"/>
    <x v="4"/>
    <x v="143"/>
    <x v="8"/>
    <s v="Standard order"/>
    <x v="129"/>
    <x v="129"/>
    <s v="R240"/>
    <s v="CRYSTAL RR240NT"/>
    <s v="5003162"/>
    <s v="R240 ACH PB XL"/>
    <n v="96"/>
    <n v="0"/>
    <n v="96"/>
    <x v="4"/>
    <s v="BHMP"/>
    <s v="X-LARGE"/>
    <s v="314"/>
    <s v="4.0 UN"/>
    <s v="STANDARD"/>
    <s v="N"/>
    <s v="Y"/>
    <s v="N"/>
    <s v="N"/>
    <s v="N"/>
    <s v="N"/>
    <s v="N"/>
    <s v="N"/>
    <s v="A044"/>
    <d v="2016-12-06T00:00:00"/>
    <s v="40"/>
    <s v="TAN"/>
    <s v="OR"/>
    <d v="2016-11-30T00:00:00"/>
    <s v="ID"/>
    <s v="US"/>
    <s v="ZR"/>
    <d v="2016-12-01T00:00:00"/>
  </r>
  <r>
    <x v="0"/>
    <x v="4"/>
    <x v="144"/>
    <x v="8"/>
    <s v="Standard order"/>
    <x v="130"/>
    <x v="130"/>
    <s v="R933"/>
    <s v="CRYSTAL RR933"/>
    <s v="5003686"/>
    <s v="R933 ACH PB LRG"/>
    <n v="48"/>
    <n v="0"/>
    <n v="48"/>
    <x v="4"/>
    <s v="3571"/>
    <s v="LARGE"/>
    <s v="314"/>
    <s v="4.0 UN"/>
    <s v="STANDARD"/>
    <s v="N"/>
    <s v="Y"/>
    <s v="N"/>
    <s v="N"/>
    <s v="N"/>
    <s v="N"/>
    <s v="N"/>
    <s v="N"/>
    <s v="A044"/>
    <d v="2016-12-06T00:00:00"/>
    <s v="10"/>
    <s v="TAN"/>
    <s v="OR"/>
    <d v="2016-11-30T00:00:00"/>
    <s v="ID"/>
    <s v="US"/>
    <s v="ZR"/>
    <d v="2016-12-01T00:00:00"/>
  </r>
  <r>
    <x v="0"/>
    <x v="0"/>
    <x v="145"/>
    <x v="10"/>
    <s v="Standard order"/>
    <x v="131"/>
    <x v="131"/>
    <s v="R059"/>
    <s v="CRYSTAL RR059"/>
    <s v="5003530"/>
    <s v="R059 ACH T20 Kabina RP"/>
    <n v="20"/>
    <n v="0"/>
    <n v="20"/>
    <x v="0"/>
    <s v="AP73"/>
    <s v="RP"/>
    <s v="387"/>
    <s v="4.0 UN"/>
    <s v="STANDARD"/>
    <s v="N"/>
    <s v="N"/>
    <s v="Y"/>
    <s v="T20"/>
    <s v="N"/>
    <s v="N"/>
    <s v="N"/>
    <s v="N"/>
    <s v="A036"/>
    <d v="2016-12-06T00:00:00"/>
    <s v="10"/>
    <s v="TAN"/>
    <s v="OR"/>
    <d v="2016-11-30T00:00:00"/>
    <s v="MI"/>
    <s v="US"/>
    <s v="ZR"/>
    <d v="2016-12-01T00:00:00"/>
  </r>
  <r>
    <x v="0"/>
    <x v="0"/>
    <x v="145"/>
    <x v="10"/>
    <s v="Standard order"/>
    <x v="131"/>
    <x v="131"/>
    <s v="G515"/>
    <s v="CRYSTAL G515"/>
    <s v="5003019"/>
    <s v="G515 ACH T20 Kabina RP"/>
    <n v="20"/>
    <n v="0"/>
    <n v="20"/>
    <x v="0"/>
    <s v="APND"/>
    <s v="RP"/>
    <s v="387"/>
    <s v="4.0 UN"/>
    <s v="STANDARD"/>
    <s v="N"/>
    <s v="N"/>
    <s v="Y"/>
    <s v="T20"/>
    <s v="N"/>
    <s v="N"/>
    <s v="N"/>
    <s v="N"/>
    <s v="A036"/>
    <d v="2016-12-06T00:00:00"/>
    <s v="20"/>
    <s v="TAN"/>
    <s v="OR"/>
    <d v="2016-11-30T00:00:00"/>
    <s v="MI"/>
    <s v="US"/>
    <s v="ZR"/>
    <d v="2016-12-01T00:00:00"/>
  </r>
  <r>
    <x v="0"/>
    <x v="0"/>
    <x v="146"/>
    <x v="10"/>
    <s v="Standard order"/>
    <x v="132"/>
    <x v="132"/>
    <s v="R059"/>
    <s v="CRYSTAL RR059"/>
    <s v="5003530"/>
    <s v="R059 ACH T20 Kabina RP"/>
    <n v="44"/>
    <n v="0"/>
    <n v="44"/>
    <x v="0"/>
    <s v="AP73"/>
    <s v="RP"/>
    <s v="387"/>
    <s v="4.0 UN"/>
    <s v="STANDARD"/>
    <s v="N"/>
    <s v="N"/>
    <s v="Y"/>
    <s v="T20"/>
    <s v="N"/>
    <s v="N"/>
    <s v="N"/>
    <s v="N"/>
    <s v="A036"/>
    <d v="2016-12-06T00:00:00"/>
    <s v="10"/>
    <s v="TAN"/>
    <s v="OR"/>
    <d v="2016-11-30T00:00:00"/>
    <s v="MI"/>
    <s v="US"/>
    <s v="ZR"/>
    <d v="2016-12-01T00:00:00"/>
  </r>
  <r>
    <x v="0"/>
    <x v="0"/>
    <x v="147"/>
    <x v="10"/>
    <s v="Standard order"/>
    <x v="133"/>
    <x v="133"/>
    <s v="R059"/>
    <s v="CRYSTAL RR059"/>
    <s v="5003530"/>
    <s v="R059 ACH T20 Kabina RP"/>
    <n v="48"/>
    <n v="0"/>
    <n v="48"/>
    <x v="0"/>
    <s v="AP73"/>
    <s v="RP"/>
    <s v="387"/>
    <s v="4.0 UN"/>
    <s v="STANDARD"/>
    <s v="N"/>
    <s v="N"/>
    <s v="Y"/>
    <s v="T20"/>
    <s v="N"/>
    <s v="N"/>
    <s v="N"/>
    <s v="N"/>
    <s v="A036"/>
    <d v="2016-12-06T00:00:00"/>
    <s v="10"/>
    <s v="TAN"/>
    <s v="OR"/>
    <d v="2016-11-30T00:00:00"/>
    <s v="MI"/>
    <s v="US"/>
    <s v="ZR"/>
    <d v="2016-12-01T00:00:00"/>
  </r>
  <r>
    <x v="0"/>
    <x v="4"/>
    <x v="148"/>
    <x v="19"/>
    <s v="Standard order"/>
    <x v="134"/>
    <x v="134"/>
    <s v="A399"/>
    <s v="CRYSTAL A399NT"/>
    <s v="5002928"/>
    <s v="A399 ACH PB LRG"/>
    <n v="36"/>
    <n v="0"/>
    <n v="36"/>
    <x v="4"/>
    <s v="DP71"/>
    <s v="LARGE"/>
    <s v="314"/>
    <s v="4.0 UN"/>
    <s v="STANDARD"/>
    <s v="N"/>
    <s v="Y"/>
    <s v="N"/>
    <s v="N"/>
    <s v="N"/>
    <s v="N"/>
    <s v="N"/>
    <s v="N"/>
    <s v="A046"/>
    <d v="2016-12-06T00:00:00"/>
    <s v="10"/>
    <s v="TAN"/>
    <s v="OR"/>
    <d v="2016-11-30T00:00:00"/>
    <s v="ID"/>
    <s v="US"/>
    <s v="ZR"/>
    <d v="2016-12-01T00:00:00"/>
  </r>
  <r>
    <x v="0"/>
    <x v="4"/>
    <x v="148"/>
    <x v="19"/>
    <s v="Standard order"/>
    <x v="134"/>
    <x v="134"/>
    <s v="A404"/>
    <s v="CRYSTAL A404NT"/>
    <s v="5002954"/>
    <s v="A404 ACH PB LRG"/>
    <n v="12"/>
    <n v="0"/>
    <n v="12"/>
    <x v="4"/>
    <s v="DPNE"/>
    <s v="LARGE"/>
    <s v="314"/>
    <s v="4.0 UN"/>
    <s v="STANDARD"/>
    <s v="N"/>
    <s v="Y"/>
    <s v="N"/>
    <s v="N"/>
    <s v="N"/>
    <s v="N"/>
    <s v="N"/>
    <s v="N"/>
    <s v="A046"/>
    <d v="2016-12-06T00:00:00"/>
    <s v="20"/>
    <s v="TAN"/>
    <s v="OR"/>
    <d v="2016-11-30T00:00:00"/>
    <s v="ID"/>
    <s v="US"/>
    <s v="ZR"/>
    <d v="2016-12-01T00:00:00"/>
  </r>
  <r>
    <x v="0"/>
    <x v="4"/>
    <x v="149"/>
    <x v="19"/>
    <s v="Standard order"/>
    <x v="135"/>
    <x v="135"/>
    <s v="A501"/>
    <s v="CRYSTAL A501"/>
    <s v="5003308"/>
    <s v="A501 ACH PB XL"/>
    <n v="40"/>
    <n v="0"/>
    <n v="40"/>
    <x v="4"/>
    <s v="EZPB"/>
    <s v="X-LARGE"/>
    <s v="314"/>
    <s v="4.0 UN"/>
    <s v="STANDARD"/>
    <s v="N"/>
    <s v="Y"/>
    <s v="N"/>
    <s v="N"/>
    <s v="N"/>
    <s v="N"/>
    <s v="N"/>
    <s v="N"/>
    <s v="A046"/>
    <d v="2016-12-06T00:00:00"/>
    <s v="10"/>
    <s v="TAN"/>
    <s v="OR"/>
    <d v="2016-11-30T00:00:00"/>
    <s v="ID"/>
    <s v="US"/>
    <s v="ZR"/>
    <d v="2016-12-01T00:00:00"/>
  </r>
  <r>
    <x v="0"/>
    <x v="4"/>
    <x v="149"/>
    <x v="19"/>
    <s v="Standard order"/>
    <x v="135"/>
    <x v="135"/>
    <s v="A399"/>
    <s v="CRYSTAL A399NT"/>
    <s v="5002939"/>
    <s v="A399 ACH XL"/>
    <n v="136"/>
    <n v="0"/>
    <n v="136"/>
    <x v="4"/>
    <s v="DP71"/>
    <s v="X-LARGE"/>
    <s v="316"/>
    <s v="4.0 UN"/>
    <s v="STANDARD"/>
    <s v="N"/>
    <s v="N"/>
    <s v="N"/>
    <s v="N"/>
    <s v="N"/>
    <s v="N"/>
    <s v="N"/>
    <s v="N"/>
    <s v="A046"/>
    <d v="2016-12-06T00:00:00"/>
    <s v="20"/>
    <s v="TAN"/>
    <s v="OR"/>
    <d v="2016-11-30T00:00:00"/>
    <s v="ID"/>
    <s v="US"/>
    <s v="ZR"/>
    <d v="2016-12-01T00:00:00"/>
  </r>
  <r>
    <x v="0"/>
    <x v="4"/>
    <x v="149"/>
    <x v="19"/>
    <s v="Standard order"/>
    <x v="135"/>
    <x v="135"/>
    <s v="A404"/>
    <s v="CRYSTAL A404NT"/>
    <s v="5002957"/>
    <s v="A404 ACH PB XL"/>
    <n v="152"/>
    <n v="0"/>
    <n v="152"/>
    <x v="4"/>
    <s v="DPNE"/>
    <s v="X-LARGE"/>
    <s v="314"/>
    <s v="4.0 UN"/>
    <s v="STANDARD"/>
    <s v="N"/>
    <s v="Y"/>
    <s v="N"/>
    <s v="N"/>
    <s v="N"/>
    <s v="N"/>
    <s v="N"/>
    <s v="N"/>
    <s v="A046"/>
    <d v="2016-12-06T00:00:00"/>
    <s v="30"/>
    <s v="TAN"/>
    <s v="OR"/>
    <d v="2016-11-30T00:00:00"/>
    <s v="ID"/>
    <s v="US"/>
    <s v="ZR"/>
    <d v="2016-12-01T00:00:00"/>
  </r>
  <r>
    <x v="0"/>
    <x v="4"/>
    <x v="149"/>
    <x v="19"/>
    <s v="Standard order"/>
    <x v="135"/>
    <x v="135"/>
    <s v="R240"/>
    <s v="CRYSTAL RR240NT"/>
    <s v="5003162"/>
    <s v="R240 ACH PB XL"/>
    <n v="156"/>
    <n v="0"/>
    <n v="156"/>
    <x v="4"/>
    <s v="BHMP"/>
    <s v="X-LARGE"/>
    <s v="314"/>
    <s v="4.0 UN"/>
    <s v="STANDARD"/>
    <s v="N"/>
    <s v="Y"/>
    <s v="N"/>
    <s v="N"/>
    <s v="N"/>
    <s v="N"/>
    <s v="N"/>
    <s v="N"/>
    <s v="A046"/>
    <d v="2016-12-06T00:00:00"/>
    <s v="40"/>
    <s v="TAN"/>
    <s v="OR"/>
    <d v="2016-11-30T00:00:00"/>
    <s v="ID"/>
    <s v="US"/>
    <s v="ZR"/>
    <d v="2016-12-01T00:00:00"/>
  </r>
  <r>
    <x v="0"/>
    <x v="4"/>
    <x v="150"/>
    <x v="19"/>
    <s v="Standard order"/>
    <x v="136"/>
    <x v="136"/>
    <s v="A399"/>
    <s v="CRYSTAL A399NT"/>
    <s v="5002928"/>
    <s v="A399 ACH PB LRG"/>
    <n v="8"/>
    <n v="0"/>
    <n v="8"/>
    <x v="4"/>
    <s v="DP71"/>
    <s v="LARGE"/>
    <s v="314"/>
    <s v="4.0 UN"/>
    <s v="STANDARD"/>
    <s v="N"/>
    <s v="Y"/>
    <s v="N"/>
    <s v="N"/>
    <s v="N"/>
    <s v="N"/>
    <s v="N"/>
    <s v="N"/>
    <s v="A046"/>
    <d v="2016-12-06T00:00:00"/>
    <s v="10"/>
    <s v="TAN"/>
    <s v="OR"/>
    <d v="2016-11-30T00:00:00"/>
    <s v="ID"/>
    <s v="US"/>
    <s v="ZR"/>
    <d v="2016-12-01T00:00:00"/>
  </r>
  <r>
    <x v="0"/>
    <x v="6"/>
    <x v="151"/>
    <x v="11"/>
    <s v="Standard order"/>
    <x v="137"/>
    <x v="137"/>
    <s v="S517"/>
    <s v="CRYSTAL S517"/>
    <s v="5003467"/>
    <s v="S517 ACH T20 PB SYSTIVA G100"/>
    <n v="24"/>
    <n v="0"/>
    <n v="24"/>
    <x v="6"/>
    <s v="DVNV"/>
    <s v="GEM 100"/>
    <s v="324"/>
    <s v="4.0 UN"/>
    <s v="STANDARD"/>
    <s v="N"/>
    <s v="Y"/>
    <s v="N"/>
    <s v="T20"/>
    <s v="Y"/>
    <s v="N"/>
    <s v="Y"/>
    <s v="N"/>
    <s v="A038"/>
    <d v="2016-12-06T00:00:00"/>
    <s v="10"/>
    <s v="TAN"/>
    <s v="OR"/>
    <d v="2016-11-30T00:00:00"/>
    <s v="MT"/>
    <s v="US"/>
    <s v="ZR"/>
    <d v="2016-12-01T00:00:00"/>
  </r>
  <r>
    <x v="0"/>
    <x v="6"/>
    <x v="151"/>
    <x v="11"/>
    <s v="Standard order"/>
    <x v="137"/>
    <x v="137"/>
    <s v="S360"/>
    <s v="CRYSTAL S360NT"/>
    <s v="5003413"/>
    <s v="S360 ACH T20 PB SYSTIVA G100"/>
    <n v="36"/>
    <n v="0"/>
    <n v="36"/>
    <x v="6"/>
    <s v="DVNB"/>
    <s v="GEM 100"/>
    <s v="324"/>
    <s v="4.0 UN"/>
    <s v="STANDARD"/>
    <s v="N"/>
    <s v="Y"/>
    <s v="N"/>
    <s v="T20"/>
    <s v="Y"/>
    <s v="N"/>
    <s v="Y"/>
    <s v="N"/>
    <s v="A038"/>
    <d v="2016-12-06T00:00:00"/>
    <s v="20"/>
    <s v="TAN"/>
    <s v="OR"/>
    <d v="2016-11-30T00:00:00"/>
    <s v="MT"/>
    <s v="US"/>
    <s v="ZR"/>
    <d v="2016-12-01T00:00:00"/>
  </r>
  <r>
    <x v="0"/>
    <x v="6"/>
    <x v="152"/>
    <x v="11"/>
    <s v="Standard order"/>
    <x v="138"/>
    <x v="138"/>
    <s v="S517"/>
    <s v="CRYSTAL S517"/>
    <s v="5003467"/>
    <s v="S517 ACH T20 PB SYSTIVA G100"/>
    <n v="24"/>
    <n v="0"/>
    <n v="24"/>
    <x v="6"/>
    <s v="DVNV"/>
    <s v="GEM 100"/>
    <s v="324"/>
    <s v="4.0 UN"/>
    <s v="STANDARD"/>
    <s v="N"/>
    <s v="Y"/>
    <s v="N"/>
    <s v="T20"/>
    <s v="Y"/>
    <s v="N"/>
    <s v="Y"/>
    <s v="N"/>
    <s v="A038"/>
    <d v="2016-12-06T00:00:00"/>
    <s v="10"/>
    <s v="TAN"/>
    <s v="OR"/>
    <d v="2016-11-30T00:00:00"/>
    <s v="MT"/>
    <s v="US"/>
    <s v="ZR"/>
    <d v="2016-12-01T00:00:00"/>
  </r>
  <r>
    <x v="0"/>
    <x v="6"/>
    <x v="152"/>
    <x v="11"/>
    <s v="Standard order"/>
    <x v="138"/>
    <x v="138"/>
    <s v="R052"/>
    <s v="CRYSTAL RR052"/>
    <s v="5003501"/>
    <s v="R052 ACH T20 PB CL SYSTIVA G100"/>
    <n v="8"/>
    <n v="0"/>
    <n v="8"/>
    <x v="6"/>
    <s v="AP82"/>
    <s v="GEM 100"/>
    <s v="321"/>
    <s v="4.0 UN"/>
    <s v="STANDARD"/>
    <s v="N"/>
    <s v="N"/>
    <s v="N"/>
    <s v="T20"/>
    <s v="Y"/>
    <s v="N"/>
    <s v="Y"/>
    <s v="N"/>
    <s v="A038"/>
    <d v="2016-12-06T00:00:00"/>
    <s v="20"/>
    <s v="TAN"/>
    <s v="OR"/>
    <d v="2016-11-30T00:00:00"/>
    <s v="MT"/>
    <s v="US"/>
    <s v="ZR"/>
    <d v="2016-12-01T00:00:00"/>
  </r>
  <r>
    <x v="0"/>
    <x v="6"/>
    <x v="153"/>
    <x v="11"/>
    <s v="Standard order"/>
    <x v="139"/>
    <x v="139"/>
    <s v="S517"/>
    <s v="CRYSTAL S517"/>
    <s v="5003467"/>
    <s v="S517 ACH T20 PB SYSTIVA G100"/>
    <n v="24"/>
    <n v="0"/>
    <n v="24"/>
    <x v="6"/>
    <s v="DVNV"/>
    <s v="GEM 100"/>
    <s v="324"/>
    <s v="4.0 UN"/>
    <s v="STANDARD"/>
    <s v="N"/>
    <s v="Y"/>
    <s v="N"/>
    <s v="T20"/>
    <s v="Y"/>
    <s v="N"/>
    <s v="Y"/>
    <s v="N"/>
    <s v="A038"/>
    <d v="2016-12-06T00:00:00"/>
    <s v="10"/>
    <s v="TAN"/>
    <s v="OR"/>
    <d v="2016-11-30T00:00:00"/>
    <s v="MT"/>
    <s v="US"/>
    <s v="ZR"/>
    <d v="2016-12-01T00:00:00"/>
  </r>
  <r>
    <x v="0"/>
    <x v="6"/>
    <x v="153"/>
    <x v="11"/>
    <s v="Standard order"/>
    <x v="139"/>
    <x v="139"/>
    <s v="S498"/>
    <s v="CRYSTAL S498"/>
    <s v="5003419"/>
    <s v="S498 ACH T20 PB CL SYSTIVA G100"/>
    <n v="20"/>
    <n v="0"/>
    <n v="20"/>
    <x v="6"/>
    <s v="FE73"/>
    <s v="GEM 100"/>
    <s v="321"/>
    <s v="4.0 UN"/>
    <s v="STANDARD"/>
    <s v="N"/>
    <s v="N"/>
    <s v="N"/>
    <s v="T20"/>
    <s v="Y"/>
    <s v="N"/>
    <s v="Y"/>
    <s v="N"/>
    <s v="A038"/>
    <d v="2016-12-06T00:00:00"/>
    <s v="20"/>
    <s v="TAN"/>
    <s v="OR"/>
    <d v="2016-11-30T00:00:00"/>
    <s v="MT"/>
    <s v="US"/>
    <s v="ZR"/>
    <d v="2016-12-01T00:00:00"/>
  </r>
  <r>
    <x v="0"/>
    <x v="5"/>
    <x v="154"/>
    <x v="14"/>
    <s v="Standard order"/>
    <x v="140"/>
    <x v="140"/>
    <s v="Y400"/>
    <s v="CRYSTAL Y400NT"/>
    <s v="5003733"/>
    <s v="Y400 ACH T20 PB SYSTIVA MP"/>
    <n v="16"/>
    <n v="0"/>
    <n v="16"/>
    <x v="5"/>
    <s v="4TBP"/>
    <s v="MP"/>
    <s v="324"/>
    <s v="4.0 UN"/>
    <s v="STANDARD"/>
    <s v="N"/>
    <s v="Y"/>
    <s v="N"/>
    <s v="T20"/>
    <s v="Y"/>
    <s v="N"/>
    <s v="N"/>
    <s v="N"/>
    <s v="A017"/>
    <d v="2016-12-06T00:00:00"/>
    <s v="10"/>
    <s v="TAN"/>
    <s v="OR"/>
    <d v="2016-11-30T00:00:00"/>
    <s v="WY"/>
    <s v="US"/>
    <s v="ZR"/>
    <d v="2016-12-01T00:00:00"/>
  </r>
  <r>
    <x v="0"/>
    <x v="5"/>
    <x v="154"/>
    <x v="14"/>
    <s v="Standard order"/>
    <x v="140"/>
    <x v="140"/>
    <s v="Y313"/>
    <s v="CRYSTAL Y313NT"/>
    <s v="5003709"/>
    <s v="Y313 ACH T20 PB SYSTIVA MP"/>
    <n v="16"/>
    <n v="0"/>
    <n v="16"/>
    <x v="5"/>
    <s v="DLNC"/>
    <s v="MP"/>
    <s v="324"/>
    <s v="4.0 UN"/>
    <s v="STANDARD"/>
    <s v="N"/>
    <s v="Y"/>
    <s v="N"/>
    <s v="T20"/>
    <s v="Y"/>
    <s v="N"/>
    <s v="N"/>
    <s v="N"/>
    <s v="A017"/>
    <d v="2016-12-06T00:00:00"/>
    <s v="20"/>
    <s v="TAN"/>
    <s v="OR"/>
    <d v="2016-11-30T00:00:00"/>
    <s v="WY"/>
    <s v="US"/>
    <s v="ZR"/>
    <d v="2016-12-01T00:00:00"/>
  </r>
  <r>
    <x v="0"/>
    <x v="4"/>
    <x v="155"/>
    <x v="19"/>
    <s v="Standard order"/>
    <x v="141"/>
    <x v="141"/>
    <s v="A501"/>
    <s v="CRYSTAL A501"/>
    <s v="5003305"/>
    <s v="A501 ACH PB LRG"/>
    <n v="36"/>
    <n v="0"/>
    <n v="36"/>
    <x v="4"/>
    <s v="EZPB"/>
    <s v="LARGE"/>
    <s v="314"/>
    <s v="4.0 UN"/>
    <s v="STANDARD"/>
    <s v="N"/>
    <s v="Y"/>
    <s v="N"/>
    <s v="N"/>
    <s v="N"/>
    <s v="N"/>
    <s v="N"/>
    <s v="N"/>
    <s v="A046"/>
    <d v="2016-12-06T00:00:00"/>
    <s v="10"/>
    <s v="TAN"/>
    <s v="OR"/>
    <d v="2016-11-30T00:00:00"/>
    <s v="ID"/>
    <s v="US"/>
    <s v="ZR"/>
    <d v="2016-12-01T00:00:00"/>
  </r>
  <r>
    <x v="0"/>
    <x v="4"/>
    <x v="155"/>
    <x v="19"/>
    <s v="Standard order"/>
    <x v="141"/>
    <x v="141"/>
    <s v="A404"/>
    <s v="CRYSTAL A404NT"/>
    <s v="5002954"/>
    <s v="A404 ACH PB LRG"/>
    <n v="96"/>
    <n v="0"/>
    <n v="96"/>
    <x v="4"/>
    <s v="DPNE"/>
    <s v="LARGE"/>
    <s v="314"/>
    <s v="4.0 UN"/>
    <s v="STANDARD"/>
    <s v="N"/>
    <s v="Y"/>
    <s v="N"/>
    <s v="N"/>
    <s v="N"/>
    <s v="N"/>
    <s v="N"/>
    <s v="N"/>
    <s v="A046"/>
    <d v="2016-12-06T00:00:00"/>
    <s v="20"/>
    <s v="TAN"/>
    <s v="OR"/>
    <d v="2016-11-30T00:00:00"/>
    <s v="ID"/>
    <s v="US"/>
    <s v="ZR"/>
    <d v="2016-12-01T00:00:00"/>
  </r>
  <r>
    <x v="0"/>
    <x v="4"/>
    <x v="155"/>
    <x v="19"/>
    <s v="Standard order"/>
    <x v="141"/>
    <x v="141"/>
    <s v="A399"/>
    <s v="CRYSTAL A399NT"/>
    <s v="5002928"/>
    <s v="A399 ACH PB LRG"/>
    <n v="76"/>
    <n v="0"/>
    <n v="76"/>
    <x v="4"/>
    <s v="DP71"/>
    <s v="LARGE"/>
    <s v="314"/>
    <s v="4.0 UN"/>
    <s v="STANDARD"/>
    <s v="N"/>
    <s v="Y"/>
    <s v="N"/>
    <s v="N"/>
    <s v="N"/>
    <s v="N"/>
    <s v="N"/>
    <s v="N"/>
    <s v="A046"/>
    <d v="2016-12-06T00:00:00"/>
    <s v="30"/>
    <s v="TAN"/>
    <s v="OR"/>
    <d v="2016-11-30T00:00:00"/>
    <s v="ID"/>
    <s v="US"/>
    <s v="ZR"/>
    <d v="2016-12-01T00:00:00"/>
  </r>
  <r>
    <x v="0"/>
    <x v="4"/>
    <x v="156"/>
    <x v="19"/>
    <s v="Standard order"/>
    <x v="142"/>
    <x v="142"/>
    <s v="A501"/>
    <s v="CRYSTAL A501"/>
    <s v="5003305"/>
    <s v="A501 ACH PB LRG"/>
    <n v="20"/>
    <n v="0"/>
    <n v="20"/>
    <x v="4"/>
    <s v="EZPB"/>
    <s v="LARGE"/>
    <s v="314"/>
    <s v="4.0 UN"/>
    <s v="STANDARD"/>
    <s v="N"/>
    <s v="Y"/>
    <s v="N"/>
    <s v="N"/>
    <s v="N"/>
    <s v="N"/>
    <s v="N"/>
    <s v="N"/>
    <s v="A046"/>
    <d v="2016-12-06T00:00:00"/>
    <s v="10"/>
    <s v="TAN"/>
    <s v="OR"/>
    <d v="2016-11-30T00:00:00"/>
    <s v="ID"/>
    <s v="US"/>
    <s v="ZR"/>
    <d v="2016-12-01T00:00:00"/>
  </r>
  <r>
    <x v="0"/>
    <x v="4"/>
    <x v="156"/>
    <x v="19"/>
    <s v="Standard order"/>
    <x v="142"/>
    <x v="142"/>
    <s v="A404"/>
    <s v="CRYSTAL A404NT"/>
    <s v="5002954"/>
    <s v="A404 ACH PB LRG"/>
    <n v="84"/>
    <n v="0"/>
    <n v="84"/>
    <x v="4"/>
    <s v="DPNE"/>
    <s v="LARGE"/>
    <s v="314"/>
    <s v="4.0 UN"/>
    <s v="STANDARD"/>
    <s v="N"/>
    <s v="Y"/>
    <s v="N"/>
    <s v="N"/>
    <s v="N"/>
    <s v="N"/>
    <s v="N"/>
    <s v="N"/>
    <s v="A046"/>
    <d v="2016-12-06T00:00:00"/>
    <s v="20"/>
    <s v="TAN"/>
    <s v="OR"/>
    <d v="2016-11-30T00:00:00"/>
    <s v="ID"/>
    <s v="US"/>
    <s v="ZR"/>
    <d v="2016-12-01T00:00:00"/>
  </r>
  <r>
    <x v="0"/>
    <x v="4"/>
    <x v="157"/>
    <x v="8"/>
    <s v="Standard order"/>
    <x v="143"/>
    <x v="143"/>
    <s v="A501"/>
    <s v="CRYSTAL A501"/>
    <s v="5003308"/>
    <s v="A501 ACH PB XL"/>
    <n v="24"/>
    <n v="0"/>
    <n v="24"/>
    <x v="4"/>
    <s v="EZPB"/>
    <s v="X-LARGE"/>
    <s v="314"/>
    <s v="4.0 UN"/>
    <s v="STANDARD"/>
    <s v="N"/>
    <s v="Y"/>
    <s v="N"/>
    <s v="N"/>
    <s v="N"/>
    <s v="N"/>
    <s v="N"/>
    <s v="N"/>
    <s v="A044"/>
    <d v="2016-12-06T00:00:00"/>
    <s v="10"/>
    <s v="TAN"/>
    <s v="OR"/>
    <d v="2016-12-01T00:00:00"/>
    <s v="ID"/>
    <s v="US"/>
    <s v="ZR"/>
    <d v="2016-12-01T00:00:00"/>
  </r>
  <r>
    <x v="0"/>
    <x v="4"/>
    <x v="157"/>
    <x v="8"/>
    <s v="Standard order"/>
    <x v="143"/>
    <x v="143"/>
    <s v="A399"/>
    <s v="CRYSTAL A399NT"/>
    <s v="5002931"/>
    <s v="A399 ACH PB XL"/>
    <n v="48"/>
    <n v="0"/>
    <n v="48"/>
    <x v="4"/>
    <s v="DP71"/>
    <s v="X-LARGE"/>
    <s v="314"/>
    <s v="4.0 UN"/>
    <s v="STANDARD"/>
    <s v="N"/>
    <s v="Y"/>
    <s v="N"/>
    <s v="N"/>
    <s v="N"/>
    <s v="N"/>
    <s v="N"/>
    <s v="N"/>
    <s v="A044"/>
    <d v="2016-12-06T00:00:00"/>
    <s v="20"/>
    <s v="TAN"/>
    <s v="OR"/>
    <d v="2016-12-01T00:00:00"/>
    <s v="ID"/>
    <s v="US"/>
    <s v="ZR"/>
    <d v="2016-12-01T00:00:00"/>
  </r>
  <r>
    <x v="0"/>
    <x v="4"/>
    <x v="157"/>
    <x v="8"/>
    <s v="Standard order"/>
    <x v="143"/>
    <x v="143"/>
    <s v="R933"/>
    <s v="CRYSTAL RR933"/>
    <s v="5003689"/>
    <s v="R933 ACH PB XL"/>
    <n v="48"/>
    <n v="0"/>
    <n v="48"/>
    <x v="4"/>
    <s v="3571"/>
    <s v="X-LARGE"/>
    <s v="314"/>
    <s v="4.0 UN"/>
    <s v="STANDARD"/>
    <s v="N"/>
    <s v="Y"/>
    <s v="N"/>
    <s v="N"/>
    <s v="N"/>
    <s v="N"/>
    <s v="N"/>
    <s v="N"/>
    <s v="A044"/>
    <d v="2016-12-06T00:00:00"/>
    <s v="30"/>
    <s v="TAN"/>
    <s v="OR"/>
    <d v="2016-12-01T00:00:00"/>
    <s v="ID"/>
    <s v="US"/>
    <s v="ZR"/>
    <d v="2016-12-01T00:00:00"/>
  </r>
  <r>
    <x v="0"/>
    <x v="4"/>
    <x v="158"/>
    <x v="8"/>
    <s v="Standard order"/>
    <x v="144"/>
    <x v="144"/>
    <s v="A399"/>
    <s v="CRYSTAL A399NT"/>
    <s v="5002931"/>
    <s v="A399 ACH PB XL"/>
    <n v="264"/>
    <n v="0"/>
    <n v="264"/>
    <x v="4"/>
    <s v="DP71"/>
    <s v="X-LARGE"/>
    <s v="314"/>
    <s v="4.0 UN"/>
    <s v="STANDARD"/>
    <s v="N"/>
    <s v="Y"/>
    <s v="N"/>
    <s v="N"/>
    <s v="N"/>
    <s v="N"/>
    <s v="N"/>
    <s v="N"/>
    <s v="A044"/>
    <d v="2016-12-06T00:00:00"/>
    <s v="10"/>
    <s v="TAN"/>
    <s v="OR"/>
    <d v="2016-12-01T00:00:00"/>
    <s v="ID"/>
    <s v="US"/>
    <s v="ZR"/>
    <d v="2016-12-01T00:00:00"/>
  </r>
  <r>
    <x v="0"/>
    <x v="4"/>
    <x v="159"/>
    <x v="8"/>
    <s v="Standard order"/>
    <x v="145"/>
    <x v="145"/>
    <s v="A501"/>
    <s v="CRYSTAL A501"/>
    <s v="5003313"/>
    <s v="A501 ACH T20 PB Kabina MP"/>
    <n v="24"/>
    <n v="0"/>
    <n v="24"/>
    <x v="4"/>
    <s v="EZPB"/>
    <s v="MP"/>
    <s v="388"/>
    <s v="4.0 UN"/>
    <s v="STANDARD"/>
    <s v="N"/>
    <s v="Y"/>
    <s v="Y"/>
    <s v="T20"/>
    <s v="N"/>
    <s v="N"/>
    <s v="N"/>
    <s v="N"/>
    <s v="A044"/>
    <d v="2016-12-07T00:00:00"/>
    <s v="10"/>
    <s v="TAN"/>
    <s v="OR"/>
    <d v="2016-12-01T00:00:00"/>
    <s v="ID"/>
    <s v="US"/>
    <s v="ZR"/>
    <d v="2016-12-02T00:00:00"/>
  </r>
  <r>
    <x v="0"/>
    <x v="4"/>
    <x v="159"/>
    <x v="8"/>
    <s v="Standard order"/>
    <x v="145"/>
    <x v="145"/>
    <s v="R240"/>
    <s v="CRYSTAL RR240NT"/>
    <s v="5003167"/>
    <s v="R240 ACH T20 PB Kabina MP"/>
    <n v="20"/>
    <n v="0"/>
    <n v="20"/>
    <x v="4"/>
    <s v="BHMP"/>
    <s v="MP"/>
    <s v="388"/>
    <s v="4.0 UN"/>
    <s v="STANDARD"/>
    <s v="N"/>
    <s v="Y"/>
    <s v="Y"/>
    <s v="T20"/>
    <s v="N"/>
    <s v="N"/>
    <s v="N"/>
    <s v="N"/>
    <s v="A044"/>
    <d v="2016-12-07T00:00:00"/>
    <s v="20"/>
    <s v="TAN"/>
    <s v="OR"/>
    <d v="2016-12-01T00:00:00"/>
    <s v="ID"/>
    <s v="US"/>
    <s v="ZR"/>
    <d v="2016-12-02T00:00:00"/>
  </r>
  <r>
    <x v="0"/>
    <x v="5"/>
    <x v="160"/>
    <x v="12"/>
    <s v="Standard order"/>
    <x v="146"/>
    <x v="146"/>
    <s v="Y400"/>
    <s v="CRYSTAL Y400NT"/>
    <s v="5003735"/>
    <s v="Y400 ACH T20 PB SYSTIVA RP"/>
    <n v="36"/>
    <n v="0"/>
    <n v="36"/>
    <x v="5"/>
    <s v="4TBP"/>
    <s v="RP"/>
    <s v="324"/>
    <s v="4.0 UN"/>
    <s v="STANDARD"/>
    <s v="N"/>
    <s v="Y"/>
    <s v="N"/>
    <s v="T20"/>
    <s v="Y"/>
    <s v="N"/>
    <s v="N"/>
    <s v="N"/>
    <s v="A014"/>
    <d v="2016-12-07T00:00:00"/>
    <s v="10"/>
    <s v="TAN"/>
    <s v="OR"/>
    <d v="2016-12-02T00:00:00"/>
    <s v="MT"/>
    <s v="US"/>
    <s v="ZR"/>
    <d v="2016-12-02T00:00:00"/>
  </r>
  <r>
    <x v="0"/>
    <x v="4"/>
    <x v="161"/>
    <x v="20"/>
    <s v="Standard order"/>
    <x v="147"/>
    <x v="147"/>
    <s v="A488"/>
    <s v="CRYSTAL A488NT"/>
    <s v="5002983"/>
    <s v="A488 ACH PB XL"/>
    <n v="352"/>
    <n v="0"/>
    <n v="352"/>
    <x v="4"/>
    <s v="EENE"/>
    <s v="X-LARGE"/>
    <s v="314"/>
    <s v="4.0 UN"/>
    <s v="STANDARD"/>
    <s v="N"/>
    <s v="Y"/>
    <s v="N"/>
    <s v="N"/>
    <s v="N"/>
    <s v="N"/>
    <s v="N"/>
    <s v="N"/>
    <s v="A039"/>
    <d v="2016-12-07T00:00:00"/>
    <s v="10"/>
    <s v="TAN"/>
    <s v="OR"/>
    <d v="2016-12-02T00:00:00"/>
    <s v="ID"/>
    <s v="US"/>
    <s v="ZR"/>
    <d v="2016-12-02T00:00:00"/>
  </r>
  <r>
    <x v="0"/>
    <x v="4"/>
    <x v="161"/>
    <x v="20"/>
    <s v="Standard order"/>
    <x v="147"/>
    <x v="147"/>
    <s v="A501"/>
    <s v="CRYSTAL A501"/>
    <s v="5003308"/>
    <s v="A501 ACH PB XL"/>
    <n v="60"/>
    <n v="0"/>
    <n v="60"/>
    <x v="4"/>
    <s v="EZPB"/>
    <s v="X-LARGE"/>
    <s v="314"/>
    <s v="4.0 UN"/>
    <s v="STANDARD"/>
    <s v="N"/>
    <s v="Y"/>
    <s v="N"/>
    <s v="N"/>
    <s v="N"/>
    <s v="N"/>
    <s v="N"/>
    <s v="N"/>
    <s v="A039"/>
    <d v="2016-12-07T00:00:00"/>
    <s v="20"/>
    <s v="TAN"/>
    <s v="OR"/>
    <d v="2016-12-02T00:00:00"/>
    <s v="ID"/>
    <s v="US"/>
    <s v="ZR"/>
    <d v="2016-12-02T00:00:00"/>
  </r>
  <r>
    <x v="0"/>
    <x v="4"/>
    <x v="162"/>
    <x v="16"/>
    <s v="Standard order"/>
    <x v="148"/>
    <x v="148"/>
    <s v="A399"/>
    <s v="CRYSTAL A399NT"/>
    <s v="5002939"/>
    <s v="A399 ACH XL"/>
    <n v="52"/>
    <n v="0"/>
    <n v="52"/>
    <x v="4"/>
    <s v="DP71"/>
    <s v="X-LARGE"/>
    <s v="316"/>
    <s v="4.0 UN"/>
    <s v="STANDARD"/>
    <s v="N"/>
    <s v="N"/>
    <s v="N"/>
    <s v="N"/>
    <s v="N"/>
    <s v="N"/>
    <s v="N"/>
    <s v="N"/>
    <s v="A042"/>
    <d v="2016-12-07T00:00:00"/>
    <s v="10"/>
    <s v="TAN"/>
    <s v="OR"/>
    <d v="2016-12-02T00:00:00"/>
    <s v="ID"/>
    <s v="US"/>
    <s v="ZR"/>
    <d v="2016-12-02T00:00:00"/>
  </r>
  <r>
    <x v="0"/>
    <x v="4"/>
    <x v="163"/>
    <x v="16"/>
    <s v="Standard order"/>
    <x v="149"/>
    <x v="149"/>
    <s v="A501"/>
    <s v="CRYSTAL A501"/>
    <s v="5003305"/>
    <s v="A501 ACH PB LRG"/>
    <n v="28"/>
    <n v="0"/>
    <n v="28"/>
    <x v="4"/>
    <s v="EZPB"/>
    <s v="LARGE"/>
    <s v="314"/>
    <s v="4.0 UN"/>
    <s v="STANDARD"/>
    <s v="N"/>
    <s v="Y"/>
    <s v="N"/>
    <s v="N"/>
    <s v="N"/>
    <s v="N"/>
    <s v="N"/>
    <s v="N"/>
    <s v="A042"/>
    <d v="2016-12-07T00:00:00"/>
    <s v="10"/>
    <s v="TAN"/>
    <s v="OR"/>
    <d v="2016-12-02T00:00:00"/>
    <s v="ID"/>
    <s v="US"/>
    <s v="ZR"/>
    <d v="2016-12-02T00:00:00"/>
  </r>
  <r>
    <x v="0"/>
    <x v="0"/>
    <x v="164"/>
    <x v="10"/>
    <s v="Standard order"/>
    <x v="150"/>
    <x v="150"/>
    <s v="R059"/>
    <s v="CRYSTAL RR059"/>
    <s v="5003530"/>
    <s v="R059 ACH T20 Kabina RP"/>
    <n v="64"/>
    <n v="0"/>
    <n v="64"/>
    <x v="0"/>
    <s v="AP73"/>
    <s v="RP"/>
    <s v="387"/>
    <s v="4.0 UN"/>
    <s v="STANDARD"/>
    <s v="N"/>
    <s v="N"/>
    <s v="Y"/>
    <s v="T20"/>
    <s v="N"/>
    <s v="N"/>
    <s v="N"/>
    <s v="N"/>
    <s v="A036"/>
    <d v="2016-12-07T00:00:00"/>
    <s v="10"/>
    <s v="TAN"/>
    <s v="OR"/>
    <d v="2016-12-02T00:00:00"/>
    <s v="MI"/>
    <s v="US"/>
    <s v="ZR"/>
    <d v="2016-12-02T00:00:00"/>
  </r>
  <r>
    <x v="0"/>
    <x v="0"/>
    <x v="164"/>
    <x v="10"/>
    <s v="Standard order"/>
    <x v="150"/>
    <x v="150"/>
    <s v="G515"/>
    <s v="CRYSTAL G515"/>
    <s v="5003019"/>
    <s v="G515 ACH T20 Kabina RP"/>
    <n v="64"/>
    <n v="0"/>
    <n v="64"/>
    <x v="0"/>
    <s v="APND"/>
    <s v="RP"/>
    <s v="387"/>
    <s v="4.0 UN"/>
    <s v="STANDARD"/>
    <s v="N"/>
    <s v="N"/>
    <s v="Y"/>
    <s v="T20"/>
    <s v="N"/>
    <s v="N"/>
    <s v="N"/>
    <s v="N"/>
    <s v="A036"/>
    <d v="2016-12-07T00:00:00"/>
    <s v="20"/>
    <s v="TAN"/>
    <s v="OR"/>
    <d v="2016-12-02T00:00:00"/>
    <s v="MI"/>
    <s v="US"/>
    <s v="ZR"/>
    <d v="2016-12-02T00:00:00"/>
  </r>
  <r>
    <x v="0"/>
    <x v="2"/>
    <x v="165"/>
    <x v="6"/>
    <s v="Standard order"/>
    <x v="151"/>
    <x v="151"/>
    <s v="R014"/>
    <s v="CRYSTAL RR014"/>
    <s v="5003091"/>
    <s v="R014 ACH T20 PB SYSTIVA G100"/>
    <n v="36"/>
    <n v="0"/>
    <n v="36"/>
    <x v="2"/>
    <s v="AP82"/>
    <s v="GEM 100"/>
    <s v="324"/>
    <s v="4.0 UN"/>
    <s v="STANDARD"/>
    <s v="N"/>
    <s v="Y"/>
    <s v="N"/>
    <s v="T20"/>
    <s v="Y"/>
    <s v="N"/>
    <s v="Y"/>
    <s v="N"/>
    <s v="A025"/>
    <d v="2016-12-07T00:00:00"/>
    <s v="10"/>
    <s v="TAN"/>
    <s v="OR"/>
    <d v="2016-12-02T00:00:00"/>
    <s v="NE"/>
    <s v="US"/>
    <s v="ZR"/>
    <d v="2016-12-02T00:00:00"/>
  </r>
  <r>
    <x v="0"/>
    <x v="0"/>
    <x v="166"/>
    <x v="10"/>
    <s v="Standard order"/>
    <x v="152"/>
    <x v="152"/>
    <s v="R059"/>
    <s v="CRYSTAL RR059"/>
    <s v="5003530"/>
    <s v="R059 ACH T20 Kabina RP"/>
    <n v="116"/>
    <n v="0"/>
    <n v="116"/>
    <x v="0"/>
    <s v="AP73"/>
    <s v="RP"/>
    <s v="387"/>
    <s v="4.0 UN"/>
    <s v="STANDARD"/>
    <s v="N"/>
    <s v="N"/>
    <s v="Y"/>
    <s v="T20"/>
    <s v="N"/>
    <s v="N"/>
    <s v="N"/>
    <s v="N"/>
    <s v="A036"/>
    <d v="2016-12-07T00:00:00"/>
    <s v="10"/>
    <s v="TAN"/>
    <s v="OR"/>
    <d v="2016-12-02T00:00:00"/>
    <s v="MI"/>
    <s v="US"/>
    <s v="ZR"/>
    <d v="2016-12-02T00:00:00"/>
  </r>
  <r>
    <x v="0"/>
    <x v="0"/>
    <x v="166"/>
    <x v="10"/>
    <s v="Standard order"/>
    <x v="152"/>
    <x v="152"/>
    <s v="G515"/>
    <s v="CRYSTAL G515"/>
    <s v="5003019"/>
    <s v="G515 ACH T20 Kabina RP"/>
    <n v="16"/>
    <n v="0"/>
    <n v="16"/>
    <x v="0"/>
    <s v="APND"/>
    <s v="RP"/>
    <s v="387"/>
    <s v="4.0 UN"/>
    <s v="STANDARD"/>
    <s v="N"/>
    <s v="N"/>
    <s v="Y"/>
    <s v="T20"/>
    <s v="N"/>
    <s v="N"/>
    <s v="N"/>
    <s v="N"/>
    <s v="A036"/>
    <d v="2016-12-07T00:00:00"/>
    <s v="20"/>
    <s v="TAN"/>
    <s v="OR"/>
    <d v="2016-12-02T00:00:00"/>
    <s v="MI"/>
    <s v="US"/>
    <s v="ZR"/>
    <d v="2016-12-02T00:00:00"/>
  </r>
  <r>
    <x v="0"/>
    <x v="0"/>
    <x v="167"/>
    <x v="2"/>
    <s v="Standard order"/>
    <x v="153"/>
    <x v="153"/>
    <s v="R059"/>
    <s v="CRYSTAL RR059"/>
    <s v="5003528"/>
    <s v="R059 ACH T20 Kabina ELS"/>
    <n v="8"/>
    <n v="0"/>
    <n v="8"/>
    <x v="0"/>
    <s v="AP73"/>
    <s v="ELS"/>
    <s v="387"/>
    <s v="4.0 UN"/>
    <s v="STANDARD"/>
    <s v="N"/>
    <s v="N"/>
    <s v="Y"/>
    <s v="T20"/>
    <s v="N"/>
    <s v="N"/>
    <s v="N"/>
    <s v="N"/>
    <s v="A034"/>
    <d v="2016-12-07T00:00:00"/>
    <s v="10"/>
    <s v="TAN"/>
    <s v="OR"/>
    <d v="2016-12-02T00:00:00"/>
    <s v="MI"/>
    <s v="US"/>
    <s v="ZR"/>
    <d v="2016-12-02T00:00:00"/>
  </r>
  <r>
    <x v="0"/>
    <x v="0"/>
    <x v="168"/>
    <x v="2"/>
    <s v="Standard order"/>
    <x v="154"/>
    <x v="154"/>
    <s v="G333"/>
    <s v="CRYSTAL G333NT"/>
    <s v="5003376"/>
    <s v="G333 ACH T20 Kabina ELS"/>
    <n v="160"/>
    <n v="0"/>
    <n v="160"/>
    <x v="0"/>
    <s v="EE73"/>
    <s v="ELS"/>
    <s v="387"/>
    <s v="4.0 UN"/>
    <s v="STANDARD"/>
    <s v="N"/>
    <s v="N"/>
    <s v="Y"/>
    <s v="T20"/>
    <s v="N"/>
    <s v="N"/>
    <s v="N"/>
    <s v="N"/>
    <s v="A034"/>
    <d v="2016-12-07T00:00:00"/>
    <s v="10"/>
    <s v="TAN"/>
    <s v="OR"/>
    <d v="2016-12-02T00:00:00"/>
    <s v="MI"/>
    <s v="US"/>
    <s v="ZR"/>
    <d v="2016-12-02T00:00:00"/>
  </r>
  <r>
    <x v="0"/>
    <x v="0"/>
    <x v="169"/>
    <x v="2"/>
    <s v="Standard order"/>
    <x v="155"/>
    <x v="155"/>
    <s v="R059"/>
    <s v="CRYSTAL RR059"/>
    <s v="5003530"/>
    <s v="R059 ACH T20 Kabina RP"/>
    <n v="120"/>
    <n v="0"/>
    <n v="120"/>
    <x v="0"/>
    <s v="AP73"/>
    <s v="RP"/>
    <s v="387"/>
    <s v="4.0 UN"/>
    <s v="STANDARD"/>
    <s v="N"/>
    <s v="N"/>
    <s v="Y"/>
    <s v="T20"/>
    <s v="N"/>
    <s v="N"/>
    <s v="N"/>
    <s v="N"/>
    <s v="A034"/>
    <d v="2016-12-07T00:00:00"/>
    <s v="10"/>
    <s v="TAN"/>
    <s v="OR"/>
    <d v="2016-12-02T00:00:00"/>
    <s v="MI"/>
    <s v="US"/>
    <s v="ZR"/>
    <d v="2016-12-02T00:00:00"/>
  </r>
  <r>
    <x v="0"/>
    <x v="0"/>
    <x v="169"/>
    <x v="2"/>
    <s v="Standard order"/>
    <x v="155"/>
    <x v="155"/>
    <s v="G515"/>
    <s v="CRYSTAL G515"/>
    <s v="5003019"/>
    <s v="G515 ACH T20 Kabina RP"/>
    <n v="28"/>
    <n v="0"/>
    <n v="28"/>
    <x v="0"/>
    <s v="APND"/>
    <s v="RP"/>
    <s v="387"/>
    <s v="4.0 UN"/>
    <s v="STANDARD"/>
    <s v="N"/>
    <s v="N"/>
    <s v="Y"/>
    <s v="T20"/>
    <s v="N"/>
    <s v="N"/>
    <s v="N"/>
    <s v="N"/>
    <s v="A034"/>
    <d v="2016-12-07T00:00:00"/>
    <s v="20"/>
    <s v="TAN"/>
    <s v="OR"/>
    <d v="2016-12-02T00:00:00"/>
    <s v="MI"/>
    <s v="US"/>
    <s v="ZR"/>
    <d v="2016-12-02T00:00:00"/>
  </r>
  <r>
    <x v="0"/>
    <x v="0"/>
    <x v="169"/>
    <x v="2"/>
    <s v="Standard order"/>
    <x v="155"/>
    <x v="155"/>
    <s v="G351"/>
    <s v="CRYSTAL G351NT"/>
    <s v="5003398"/>
    <s v="G351 ACH T20 Kabina RP"/>
    <n v="20"/>
    <n v="0"/>
    <n v="20"/>
    <x v="0"/>
    <s v="DA73"/>
    <s v="RP"/>
    <s v="387"/>
    <s v="4.0 UN"/>
    <s v="STANDARD"/>
    <s v="N"/>
    <s v="N"/>
    <s v="Y"/>
    <s v="T20"/>
    <s v="N"/>
    <s v="N"/>
    <s v="N"/>
    <s v="N"/>
    <s v="A034"/>
    <d v="2016-12-07T00:00:00"/>
    <s v="30"/>
    <s v="TAN"/>
    <s v="OR"/>
    <d v="2016-12-02T00:00:00"/>
    <s v="MI"/>
    <s v="US"/>
    <s v="ZR"/>
    <d v="2016-12-02T00:00:00"/>
  </r>
  <r>
    <x v="0"/>
    <x v="0"/>
    <x v="169"/>
    <x v="2"/>
    <s v="Standard order"/>
    <x v="155"/>
    <x v="155"/>
    <s v="G333"/>
    <s v="CRYSTAL G333NT"/>
    <s v="5003378"/>
    <s v="G333 ACH T20 Kabina RP"/>
    <n v="20"/>
    <n v="0"/>
    <n v="20"/>
    <x v="0"/>
    <s v="EE73"/>
    <s v="RP"/>
    <s v="387"/>
    <s v="4.0 UN"/>
    <s v="STANDARD"/>
    <s v="N"/>
    <s v="N"/>
    <s v="Y"/>
    <s v="T20"/>
    <s v="N"/>
    <s v="N"/>
    <s v="N"/>
    <s v="N"/>
    <s v="A034"/>
    <d v="2016-12-07T00:00:00"/>
    <s v="40"/>
    <s v="TAN"/>
    <s v="OR"/>
    <d v="2016-12-02T00:00:00"/>
    <s v="MI"/>
    <s v="US"/>
    <s v="ZR"/>
    <d v="2016-12-02T00:00:00"/>
  </r>
  <r>
    <x v="0"/>
    <x v="0"/>
    <x v="170"/>
    <x v="2"/>
    <s v="Standard order"/>
    <x v="156"/>
    <x v="156"/>
    <s v="R059"/>
    <s v="CRYSTAL RR059"/>
    <s v="5003530"/>
    <s v="R059 ACH T20 Kabina RP"/>
    <n v="56"/>
    <n v="0"/>
    <n v="56"/>
    <x v="0"/>
    <s v="AP73"/>
    <s v="RP"/>
    <s v="387"/>
    <s v="4.0 UN"/>
    <s v="STANDARD"/>
    <s v="N"/>
    <s v="N"/>
    <s v="Y"/>
    <s v="T20"/>
    <s v="N"/>
    <s v="N"/>
    <s v="N"/>
    <s v="N"/>
    <s v="A034"/>
    <d v="2016-12-07T00:00:00"/>
    <s v="10"/>
    <s v="TAN"/>
    <s v="OR"/>
    <d v="2016-12-02T00:00:00"/>
    <s v="MI"/>
    <s v="US"/>
    <s v="ZR"/>
    <d v="2016-12-02T00:00:00"/>
  </r>
  <r>
    <x v="0"/>
    <x v="0"/>
    <x v="170"/>
    <x v="2"/>
    <s v="Standard order"/>
    <x v="156"/>
    <x v="156"/>
    <s v="G333"/>
    <s v="CRYSTAL G333NT"/>
    <s v="5003378"/>
    <s v="G333 ACH T20 Kabina RP"/>
    <n v="80"/>
    <n v="0"/>
    <n v="80"/>
    <x v="0"/>
    <s v="EE73"/>
    <s v="RP"/>
    <s v="387"/>
    <s v="4.0 UN"/>
    <s v="STANDARD"/>
    <s v="N"/>
    <s v="N"/>
    <s v="Y"/>
    <s v="T20"/>
    <s v="N"/>
    <s v="N"/>
    <s v="N"/>
    <s v="N"/>
    <s v="A034"/>
    <d v="2016-12-07T00:00:00"/>
    <s v="20"/>
    <s v="TAN"/>
    <s v="OR"/>
    <d v="2016-12-02T00:00:00"/>
    <s v="MI"/>
    <s v="US"/>
    <s v="ZR"/>
    <d v="2016-12-02T00:00:00"/>
  </r>
  <r>
    <x v="0"/>
    <x v="5"/>
    <x v="171"/>
    <x v="13"/>
    <s v="Standard order"/>
    <x v="157"/>
    <x v="157"/>
    <s v="Y400"/>
    <s v="CRYSTAL Y400NT"/>
    <s v="5003735"/>
    <s v="Y400 ACH T20 PB SYSTIVA RP"/>
    <n v="24"/>
    <n v="0"/>
    <n v="24"/>
    <x v="5"/>
    <s v="4TBP"/>
    <s v="RP"/>
    <s v="324"/>
    <s v="4.0 UN"/>
    <s v="STANDARD"/>
    <s v="N"/>
    <s v="Y"/>
    <s v="N"/>
    <s v="T20"/>
    <s v="Y"/>
    <s v="N"/>
    <s v="N"/>
    <s v="N"/>
    <s v="A015"/>
    <d v="2016-12-07T00:00:00"/>
    <s v="10"/>
    <s v="TAN"/>
    <s v="OR"/>
    <d v="2016-12-02T00:00:00"/>
    <s v="MT"/>
    <s v="US"/>
    <s v="ZR"/>
    <d v="2016-12-02T00:00:00"/>
  </r>
  <r>
    <x v="0"/>
    <x v="4"/>
    <x v="172"/>
    <x v="7"/>
    <s v="Standard order"/>
    <x v="158"/>
    <x v="158"/>
    <s v="R081"/>
    <s v="CRYSTAL RR081"/>
    <s v="5003570"/>
    <s v="R081 ACH T20 PB Kabina MP IDH"/>
    <n v="72"/>
    <n v="0"/>
    <n v="72"/>
    <x v="4"/>
    <s v="AQ82"/>
    <s v="MP"/>
    <s v="388"/>
    <s v="4.0 UN"/>
    <s v="STANDARD"/>
    <s v="N"/>
    <s v="Y"/>
    <s v="Y"/>
    <s v="T20"/>
    <s v="N"/>
    <s v="N"/>
    <s v="N"/>
    <s v="N"/>
    <s v="A045"/>
    <d v="2016-12-07T00:00:00"/>
    <s v="10"/>
    <s v="TAN"/>
    <s v="OR"/>
    <d v="2016-12-02T00:00:00"/>
    <s v="WA"/>
    <s v="US"/>
    <s v="ZR"/>
    <d v="2016-12-02T00:00:00"/>
  </r>
  <r>
    <x v="0"/>
    <x v="4"/>
    <x v="172"/>
    <x v="7"/>
    <s v="Standard order"/>
    <x v="158"/>
    <x v="158"/>
    <s v="A501"/>
    <s v="CRYSTAL A501"/>
    <s v="5003313"/>
    <s v="A501 ACH T20 PB Kabina MP"/>
    <n v="12"/>
    <n v="0"/>
    <n v="12"/>
    <x v="4"/>
    <s v="EZPB"/>
    <s v="MP"/>
    <s v="388"/>
    <s v="4.0 UN"/>
    <s v="STANDARD"/>
    <s v="N"/>
    <s v="Y"/>
    <s v="Y"/>
    <s v="T20"/>
    <s v="N"/>
    <s v="N"/>
    <s v="N"/>
    <s v="N"/>
    <s v="A045"/>
    <d v="2016-12-07T00:00:00"/>
    <s v="20"/>
    <s v="TAN"/>
    <s v="OR"/>
    <d v="2016-12-02T00:00:00"/>
    <s v="WA"/>
    <s v="US"/>
    <s v="ZR"/>
    <d v="2016-12-02T00:00:00"/>
  </r>
  <r>
    <x v="0"/>
    <x v="4"/>
    <x v="172"/>
    <x v="7"/>
    <s v="Standard order"/>
    <x v="158"/>
    <x v="158"/>
    <s v="A404"/>
    <s v="CRYSTAL A404NT"/>
    <s v="5002962"/>
    <s v="A404 ACH T20 PB Kabina MP"/>
    <n v="12"/>
    <n v="0"/>
    <n v="12"/>
    <x v="4"/>
    <s v="DPNE"/>
    <s v="MP"/>
    <s v="388"/>
    <s v="4.0 UN"/>
    <s v="STANDARD"/>
    <s v="N"/>
    <s v="Y"/>
    <s v="Y"/>
    <s v="T20"/>
    <s v="N"/>
    <s v="N"/>
    <s v="N"/>
    <s v="N"/>
    <s v="A045"/>
    <d v="2016-12-07T00:00:00"/>
    <s v="30"/>
    <s v="TAN"/>
    <s v="OR"/>
    <d v="2016-12-02T00:00:00"/>
    <s v="WA"/>
    <s v="US"/>
    <s v="ZR"/>
    <d v="2016-12-02T00:00:00"/>
  </r>
  <r>
    <x v="0"/>
    <x v="4"/>
    <x v="173"/>
    <x v="7"/>
    <s v="Standard order"/>
    <x v="159"/>
    <x v="159"/>
    <s v="A399"/>
    <s v="CRYSTAL A399NT"/>
    <s v="5002931"/>
    <s v="A399 ACH PB XL"/>
    <n v="48"/>
    <n v="0"/>
    <n v="48"/>
    <x v="4"/>
    <s v="DP71"/>
    <s v="X-LARGE"/>
    <s v="314"/>
    <s v="4.0 UN"/>
    <s v="STANDARD"/>
    <s v="N"/>
    <s v="Y"/>
    <s v="N"/>
    <s v="N"/>
    <s v="N"/>
    <s v="N"/>
    <s v="N"/>
    <s v="N"/>
    <s v="A045"/>
    <d v="2016-12-07T00:00:00"/>
    <s v="10"/>
    <s v="TAN"/>
    <s v="OR"/>
    <d v="2016-12-01T00:00:00"/>
    <s v="ID"/>
    <s v="US"/>
    <s v="ZR"/>
    <d v="2016-12-02T00:00:00"/>
  </r>
  <r>
    <x v="0"/>
    <x v="4"/>
    <x v="173"/>
    <x v="7"/>
    <s v="Standard order"/>
    <x v="159"/>
    <x v="159"/>
    <s v="R933"/>
    <s v="CRYSTAL RR933"/>
    <s v="5003689"/>
    <s v="R933 ACH PB XL"/>
    <n v="48"/>
    <n v="0"/>
    <n v="48"/>
    <x v="4"/>
    <s v="3571"/>
    <s v="X-LARGE"/>
    <s v="314"/>
    <s v="4.0 UN"/>
    <s v="STANDARD"/>
    <s v="N"/>
    <s v="Y"/>
    <s v="N"/>
    <s v="N"/>
    <s v="N"/>
    <s v="N"/>
    <s v="N"/>
    <s v="N"/>
    <s v="A045"/>
    <d v="2016-12-07T00:00:00"/>
    <s v="20"/>
    <s v="TAN"/>
    <s v="OR"/>
    <d v="2016-12-01T00:00:00"/>
    <s v="ID"/>
    <s v="US"/>
    <s v="ZR"/>
    <d v="2016-12-02T00:00:00"/>
  </r>
  <r>
    <x v="0"/>
    <x v="4"/>
    <x v="173"/>
    <x v="7"/>
    <s v="Standard order"/>
    <x v="159"/>
    <x v="159"/>
    <s v="A404"/>
    <s v="CRYSTAL A404NT"/>
    <s v="5002957"/>
    <s v="A404 ACH PB XL"/>
    <n v="12"/>
    <n v="0"/>
    <n v="12"/>
    <x v="4"/>
    <s v="DPNE"/>
    <s v="X-LARGE"/>
    <s v="314"/>
    <s v="4.0 UN"/>
    <s v="STANDARD"/>
    <s v="N"/>
    <s v="Y"/>
    <s v="N"/>
    <s v="N"/>
    <s v="N"/>
    <s v="N"/>
    <s v="N"/>
    <s v="N"/>
    <s v="A045"/>
    <d v="2016-12-07T00:00:00"/>
    <s v="30"/>
    <s v="TAN"/>
    <s v="OR"/>
    <d v="2016-12-01T00:00:00"/>
    <s v="ID"/>
    <s v="US"/>
    <s v="ZR"/>
    <d v="2016-12-02T00:00:00"/>
  </r>
  <r>
    <x v="0"/>
    <x v="4"/>
    <x v="173"/>
    <x v="7"/>
    <s v="Standard order"/>
    <x v="159"/>
    <x v="159"/>
    <s v="A501"/>
    <s v="CRYSTAL A501"/>
    <s v="5003308"/>
    <s v="A501 ACH PB XL"/>
    <n v="12"/>
    <n v="0"/>
    <n v="12"/>
    <x v="4"/>
    <s v="EZPB"/>
    <s v="X-LARGE"/>
    <s v="314"/>
    <s v="4.0 UN"/>
    <s v="STANDARD"/>
    <s v="N"/>
    <s v="Y"/>
    <s v="N"/>
    <s v="N"/>
    <s v="N"/>
    <s v="N"/>
    <s v="N"/>
    <s v="N"/>
    <s v="A045"/>
    <d v="2016-12-07T00:00:00"/>
    <s v="40"/>
    <s v="TAN"/>
    <s v="OR"/>
    <d v="2016-12-01T00:00:00"/>
    <s v="ID"/>
    <s v="US"/>
    <s v="ZR"/>
    <d v="2016-12-02T00:00:00"/>
  </r>
  <r>
    <x v="0"/>
    <x v="0"/>
    <x v="174"/>
    <x v="10"/>
    <s v="Standard order"/>
    <x v="160"/>
    <x v="160"/>
    <s v="R059"/>
    <s v="CRYSTAL RR059"/>
    <s v="5003530"/>
    <s v="R059 ACH T20 Kabina RP"/>
    <n v="44"/>
    <n v="0"/>
    <n v="44"/>
    <x v="0"/>
    <s v="AP73"/>
    <s v="RP"/>
    <s v="387"/>
    <s v="4.0 UN"/>
    <s v="STANDARD"/>
    <s v="N"/>
    <s v="N"/>
    <s v="Y"/>
    <s v="T20"/>
    <s v="N"/>
    <s v="N"/>
    <s v="N"/>
    <s v="N"/>
    <s v="A036"/>
    <d v="2016-12-07T00:00:00"/>
    <s v="10"/>
    <s v="TAN"/>
    <s v="OR"/>
    <d v="2016-12-02T00:00:00"/>
    <s v="MI"/>
    <s v="US"/>
    <s v="ZR"/>
    <d v="2016-12-02T00:00:00"/>
  </r>
  <r>
    <x v="0"/>
    <x v="4"/>
    <x v="175"/>
    <x v="20"/>
    <s v="Standard order"/>
    <x v="161"/>
    <x v="161"/>
    <s v="A501"/>
    <s v="CRYSTAL A501"/>
    <s v="5003305"/>
    <s v="A501 ACH PB LRG"/>
    <n v="88"/>
    <n v="0"/>
    <n v="88"/>
    <x v="4"/>
    <s v="EZPB"/>
    <s v="LARGE"/>
    <s v="314"/>
    <s v="4.0 UN"/>
    <s v="STANDARD"/>
    <s v="N"/>
    <s v="Y"/>
    <s v="N"/>
    <s v="N"/>
    <s v="N"/>
    <s v="N"/>
    <s v="N"/>
    <s v="N"/>
    <s v="A039"/>
    <d v="2016-12-07T00:00:00"/>
    <s v="10"/>
    <s v="TAN"/>
    <s v="OR"/>
    <d v="2016-12-02T00:00:00"/>
    <s v="ID"/>
    <s v="US"/>
    <s v="ZR"/>
    <d v="2016-12-02T00:00:00"/>
  </r>
  <r>
    <x v="0"/>
    <x v="4"/>
    <x v="175"/>
    <x v="20"/>
    <s v="Standard order"/>
    <x v="161"/>
    <x v="161"/>
    <s v="A399"/>
    <s v="CRYSTAL A399NT"/>
    <s v="5002928"/>
    <s v="A399 ACH PB LRG"/>
    <n v="96"/>
    <n v="0"/>
    <n v="96"/>
    <x v="4"/>
    <s v="DP71"/>
    <s v="LARGE"/>
    <s v="314"/>
    <s v="4.0 UN"/>
    <s v="STANDARD"/>
    <s v="N"/>
    <s v="Y"/>
    <s v="N"/>
    <s v="N"/>
    <s v="N"/>
    <s v="N"/>
    <s v="N"/>
    <s v="N"/>
    <s v="A039"/>
    <d v="2016-12-07T00:00:00"/>
    <s v="20"/>
    <s v="TAN"/>
    <s v="OR"/>
    <d v="2016-12-02T00:00:00"/>
    <s v="ID"/>
    <s v="US"/>
    <s v="ZR"/>
    <d v="2016-12-02T00:00:00"/>
  </r>
  <r>
    <x v="0"/>
    <x v="4"/>
    <x v="175"/>
    <x v="20"/>
    <s v="Standard order"/>
    <x v="161"/>
    <x v="161"/>
    <s v="R275"/>
    <s v="CRYSTAL RR275"/>
    <s v="5003644"/>
    <s v="R275 ACH PB LRG"/>
    <n v="88"/>
    <n v="0"/>
    <n v="88"/>
    <x v="4"/>
    <s v="5CAY"/>
    <s v="LARGE"/>
    <s v="314"/>
    <s v="4.0 UN"/>
    <s v="STANDARD"/>
    <s v="N"/>
    <s v="Y"/>
    <s v="N"/>
    <s v="N"/>
    <s v="N"/>
    <s v="N"/>
    <s v="N"/>
    <s v="N"/>
    <s v="A039"/>
    <d v="2016-12-07T00:00:00"/>
    <s v="30"/>
    <s v="TAN"/>
    <s v="OR"/>
    <d v="2016-12-02T00:00:00"/>
    <s v="ID"/>
    <s v="US"/>
    <s v="ZR"/>
    <d v="2016-12-02T00:00:00"/>
  </r>
  <r>
    <x v="0"/>
    <x v="4"/>
    <x v="175"/>
    <x v="20"/>
    <s v="Standard order"/>
    <x v="161"/>
    <x v="161"/>
    <s v="A488"/>
    <s v="CRYSTAL A488NT"/>
    <s v="5002980"/>
    <s v="A488 ACH PB LRG"/>
    <n v="40"/>
    <n v="0"/>
    <n v="40"/>
    <x v="4"/>
    <s v="EENE"/>
    <s v="LARGE"/>
    <s v="314"/>
    <s v="4.0 UN"/>
    <s v="STANDARD"/>
    <s v="N"/>
    <s v="Y"/>
    <s v="N"/>
    <s v="N"/>
    <s v="N"/>
    <s v="N"/>
    <s v="N"/>
    <s v="N"/>
    <s v="A039"/>
    <d v="2016-12-07T00:00:00"/>
    <s v="40"/>
    <s v="TAN"/>
    <s v="OR"/>
    <d v="2016-12-02T00:00:00"/>
    <s v="ID"/>
    <s v="US"/>
    <s v="ZR"/>
    <d v="2016-12-02T00:00:00"/>
  </r>
  <r>
    <x v="0"/>
    <x v="2"/>
    <x v="176"/>
    <x v="6"/>
    <s v="Standard order"/>
    <x v="162"/>
    <x v="162"/>
    <s v="R014"/>
    <s v="CRYSTAL RR014"/>
    <s v="5003091"/>
    <s v="R014 ACH T20 PB SYSTIVA G100"/>
    <n v="32"/>
    <n v="0"/>
    <n v="32"/>
    <x v="2"/>
    <s v="AP82"/>
    <s v="GEM 100"/>
    <s v="324"/>
    <s v="4.0 UN"/>
    <s v="STANDARD"/>
    <s v="N"/>
    <s v="Y"/>
    <s v="N"/>
    <s v="T20"/>
    <s v="Y"/>
    <s v="N"/>
    <s v="Y"/>
    <s v="N"/>
    <s v="A025"/>
    <d v="2016-12-07T00:00:00"/>
    <s v="10"/>
    <s v="TAN"/>
    <s v="OR"/>
    <d v="2016-12-02T00:00:00"/>
    <s v="NE"/>
    <s v="US"/>
    <s v="ZR"/>
    <d v="2016-12-02T00:00:00"/>
  </r>
  <r>
    <x v="0"/>
    <x v="5"/>
    <x v="177"/>
    <x v="12"/>
    <s v="Standard order"/>
    <x v="163"/>
    <x v="163"/>
    <s v="Y400"/>
    <s v="CRYSTAL Y400NT"/>
    <s v="5003731"/>
    <s v="Y400 ACH T20 PB SYSTIVA ELS"/>
    <n v="36"/>
    <n v="0"/>
    <n v="36"/>
    <x v="5"/>
    <s v="4TBP"/>
    <s v="ELS"/>
    <s v="324"/>
    <s v="4.0 UN"/>
    <s v="STANDARD"/>
    <s v="N"/>
    <s v="Y"/>
    <s v="N"/>
    <s v="T20"/>
    <s v="Y"/>
    <s v="N"/>
    <s v="N"/>
    <s v="N"/>
    <s v="A014"/>
    <d v="2016-12-07T00:00:00"/>
    <s v="10"/>
    <s v="TAN"/>
    <s v="OR"/>
    <d v="2016-12-02T00:00:00"/>
    <s v="MT"/>
    <s v="US"/>
    <s v="ZR"/>
    <d v="2016-12-02T00:00:00"/>
  </r>
  <r>
    <x v="0"/>
    <x v="4"/>
    <x v="178"/>
    <x v="7"/>
    <s v="Standard order"/>
    <x v="164"/>
    <x v="164"/>
    <s v="A501"/>
    <s v="CRYSTAL A501"/>
    <s v="5003313"/>
    <s v="A501 ACH T20 PB Kabina MP"/>
    <n v="24"/>
    <n v="0"/>
    <n v="24"/>
    <x v="4"/>
    <s v="EZPB"/>
    <s v="MP"/>
    <s v="388"/>
    <s v="4.0 UN"/>
    <s v="STANDARD"/>
    <s v="N"/>
    <s v="Y"/>
    <s v="Y"/>
    <s v="T20"/>
    <s v="N"/>
    <s v="N"/>
    <s v="N"/>
    <s v="N"/>
    <s v="A045"/>
    <d v="2016-12-07T00:00:00"/>
    <s v="10"/>
    <s v="TAN"/>
    <s v="OR"/>
    <d v="2016-12-01T00:00:00"/>
    <s v="ID"/>
    <s v="US"/>
    <s v="ZR"/>
    <d v="2016-12-02T00:00:00"/>
  </r>
  <r>
    <x v="0"/>
    <x v="4"/>
    <x v="179"/>
    <x v="17"/>
    <s v="Standard order"/>
    <x v="165"/>
    <x v="165"/>
    <s v="A501"/>
    <s v="CRYSTAL A501"/>
    <s v="5003308"/>
    <s v="A501 ACH PB XL"/>
    <n v="36"/>
    <n v="0"/>
    <n v="36"/>
    <x v="4"/>
    <s v="EZPB"/>
    <s v="X-LARGE"/>
    <s v="314"/>
    <s v="4.0 UN"/>
    <s v="STANDARD"/>
    <s v="N"/>
    <s v="Y"/>
    <s v="N"/>
    <s v="N"/>
    <s v="N"/>
    <s v="N"/>
    <s v="N"/>
    <s v="N"/>
    <s v="A040"/>
    <d v="2016-12-07T00:00:00"/>
    <s v="10"/>
    <s v="TAN"/>
    <s v="OR"/>
    <d v="2016-12-02T00:00:00"/>
    <s v="ID"/>
    <s v="US"/>
    <s v="ZR"/>
    <d v="2016-12-02T00:00:00"/>
  </r>
  <r>
    <x v="0"/>
    <x v="4"/>
    <x v="179"/>
    <x v="17"/>
    <s v="Standard order"/>
    <x v="165"/>
    <x v="165"/>
    <s v="A404"/>
    <s v="CRYSTAL A404NT"/>
    <s v="5002957"/>
    <s v="A404 ACH PB XL"/>
    <n v="196"/>
    <n v="0"/>
    <n v="196"/>
    <x v="4"/>
    <s v="DPNE"/>
    <s v="X-LARGE"/>
    <s v="314"/>
    <s v="4.0 UN"/>
    <s v="STANDARD"/>
    <s v="N"/>
    <s v="Y"/>
    <s v="N"/>
    <s v="N"/>
    <s v="N"/>
    <s v="N"/>
    <s v="N"/>
    <s v="N"/>
    <s v="A040"/>
    <d v="2016-12-07T00:00:00"/>
    <s v="20"/>
    <s v="TAN"/>
    <s v="OR"/>
    <d v="2016-12-02T00:00:00"/>
    <s v="ID"/>
    <s v="US"/>
    <s v="ZR"/>
    <d v="2016-12-02T00:00:00"/>
  </r>
  <r>
    <x v="0"/>
    <x v="4"/>
    <x v="179"/>
    <x v="17"/>
    <s v="Standard order"/>
    <x v="165"/>
    <x v="165"/>
    <s v="R240"/>
    <s v="CRYSTAL RR240NT"/>
    <s v="5003162"/>
    <s v="R240 ACH PB XL"/>
    <n v="188"/>
    <n v="0"/>
    <n v="188"/>
    <x v="4"/>
    <s v="BHMP"/>
    <s v="X-LARGE"/>
    <s v="314"/>
    <s v="4.0 UN"/>
    <s v="STANDARD"/>
    <s v="N"/>
    <s v="Y"/>
    <s v="N"/>
    <s v="N"/>
    <s v="N"/>
    <s v="N"/>
    <s v="N"/>
    <s v="N"/>
    <s v="A040"/>
    <d v="2016-12-07T00:00:00"/>
    <s v="30"/>
    <s v="TAN"/>
    <s v="OR"/>
    <d v="2016-12-02T00:00:00"/>
    <s v="ID"/>
    <s v="US"/>
    <s v="ZR"/>
    <d v="2016-12-02T00:00:00"/>
  </r>
  <r>
    <x v="0"/>
    <x v="4"/>
    <x v="179"/>
    <x v="17"/>
    <s v="Standard order"/>
    <x v="165"/>
    <x v="165"/>
    <s v="R275"/>
    <s v="CRYSTAL RR275"/>
    <s v="5003655"/>
    <s v="R275 ACH XL"/>
    <n v="188"/>
    <n v="0"/>
    <n v="188"/>
    <x v="4"/>
    <s v="5CAY"/>
    <s v="X-LARGE"/>
    <s v="316"/>
    <s v="4.0 UN"/>
    <s v="STANDARD"/>
    <s v="N"/>
    <s v="N"/>
    <s v="N"/>
    <s v="N"/>
    <s v="N"/>
    <s v="N"/>
    <s v="N"/>
    <s v="N"/>
    <s v="A040"/>
    <d v="2016-12-07T00:00:00"/>
    <s v="40"/>
    <s v="TAN"/>
    <s v="OR"/>
    <d v="2016-12-02T00:00:00"/>
    <s v="ID"/>
    <s v="US"/>
    <s v="ZR"/>
    <d v="2016-12-02T00:00:00"/>
  </r>
  <r>
    <x v="0"/>
    <x v="4"/>
    <x v="179"/>
    <x v="17"/>
    <s v="Standard order"/>
    <x v="165"/>
    <x v="165"/>
    <s v="A399"/>
    <s v="CRYSTAL A399NT"/>
    <s v="5002931"/>
    <s v="A399 ACH PB XL"/>
    <n v="212"/>
    <n v="0"/>
    <n v="212"/>
    <x v="4"/>
    <s v="DP71"/>
    <s v="X-LARGE"/>
    <s v="314"/>
    <s v="4.0 UN"/>
    <s v="STANDARD"/>
    <s v="N"/>
    <s v="Y"/>
    <s v="N"/>
    <s v="N"/>
    <s v="N"/>
    <s v="N"/>
    <s v="N"/>
    <s v="N"/>
    <s v="A040"/>
    <d v="2016-12-07T00:00:00"/>
    <s v="50"/>
    <s v="TAN"/>
    <s v="OR"/>
    <d v="2016-12-02T00:00:00"/>
    <s v="ID"/>
    <s v="US"/>
    <s v="ZR"/>
    <d v="2016-12-02T00:00:00"/>
  </r>
  <r>
    <x v="0"/>
    <x v="6"/>
    <x v="180"/>
    <x v="11"/>
    <s v="Standard order"/>
    <x v="166"/>
    <x v="166"/>
    <s v="S517"/>
    <s v="CRYSTAL S517"/>
    <s v="5003467"/>
    <s v="S517 ACH T20 PB SYSTIVA G100"/>
    <n v="24"/>
    <n v="0"/>
    <n v="24"/>
    <x v="6"/>
    <s v="DVNV"/>
    <s v="GEM 100"/>
    <s v="324"/>
    <s v="4.0 UN"/>
    <s v="STANDARD"/>
    <s v="N"/>
    <s v="Y"/>
    <s v="N"/>
    <s v="T20"/>
    <s v="Y"/>
    <s v="N"/>
    <s v="Y"/>
    <s v="N"/>
    <s v="A038"/>
    <d v="2016-12-07T00:00:00"/>
    <s v="10"/>
    <s v="TAN"/>
    <s v="OR"/>
    <d v="2016-12-01T00:00:00"/>
    <s v="MT"/>
    <s v="US"/>
    <s v="ZR"/>
    <d v="2016-12-02T00:00:00"/>
  </r>
  <r>
    <x v="0"/>
    <x v="6"/>
    <x v="180"/>
    <x v="11"/>
    <s v="Standard order"/>
    <x v="166"/>
    <x v="166"/>
    <s v="R052"/>
    <s v="CRYSTAL RR052"/>
    <s v="5003501"/>
    <s v="R052 ACH T20 PB CL SYSTIVA G100"/>
    <n v="52"/>
    <n v="0"/>
    <n v="52"/>
    <x v="6"/>
    <s v="AP82"/>
    <s v="GEM 100"/>
    <s v="321"/>
    <s v="4.0 UN"/>
    <s v="STANDARD"/>
    <s v="N"/>
    <s v="N"/>
    <s v="N"/>
    <s v="T20"/>
    <s v="Y"/>
    <s v="N"/>
    <s v="Y"/>
    <s v="N"/>
    <s v="A038"/>
    <d v="2016-12-07T00:00:00"/>
    <s v="20"/>
    <s v="TAN"/>
    <s v="OR"/>
    <d v="2016-12-01T00:00:00"/>
    <s v="MT"/>
    <s v="US"/>
    <s v="ZR"/>
    <d v="2016-12-02T00:00:00"/>
  </r>
  <r>
    <x v="0"/>
    <x v="6"/>
    <x v="180"/>
    <x v="11"/>
    <s v="Standard order"/>
    <x v="166"/>
    <x v="166"/>
    <s v="S498"/>
    <s v="CRYSTAL S498"/>
    <s v="5003431"/>
    <s v="S498 ACH T20 PB SYSTIVA G100"/>
    <n v="12"/>
    <n v="0"/>
    <n v="12"/>
    <x v="6"/>
    <s v="FE73"/>
    <s v="GEM 100"/>
    <s v="324"/>
    <s v="4.0 UN"/>
    <s v="STANDARD"/>
    <s v="N"/>
    <s v="Y"/>
    <s v="N"/>
    <s v="T20"/>
    <s v="Y"/>
    <s v="N"/>
    <s v="Y"/>
    <s v="N"/>
    <s v="A038"/>
    <d v="2016-12-07T00:00:00"/>
    <s v="30"/>
    <s v="TAN"/>
    <s v="OR"/>
    <d v="2016-12-01T00:00:00"/>
    <s v="MT"/>
    <s v="US"/>
    <s v="ZR"/>
    <d v="2016-12-02T00:00:00"/>
  </r>
  <r>
    <x v="0"/>
    <x v="6"/>
    <x v="180"/>
    <x v="11"/>
    <s v="Standard order"/>
    <x v="166"/>
    <x v="166"/>
    <s v="S360"/>
    <s v="CRYSTAL S360NT"/>
    <s v="5003413"/>
    <s v="S360 ACH T20 PB SYSTIVA G100"/>
    <n v="88"/>
    <n v="0"/>
    <n v="88"/>
    <x v="6"/>
    <s v="DVNB"/>
    <s v="GEM 100"/>
    <s v="324"/>
    <s v="4.0 UN"/>
    <s v="STANDARD"/>
    <s v="N"/>
    <s v="Y"/>
    <s v="N"/>
    <s v="T20"/>
    <s v="Y"/>
    <s v="N"/>
    <s v="Y"/>
    <s v="N"/>
    <s v="A038"/>
    <d v="2016-12-07T00:00:00"/>
    <s v="40"/>
    <s v="TAN"/>
    <s v="OR"/>
    <d v="2016-12-01T00:00:00"/>
    <s v="MT"/>
    <s v="US"/>
    <s v="ZR"/>
    <d v="2016-12-02T00:00:00"/>
  </r>
  <r>
    <x v="0"/>
    <x v="6"/>
    <x v="181"/>
    <x v="11"/>
    <s v="Standard order"/>
    <x v="167"/>
    <x v="167"/>
    <s v="S517"/>
    <s v="CRYSTAL S517"/>
    <s v="5003468"/>
    <s v="S517 ACH T20 PB SYSTIVA G50"/>
    <n v="20"/>
    <n v="0"/>
    <n v="20"/>
    <x v="6"/>
    <s v="DVNV"/>
    <s v="GEM 50"/>
    <s v="324"/>
    <s v="4.0 UN"/>
    <s v="STANDARD"/>
    <s v="N"/>
    <s v="Y"/>
    <s v="N"/>
    <s v="T20"/>
    <s v="Y"/>
    <s v="N"/>
    <s v="Y"/>
    <s v="N"/>
    <s v="A038"/>
    <d v="2016-12-07T00:00:00"/>
    <s v="10"/>
    <s v="TAN"/>
    <s v="OR"/>
    <d v="2016-12-01T00:00:00"/>
    <s v="ND"/>
    <s v="US"/>
    <s v="ZR"/>
    <d v="2016-12-02T00:00:00"/>
  </r>
  <r>
    <x v="0"/>
    <x v="6"/>
    <x v="181"/>
    <x v="11"/>
    <s v="Standard order"/>
    <x v="167"/>
    <x v="167"/>
    <s v="S498"/>
    <s v="CRYSTAL S498"/>
    <s v="5003420"/>
    <s v="S498 ACH T20 PB CL SYSTIVA G50"/>
    <n v="44"/>
    <n v="0"/>
    <n v="44"/>
    <x v="6"/>
    <s v="FE73"/>
    <s v="GEM 50"/>
    <s v="321"/>
    <s v="4.0 UN"/>
    <s v="STANDARD"/>
    <s v="N"/>
    <s v="N"/>
    <s v="N"/>
    <s v="T20"/>
    <s v="Y"/>
    <s v="N"/>
    <s v="Y"/>
    <s v="N"/>
    <s v="A038"/>
    <d v="2016-12-07T00:00:00"/>
    <s v="20"/>
    <s v="TAN"/>
    <s v="OR"/>
    <d v="2016-12-01T00:00:00"/>
    <s v="ND"/>
    <s v="US"/>
    <s v="ZR"/>
    <d v="2016-12-02T00:00:00"/>
  </r>
  <r>
    <x v="0"/>
    <x v="6"/>
    <x v="181"/>
    <x v="11"/>
    <s v="Standard order"/>
    <x v="167"/>
    <x v="167"/>
    <s v="R081"/>
    <s v="CRYSTAL RR081"/>
    <s v="5003559"/>
    <s v="R081 ACH T20 PB CL SYSTIVA G50 SSI"/>
    <n v="44"/>
    <n v="0"/>
    <n v="44"/>
    <x v="6"/>
    <s v="AQ82"/>
    <s v="GEM 50"/>
    <s v="321"/>
    <s v="4.0 UN"/>
    <s v="STANDARD"/>
    <s v="N"/>
    <s v="N"/>
    <s v="N"/>
    <s v="T20"/>
    <s v="Y"/>
    <s v="N"/>
    <s v="Y"/>
    <s v="N"/>
    <s v="A038"/>
    <d v="2016-12-07T00:00:00"/>
    <s v="30"/>
    <s v="TAN"/>
    <s v="OR"/>
    <d v="2016-12-01T00:00:00"/>
    <s v="ND"/>
    <s v="US"/>
    <s v="ZR"/>
    <d v="2016-12-02T00:00:00"/>
  </r>
  <r>
    <x v="0"/>
    <x v="4"/>
    <x v="182"/>
    <x v="18"/>
    <s v="Standard order"/>
    <x v="168"/>
    <x v="168"/>
    <s v="A404"/>
    <s v="CRYSTAL A404NT"/>
    <s v="5002957"/>
    <s v="A404 ACH PB XL"/>
    <n v="40"/>
    <n v="0"/>
    <n v="40"/>
    <x v="4"/>
    <s v="DPNE"/>
    <s v="X-LARGE"/>
    <s v="314"/>
    <s v="4.0 UN"/>
    <s v="STANDARD"/>
    <s v="N"/>
    <s v="Y"/>
    <s v="N"/>
    <s v="N"/>
    <s v="N"/>
    <s v="N"/>
    <s v="N"/>
    <s v="N"/>
    <s v="A041"/>
    <d v="2016-12-07T00:00:00"/>
    <s v="10"/>
    <s v="TAN"/>
    <s v="OR"/>
    <d v="2016-12-01T00:00:00"/>
    <s v="ID"/>
    <s v="US"/>
    <s v="ZR"/>
    <d v="2016-12-02T00:00:00"/>
  </r>
  <r>
    <x v="0"/>
    <x v="4"/>
    <x v="182"/>
    <x v="18"/>
    <s v="Standard order"/>
    <x v="168"/>
    <x v="168"/>
    <s v="A399"/>
    <s v="CRYSTAL A399NT"/>
    <s v="5002931"/>
    <s v="A399 ACH PB XL"/>
    <n v="44"/>
    <n v="0"/>
    <n v="44"/>
    <x v="4"/>
    <s v="DP71"/>
    <s v="X-LARGE"/>
    <s v="314"/>
    <s v="4.0 UN"/>
    <s v="STANDARD"/>
    <s v="N"/>
    <s v="Y"/>
    <s v="N"/>
    <s v="N"/>
    <s v="N"/>
    <s v="N"/>
    <s v="N"/>
    <s v="N"/>
    <s v="A041"/>
    <d v="2016-12-07T00:00:00"/>
    <s v="20"/>
    <s v="TAN"/>
    <s v="OR"/>
    <d v="2016-12-01T00:00:00"/>
    <s v="ID"/>
    <s v="US"/>
    <s v="ZR"/>
    <d v="2016-12-02T00:00:00"/>
  </r>
  <r>
    <x v="0"/>
    <x v="4"/>
    <x v="182"/>
    <x v="18"/>
    <s v="Standard order"/>
    <x v="168"/>
    <x v="168"/>
    <s v="R081"/>
    <s v="CRYSTAL RR081"/>
    <s v="5003554"/>
    <s v="R081 ACH PB XL IDH"/>
    <n v="84"/>
    <n v="0"/>
    <n v="84"/>
    <x v="4"/>
    <s v="AQ82"/>
    <s v="X-LARGE"/>
    <s v="314"/>
    <s v="4.0 UN"/>
    <s v="STANDARD"/>
    <s v="N"/>
    <s v="Y"/>
    <s v="N"/>
    <s v="N"/>
    <s v="N"/>
    <s v="N"/>
    <s v="N"/>
    <s v="N"/>
    <s v="A041"/>
    <d v="2016-12-07T00:00:00"/>
    <s v="30"/>
    <s v="TAN"/>
    <s v="OR"/>
    <d v="2016-12-01T00:00:00"/>
    <s v="ID"/>
    <s v="US"/>
    <s v="ZR"/>
    <d v="2016-12-02T00:00:00"/>
  </r>
  <r>
    <x v="0"/>
    <x v="4"/>
    <x v="183"/>
    <x v="18"/>
    <s v="Standard order"/>
    <x v="169"/>
    <x v="169"/>
    <s v="A399"/>
    <s v="CRYSTAL A399NT"/>
    <s v="5002931"/>
    <s v="A399 ACH PB XL"/>
    <n v="32"/>
    <n v="0"/>
    <n v="32"/>
    <x v="4"/>
    <s v="DP71"/>
    <s v="X-LARGE"/>
    <s v="314"/>
    <s v="4.0 UN"/>
    <s v="STANDARD"/>
    <s v="N"/>
    <s v="Y"/>
    <s v="N"/>
    <s v="N"/>
    <s v="N"/>
    <s v="N"/>
    <s v="N"/>
    <s v="N"/>
    <s v="A041"/>
    <d v="2016-12-07T00:00:00"/>
    <s v="10"/>
    <s v="TAN"/>
    <s v="OR"/>
    <d v="2016-12-01T00:00:00"/>
    <s v="ID"/>
    <s v="US"/>
    <s v="ZR"/>
    <d v="2016-12-02T00:00:00"/>
  </r>
  <r>
    <x v="0"/>
    <x v="4"/>
    <x v="183"/>
    <x v="18"/>
    <s v="Standard order"/>
    <x v="169"/>
    <x v="169"/>
    <s v="R081"/>
    <s v="CRYSTAL RR081"/>
    <s v="5003554"/>
    <s v="R081 ACH PB XL IDH"/>
    <n v="32"/>
    <n v="0"/>
    <n v="32"/>
    <x v="4"/>
    <s v="AQ82"/>
    <s v="X-LARGE"/>
    <s v="314"/>
    <s v="4.0 UN"/>
    <s v="STANDARD"/>
    <s v="N"/>
    <s v="Y"/>
    <s v="N"/>
    <s v="N"/>
    <s v="N"/>
    <s v="N"/>
    <s v="N"/>
    <s v="N"/>
    <s v="A041"/>
    <d v="2016-12-07T00:00:00"/>
    <s v="20"/>
    <s v="TAN"/>
    <s v="OR"/>
    <d v="2016-12-01T00:00:00"/>
    <s v="ID"/>
    <s v="US"/>
    <s v="ZR"/>
    <d v="2016-12-02T00:00:00"/>
  </r>
  <r>
    <x v="0"/>
    <x v="4"/>
    <x v="184"/>
    <x v="18"/>
    <s v="Standard order"/>
    <x v="170"/>
    <x v="170"/>
    <s v="R081"/>
    <s v="CRYSTAL RR081"/>
    <s v="5003554"/>
    <s v="R081 ACH PB XL IDH"/>
    <n v="48"/>
    <n v="0"/>
    <n v="48"/>
    <x v="4"/>
    <s v="AQ82"/>
    <s v="X-LARGE"/>
    <s v="314"/>
    <s v="4.0 UN"/>
    <s v="STANDARD"/>
    <s v="N"/>
    <s v="Y"/>
    <s v="N"/>
    <s v="N"/>
    <s v="N"/>
    <s v="N"/>
    <s v="N"/>
    <s v="N"/>
    <s v="A041"/>
    <d v="2016-12-07T00:00:00"/>
    <s v="10"/>
    <s v="TAN"/>
    <s v="OR"/>
    <d v="2016-12-01T00:00:00"/>
    <s v="ID"/>
    <s v="US"/>
    <s v="ZR"/>
    <d v="2016-12-02T00:00:00"/>
  </r>
  <r>
    <x v="0"/>
    <x v="4"/>
    <x v="185"/>
    <x v="18"/>
    <s v="Standard order"/>
    <x v="171"/>
    <x v="171"/>
    <s v="A404"/>
    <s v="CRYSTAL A404NT"/>
    <s v="5002957"/>
    <s v="A404 ACH PB XL"/>
    <n v="216"/>
    <n v="0"/>
    <n v="216"/>
    <x v="4"/>
    <s v="DPNE"/>
    <s v="X-LARGE"/>
    <s v="314"/>
    <s v="4.0 UN"/>
    <s v="STANDARD"/>
    <s v="N"/>
    <s v="Y"/>
    <s v="N"/>
    <s v="N"/>
    <s v="N"/>
    <s v="N"/>
    <s v="N"/>
    <s v="N"/>
    <s v="A041"/>
    <d v="2016-12-07T00:00:00"/>
    <s v="10"/>
    <s v="TAN"/>
    <s v="OR"/>
    <d v="2016-12-01T00:00:00"/>
    <s v="ID"/>
    <s v="US"/>
    <s v="ZR"/>
    <d v="2016-12-02T00:00:00"/>
  </r>
  <r>
    <x v="0"/>
    <x v="4"/>
    <x v="185"/>
    <x v="18"/>
    <s v="Standard order"/>
    <x v="171"/>
    <x v="171"/>
    <s v="R081"/>
    <s v="CRYSTAL RR081"/>
    <s v="5003554"/>
    <s v="R081 ACH PB XL IDH"/>
    <n v="772"/>
    <n v="0"/>
    <n v="772"/>
    <x v="4"/>
    <s v="AQ82"/>
    <s v="X-LARGE"/>
    <s v="314"/>
    <s v="4.0 UN"/>
    <s v="STANDARD"/>
    <s v="N"/>
    <s v="Y"/>
    <s v="N"/>
    <s v="N"/>
    <s v="N"/>
    <s v="N"/>
    <s v="N"/>
    <s v="N"/>
    <s v="A041"/>
    <d v="2016-12-07T00:00:00"/>
    <s v="20"/>
    <s v="TAN"/>
    <s v="OR"/>
    <d v="2016-12-01T00:00:00"/>
    <s v="ID"/>
    <s v="US"/>
    <s v="ZR"/>
    <d v="2016-12-02T00:00:00"/>
  </r>
  <r>
    <x v="0"/>
    <x v="4"/>
    <x v="185"/>
    <x v="18"/>
    <s v="Standard order"/>
    <x v="171"/>
    <x v="171"/>
    <s v="A501"/>
    <s v="CRYSTAL A501"/>
    <s v="5003308"/>
    <s v="A501 ACH PB XL"/>
    <n v="76"/>
    <n v="0"/>
    <n v="76"/>
    <x v="4"/>
    <s v="EZPB"/>
    <s v="X-LARGE"/>
    <s v="314"/>
    <s v="4.0 UN"/>
    <s v="STANDARD"/>
    <s v="N"/>
    <s v="Y"/>
    <s v="N"/>
    <s v="N"/>
    <s v="N"/>
    <s v="N"/>
    <s v="N"/>
    <s v="N"/>
    <s v="A041"/>
    <d v="2016-12-07T00:00:00"/>
    <s v="30"/>
    <s v="TAN"/>
    <s v="OR"/>
    <d v="2016-12-01T00:00:00"/>
    <s v="ID"/>
    <s v="US"/>
    <s v="ZR"/>
    <d v="2016-12-02T00:00:00"/>
  </r>
  <r>
    <x v="0"/>
    <x v="0"/>
    <x v="186"/>
    <x v="10"/>
    <s v="Standard order"/>
    <x v="172"/>
    <x v="172"/>
    <s v="R059"/>
    <s v="CRYSTAL RR059"/>
    <s v="5003529"/>
    <s v="R059 ACH T20 Kabina MP"/>
    <n v="56"/>
    <n v="0"/>
    <n v="56"/>
    <x v="0"/>
    <s v="AP73"/>
    <s v="MP"/>
    <s v="387"/>
    <s v="4.0 UN"/>
    <s v="STANDARD"/>
    <s v="N"/>
    <s v="N"/>
    <s v="Y"/>
    <s v="T20"/>
    <s v="N"/>
    <s v="N"/>
    <s v="N"/>
    <s v="N"/>
    <s v="A036"/>
    <d v="2016-12-07T00:00:00"/>
    <s v="10"/>
    <s v="TAN"/>
    <s v="OR"/>
    <d v="2016-12-02T00:00:00"/>
    <s v="MI"/>
    <s v="US"/>
    <s v="ZR"/>
    <d v="2016-12-02T00:00:00"/>
  </r>
  <r>
    <x v="0"/>
    <x v="0"/>
    <x v="186"/>
    <x v="10"/>
    <s v="Standard order"/>
    <x v="172"/>
    <x v="172"/>
    <s v="G333"/>
    <s v="CRYSTAL G333NT"/>
    <s v="5003377"/>
    <s v="G333 ACH T20 Kabina MP"/>
    <n v="12"/>
    <n v="0"/>
    <n v="12"/>
    <x v="0"/>
    <s v="EE73"/>
    <s v="MP"/>
    <s v="387"/>
    <s v="4.0 UN"/>
    <s v="STANDARD"/>
    <s v="N"/>
    <s v="N"/>
    <s v="Y"/>
    <s v="T20"/>
    <s v="N"/>
    <s v="N"/>
    <s v="N"/>
    <s v="N"/>
    <s v="A036"/>
    <d v="2016-12-07T00:00:00"/>
    <s v="20"/>
    <s v="TAN"/>
    <s v="OR"/>
    <d v="2016-12-02T00:00:00"/>
    <s v="MI"/>
    <s v="US"/>
    <s v="ZR"/>
    <d v="2016-12-02T00:00:00"/>
  </r>
  <r>
    <x v="0"/>
    <x v="4"/>
    <x v="187"/>
    <x v="8"/>
    <s v="Standard order"/>
    <x v="173"/>
    <x v="173"/>
    <s v="A501"/>
    <s v="CRYSTAL A501"/>
    <s v="5003305"/>
    <s v="A501 ACH PB LRG"/>
    <n v="8"/>
    <n v="0"/>
    <n v="8"/>
    <x v="4"/>
    <s v="EZPB"/>
    <s v="LARGE"/>
    <s v="314"/>
    <s v="4.0 UN"/>
    <s v="STANDARD"/>
    <s v="N"/>
    <s v="Y"/>
    <s v="N"/>
    <s v="N"/>
    <s v="N"/>
    <s v="N"/>
    <s v="N"/>
    <s v="N"/>
    <s v="A044"/>
    <d v="2016-12-07T00:00:00"/>
    <s v="10"/>
    <s v="TAN"/>
    <s v="OR"/>
    <d v="2016-12-02T00:00:00"/>
    <s v="ID"/>
    <s v="US"/>
    <s v="ZR"/>
    <d v="2016-12-02T00:00:00"/>
  </r>
  <r>
    <x v="0"/>
    <x v="4"/>
    <x v="187"/>
    <x v="8"/>
    <s v="Standard order"/>
    <x v="173"/>
    <x v="173"/>
    <s v="A399"/>
    <s v="CRYSTAL A399NT"/>
    <s v="5002928"/>
    <s v="A399 ACH PB LRG"/>
    <n v="72"/>
    <n v="0"/>
    <n v="72"/>
    <x v="4"/>
    <s v="DP71"/>
    <s v="LARGE"/>
    <s v="314"/>
    <s v="4.0 UN"/>
    <s v="STANDARD"/>
    <s v="N"/>
    <s v="Y"/>
    <s v="N"/>
    <s v="N"/>
    <s v="N"/>
    <s v="N"/>
    <s v="N"/>
    <s v="N"/>
    <s v="A044"/>
    <d v="2016-12-07T00:00:00"/>
    <s v="20"/>
    <s v="TAN"/>
    <s v="OR"/>
    <d v="2016-12-02T00:00:00"/>
    <s v="ID"/>
    <s v="US"/>
    <s v="ZR"/>
    <d v="2016-12-02T00:00:00"/>
  </r>
  <r>
    <x v="0"/>
    <x v="4"/>
    <x v="188"/>
    <x v="8"/>
    <s v="Standard order"/>
    <x v="174"/>
    <x v="174"/>
    <s v="A488"/>
    <s v="CRYSTAL A488NT"/>
    <s v="5002988"/>
    <s v="A488 ACH T20 PB Kabina MP"/>
    <n v="48"/>
    <n v="0"/>
    <n v="48"/>
    <x v="4"/>
    <s v="EENE"/>
    <s v="MP"/>
    <s v="388"/>
    <s v="4.0 UN"/>
    <s v="STANDARD"/>
    <s v="N"/>
    <s v="Y"/>
    <s v="Y"/>
    <s v="T20"/>
    <s v="N"/>
    <s v="N"/>
    <s v="N"/>
    <s v="N"/>
    <s v="A044"/>
    <d v="2016-12-07T00:00:00"/>
    <s v="10"/>
    <s v="TAN"/>
    <s v="OR"/>
    <d v="2016-12-02T00:00:00"/>
    <s v="ID"/>
    <s v="US"/>
    <s v="ZR"/>
    <d v="2016-12-02T00:00:00"/>
  </r>
  <r>
    <x v="0"/>
    <x v="5"/>
    <x v="189"/>
    <x v="9"/>
    <s v="Standard order"/>
    <x v="175"/>
    <x v="175"/>
    <s v="Y400"/>
    <s v="CRYSTAL Y400NT"/>
    <s v="5003735"/>
    <s v="Y400 ACH T20 PB SYSTIVA RP"/>
    <n v="16"/>
    <n v="0"/>
    <n v="16"/>
    <x v="5"/>
    <s v="4TBP"/>
    <s v="RP"/>
    <s v="324"/>
    <s v="4.0 UN"/>
    <s v="STANDARD"/>
    <s v="N"/>
    <s v="Y"/>
    <s v="N"/>
    <s v="T20"/>
    <s v="Y"/>
    <s v="N"/>
    <s v="N"/>
    <s v="N"/>
    <s v="A016"/>
    <d v="2016-12-07T00:00:00"/>
    <s v="10"/>
    <s v="TAN"/>
    <s v="OR"/>
    <d v="2016-12-02T00:00:00"/>
    <s v="WY"/>
    <s v="US"/>
    <s v="ZR"/>
    <d v="2016-12-02T00:00:00"/>
  </r>
  <r>
    <x v="0"/>
    <x v="5"/>
    <x v="189"/>
    <x v="9"/>
    <s v="Standard order"/>
    <x v="175"/>
    <x v="175"/>
    <s v="R116"/>
    <s v="CRYSTAL RR116"/>
    <s v="5003105"/>
    <s v="R116 ACH T20 PB SYSTIVA RP"/>
    <n v="136"/>
    <n v="0"/>
    <n v="136"/>
    <x v="5"/>
    <s v="AP71"/>
    <s v="RP"/>
    <s v="324"/>
    <s v="4.0 UN"/>
    <s v="STANDARD"/>
    <s v="N"/>
    <s v="Y"/>
    <s v="N"/>
    <s v="T20"/>
    <s v="Y"/>
    <s v="N"/>
    <s v="N"/>
    <s v="N"/>
    <s v="A016"/>
    <d v="2016-12-07T00:00:00"/>
    <s v="20"/>
    <s v="TAN"/>
    <s v="OR"/>
    <d v="2016-12-02T00:00:00"/>
    <s v="WY"/>
    <s v="US"/>
    <s v="ZR"/>
    <d v="2016-12-02T00:00:00"/>
  </r>
  <r>
    <x v="0"/>
    <x v="5"/>
    <x v="190"/>
    <x v="9"/>
    <s v="Standard order"/>
    <x v="176"/>
    <x v="176"/>
    <s v="Y400"/>
    <s v="CRYSTAL Y400NT"/>
    <s v="5003735"/>
    <s v="Y400 ACH T20 PB SYSTIVA RP"/>
    <n v="60"/>
    <n v="0"/>
    <n v="60"/>
    <x v="5"/>
    <s v="4TBP"/>
    <s v="RP"/>
    <s v="324"/>
    <s v="4.0 UN"/>
    <s v="STANDARD"/>
    <s v="N"/>
    <s v="Y"/>
    <s v="N"/>
    <s v="T20"/>
    <s v="Y"/>
    <s v="N"/>
    <s v="N"/>
    <s v="N"/>
    <s v="A016"/>
    <d v="2016-12-07T00:00:00"/>
    <s v="10"/>
    <s v="TAN"/>
    <s v="OR"/>
    <d v="2016-12-02T00:00:00"/>
    <s v="WY"/>
    <s v="US"/>
    <s v="ZR"/>
    <d v="2016-12-02T00:00:00"/>
  </r>
  <r>
    <x v="0"/>
    <x v="5"/>
    <x v="190"/>
    <x v="9"/>
    <s v="Standard order"/>
    <x v="176"/>
    <x v="176"/>
    <s v="R116"/>
    <s v="CRYSTAL RR116"/>
    <s v="5003105"/>
    <s v="R116 ACH T20 PB SYSTIVA RP"/>
    <n v="48"/>
    <n v="0"/>
    <n v="48"/>
    <x v="5"/>
    <s v="AP71"/>
    <s v="RP"/>
    <s v="324"/>
    <s v="4.0 UN"/>
    <s v="STANDARD"/>
    <s v="N"/>
    <s v="Y"/>
    <s v="N"/>
    <s v="T20"/>
    <s v="Y"/>
    <s v="N"/>
    <s v="N"/>
    <s v="N"/>
    <s v="A016"/>
    <d v="2016-12-07T00:00:00"/>
    <s v="20"/>
    <s v="TAN"/>
    <s v="OR"/>
    <d v="2016-12-02T00:00:00"/>
    <s v="WY"/>
    <s v="US"/>
    <s v="ZR"/>
    <d v="2016-12-02T00:00:00"/>
  </r>
  <r>
    <x v="0"/>
    <x v="6"/>
    <x v="191"/>
    <x v="11"/>
    <s v="Standard order"/>
    <x v="177"/>
    <x v="177"/>
    <s v="S517"/>
    <s v="CRYSTAL S517"/>
    <s v="5003467"/>
    <s v="S517 ACH T20 PB SYSTIVA G100"/>
    <n v="24"/>
    <n v="0"/>
    <n v="24"/>
    <x v="6"/>
    <s v="DVNV"/>
    <s v="GEM 100"/>
    <s v="324"/>
    <s v="4.0 UN"/>
    <s v="STANDARD"/>
    <s v="N"/>
    <s v="Y"/>
    <s v="N"/>
    <s v="T20"/>
    <s v="Y"/>
    <s v="N"/>
    <s v="Y"/>
    <s v="N"/>
    <s v="A038"/>
    <d v="2016-12-07T00:00:00"/>
    <s v="10"/>
    <s v="TAN"/>
    <s v="OR"/>
    <d v="2016-12-01T00:00:00"/>
    <s v="MT"/>
    <s v="US"/>
    <s v="ZR"/>
    <d v="2016-12-02T00:00:00"/>
  </r>
  <r>
    <x v="0"/>
    <x v="6"/>
    <x v="191"/>
    <x v="11"/>
    <s v="Standard order"/>
    <x v="177"/>
    <x v="177"/>
    <s v="S498"/>
    <s v="CRYSTAL S498"/>
    <s v="5003431"/>
    <s v="S498 ACH T20 PB SYSTIVA G100"/>
    <n v="296"/>
    <n v="0"/>
    <n v="296"/>
    <x v="6"/>
    <s v="FE73"/>
    <s v="GEM 100"/>
    <s v="324"/>
    <s v="4.0 UN"/>
    <s v="STANDARD"/>
    <s v="N"/>
    <s v="Y"/>
    <s v="N"/>
    <s v="T20"/>
    <s v="Y"/>
    <s v="N"/>
    <s v="Y"/>
    <s v="N"/>
    <s v="A038"/>
    <d v="2016-12-07T00:00:00"/>
    <s v="20"/>
    <s v="TAN"/>
    <s v="OR"/>
    <d v="2016-12-01T00:00:00"/>
    <s v="MT"/>
    <s v="US"/>
    <s v="ZR"/>
    <d v="2016-12-02T00:00:00"/>
  </r>
  <r>
    <x v="0"/>
    <x v="6"/>
    <x v="192"/>
    <x v="11"/>
    <s v="Standard order"/>
    <x v="178"/>
    <x v="178"/>
    <s v="S517"/>
    <s v="CRYSTAL S517"/>
    <s v="5003468"/>
    <s v="S517 ACH T20 PB SYSTIVA G50"/>
    <n v="24"/>
    <n v="0"/>
    <n v="24"/>
    <x v="6"/>
    <s v="DVNV"/>
    <s v="GEM 50"/>
    <s v="324"/>
    <s v="4.0 UN"/>
    <s v="STANDARD"/>
    <s v="N"/>
    <s v="Y"/>
    <s v="N"/>
    <s v="T20"/>
    <s v="Y"/>
    <s v="N"/>
    <s v="Y"/>
    <s v="N"/>
    <s v="A038"/>
    <d v="2016-12-07T00:00:00"/>
    <s v="10"/>
    <s v="TAN"/>
    <s v="OR"/>
    <d v="2016-12-01T00:00:00"/>
    <s v="MT"/>
    <s v="US"/>
    <s v="ZR"/>
    <d v="2016-12-02T00:00:00"/>
  </r>
  <r>
    <x v="0"/>
    <x v="6"/>
    <x v="192"/>
    <x v="11"/>
    <s v="Standard order"/>
    <x v="178"/>
    <x v="178"/>
    <s v="S498"/>
    <s v="CRYSTAL S498"/>
    <s v="5003432"/>
    <s v="S498 ACH T20 PB SYSTIVA G50"/>
    <n v="24"/>
    <n v="0"/>
    <n v="24"/>
    <x v="6"/>
    <s v="FE73"/>
    <s v="GEM 50"/>
    <s v="324"/>
    <s v="4.0 UN"/>
    <s v="STANDARD"/>
    <s v="N"/>
    <s v="Y"/>
    <s v="N"/>
    <s v="T20"/>
    <s v="Y"/>
    <s v="N"/>
    <s v="Y"/>
    <s v="N"/>
    <s v="A038"/>
    <d v="2016-12-07T00:00:00"/>
    <s v="20"/>
    <s v="TAN"/>
    <s v="OR"/>
    <d v="2016-12-01T00:00:00"/>
    <s v="MT"/>
    <s v="US"/>
    <s v="ZR"/>
    <d v="2016-12-02T00:00:00"/>
  </r>
  <r>
    <x v="0"/>
    <x v="6"/>
    <x v="192"/>
    <x v="11"/>
    <s v="Standard order"/>
    <x v="178"/>
    <x v="178"/>
    <s v="S360"/>
    <s v="CRYSTAL S360NT"/>
    <s v="5003414"/>
    <s v="S360 ACH T20 PB SYSTIVA G50"/>
    <n v="80"/>
    <n v="0"/>
    <n v="80"/>
    <x v="6"/>
    <s v="DVNB"/>
    <s v="GEM 50"/>
    <s v="324"/>
    <s v="4.0 UN"/>
    <s v="STANDARD"/>
    <s v="N"/>
    <s v="Y"/>
    <s v="N"/>
    <s v="T20"/>
    <s v="Y"/>
    <s v="N"/>
    <s v="Y"/>
    <s v="N"/>
    <s v="A038"/>
    <d v="2016-12-07T00:00:00"/>
    <s v="30"/>
    <s v="TAN"/>
    <s v="OR"/>
    <d v="2016-12-01T00:00:00"/>
    <s v="MT"/>
    <s v="US"/>
    <s v="ZR"/>
    <d v="2016-12-02T00:00:00"/>
  </r>
  <r>
    <x v="0"/>
    <x v="6"/>
    <x v="192"/>
    <x v="11"/>
    <s v="Standard order"/>
    <x v="178"/>
    <x v="178"/>
    <s v="R052"/>
    <s v="CRYSTAL RR052"/>
    <s v="5003502"/>
    <s v="R052 ACH T20 PB CL SYSTIVA G50"/>
    <n v="80"/>
    <n v="0"/>
    <n v="80"/>
    <x v="6"/>
    <s v="AP82"/>
    <s v="GEM 50"/>
    <s v="321"/>
    <s v="4.0 UN"/>
    <s v="STANDARD"/>
    <s v="N"/>
    <s v="N"/>
    <s v="N"/>
    <s v="T20"/>
    <s v="Y"/>
    <s v="N"/>
    <s v="Y"/>
    <s v="N"/>
    <s v="A038"/>
    <d v="2016-12-07T00:00:00"/>
    <s v="40"/>
    <s v="TAN"/>
    <s v="OR"/>
    <d v="2016-12-01T00:00:00"/>
    <s v="MT"/>
    <s v="US"/>
    <s v="ZR"/>
    <d v="2016-12-02T00:00:00"/>
  </r>
  <r>
    <x v="0"/>
    <x v="6"/>
    <x v="193"/>
    <x v="11"/>
    <s v="Standard order"/>
    <x v="179"/>
    <x v="179"/>
    <s v="S517"/>
    <s v="CRYSTAL S517"/>
    <s v="5003467"/>
    <s v="S517 ACH T20 PB SYSTIVA G100"/>
    <n v="12"/>
    <n v="0"/>
    <n v="12"/>
    <x v="6"/>
    <s v="DVNV"/>
    <s v="GEM 100"/>
    <s v="324"/>
    <s v="4.0 UN"/>
    <s v="STANDARD"/>
    <s v="N"/>
    <s v="Y"/>
    <s v="N"/>
    <s v="T20"/>
    <s v="Y"/>
    <s v="N"/>
    <s v="Y"/>
    <s v="N"/>
    <s v="A038"/>
    <d v="2016-12-07T00:00:00"/>
    <s v="10"/>
    <s v="TAN"/>
    <s v="OR"/>
    <d v="2016-12-01T00:00:00"/>
    <s v="MT"/>
    <s v="US"/>
    <s v="ZR"/>
    <d v="2016-12-02T00:00:00"/>
  </r>
  <r>
    <x v="0"/>
    <x v="6"/>
    <x v="193"/>
    <x v="11"/>
    <s v="Standard order"/>
    <x v="179"/>
    <x v="179"/>
    <s v="S360"/>
    <s v="CRYSTAL S360NT"/>
    <s v="5003413"/>
    <s v="S360 ACH T20 PB SYSTIVA G100"/>
    <n v="60"/>
    <n v="0"/>
    <n v="60"/>
    <x v="6"/>
    <s v="DVNB"/>
    <s v="GEM 100"/>
    <s v="324"/>
    <s v="4.0 UN"/>
    <s v="STANDARD"/>
    <s v="N"/>
    <s v="Y"/>
    <s v="N"/>
    <s v="T20"/>
    <s v="Y"/>
    <s v="N"/>
    <s v="Y"/>
    <s v="N"/>
    <s v="A038"/>
    <d v="2016-12-07T00:00:00"/>
    <s v="20"/>
    <s v="TAN"/>
    <s v="OR"/>
    <d v="2016-12-01T00:00:00"/>
    <s v="MT"/>
    <s v="US"/>
    <s v="ZR"/>
    <d v="2016-12-02T00:00:00"/>
  </r>
  <r>
    <x v="0"/>
    <x v="0"/>
    <x v="194"/>
    <x v="10"/>
    <s v="Standard order"/>
    <x v="180"/>
    <x v="180"/>
    <s v="R059"/>
    <s v="CRYSTAL RR059"/>
    <s v="5003530"/>
    <s v="R059 ACH T20 Kabina RP"/>
    <n v="304"/>
    <n v="0"/>
    <n v="304"/>
    <x v="0"/>
    <s v="AP73"/>
    <s v="RP"/>
    <s v="387"/>
    <s v="4.0 UN"/>
    <s v="STANDARD"/>
    <s v="N"/>
    <s v="N"/>
    <s v="Y"/>
    <s v="T20"/>
    <s v="N"/>
    <s v="N"/>
    <s v="N"/>
    <s v="N"/>
    <s v="A036"/>
    <d v="2016-12-07T00:00:00"/>
    <s v="10"/>
    <s v="TAN"/>
    <s v="OR"/>
    <d v="2016-12-01T00:00:00"/>
    <s v="MI"/>
    <s v="US"/>
    <s v="ZR"/>
    <d v="2016-12-02T00:00:00"/>
  </r>
  <r>
    <x v="0"/>
    <x v="0"/>
    <x v="194"/>
    <x v="10"/>
    <s v="Standard order"/>
    <x v="180"/>
    <x v="180"/>
    <s v="G351"/>
    <s v="CRYSTAL G351NT"/>
    <s v="5003398"/>
    <s v="G351 ACH T20 Kabina RP"/>
    <n v="96"/>
    <n v="0"/>
    <n v="96"/>
    <x v="0"/>
    <s v="DA73"/>
    <s v="RP"/>
    <s v="387"/>
    <s v="4.0 UN"/>
    <s v="STANDARD"/>
    <s v="N"/>
    <s v="N"/>
    <s v="Y"/>
    <s v="T20"/>
    <s v="N"/>
    <s v="N"/>
    <s v="N"/>
    <s v="N"/>
    <s v="A036"/>
    <d v="2016-12-07T00:00:00"/>
    <s v="20"/>
    <s v="TAN"/>
    <s v="OR"/>
    <d v="2016-12-01T00:00:00"/>
    <s v="MI"/>
    <s v="US"/>
    <s v="ZR"/>
    <d v="2016-12-02T00:00:00"/>
  </r>
  <r>
    <x v="0"/>
    <x v="0"/>
    <x v="195"/>
    <x v="4"/>
    <s v="Standard order"/>
    <x v="181"/>
    <x v="181"/>
    <s v="G515"/>
    <s v="CRYSTAL G515"/>
    <s v="5003017"/>
    <s v="G515 ACH T20 Kabina ELS"/>
    <n v="28"/>
    <n v="0"/>
    <n v="28"/>
    <x v="0"/>
    <s v="APND"/>
    <s v="ELS"/>
    <s v="387"/>
    <s v="4.0 UN"/>
    <s v="STANDARD"/>
    <s v="N"/>
    <s v="N"/>
    <s v="Y"/>
    <s v="T20"/>
    <s v="N"/>
    <s v="N"/>
    <s v="N"/>
    <s v="N"/>
    <s v="A035"/>
    <d v="2016-12-07T00:00:00"/>
    <s v="10"/>
    <s v="TAN"/>
    <s v="OR"/>
    <d v="2016-12-01T00:00:00"/>
    <s v="MI"/>
    <s v="US"/>
    <s v="ZR"/>
    <d v="2016-12-02T00:00:00"/>
  </r>
  <r>
    <x v="0"/>
    <x v="0"/>
    <x v="195"/>
    <x v="4"/>
    <s v="Standard order"/>
    <x v="181"/>
    <x v="181"/>
    <s v="G333"/>
    <s v="CRYSTAL G333NT"/>
    <s v="5003376"/>
    <s v="G333 ACH T20 Kabina ELS"/>
    <n v="120"/>
    <n v="0"/>
    <n v="120"/>
    <x v="0"/>
    <s v="EE73"/>
    <s v="ELS"/>
    <s v="387"/>
    <s v="4.0 UN"/>
    <s v="STANDARD"/>
    <s v="N"/>
    <s v="N"/>
    <s v="Y"/>
    <s v="T20"/>
    <s v="N"/>
    <s v="N"/>
    <s v="N"/>
    <s v="N"/>
    <s v="A035"/>
    <d v="2016-12-07T00:00:00"/>
    <s v="20"/>
    <s v="TAN"/>
    <s v="OR"/>
    <d v="2016-12-01T00:00:00"/>
    <s v="MI"/>
    <s v="US"/>
    <s v="ZR"/>
    <d v="2016-12-02T00:00:00"/>
  </r>
  <r>
    <x v="0"/>
    <x v="5"/>
    <x v="196"/>
    <x v="9"/>
    <s v="Standard order"/>
    <x v="182"/>
    <x v="182"/>
    <s v="Y400"/>
    <s v="CRYSTAL Y400NT"/>
    <s v="5003731"/>
    <s v="Y400 ACH T20 PB SYSTIVA ELS"/>
    <n v="24"/>
    <n v="0"/>
    <n v="24"/>
    <x v="5"/>
    <s v="4TBP"/>
    <s v="ELS"/>
    <s v="324"/>
    <s v="4.0 UN"/>
    <s v="STANDARD"/>
    <s v="N"/>
    <s v="Y"/>
    <s v="N"/>
    <s v="T20"/>
    <s v="Y"/>
    <s v="N"/>
    <s v="N"/>
    <s v="N"/>
    <s v="A016"/>
    <d v="2016-12-07T00:00:00"/>
    <s v="10"/>
    <s v="TAN"/>
    <s v="OR"/>
    <d v="2016-12-01T00:00:00"/>
    <s v="WY"/>
    <s v="US"/>
    <s v="ZR"/>
    <d v="2016-12-02T00:00:00"/>
  </r>
  <r>
    <x v="0"/>
    <x v="5"/>
    <x v="197"/>
    <x v="9"/>
    <s v="Standard order"/>
    <x v="183"/>
    <x v="183"/>
    <s v="R116"/>
    <s v="CRYSTAL RR116"/>
    <s v="5003105"/>
    <s v="R116 ACH T20 PB SYSTIVA RP"/>
    <n v="52"/>
    <n v="0"/>
    <n v="52"/>
    <x v="5"/>
    <s v="AP71"/>
    <s v="RP"/>
    <s v="324"/>
    <s v="4.0 UN"/>
    <s v="STANDARD"/>
    <s v="N"/>
    <s v="Y"/>
    <s v="N"/>
    <s v="T20"/>
    <s v="Y"/>
    <s v="N"/>
    <s v="N"/>
    <s v="N"/>
    <s v="A016"/>
    <d v="2016-12-07T00:00:00"/>
    <s v="10"/>
    <s v="TAN"/>
    <s v="OR"/>
    <d v="2016-12-01T00:00:00"/>
    <s v="WY"/>
    <s v="US"/>
    <s v="ZR"/>
    <d v="2016-12-02T00:00:00"/>
  </r>
  <r>
    <x v="0"/>
    <x v="5"/>
    <x v="198"/>
    <x v="9"/>
    <s v="Standard order"/>
    <x v="184"/>
    <x v="184"/>
    <s v="R116"/>
    <s v="CRYSTAL RR116"/>
    <s v="5003101"/>
    <s v="R116 ACH T20 PB SYSTIVA ELS"/>
    <n v="28"/>
    <n v="0"/>
    <n v="28"/>
    <x v="5"/>
    <s v="AP71"/>
    <s v="ELS"/>
    <s v="324"/>
    <s v="4.0 UN"/>
    <s v="STANDARD"/>
    <s v="N"/>
    <s v="Y"/>
    <s v="N"/>
    <s v="T20"/>
    <s v="Y"/>
    <s v="N"/>
    <s v="N"/>
    <s v="N"/>
    <s v="A016"/>
    <d v="2016-12-07T00:00:00"/>
    <s v="10"/>
    <s v="TAN"/>
    <s v="OR"/>
    <d v="2016-12-01T00:00:00"/>
    <s v="WY"/>
    <s v="US"/>
    <s v="ZR"/>
    <d v="2016-12-02T00:00:00"/>
  </r>
  <r>
    <x v="0"/>
    <x v="5"/>
    <x v="198"/>
    <x v="9"/>
    <s v="Standard order"/>
    <x v="184"/>
    <x v="184"/>
    <s v="Y400"/>
    <s v="CRYSTAL Y400NT"/>
    <s v="5003731"/>
    <s v="Y400 ACH T20 PB SYSTIVA ELS"/>
    <n v="24"/>
    <n v="0"/>
    <n v="24"/>
    <x v="5"/>
    <s v="4TBP"/>
    <s v="ELS"/>
    <s v="324"/>
    <s v="4.0 UN"/>
    <s v="STANDARD"/>
    <s v="N"/>
    <s v="Y"/>
    <s v="N"/>
    <s v="T20"/>
    <s v="Y"/>
    <s v="N"/>
    <s v="N"/>
    <s v="N"/>
    <s v="A016"/>
    <d v="2016-12-07T00:00:00"/>
    <s v="20"/>
    <s v="TAN"/>
    <s v="OR"/>
    <d v="2016-12-01T00:00:00"/>
    <s v="WY"/>
    <s v="US"/>
    <s v="ZR"/>
    <d v="2016-12-02T00:00:00"/>
  </r>
  <r>
    <x v="0"/>
    <x v="4"/>
    <x v="199"/>
    <x v="18"/>
    <s v="Standard order"/>
    <x v="185"/>
    <x v="185"/>
    <s v="A501"/>
    <s v="CRYSTAL A501"/>
    <s v="5003308"/>
    <s v="A501 ACH PB XL"/>
    <n v="40"/>
    <n v="0"/>
    <n v="40"/>
    <x v="4"/>
    <s v="EZPB"/>
    <s v="X-LARGE"/>
    <s v="314"/>
    <s v="4.0 UN"/>
    <s v="STANDARD"/>
    <s v="N"/>
    <s v="Y"/>
    <s v="N"/>
    <s v="N"/>
    <s v="N"/>
    <s v="N"/>
    <s v="N"/>
    <s v="N"/>
    <s v="A041"/>
    <d v="2016-12-07T00:00:00"/>
    <s v="10"/>
    <s v="TAN"/>
    <s v="OR"/>
    <d v="2016-12-01T00:00:00"/>
    <s v="ID"/>
    <s v="US"/>
    <s v="ZR"/>
    <d v="2016-12-02T00:00:00"/>
  </r>
  <r>
    <x v="0"/>
    <x v="4"/>
    <x v="199"/>
    <x v="18"/>
    <s v="Standard order"/>
    <x v="185"/>
    <x v="185"/>
    <s v="R081"/>
    <s v="CRYSTAL RR081"/>
    <s v="5003554"/>
    <s v="R081 ACH PB XL IDH"/>
    <n v="88"/>
    <n v="0"/>
    <n v="88"/>
    <x v="4"/>
    <s v="AQ82"/>
    <s v="X-LARGE"/>
    <s v="314"/>
    <s v="4.0 UN"/>
    <s v="STANDARD"/>
    <s v="N"/>
    <s v="Y"/>
    <s v="N"/>
    <s v="N"/>
    <s v="N"/>
    <s v="N"/>
    <s v="N"/>
    <s v="N"/>
    <s v="A041"/>
    <d v="2016-12-07T00:00:00"/>
    <s v="20"/>
    <s v="TAN"/>
    <s v="OR"/>
    <d v="2016-12-01T00:00:00"/>
    <s v="ID"/>
    <s v="US"/>
    <s v="ZR"/>
    <d v="2016-12-02T00:00:00"/>
  </r>
  <r>
    <x v="0"/>
    <x v="4"/>
    <x v="200"/>
    <x v="18"/>
    <s v="Standard order"/>
    <x v="186"/>
    <x v="186"/>
    <s v="A501"/>
    <s v="CRYSTAL A501"/>
    <s v="5003308"/>
    <s v="A501 ACH PB XL"/>
    <n v="32"/>
    <n v="0"/>
    <n v="32"/>
    <x v="4"/>
    <s v="EZPB"/>
    <s v="X-LARGE"/>
    <s v="314"/>
    <s v="4.0 UN"/>
    <s v="STANDARD"/>
    <s v="N"/>
    <s v="Y"/>
    <s v="N"/>
    <s v="N"/>
    <s v="N"/>
    <s v="N"/>
    <s v="N"/>
    <s v="N"/>
    <s v="A041"/>
    <d v="2016-12-07T00:00:00"/>
    <s v="10"/>
    <s v="TAN"/>
    <s v="OR"/>
    <d v="2016-12-01T00:00:00"/>
    <s v="ID"/>
    <s v="US"/>
    <s v="ZR"/>
    <d v="2016-12-02T00:00:00"/>
  </r>
  <r>
    <x v="0"/>
    <x v="4"/>
    <x v="200"/>
    <x v="18"/>
    <s v="Standard order"/>
    <x v="186"/>
    <x v="186"/>
    <s v="R081"/>
    <s v="CRYSTAL RR081"/>
    <s v="5003554"/>
    <s v="R081 ACH PB XL IDH"/>
    <n v="100"/>
    <n v="0"/>
    <n v="100"/>
    <x v="4"/>
    <s v="AQ82"/>
    <s v="X-LARGE"/>
    <s v="314"/>
    <s v="4.0 UN"/>
    <s v="STANDARD"/>
    <s v="N"/>
    <s v="Y"/>
    <s v="N"/>
    <s v="N"/>
    <s v="N"/>
    <s v="N"/>
    <s v="N"/>
    <s v="N"/>
    <s v="A041"/>
    <d v="2016-12-07T00:00:00"/>
    <s v="20"/>
    <s v="TAN"/>
    <s v="OR"/>
    <d v="2016-12-01T00:00:00"/>
    <s v="ID"/>
    <s v="US"/>
    <s v="ZR"/>
    <d v="2016-12-02T00:00:00"/>
  </r>
  <r>
    <x v="0"/>
    <x v="4"/>
    <x v="201"/>
    <x v="18"/>
    <s v="Standard order"/>
    <x v="187"/>
    <x v="187"/>
    <s v="A399"/>
    <s v="CRYSTAL A399NT"/>
    <s v="5002931"/>
    <s v="A399 ACH PB XL"/>
    <n v="272"/>
    <n v="0"/>
    <n v="272"/>
    <x v="4"/>
    <s v="DP71"/>
    <s v="X-LARGE"/>
    <s v="314"/>
    <s v="4.0 UN"/>
    <s v="STANDARD"/>
    <s v="N"/>
    <s v="Y"/>
    <s v="N"/>
    <s v="N"/>
    <s v="N"/>
    <s v="N"/>
    <s v="N"/>
    <s v="N"/>
    <s v="A041"/>
    <d v="2016-12-07T00:00:00"/>
    <s v="10"/>
    <s v="TAN"/>
    <s v="OR"/>
    <d v="2016-12-01T00:00:00"/>
    <s v="ID"/>
    <s v="US"/>
    <s v="ZR"/>
    <d v="2016-12-02T00:00:00"/>
  </r>
  <r>
    <x v="0"/>
    <x v="4"/>
    <x v="201"/>
    <x v="18"/>
    <s v="Standard order"/>
    <x v="187"/>
    <x v="187"/>
    <s v="A501"/>
    <s v="CRYSTAL A501"/>
    <s v="5003308"/>
    <s v="A501 ACH PB XL"/>
    <n v="108"/>
    <n v="0"/>
    <n v="108"/>
    <x v="4"/>
    <s v="EZPB"/>
    <s v="X-LARGE"/>
    <s v="314"/>
    <s v="4.0 UN"/>
    <s v="STANDARD"/>
    <s v="N"/>
    <s v="Y"/>
    <s v="N"/>
    <s v="N"/>
    <s v="N"/>
    <s v="N"/>
    <s v="N"/>
    <s v="N"/>
    <s v="A041"/>
    <d v="2016-12-07T00:00:00"/>
    <s v="20"/>
    <s v="TAN"/>
    <s v="OR"/>
    <d v="2016-12-01T00:00:00"/>
    <s v="ID"/>
    <s v="US"/>
    <s v="ZR"/>
    <d v="2016-12-02T00:00:00"/>
  </r>
  <r>
    <x v="0"/>
    <x v="4"/>
    <x v="201"/>
    <x v="18"/>
    <s v="Standard order"/>
    <x v="187"/>
    <x v="187"/>
    <s v="R081"/>
    <s v="CRYSTAL RR081"/>
    <s v="5003554"/>
    <s v="R081 ACH PB XL IDH"/>
    <n v="216"/>
    <n v="0"/>
    <n v="216"/>
    <x v="4"/>
    <s v="AQ82"/>
    <s v="X-LARGE"/>
    <s v="314"/>
    <s v="4.0 UN"/>
    <s v="STANDARD"/>
    <s v="N"/>
    <s v="Y"/>
    <s v="N"/>
    <s v="N"/>
    <s v="N"/>
    <s v="N"/>
    <s v="N"/>
    <s v="N"/>
    <s v="A041"/>
    <d v="2016-12-07T00:00:00"/>
    <s v="30"/>
    <s v="TAN"/>
    <s v="OR"/>
    <d v="2016-12-01T00:00:00"/>
    <s v="ID"/>
    <s v="US"/>
    <s v="ZR"/>
    <d v="2016-12-02T00:00:00"/>
  </r>
  <r>
    <x v="0"/>
    <x v="4"/>
    <x v="202"/>
    <x v="18"/>
    <s v="Standard order"/>
    <x v="188"/>
    <x v="188"/>
    <s v="A501"/>
    <s v="CRYSTAL A501"/>
    <s v="5003308"/>
    <s v="A501 ACH PB XL"/>
    <n v="104"/>
    <n v="0"/>
    <n v="104"/>
    <x v="4"/>
    <s v="EZPB"/>
    <s v="X-LARGE"/>
    <s v="314"/>
    <s v="4.0 UN"/>
    <s v="STANDARD"/>
    <s v="N"/>
    <s v="Y"/>
    <s v="N"/>
    <s v="N"/>
    <s v="N"/>
    <s v="N"/>
    <s v="N"/>
    <s v="N"/>
    <s v="A041"/>
    <d v="2016-12-07T00:00:00"/>
    <s v="10"/>
    <s v="TAN"/>
    <s v="OR"/>
    <d v="2016-12-01T00:00:00"/>
    <s v="ID"/>
    <s v="US"/>
    <s v="ZR"/>
    <d v="2016-12-02T00:00:00"/>
  </r>
  <r>
    <x v="0"/>
    <x v="4"/>
    <x v="202"/>
    <x v="18"/>
    <s v="Standard order"/>
    <x v="188"/>
    <x v="188"/>
    <s v="R081"/>
    <s v="CRYSTAL RR081"/>
    <s v="5003554"/>
    <s v="R081 ACH PB XL IDH"/>
    <n v="104"/>
    <n v="0"/>
    <n v="104"/>
    <x v="4"/>
    <s v="AQ82"/>
    <s v="X-LARGE"/>
    <s v="314"/>
    <s v="4.0 UN"/>
    <s v="STANDARD"/>
    <s v="N"/>
    <s v="Y"/>
    <s v="N"/>
    <s v="N"/>
    <s v="N"/>
    <s v="N"/>
    <s v="N"/>
    <s v="N"/>
    <s v="A041"/>
    <d v="2016-12-07T00:00:00"/>
    <s v="20"/>
    <s v="TAN"/>
    <s v="OR"/>
    <d v="2016-12-01T00:00:00"/>
    <s v="ID"/>
    <s v="US"/>
    <s v="ZR"/>
    <d v="2016-12-02T00:00:00"/>
  </r>
  <r>
    <x v="0"/>
    <x v="4"/>
    <x v="203"/>
    <x v="18"/>
    <s v="Standard order"/>
    <x v="189"/>
    <x v="189"/>
    <s v="A399"/>
    <s v="CRYSTAL A399NT"/>
    <s v="5002931"/>
    <s v="A399 ACH PB XL"/>
    <n v="48"/>
    <n v="0"/>
    <n v="48"/>
    <x v="4"/>
    <s v="DP71"/>
    <s v="X-LARGE"/>
    <s v="314"/>
    <s v="4.0 UN"/>
    <s v="STANDARD"/>
    <s v="N"/>
    <s v="Y"/>
    <s v="N"/>
    <s v="N"/>
    <s v="N"/>
    <s v="N"/>
    <s v="N"/>
    <s v="N"/>
    <s v="A041"/>
    <d v="2016-12-07T00:00:00"/>
    <s v="10"/>
    <s v="TAN"/>
    <s v="OR"/>
    <d v="2016-12-01T00:00:00"/>
    <s v="ID"/>
    <s v="US"/>
    <s v="ZR"/>
    <d v="2016-12-02T00:00:00"/>
  </r>
  <r>
    <x v="0"/>
    <x v="4"/>
    <x v="203"/>
    <x v="18"/>
    <s v="Standard order"/>
    <x v="189"/>
    <x v="189"/>
    <s v="R081"/>
    <s v="CRYSTAL RR081"/>
    <s v="5003554"/>
    <s v="R081 ACH PB XL IDH"/>
    <n v="48"/>
    <n v="0"/>
    <n v="48"/>
    <x v="4"/>
    <s v="AQ82"/>
    <s v="X-LARGE"/>
    <s v="314"/>
    <s v="4.0 UN"/>
    <s v="STANDARD"/>
    <s v="N"/>
    <s v="Y"/>
    <s v="N"/>
    <s v="N"/>
    <s v="N"/>
    <s v="N"/>
    <s v="N"/>
    <s v="N"/>
    <s v="A041"/>
    <d v="2016-12-07T00:00:00"/>
    <s v="20"/>
    <s v="TAN"/>
    <s v="OR"/>
    <d v="2016-12-01T00:00:00"/>
    <s v="ID"/>
    <s v="US"/>
    <s v="ZR"/>
    <d v="2016-12-02T00:00:00"/>
  </r>
  <r>
    <x v="0"/>
    <x v="4"/>
    <x v="203"/>
    <x v="18"/>
    <s v="Standard order"/>
    <x v="189"/>
    <x v="189"/>
    <s v="A501"/>
    <s v="CRYSTAL A501"/>
    <s v="5003308"/>
    <s v="A501 ACH PB XL"/>
    <n v="48"/>
    <n v="0"/>
    <n v="48"/>
    <x v="4"/>
    <s v="EZPB"/>
    <s v="X-LARGE"/>
    <s v="314"/>
    <s v="4.0 UN"/>
    <s v="STANDARD"/>
    <s v="N"/>
    <s v="Y"/>
    <s v="N"/>
    <s v="N"/>
    <s v="N"/>
    <s v="N"/>
    <s v="N"/>
    <s v="N"/>
    <s v="A041"/>
    <d v="2016-12-07T00:00:00"/>
    <s v="30"/>
    <s v="TAN"/>
    <s v="OR"/>
    <d v="2016-12-01T00:00:00"/>
    <s v="ID"/>
    <s v="US"/>
    <s v="ZR"/>
    <d v="2016-12-02T00:00:00"/>
  </r>
  <r>
    <x v="0"/>
    <x v="5"/>
    <x v="204"/>
    <x v="9"/>
    <s v="Standard order"/>
    <x v="190"/>
    <x v="190"/>
    <s v="Y400"/>
    <s v="CRYSTAL Y400NT"/>
    <s v="5003735"/>
    <s v="Y400 ACH T20 PB SYSTIVA RP"/>
    <n v="20"/>
    <n v="0"/>
    <n v="20"/>
    <x v="5"/>
    <s v="4TBP"/>
    <s v="RP"/>
    <s v="324"/>
    <s v="4.0 UN"/>
    <s v="STANDARD"/>
    <s v="N"/>
    <s v="Y"/>
    <s v="N"/>
    <s v="T20"/>
    <s v="Y"/>
    <s v="N"/>
    <s v="N"/>
    <s v="N"/>
    <s v="A016"/>
    <d v="2016-12-07T00:00:00"/>
    <s v="10"/>
    <s v="TAN"/>
    <s v="OR"/>
    <d v="2016-12-01T00:00:00"/>
    <s v="WY"/>
    <s v="US"/>
    <s v="ZR"/>
    <d v="2016-12-02T00:00:00"/>
  </r>
  <r>
    <x v="0"/>
    <x v="4"/>
    <x v="205"/>
    <x v="18"/>
    <s v="Standard order"/>
    <x v="191"/>
    <x v="191"/>
    <s v="A501"/>
    <s v="CRYSTAL A501"/>
    <s v="5003308"/>
    <s v="A501 ACH PB XL"/>
    <n v="32"/>
    <n v="0"/>
    <n v="32"/>
    <x v="4"/>
    <s v="EZPB"/>
    <s v="X-LARGE"/>
    <s v="314"/>
    <s v="4.0 UN"/>
    <s v="STANDARD"/>
    <s v="N"/>
    <s v="Y"/>
    <s v="N"/>
    <s v="N"/>
    <s v="N"/>
    <s v="N"/>
    <s v="N"/>
    <s v="N"/>
    <s v="A041"/>
    <d v="2016-12-07T00:00:00"/>
    <s v="10"/>
    <s v="TAN"/>
    <s v="OR"/>
    <d v="2016-12-01T00:00:00"/>
    <s v="ID"/>
    <s v="US"/>
    <s v="ZR"/>
    <d v="2016-12-02T00:00:00"/>
  </r>
  <r>
    <x v="0"/>
    <x v="4"/>
    <x v="205"/>
    <x v="18"/>
    <s v="Standard order"/>
    <x v="191"/>
    <x v="191"/>
    <s v="R081"/>
    <s v="CRYSTAL RR081"/>
    <s v="5003554"/>
    <s v="R081 ACH PB XL IDH"/>
    <n v="104"/>
    <n v="0"/>
    <n v="104"/>
    <x v="4"/>
    <s v="AQ82"/>
    <s v="X-LARGE"/>
    <s v="314"/>
    <s v="4.0 UN"/>
    <s v="STANDARD"/>
    <s v="N"/>
    <s v="Y"/>
    <s v="N"/>
    <s v="N"/>
    <s v="N"/>
    <s v="N"/>
    <s v="N"/>
    <s v="N"/>
    <s v="A041"/>
    <d v="2016-12-07T00:00:00"/>
    <s v="20"/>
    <s v="TAN"/>
    <s v="OR"/>
    <d v="2016-12-01T00:00:00"/>
    <s v="ID"/>
    <s v="US"/>
    <s v="ZR"/>
    <d v="2016-12-02T00:00:00"/>
  </r>
  <r>
    <x v="0"/>
    <x v="4"/>
    <x v="206"/>
    <x v="18"/>
    <s v="Standard order"/>
    <x v="192"/>
    <x v="192"/>
    <s v="A501"/>
    <s v="CRYSTAL A501"/>
    <s v="5003308"/>
    <s v="A501 ACH PB XL"/>
    <n v="24"/>
    <n v="0"/>
    <n v="24"/>
    <x v="4"/>
    <s v="EZPB"/>
    <s v="X-LARGE"/>
    <s v="314"/>
    <s v="4.0 UN"/>
    <s v="STANDARD"/>
    <s v="N"/>
    <s v="Y"/>
    <s v="N"/>
    <s v="N"/>
    <s v="N"/>
    <s v="N"/>
    <s v="N"/>
    <s v="N"/>
    <s v="A041"/>
    <d v="2016-12-07T00:00:00"/>
    <s v="10"/>
    <s v="TAN"/>
    <s v="OR"/>
    <d v="2016-12-01T00:00:00"/>
    <s v="ID"/>
    <s v="US"/>
    <s v="ZR"/>
    <d v="2016-12-02T00:00:00"/>
  </r>
  <r>
    <x v="0"/>
    <x v="4"/>
    <x v="206"/>
    <x v="18"/>
    <s v="Standard order"/>
    <x v="192"/>
    <x v="192"/>
    <s v="R081"/>
    <s v="CRYSTAL RR081"/>
    <s v="5003554"/>
    <s v="R081 ACH PB XL IDH"/>
    <n v="40"/>
    <n v="0"/>
    <n v="40"/>
    <x v="4"/>
    <s v="AQ82"/>
    <s v="X-LARGE"/>
    <s v="314"/>
    <s v="4.0 UN"/>
    <s v="STANDARD"/>
    <s v="N"/>
    <s v="Y"/>
    <s v="N"/>
    <s v="N"/>
    <s v="N"/>
    <s v="N"/>
    <s v="N"/>
    <s v="N"/>
    <s v="A041"/>
    <d v="2016-12-07T00:00:00"/>
    <s v="20"/>
    <s v="TAN"/>
    <s v="OR"/>
    <d v="2016-12-01T00:00:00"/>
    <s v="ID"/>
    <s v="US"/>
    <s v="ZR"/>
    <d v="2016-12-02T00:00:00"/>
  </r>
  <r>
    <x v="0"/>
    <x v="4"/>
    <x v="207"/>
    <x v="18"/>
    <s v="Standard order"/>
    <x v="193"/>
    <x v="193"/>
    <s v="A501"/>
    <s v="CRYSTAL A501"/>
    <s v="5003308"/>
    <s v="A501 ACH PB XL"/>
    <n v="48"/>
    <n v="0"/>
    <n v="48"/>
    <x v="4"/>
    <s v="EZPB"/>
    <s v="X-LARGE"/>
    <s v="314"/>
    <s v="4.0 UN"/>
    <s v="STANDARD"/>
    <s v="N"/>
    <s v="Y"/>
    <s v="N"/>
    <s v="N"/>
    <s v="N"/>
    <s v="N"/>
    <s v="N"/>
    <s v="N"/>
    <s v="A041"/>
    <d v="2016-12-07T00:00:00"/>
    <s v="10"/>
    <s v="TAN"/>
    <s v="OR"/>
    <d v="2016-12-01T00:00:00"/>
    <s v="ID"/>
    <s v="US"/>
    <s v="ZR"/>
    <d v="2016-12-02T00:00:00"/>
  </r>
  <r>
    <x v="0"/>
    <x v="4"/>
    <x v="207"/>
    <x v="18"/>
    <s v="Standard order"/>
    <x v="193"/>
    <x v="193"/>
    <s v="R081"/>
    <s v="CRYSTAL RR081"/>
    <s v="5003554"/>
    <s v="R081 ACH PB XL IDH"/>
    <n v="60"/>
    <n v="0"/>
    <n v="60"/>
    <x v="4"/>
    <s v="AQ82"/>
    <s v="X-LARGE"/>
    <s v="314"/>
    <s v="4.0 UN"/>
    <s v="STANDARD"/>
    <s v="N"/>
    <s v="Y"/>
    <s v="N"/>
    <s v="N"/>
    <s v="N"/>
    <s v="N"/>
    <s v="N"/>
    <s v="N"/>
    <s v="A041"/>
    <d v="2016-12-07T00:00:00"/>
    <s v="20"/>
    <s v="TAN"/>
    <s v="OR"/>
    <d v="2016-12-01T00:00:00"/>
    <s v="ID"/>
    <s v="US"/>
    <s v="ZR"/>
    <d v="2016-12-02T00:00:00"/>
  </r>
  <r>
    <x v="0"/>
    <x v="4"/>
    <x v="208"/>
    <x v="8"/>
    <s v="Standard order"/>
    <x v="194"/>
    <x v="194"/>
    <s v="A399"/>
    <s v="CRYSTAL A399NT"/>
    <s v="5002936"/>
    <s v="A399 ACH T20 PB Kabina MP"/>
    <n v="44"/>
    <n v="0"/>
    <n v="44"/>
    <x v="4"/>
    <s v="DP71"/>
    <s v="MP"/>
    <s v="388"/>
    <s v="4.0 UN"/>
    <s v="STANDARD"/>
    <s v="N"/>
    <s v="Y"/>
    <s v="Y"/>
    <s v="T20"/>
    <s v="N"/>
    <s v="N"/>
    <s v="N"/>
    <s v="N"/>
    <s v="A044"/>
    <d v="2016-12-07T00:00:00"/>
    <s v="10"/>
    <s v="TAN"/>
    <s v="OR"/>
    <d v="2016-12-01T00:00:00"/>
    <s v="ID"/>
    <s v="US"/>
    <s v="ZR"/>
    <d v="2016-12-02T00:00:00"/>
  </r>
  <r>
    <x v="0"/>
    <x v="4"/>
    <x v="208"/>
    <x v="8"/>
    <s v="Standard order"/>
    <x v="194"/>
    <x v="194"/>
    <s v="A404"/>
    <s v="CRYSTAL A404NT"/>
    <s v="5002962"/>
    <s v="A404 ACH T20 PB Kabina MP"/>
    <n v="48"/>
    <n v="0"/>
    <n v="48"/>
    <x v="4"/>
    <s v="DPNE"/>
    <s v="MP"/>
    <s v="388"/>
    <s v="4.0 UN"/>
    <s v="STANDARD"/>
    <s v="N"/>
    <s v="Y"/>
    <s v="Y"/>
    <s v="T20"/>
    <s v="N"/>
    <s v="N"/>
    <s v="N"/>
    <s v="N"/>
    <s v="A044"/>
    <d v="2016-12-07T00:00:00"/>
    <s v="20"/>
    <s v="TAN"/>
    <s v="OR"/>
    <d v="2016-12-01T00:00:00"/>
    <s v="ID"/>
    <s v="US"/>
    <s v="ZR"/>
    <d v="2016-12-02T00:00:00"/>
  </r>
  <r>
    <x v="0"/>
    <x v="4"/>
    <x v="208"/>
    <x v="8"/>
    <s v="Standard order"/>
    <x v="194"/>
    <x v="194"/>
    <s v="A501"/>
    <s v="CRYSTAL A501"/>
    <s v="5003308"/>
    <s v="A501 ACH PB XL"/>
    <n v="24"/>
    <n v="0"/>
    <n v="24"/>
    <x v="4"/>
    <s v="EZPB"/>
    <s v="X-LARGE"/>
    <s v="314"/>
    <s v="4.0 UN"/>
    <s v="STANDARD"/>
    <s v="N"/>
    <s v="Y"/>
    <s v="N"/>
    <s v="N"/>
    <s v="N"/>
    <s v="N"/>
    <s v="N"/>
    <s v="N"/>
    <s v="A044"/>
    <d v="2016-12-07T00:00:00"/>
    <s v="30"/>
    <s v="TAN"/>
    <s v="OR"/>
    <d v="2016-12-01T00:00:00"/>
    <s v="ID"/>
    <s v="US"/>
    <s v="ZR"/>
    <d v="2016-12-02T00:00:00"/>
  </r>
  <r>
    <x v="0"/>
    <x v="4"/>
    <x v="209"/>
    <x v="8"/>
    <s v="Standard order"/>
    <x v="195"/>
    <x v="195"/>
    <s v="A399"/>
    <s v="CRYSTAL A399NT"/>
    <s v="5002931"/>
    <s v="A399 ACH PB XL"/>
    <n v="48"/>
    <n v="0"/>
    <n v="48"/>
    <x v="4"/>
    <s v="DP71"/>
    <s v="X-LARGE"/>
    <s v="314"/>
    <s v="4.0 UN"/>
    <s v="STANDARD"/>
    <s v="N"/>
    <s v="Y"/>
    <s v="N"/>
    <s v="N"/>
    <s v="N"/>
    <s v="N"/>
    <s v="N"/>
    <s v="N"/>
    <s v="A044"/>
    <d v="2016-12-07T00:00:00"/>
    <s v="10"/>
    <s v="TAN"/>
    <s v="OR"/>
    <d v="2016-12-01T00:00:00"/>
    <s v="ID"/>
    <s v="US"/>
    <s v="ZR"/>
    <d v="2016-12-02T00:00:00"/>
  </r>
  <r>
    <x v="0"/>
    <x v="0"/>
    <x v="210"/>
    <x v="10"/>
    <s v="Standard order"/>
    <x v="196"/>
    <x v="196"/>
    <s v="R059"/>
    <s v="CRYSTAL RR059"/>
    <s v="5003529"/>
    <s v="R059 ACH T20 Kabina MP"/>
    <n v="56"/>
    <n v="0"/>
    <n v="56"/>
    <x v="0"/>
    <s v="AP73"/>
    <s v="MP"/>
    <s v="387"/>
    <s v="4.0 UN"/>
    <s v="STANDARD"/>
    <s v="N"/>
    <s v="N"/>
    <s v="Y"/>
    <s v="T20"/>
    <s v="N"/>
    <s v="N"/>
    <s v="N"/>
    <s v="N"/>
    <s v="A036"/>
    <d v="2016-12-07T00:00:00"/>
    <s v="10"/>
    <s v="TAN"/>
    <s v="OR"/>
    <d v="2016-12-02T00:00:00"/>
    <s v="MI"/>
    <s v="US"/>
    <s v="ZR"/>
    <d v="2016-12-02T00:00:00"/>
  </r>
  <r>
    <x v="0"/>
    <x v="0"/>
    <x v="210"/>
    <x v="10"/>
    <s v="Standard order"/>
    <x v="196"/>
    <x v="196"/>
    <s v="G333"/>
    <s v="CRYSTAL G333NT"/>
    <s v="5003377"/>
    <s v="G333 ACH T20 Kabina MP"/>
    <n v="12"/>
    <n v="0"/>
    <n v="12"/>
    <x v="0"/>
    <s v="EE73"/>
    <s v="MP"/>
    <s v="387"/>
    <s v="4.0 UN"/>
    <s v="STANDARD"/>
    <s v="N"/>
    <s v="N"/>
    <s v="Y"/>
    <s v="T20"/>
    <s v="N"/>
    <s v="N"/>
    <s v="N"/>
    <s v="N"/>
    <s v="A036"/>
    <d v="2016-12-07T00:00:00"/>
    <s v="20"/>
    <s v="TAN"/>
    <s v="OR"/>
    <d v="2016-12-02T00:00:00"/>
    <s v="MI"/>
    <s v="US"/>
    <s v="ZR"/>
    <d v="2016-12-02T00:00:00"/>
  </r>
  <r>
    <x v="0"/>
    <x v="0"/>
    <x v="211"/>
    <x v="10"/>
    <s v="Standard order"/>
    <x v="197"/>
    <x v="197"/>
    <s v="R059"/>
    <s v="CRYSTAL RR059"/>
    <s v="5003529"/>
    <s v="R059 ACH T20 Kabina MP"/>
    <n v="56"/>
    <n v="0"/>
    <n v="56"/>
    <x v="0"/>
    <s v="AP73"/>
    <s v="MP"/>
    <s v="387"/>
    <s v="4.0 UN"/>
    <s v="STANDARD"/>
    <s v="N"/>
    <s v="N"/>
    <s v="Y"/>
    <s v="T20"/>
    <s v="N"/>
    <s v="N"/>
    <s v="N"/>
    <s v="N"/>
    <s v="A036"/>
    <d v="2016-12-07T00:00:00"/>
    <s v="10"/>
    <s v="TAN"/>
    <s v="OR"/>
    <d v="2016-12-02T00:00:00"/>
    <s v="MI"/>
    <s v="US"/>
    <s v="ZR"/>
    <d v="2016-12-02T00:00:00"/>
  </r>
  <r>
    <x v="0"/>
    <x v="0"/>
    <x v="211"/>
    <x v="10"/>
    <s v="Standard order"/>
    <x v="197"/>
    <x v="197"/>
    <s v="G333"/>
    <s v="CRYSTAL G333NT"/>
    <s v="5003377"/>
    <s v="G333 ACH T20 Kabina MP"/>
    <n v="12"/>
    <n v="0"/>
    <n v="12"/>
    <x v="0"/>
    <s v="EE73"/>
    <s v="MP"/>
    <s v="387"/>
    <s v="4.0 UN"/>
    <s v="STANDARD"/>
    <s v="N"/>
    <s v="N"/>
    <s v="Y"/>
    <s v="T20"/>
    <s v="N"/>
    <s v="N"/>
    <s v="N"/>
    <s v="N"/>
    <s v="A036"/>
    <d v="2016-12-07T00:00:00"/>
    <s v="20"/>
    <s v="TAN"/>
    <s v="OR"/>
    <d v="2016-12-02T00:00:00"/>
    <s v="MI"/>
    <s v="US"/>
    <s v="ZR"/>
    <d v="2016-12-02T00:00:00"/>
  </r>
  <r>
    <x v="0"/>
    <x v="4"/>
    <x v="212"/>
    <x v="20"/>
    <s v="Standard order"/>
    <x v="198"/>
    <x v="198"/>
    <s v="A399"/>
    <s v="CRYSTAL A399NT"/>
    <s v="5002920"/>
    <s v="A399 ACH LRG"/>
    <n v="80"/>
    <n v="0"/>
    <n v="80"/>
    <x v="4"/>
    <s v="DP71"/>
    <s v="LARGE"/>
    <s v="316"/>
    <s v="4.0 UN"/>
    <s v="STANDARD"/>
    <s v="N"/>
    <s v="N"/>
    <s v="N"/>
    <s v="N"/>
    <s v="N"/>
    <s v="N"/>
    <s v="N"/>
    <s v="N"/>
    <s v="A039"/>
    <d v="2016-12-07T00:00:00"/>
    <s v="10"/>
    <s v="TAN"/>
    <s v="OR"/>
    <d v="2016-12-02T00:00:00"/>
    <s v="ID"/>
    <s v="US"/>
    <s v="ZR"/>
    <d v="2016-12-02T00:00:00"/>
  </r>
  <r>
    <x v="0"/>
    <x v="4"/>
    <x v="212"/>
    <x v="20"/>
    <s v="Standard order"/>
    <x v="198"/>
    <x v="198"/>
    <s v="A399"/>
    <s v="CRYSTAL A399NT"/>
    <s v="5002928"/>
    <s v="A399 ACH PB LRG"/>
    <n v="20"/>
    <n v="0"/>
    <n v="20"/>
    <x v="4"/>
    <s v="DP71"/>
    <s v="LARGE"/>
    <s v="314"/>
    <s v="4.0 UN"/>
    <s v="STANDARD"/>
    <s v="N"/>
    <s v="Y"/>
    <s v="N"/>
    <s v="N"/>
    <s v="N"/>
    <s v="N"/>
    <s v="N"/>
    <s v="N"/>
    <s v="A039"/>
    <d v="2016-12-07T00:00:00"/>
    <s v="20"/>
    <s v="TAN"/>
    <s v="OR"/>
    <d v="2016-12-02T00:00:00"/>
    <s v="ID"/>
    <s v="US"/>
    <s v="ZR"/>
    <d v="2016-12-02T00:00:00"/>
  </r>
  <r>
    <x v="0"/>
    <x v="4"/>
    <x v="213"/>
    <x v="7"/>
    <s v="Standard order"/>
    <x v="199"/>
    <x v="199"/>
    <s v="A399"/>
    <s v="CRYSTAL A399NT"/>
    <s v="5002936"/>
    <s v="A399 ACH T20 PB Kabina MP"/>
    <n v="12"/>
    <n v="0"/>
    <n v="12"/>
    <x v="4"/>
    <s v="DP71"/>
    <s v="MP"/>
    <s v="388"/>
    <s v="4.0 UN"/>
    <s v="STANDARD"/>
    <s v="N"/>
    <s v="Y"/>
    <s v="Y"/>
    <s v="T20"/>
    <s v="N"/>
    <s v="N"/>
    <s v="N"/>
    <s v="N"/>
    <s v="A045"/>
    <d v="2016-12-07T00:00:00"/>
    <s v="10"/>
    <s v="TAN"/>
    <s v="OR"/>
    <d v="2016-12-02T00:00:00"/>
    <s v="ID"/>
    <s v="US"/>
    <s v="ZR"/>
    <d v="2016-12-02T00:00:00"/>
  </r>
  <r>
    <x v="0"/>
    <x v="4"/>
    <x v="214"/>
    <x v="7"/>
    <s v="Standard order"/>
    <x v="200"/>
    <x v="200"/>
    <s v="A399"/>
    <s v="CRYSTAL A399NT"/>
    <s v="5002936"/>
    <s v="A399 ACH T20 PB Kabina MP"/>
    <n v="20"/>
    <n v="0"/>
    <n v="20"/>
    <x v="4"/>
    <s v="DP71"/>
    <s v="MP"/>
    <s v="388"/>
    <s v="4.0 UN"/>
    <s v="STANDARD"/>
    <s v="N"/>
    <s v="Y"/>
    <s v="Y"/>
    <s v="T20"/>
    <s v="N"/>
    <s v="N"/>
    <s v="N"/>
    <s v="N"/>
    <s v="A045"/>
    <d v="2016-12-07T00:00:00"/>
    <s v="10"/>
    <s v="TAN"/>
    <s v="OR"/>
    <d v="2016-12-02T00:00:00"/>
    <s v="ID"/>
    <s v="US"/>
    <s v="ZR"/>
    <d v="2016-12-02T00:00:00"/>
  </r>
  <r>
    <x v="0"/>
    <x v="4"/>
    <x v="214"/>
    <x v="7"/>
    <s v="Standard order"/>
    <x v="200"/>
    <x v="200"/>
    <s v="A488"/>
    <s v="CRYSTAL A488NT"/>
    <s v="5002988"/>
    <s v="A488 ACH T20 PB Kabina MP"/>
    <n v="36"/>
    <n v="0"/>
    <n v="36"/>
    <x v="4"/>
    <s v="EENE"/>
    <s v="MP"/>
    <s v="388"/>
    <s v="4.0 UN"/>
    <s v="STANDARD"/>
    <s v="N"/>
    <s v="Y"/>
    <s v="Y"/>
    <s v="T20"/>
    <s v="N"/>
    <s v="N"/>
    <s v="N"/>
    <s v="N"/>
    <s v="A045"/>
    <d v="2016-12-07T00:00:00"/>
    <s v="20"/>
    <s v="TAN"/>
    <s v="OR"/>
    <d v="2016-12-02T00:00:00"/>
    <s v="ID"/>
    <s v="US"/>
    <s v="ZR"/>
    <d v="2016-12-02T00:00:00"/>
  </r>
  <r>
    <x v="0"/>
    <x v="4"/>
    <x v="214"/>
    <x v="7"/>
    <s v="Standard order"/>
    <x v="200"/>
    <x v="200"/>
    <s v="A501"/>
    <s v="CRYSTAL A501"/>
    <s v="5003313"/>
    <s v="A501 ACH T20 PB Kabina MP"/>
    <n v="8"/>
    <n v="0"/>
    <n v="8"/>
    <x v="4"/>
    <s v="EZPB"/>
    <s v="MP"/>
    <s v="388"/>
    <s v="4.0 UN"/>
    <s v="STANDARD"/>
    <s v="N"/>
    <s v="Y"/>
    <s v="Y"/>
    <s v="T20"/>
    <s v="N"/>
    <s v="N"/>
    <s v="N"/>
    <s v="N"/>
    <s v="A045"/>
    <d v="2016-12-07T00:00:00"/>
    <s v="30"/>
    <s v="TAN"/>
    <s v="OR"/>
    <d v="2016-12-02T00:00:00"/>
    <s v="ID"/>
    <s v="US"/>
    <s v="ZR"/>
    <d v="2016-12-02T00:00:00"/>
  </r>
  <r>
    <x v="0"/>
    <x v="4"/>
    <x v="215"/>
    <x v="16"/>
    <s v="Standard order"/>
    <x v="201"/>
    <x v="201"/>
    <s v="A399"/>
    <s v="CRYSTAL A399NT"/>
    <s v="5002920"/>
    <s v="A399 ACH LRG"/>
    <n v="124"/>
    <n v="0"/>
    <n v="124"/>
    <x v="4"/>
    <s v="DP71"/>
    <s v="LARGE"/>
    <s v="316"/>
    <s v="4.0 UN"/>
    <s v="STANDARD"/>
    <s v="N"/>
    <s v="N"/>
    <s v="N"/>
    <s v="N"/>
    <s v="N"/>
    <s v="N"/>
    <s v="N"/>
    <s v="N"/>
    <s v="A042"/>
    <d v="2016-12-07T00:00:00"/>
    <s v="10"/>
    <s v="TAN"/>
    <s v="OR"/>
    <d v="2016-12-02T00:00:00"/>
    <s v="ID"/>
    <s v="US"/>
    <s v="ZR"/>
    <d v="2016-12-02T00:00:00"/>
  </r>
  <r>
    <x v="0"/>
    <x v="5"/>
    <x v="216"/>
    <x v="12"/>
    <s v="Standard order"/>
    <x v="202"/>
    <x v="202"/>
    <s v="Y400"/>
    <s v="CRYSTAL Y400NT"/>
    <s v="5003735"/>
    <s v="Y400 ACH T20 PB SYSTIVA RP"/>
    <n v="16"/>
    <n v="0"/>
    <n v="16"/>
    <x v="5"/>
    <s v="4TBP"/>
    <s v="RP"/>
    <s v="324"/>
    <s v="4.0 UN"/>
    <s v="STANDARD"/>
    <s v="N"/>
    <s v="Y"/>
    <s v="N"/>
    <s v="T20"/>
    <s v="Y"/>
    <s v="N"/>
    <s v="N"/>
    <s v="N"/>
    <s v="A014"/>
    <d v="2016-12-07T00:00:00"/>
    <s v="10"/>
    <s v="TAN"/>
    <s v="OR"/>
    <d v="2016-12-02T00:00:00"/>
    <s v="MT"/>
    <s v="US"/>
    <s v="ZR"/>
    <d v="2016-12-02T00:00:00"/>
  </r>
  <r>
    <x v="0"/>
    <x v="4"/>
    <x v="217"/>
    <x v="20"/>
    <s v="Standard order"/>
    <x v="203"/>
    <x v="203"/>
    <s v="R275"/>
    <s v="CRYSTAL RR275"/>
    <s v="5003644"/>
    <s v="R275 ACH PB LRG"/>
    <n v="36"/>
    <n v="0"/>
    <n v="36"/>
    <x v="4"/>
    <s v="5CAY"/>
    <s v="LARGE"/>
    <s v="314"/>
    <s v="4.0 UN"/>
    <s v="STANDARD"/>
    <s v="N"/>
    <s v="Y"/>
    <s v="N"/>
    <s v="N"/>
    <s v="N"/>
    <s v="N"/>
    <s v="N"/>
    <s v="N"/>
    <s v="A039"/>
    <d v="2016-12-07T00:00:00"/>
    <s v="10"/>
    <s v="TAN"/>
    <s v="OR"/>
    <d v="2016-12-02T00:00:00"/>
    <s v="ID"/>
    <s v="US"/>
    <s v="ZR"/>
    <d v="2016-12-02T00:00:00"/>
  </r>
  <r>
    <x v="0"/>
    <x v="4"/>
    <x v="217"/>
    <x v="20"/>
    <s v="Standard order"/>
    <x v="203"/>
    <x v="203"/>
    <s v="A488"/>
    <s v="CRYSTAL A488NT"/>
    <s v="5002980"/>
    <s v="A488 ACH PB LRG"/>
    <n v="40"/>
    <n v="0"/>
    <n v="40"/>
    <x v="4"/>
    <s v="EENE"/>
    <s v="LARGE"/>
    <s v="314"/>
    <s v="4.0 UN"/>
    <s v="STANDARD"/>
    <s v="N"/>
    <s v="Y"/>
    <s v="N"/>
    <s v="N"/>
    <s v="N"/>
    <s v="N"/>
    <s v="N"/>
    <s v="N"/>
    <s v="A039"/>
    <d v="2016-12-07T00:00:00"/>
    <s v="20"/>
    <s v="TAN"/>
    <s v="OR"/>
    <d v="2016-12-02T00:00:00"/>
    <s v="ID"/>
    <s v="US"/>
    <s v="ZR"/>
    <d v="2016-12-02T00:00:00"/>
  </r>
  <r>
    <x v="0"/>
    <x v="2"/>
    <x v="218"/>
    <x v="6"/>
    <s v="Standard order"/>
    <x v="204"/>
    <x v="204"/>
    <s v="R014"/>
    <s v="CRYSTAL RR014"/>
    <s v="5003091"/>
    <s v="R014 ACH T20 PB SYSTIVA G100"/>
    <n v="40"/>
    <n v="0"/>
    <n v="40"/>
    <x v="2"/>
    <s v="AP82"/>
    <s v="GEM 100"/>
    <s v="324"/>
    <s v="4.0 UN"/>
    <s v="STANDARD"/>
    <s v="N"/>
    <s v="Y"/>
    <s v="N"/>
    <s v="T20"/>
    <s v="Y"/>
    <s v="N"/>
    <s v="Y"/>
    <s v="N"/>
    <s v="A025"/>
    <d v="2016-12-07T00:00:00"/>
    <s v="10"/>
    <s v="TAN"/>
    <s v="OR"/>
    <d v="2016-12-02T00:00:00"/>
    <s v="NE"/>
    <s v="US"/>
    <s v="ZR"/>
    <d v="2016-12-02T00:00:00"/>
  </r>
  <r>
    <x v="0"/>
    <x v="2"/>
    <x v="219"/>
    <x v="6"/>
    <s v="Standard order"/>
    <x v="205"/>
    <x v="205"/>
    <s v="R014"/>
    <s v="CRYSTAL RR014"/>
    <s v="5003091"/>
    <s v="R014 ACH T20 PB SYSTIVA G100"/>
    <n v="56"/>
    <n v="0"/>
    <n v="56"/>
    <x v="2"/>
    <s v="AP82"/>
    <s v="GEM 100"/>
    <s v="324"/>
    <s v="4.0 UN"/>
    <s v="STANDARD"/>
    <s v="N"/>
    <s v="Y"/>
    <s v="N"/>
    <s v="T20"/>
    <s v="Y"/>
    <s v="N"/>
    <s v="Y"/>
    <s v="N"/>
    <s v="A025"/>
    <d v="2016-12-07T00:00:00"/>
    <s v="10"/>
    <s v="TAN"/>
    <s v="OR"/>
    <d v="2016-12-02T00:00:00"/>
    <s v="NE"/>
    <s v="US"/>
    <s v="ZR"/>
    <d v="2016-12-02T00:00:00"/>
  </r>
  <r>
    <x v="0"/>
    <x v="2"/>
    <x v="220"/>
    <x v="6"/>
    <s v="Standard order"/>
    <x v="206"/>
    <x v="206"/>
    <s v="R014"/>
    <s v="CRYSTAL RR014"/>
    <s v="5003090"/>
    <s v="RR014 ELS Diamond Plated Gold"/>
    <n v="16"/>
    <n v="0"/>
    <n v="16"/>
    <x v="2"/>
    <s v="AP82"/>
    <s v="ELS"/>
    <s v="324"/>
    <s v="4.0 UN"/>
    <s v="STANDARD"/>
    <s v="N"/>
    <s v="Y"/>
    <s v="N"/>
    <s v="T20"/>
    <s v="Y"/>
    <s v="N"/>
    <s v="Y"/>
    <s v="N"/>
    <s v=""/>
    <d v="2016-12-02T00:00:00"/>
    <s v="10"/>
    <s v="TAN"/>
    <s v="OR"/>
    <d v="2016-12-02T00:00:00"/>
    <s v="NE"/>
    <s v="US"/>
    <s v="ZR"/>
    <d v="2016-12-02T00:00:00"/>
  </r>
  <r>
    <x v="0"/>
    <x v="4"/>
    <x v="221"/>
    <x v="20"/>
    <s v="Standard order"/>
    <x v="207"/>
    <x v="207"/>
    <s v="A399"/>
    <s v="CRYSTAL A399NT"/>
    <s v="5002931"/>
    <s v="A399 ACH PB XL"/>
    <n v="32"/>
    <n v="0"/>
    <n v="32"/>
    <x v="4"/>
    <s v="DP71"/>
    <s v="X-LARGE"/>
    <s v="314"/>
    <s v="4.0 UN"/>
    <s v="STANDARD"/>
    <s v="N"/>
    <s v="Y"/>
    <s v="N"/>
    <s v="N"/>
    <s v="N"/>
    <s v="N"/>
    <s v="N"/>
    <s v="N"/>
    <s v="A039"/>
    <d v="2016-12-07T00:00:00"/>
    <s v="10"/>
    <s v="TAN"/>
    <s v="OR"/>
    <d v="2016-12-02T00:00:00"/>
    <s v="ID"/>
    <s v="US"/>
    <s v="ZR"/>
    <d v="2016-12-02T00:00:00"/>
  </r>
  <r>
    <x v="0"/>
    <x v="4"/>
    <x v="221"/>
    <x v="20"/>
    <s v="Standard order"/>
    <x v="207"/>
    <x v="207"/>
    <s v="A404"/>
    <s v="CRYSTAL A404NT"/>
    <s v="5002957"/>
    <s v="A404 ACH PB XL"/>
    <n v="32"/>
    <n v="0"/>
    <n v="32"/>
    <x v="4"/>
    <s v="DPNE"/>
    <s v="X-LARGE"/>
    <s v="314"/>
    <s v="4.0 UN"/>
    <s v="STANDARD"/>
    <s v="N"/>
    <s v="Y"/>
    <s v="N"/>
    <s v="N"/>
    <s v="N"/>
    <s v="N"/>
    <s v="N"/>
    <s v="N"/>
    <s v="A039"/>
    <d v="2016-12-07T00:00:00"/>
    <s v="20"/>
    <s v="TAN"/>
    <s v="OR"/>
    <d v="2016-12-02T00:00:00"/>
    <s v="ID"/>
    <s v="US"/>
    <s v="ZR"/>
    <d v="2016-12-02T00:00:00"/>
  </r>
  <r>
    <x v="0"/>
    <x v="2"/>
    <x v="222"/>
    <x v="6"/>
    <s v="Standard order"/>
    <x v="208"/>
    <x v="208"/>
    <s v="W322"/>
    <s v="CRYSTAL W322NT"/>
    <s v="5003488"/>
    <s v="W322 ACH T20 PB SYSTIVA G100"/>
    <n v="4"/>
    <n v="0"/>
    <n v="4"/>
    <x v="2"/>
    <s v="EE73"/>
    <s v="GEM 100"/>
    <s v="324"/>
    <s v="4.0 UN"/>
    <s v="STANDARD"/>
    <s v="N"/>
    <s v="Y"/>
    <s v="N"/>
    <s v="T20"/>
    <s v="Y"/>
    <s v="N"/>
    <s v="Y"/>
    <s v="N"/>
    <s v="A025"/>
    <d v="2016-12-07T00:00:00"/>
    <s v="10"/>
    <s v="TAN"/>
    <s v="OR"/>
    <d v="2016-12-02T00:00:00"/>
    <s v="NE"/>
    <s v="US"/>
    <s v="ZR"/>
    <d v="2016-12-02T00:00:00"/>
  </r>
  <r>
    <x v="0"/>
    <x v="4"/>
    <x v="223"/>
    <x v="19"/>
    <s v="Standard order"/>
    <x v="209"/>
    <x v="209"/>
    <s v="A399"/>
    <s v="CRYSTAL A399NT"/>
    <s v="5002931"/>
    <s v="A399 ACH PB XL"/>
    <n v="40"/>
    <n v="0"/>
    <n v="40"/>
    <x v="4"/>
    <s v="DP71"/>
    <s v="X-LARGE"/>
    <s v="314"/>
    <s v="4.0 UN"/>
    <s v="STANDARD"/>
    <s v="N"/>
    <s v="Y"/>
    <s v="N"/>
    <s v="N"/>
    <s v="N"/>
    <s v="N"/>
    <s v="N"/>
    <s v="N"/>
    <s v="A046"/>
    <d v="2016-12-07T00:00:00"/>
    <s v="10"/>
    <s v="TAN"/>
    <s v="OR"/>
    <d v="2016-12-01T00:00:00"/>
    <s v="ID"/>
    <s v="US"/>
    <s v="ZR"/>
    <d v="2016-12-02T00:00:00"/>
  </r>
  <r>
    <x v="0"/>
    <x v="4"/>
    <x v="223"/>
    <x v="19"/>
    <s v="Standard order"/>
    <x v="209"/>
    <x v="209"/>
    <s v="A501"/>
    <s v="CRYSTAL A501"/>
    <s v="5003308"/>
    <s v="A501 ACH PB XL"/>
    <n v="40"/>
    <n v="0"/>
    <n v="40"/>
    <x v="4"/>
    <s v="EZPB"/>
    <s v="X-LARGE"/>
    <s v="314"/>
    <s v="4.0 UN"/>
    <s v="STANDARD"/>
    <s v="N"/>
    <s v="Y"/>
    <s v="N"/>
    <s v="N"/>
    <s v="N"/>
    <s v="N"/>
    <s v="N"/>
    <s v="N"/>
    <s v="A046"/>
    <d v="2016-12-07T00:00:00"/>
    <s v="20"/>
    <s v="TAN"/>
    <s v="OR"/>
    <d v="2016-12-01T00:00:00"/>
    <s v="ID"/>
    <s v="US"/>
    <s v="ZR"/>
    <d v="2016-12-02T00:00:00"/>
  </r>
  <r>
    <x v="0"/>
    <x v="4"/>
    <x v="224"/>
    <x v="17"/>
    <s v="Standard order"/>
    <x v="210"/>
    <x v="210"/>
    <s v="A501"/>
    <s v="CRYSTAL A501"/>
    <s v="5003308"/>
    <s v="A501 ACH PB XL"/>
    <n v="32"/>
    <n v="0"/>
    <n v="32"/>
    <x v="4"/>
    <s v="EZPB"/>
    <s v="X-LARGE"/>
    <s v="314"/>
    <s v="4.0 UN"/>
    <s v="STANDARD"/>
    <s v="N"/>
    <s v="Y"/>
    <s v="N"/>
    <s v="N"/>
    <s v="N"/>
    <s v="N"/>
    <s v="N"/>
    <s v="N"/>
    <s v="A040"/>
    <d v="2016-12-07T00:00:00"/>
    <s v="10"/>
    <s v="TAN"/>
    <s v="OR"/>
    <d v="2016-12-02T00:00:00"/>
    <s v="ID"/>
    <s v="US"/>
    <s v="ZR"/>
    <d v="2016-12-03T00:00:00"/>
  </r>
  <r>
    <x v="0"/>
    <x v="4"/>
    <x v="224"/>
    <x v="17"/>
    <s v="Standard order"/>
    <x v="210"/>
    <x v="210"/>
    <s v="A404"/>
    <s v="CRYSTAL A404NT"/>
    <s v="5002957"/>
    <s v="A404 ACH PB XL"/>
    <n v="44"/>
    <n v="0"/>
    <n v="44"/>
    <x v="4"/>
    <s v="DPNE"/>
    <s v="X-LARGE"/>
    <s v="314"/>
    <s v="4.0 UN"/>
    <s v="STANDARD"/>
    <s v="N"/>
    <s v="Y"/>
    <s v="N"/>
    <s v="N"/>
    <s v="N"/>
    <s v="N"/>
    <s v="N"/>
    <s v="N"/>
    <s v="A040"/>
    <d v="2016-12-07T00:00:00"/>
    <s v="20"/>
    <s v="TAN"/>
    <s v="OR"/>
    <d v="2016-12-02T00:00:00"/>
    <s v="ID"/>
    <s v="US"/>
    <s v="ZR"/>
    <d v="2016-12-03T00:00:00"/>
  </r>
  <r>
    <x v="0"/>
    <x v="4"/>
    <x v="224"/>
    <x v="17"/>
    <s v="Standard order"/>
    <x v="210"/>
    <x v="210"/>
    <s v="R275"/>
    <s v="CRYSTAL RR275"/>
    <s v="5003655"/>
    <s v="R275 ACH XL"/>
    <n v="84"/>
    <n v="0"/>
    <n v="84"/>
    <x v="4"/>
    <s v="5CAY"/>
    <s v="X-LARGE"/>
    <s v="316"/>
    <s v="4.0 UN"/>
    <s v="STANDARD"/>
    <s v="N"/>
    <s v="N"/>
    <s v="N"/>
    <s v="N"/>
    <s v="N"/>
    <s v="N"/>
    <s v="N"/>
    <s v="N"/>
    <s v="A040"/>
    <d v="2016-12-07T00:00:00"/>
    <s v="30"/>
    <s v="TAN"/>
    <s v="OR"/>
    <d v="2016-12-02T00:00:00"/>
    <s v="ID"/>
    <s v="US"/>
    <s v="ZR"/>
    <d v="2016-12-03T00:00:00"/>
  </r>
  <r>
    <x v="0"/>
    <x v="4"/>
    <x v="224"/>
    <x v="17"/>
    <s v="Standard order"/>
    <x v="210"/>
    <x v="210"/>
    <s v="A399"/>
    <s v="CRYSTAL A399NT"/>
    <s v="5002931"/>
    <s v="A399 ACH PB XL"/>
    <n v="24"/>
    <n v="0"/>
    <n v="24"/>
    <x v="4"/>
    <s v="DP71"/>
    <s v="X-LARGE"/>
    <s v="314"/>
    <s v="4.0 UN"/>
    <s v="STANDARD"/>
    <s v="N"/>
    <s v="Y"/>
    <s v="N"/>
    <s v="N"/>
    <s v="N"/>
    <s v="N"/>
    <s v="N"/>
    <s v="N"/>
    <s v="A040"/>
    <d v="2016-12-07T00:00:00"/>
    <s v="40"/>
    <s v="TAN"/>
    <s v="OR"/>
    <d v="2016-12-02T00:00:00"/>
    <s v="ID"/>
    <s v="US"/>
    <s v="ZR"/>
    <d v="2016-12-03T00:00:00"/>
  </r>
  <r>
    <x v="0"/>
    <x v="4"/>
    <x v="224"/>
    <x v="17"/>
    <s v="Standard order"/>
    <x v="210"/>
    <x v="210"/>
    <s v="A399"/>
    <s v="CRYSTAL A399NT"/>
    <s v="5002935"/>
    <s v="A399 ACH T20 PB Kabina CL MP"/>
    <n v="36"/>
    <n v="0"/>
    <n v="36"/>
    <x v="4"/>
    <s v="DP71"/>
    <s v="MP"/>
    <s v="323"/>
    <s v="4.0 UN"/>
    <s v="STANDARD"/>
    <s v="N"/>
    <s v="Y"/>
    <s v="Y"/>
    <s v="T20"/>
    <s v="N"/>
    <s v="N"/>
    <s v="N"/>
    <s v="N"/>
    <s v="A040"/>
    <d v="2016-12-07T00:00:00"/>
    <s v="50"/>
    <s v="TAN"/>
    <s v="OR"/>
    <d v="2016-12-02T00:00:00"/>
    <s v="ID"/>
    <s v="US"/>
    <s v="ZR"/>
    <d v="2016-12-03T00:00:00"/>
  </r>
  <r>
    <x v="0"/>
    <x v="4"/>
    <x v="225"/>
    <x v="19"/>
    <s v="Standard order"/>
    <x v="211"/>
    <x v="211"/>
    <s v="A404"/>
    <s v="CRYSTAL A404NT"/>
    <s v="5002962"/>
    <s v="A404 ACH T20 PB Kabina MP"/>
    <n v="48"/>
    <n v="0"/>
    <n v="48"/>
    <x v="4"/>
    <s v="DPNE"/>
    <s v="MP"/>
    <s v="388"/>
    <s v="4.0 UN"/>
    <s v="STANDARD"/>
    <s v="N"/>
    <s v="Y"/>
    <s v="Y"/>
    <s v="T20"/>
    <s v="N"/>
    <s v="N"/>
    <s v="N"/>
    <s v="N"/>
    <s v="A046"/>
    <d v="2016-12-07T00:00:00"/>
    <s v="10"/>
    <s v="TAN"/>
    <s v="OR"/>
    <d v="2016-12-02T00:00:00"/>
    <s v="ID"/>
    <s v="US"/>
    <s v="ZR"/>
    <d v="2016-12-03T00:00:00"/>
  </r>
  <r>
    <x v="0"/>
    <x v="4"/>
    <x v="225"/>
    <x v="19"/>
    <s v="Standard order"/>
    <x v="211"/>
    <x v="211"/>
    <s v="A488"/>
    <s v="CRYSTAL A488NT"/>
    <s v="5002988"/>
    <s v="A488 ACH T20 PB Kabina MP"/>
    <n v="48"/>
    <n v="0"/>
    <n v="48"/>
    <x v="4"/>
    <s v="EENE"/>
    <s v="MP"/>
    <s v="388"/>
    <s v="4.0 UN"/>
    <s v="STANDARD"/>
    <s v="N"/>
    <s v="Y"/>
    <s v="Y"/>
    <s v="T20"/>
    <s v="N"/>
    <s v="N"/>
    <s v="N"/>
    <s v="N"/>
    <s v="A046"/>
    <d v="2016-12-07T00:00:00"/>
    <s v="20"/>
    <s v="TAN"/>
    <s v="OR"/>
    <d v="2016-12-02T00:00:00"/>
    <s v="ID"/>
    <s v="US"/>
    <s v="ZR"/>
    <d v="2016-12-03T00:00:00"/>
  </r>
  <r>
    <x v="0"/>
    <x v="6"/>
    <x v="226"/>
    <x v="11"/>
    <s v="Standard order"/>
    <x v="212"/>
    <x v="212"/>
    <s v="S360"/>
    <s v="CRYSTAL S360NT"/>
    <s v="5003414"/>
    <s v="S360 ACH T20 PB SYSTIVA G50"/>
    <n v="20"/>
    <n v="0"/>
    <n v="20"/>
    <x v="6"/>
    <s v="DVNB"/>
    <s v="GEM 50"/>
    <s v="324"/>
    <s v="4.0 UN"/>
    <s v="STANDARD"/>
    <s v="N"/>
    <s v="Y"/>
    <s v="N"/>
    <s v="T20"/>
    <s v="Y"/>
    <s v="N"/>
    <s v="Y"/>
    <s v="N"/>
    <s v="A038"/>
    <d v="2016-12-07T00:00:00"/>
    <s v="30"/>
    <s v="TAN"/>
    <s v="OR"/>
    <d v="2016-12-02T00:00:00"/>
    <s v="MT"/>
    <s v="US"/>
    <s v="ZR"/>
    <d v="2016-12-03T00:00:00"/>
  </r>
  <r>
    <x v="0"/>
    <x v="6"/>
    <x v="226"/>
    <x v="11"/>
    <s v="Standard order"/>
    <x v="212"/>
    <x v="212"/>
    <s v="S498"/>
    <s v="CRYSTAL S498"/>
    <s v="5003420"/>
    <s v="S498 ACH T20 PB CL SYSTIVA G50"/>
    <n v="100"/>
    <n v="0"/>
    <n v="100"/>
    <x v="6"/>
    <s v="FE73"/>
    <s v="GEM 50"/>
    <s v="321"/>
    <s v="4.0 UN"/>
    <s v="STANDARD"/>
    <s v="N"/>
    <s v="N"/>
    <s v="N"/>
    <s v="T20"/>
    <s v="Y"/>
    <s v="N"/>
    <s v="Y"/>
    <s v="N"/>
    <s v="A038"/>
    <d v="2016-12-07T00:00:00"/>
    <s v="10"/>
    <s v="TAN"/>
    <s v="OR"/>
    <d v="2016-12-02T00:00:00"/>
    <s v="MT"/>
    <s v="US"/>
    <s v="ZR"/>
    <d v="2016-12-03T00:00:00"/>
  </r>
  <r>
    <x v="0"/>
    <x v="6"/>
    <x v="226"/>
    <x v="11"/>
    <s v="Standard order"/>
    <x v="212"/>
    <x v="212"/>
    <s v="S517"/>
    <s v="CRYSTAL S517"/>
    <s v="5003468"/>
    <s v="S517 ACH T20 PB SYSTIVA G50"/>
    <n v="8"/>
    <n v="0"/>
    <n v="8"/>
    <x v="6"/>
    <s v="DVNV"/>
    <s v="GEM 50"/>
    <s v="324"/>
    <s v="4.0 UN"/>
    <s v="STANDARD"/>
    <s v="N"/>
    <s v="Y"/>
    <s v="N"/>
    <s v="T20"/>
    <s v="Y"/>
    <s v="N"/>
    <s v="Y"/>
    <s v="N"/>
    <s v="A038"/>
    <d v="2016-12-07T00:00:00"/>
    <s v="20"/>
    <s v="TAN"/>
    <s v="OR"/>
    <d v="2016-12-02T00:00:00"/>
    <s v="MT"/>
    <s v="US"/>
    <s v="ZR"/>
    <d v="2016-12-03T00:00:00"/>
  </r>
  <r>
    <x v="0"/>
    <x v="6"/>
    <x v="227"/>
    <x v="11"/>
    <s v="Standard order"/>
    <x v="213"/>
    <x v="213"/>
    <s v="S517"/>
    <s v="CRYSTAL S517"/>
    <s v="5003467"/>
    <s v="S517 ACH T20 PB SYSTIVA G100"/>
    <n v="24"/>
    <n v="0"/>
    <n v="24"/>
    <x v="6"/>
    <s v="DVNV"/>
    <s v="GEM 100"/>
    <s v="324"/>
    <s v="4.0 UN"/>
    <s v="STANDARD"/>
    <s v="N"/>
    <s v="Y"/>
    <s v="N"/>
    <s v="T20"/>
    <s v="Y"/>
    <s v="N"/>
    <s v="Y"/>
    <s v="N"/>
    <s v="A038"/>
    <d v="2016-12-07T00:00:00"/>
    <s v="10"/>
    <s v="TAN"/>
    <s v="OR"/>
    <d v="2016-12-02T00:00:00"/>
    <s v="MT"/>
    <s v="US"/>
    <s v="ZR"/>
    <d v="2016-12-03T00:00:00"/>
  </r>
  <r>
    <x v="0"/>
    <x v="6"/>
    <x v="227"/>
    <x v="11"/>
    <s v="Standard order"/>
    <x v="213"/>
    <x v="213"/>
    <s v="S498"/>
    <s v="CRYSTAL S498"/>
    <s v="5003431"/>
    <s v="S498 ACH T20 PB SYSTIVA G100"/>
    <n v="40"/>
    <n v="0"/>
    <n v="40"/>
    <x v="6"/>
    <s v="FE73"/>
    <s v="GEM 100"/>
    <s v="324"/>
    <s v="4.0 UN"/>
    <s v="STANDARD"/>
    <s v="N"/>
    <s v="Y"/>
    <s v="N"/>
    <s v="T20"/>
    <s v="Y"/>
    <s v="N"/>
    <s v="Y"/>
    <s v="N"/>
    <s v="A038"/>
    <d v="2016-12-07T00:00:00"/>
    <s v="20"/>
    <s v="TAN"/>
    <s v="OR"/>
    <d v="2016-12-02T00:00:00"/>
    <s v="MT"/>
    <s v="US"/>
    <s v="ZR"/>
    <d v="2016-12-03T00:00:00"/>
  </r>
  <r>
    <x v="0"/>
    <x v="6"/>
    <x v="227"/>
    <x v="11"/>
    <s v="Standard order"/>
    <x v="213"/>
    <x v="213"/>
    <s v="R052"/>
    <s v="CRYSTAL RR052"/>
    <s v="5003513"/>
    <s v="R052 ACH T20 PB SYSTIVA G100"/>
    <n v="96"/>
    <n v="0"/>
    <n v="96"/>
    <x v="6"/>
    <s v="AP82"/>
    <s v="GEM 100"/>
    <s v="324"/>
    <s v="4.0 UN"/>
    <s v="STANDARD"/>
    <s v="N"/>
    <s v="Y"/>
    <s v="N"/>
    <s v="T20"/>
    <s v="Y"/>
    <s v="N"/>
    <s v="Y"/>
    <s v="N"/>
    <s v="A038"/>
    <d v="2016-12-07T00:00:00"/>
    <s v="30"/>
    <s v="TAN"/>
    <s v="OR"/>
    <d v="2016-12-02T00:00:00"/>
    <s v="MT"/>
    <s v="US"/>
    <s v="ZR"/>
    <d v="2016-12-03T00:00:00"/>
  </r>
  <r>
    <x v="0"/>
    <x v="0"/>
    <x v="228"/>
    <x v="10"/>
    <s v="Standard order"/>
    <x v="214"/>
    <x v="214"/>
    <s v="R059"/>
    <s v="CRYSTAL RR059"/>
    <s v="5003530"/>
    <s v="R059 ACH T20 Kabina RP"/>
    <n v="68"/>
    <n v="0"/>
    <n v="68"/>
    <x v="0"/>
    <s v="AP73"/>
    <s v="RP"/>
    <s v="387"/>
    <s v="4.0 UN"/>
    <s v="STANDARD"/>
    <s v="N"/>
    <s v="N"/>
    <s v="Y"/>
    <s v="T20"/>
    <s v="N"/>
    <s v="N"/>
    <s v="N"/>
    <s v="N"/>
    <s v="A036"/>
    <d v="2016-12-07T00:00:00"/>
    <s v="10"/>
    <s v="TAN"/>
    <s v="OR"/>
    <d v="2016-12-03T00:00:00"/>
    <s v="MI"/>
    <s v="US"/>
    <s v="ZR"/>
    <d v="2016-12-03T00:00:00"/>
  </r>
  <r>
    <x v="0"/>
    <x v="4"/>
    <x v="229"/>
    <x v="15"/>
    <s v="Standard order"/>
    <x v="215"/>
    <x v="215"/>
    <s v="R240"/>
    <s v="CRYSTAL RR240NT"/>
    <s v="5003166"/>
    <s v="R240 ACH T20 PB Kabina CL MP"/>
    <n v="32"/>
    <n v="0"/>
    <n v="32"/>
    <x v="4"/>
    <s v="BHMP"/>
    <s v="MP"/>
    <s v="323"/>
    <s v="4.0 UN"/>
    <s v="STANDARD"/>
    <s v="N"/>
    <s v="Y"/>
    <s v="Y"/>
    <s v="T20"/>
    <s v="N"/>
    <s v="N"/>
    <s v="N"/>
    <s v="N"/>
    <s v="A043"/>
    <d v="2016-12-07T00:00:00"/>
    <s v="10"/>
    <s v="TAN"/>
    <s v="OR"/>
    <d v="2016-12-02T00:00:00"/>
    <s v="ID"/>
    <s v="US"/>
    <s v="ZR"/>
    <d v="2016-12-03T00:00:00"/>
  </r>
  <r>
    <x v="0"/>
    <x v="4"/>
    <x v="229"/>
    <x v="15"/>
    <s v="Standard order"/>
    <x v="215"/>
    <x v="215"/>
    <s v="A488"/>
    <s v="CRYSTAL A488NT"/>
    <s v="5002987"/>
    <s v="A488 ACH T20 PB Kabina CL MP"/>
    <n v="32"/>
    <n v="0"/>
    <n v="32"/>
    <x v="4"/>
    <s v="EENE"/>
    <s v="MP"/>
    <s v="323"/>
    <s v="4.0 UN"/>
    <s v="STANDARD"/>
    <s v="N"/>
    <s v="Y"/>
    <s v="Y"/>
    <s v="T20"/>
    <s v="N"/>
    <s v="N"/>
    <s v="N"/>
    <s v="N"/>
    <s v="A043"/>
    <d v="2016-12-07T00:00:00"/>
    <s v="20"/>
    <s v="TAN"/>
    <s v="OR"/>
    <d v="2016-12-02T00:00:00"/>
    <s v="ID"/>
    <s v="US"/>
    <s v="ZR"/>
    <d v="2016-12-03T00:00:00"/>
  </r>
  <r>
    <x v="0"/>
    <x v="4"/>
    <x v="229"/>
    <x v="15"/>
    <s v="Standard order"/>
    <x v="215"/>
    <x v="215"/>
    <s v="A399"/>
    <s v="CRYSTAL A399NT"/>
    <s v="5002935"/>
    <s v="A399 ACH T20 PB Kabina CL MP"/>
    <n v="32"/>
    <n v="0"/>
    <n v="32"/>
    <x v="4"/>
    <s v="DP71"/>
    <s v="MP"/>
    <s v="323"/>
    <s v="4.0 UN"/>
    <s v="STANDARD"/>
    <s v="N"/>
    <s v="Y"/>
    <s v="Y"/>
    <s v="T20"/>
    <s v="N"/>
    <s v="N"/>
    <s v="N"/>
    <s v="N"/>
    <s v="A043"/>
    <d v="2016-12-07T00:00:00"/>
    <s v="30"/>
    <s v="TAN"/>
    <s v="OR"/>
    <d v="2016-12-02T00:00:00"/>
    <s v="ID"/>
    <s v="US"/>
    <s v="ZR"/>
    <d v="2016-12-03T00:00:00"/>
  </r>
  <r>
    <x v="0"/>
    <x v="4"/>
    <x v="229"/>
    <x v="15"/>
    <s v="Standard order"/>
    <x v="215"/>
    <x v="215"/>
    <s v="A404"/>
    <s v="CRYSTAL A404NT"/>
    <s v="5002961"/>
    <s v="A404 ACH T20 PB Kabina CL MP"/>
    <n v="32"/>
    <n v="0"/>
    <n v="32"/>
    <x v="4"/>
    <s v="DPNE"/>
    <s v="MP"/>
    <s v="323"/>
    <s v="4.0 UN"/>
    <s v="STANDARD"/>
    <s v="N"/>
    <s v="Y"/>
    <s v="Y"/>
    <s v="T20"/>
    <s v="N"/>
    <s v="N"/>
    <s v="N"/>
    <s v="N"/>
    <s v="A043"/>
    <d v="2016-12-07T00:00:00"/>
    <s v="40"/>
    <s v="TAN"/>
    <s v="OR"/>
    <d v="2016-12-02T00:00:00"/>
    <s v="ID"/>
    <s v="US"/>
    <s v="ZR"/>
    <d v="2016-12-03T00:00:00"/>
  </r>
  <r>
    <x v="0"/>
    <x v="4"/>
    <x v="229"/>
    <x v="15"/>
    <s v="Standard order"/>
    <x v="215"/>
    <x v="215"/>
    <s v="A501"/>
    <s v="CRYSTAL A501"/>
    <s v="5003313"/>
    <s v="A501 ACH T20 PB Kabina MP"/>
    <n v="32"/>
    <n v="0"/>
    <n v="32"/>
    <x v="4"/>
    <s v="EZPB"/>
    <s v="MP"/>
    <s v="388"/>
    <s v="4.0 UN"/>
    <s v="STANDARD"/>
    <s v="N"/>
    <s v="Y"/>
    <s v="Y"/>
    <s v="T20"/>
    <s v="N"/>
    <s v="N"/>
    <s v="N"/>
    <s v="N"/>
    <s v="A043"/>
    <d v="2016-12-07T00:00:00"/>
    <s v="50"/>
    <s v="TAN"/>
    <s v="OR"/>
    <d v="2016-12-02T00:00:00"/>
    <s v="ID"/>
    <s v="US"/>
    <s v="ZR"/>
    <d v="2016-12-03T00:00:00"/>
  </r>
  <r>
    <x v="0"/>
    <x v="4"/>
    <x v="229"/>
    <x v="15"/>
    <s v="Standard order"/>
    <x v="215"/>
    <x v="215"/>
    <s v="R933"/>
    <s v="CRYSTAL RR933"/>
    <s v="5003694"/>
    <s v="R933 ACH T20 PB Kabina MP"/>
    <n v="16"/>
    <n v="0"/>
    <n v="16"/>
    <x v="4"/>
    <s v="3571"/>
    <s v="MP"/>
    <s v="388"/>
    <s v="4.0 UN"/>
    <s v="STANDARD"/>
    <s v="N"/>
    <s v="Y"/>
    <s v="Y"/>
    <s v="T20"/>
    <s v="N"/>
    <s v="N"/>
    <s v="N"/>
    <s v="N"/>
    <s v="A043"/>
    <d v="2016-12-07T00:00:00"/>
    <s v="60"/>
    <s v="TAN"/>
    <s v="OR"/>
    <d v="2016-12-02T00:00:00"/>
    <s v="ID"/>
    <s v="US"/>
    <s v="ZR"/>
    <d v="2016-12-03T00:00:00"/>
  </r>
  <r>
    <x v="0"/>
    <x v="6"/>
    <x v="230"/>
    <x v="11"/>
    <s v="Standard order"/>
    <x v="216"/>
    <x v="216"/>
    <s v="S517"/>
    <s v="CRYSTAL S517"/>
    <s v="5003467"/>
    <s v="S517 ACH T20 PB SYSTIVA G100"/>
    <n v="20"/>
    <n v="0"/>
    <n v="20"/>
    <x v="6"/>
    <s v="DVNV"/>
    <s v="GEM 100"/>
    <s v="324"/>
    <s v="4.0 UN"/>
    <s v="STANDARD"/>
    <s v="N"/>
    <s v="Y"/>
    <s v="N"/>
    <s v="T20"/>
    <s v="Y"/>
    <s v="N"/>
    <s v="Y"/>
    <s v="N"/>
    <s v="A038"/>
    <d v="2016-12-07T00:00:00"/>
    <s v="10"/>
    <s v="TAN"/>
    <s v="OR"/>
    <d v="2016-12-02T00:00:00"/>
    <s v="MT"/>
    <s v="US"/>
    <s v="ZR"/>
    <d v="2016-12-03T00:00:00"/>
  </r>
  <r>
    <x v="0"/>
    <x v="6"/>
    <x v="230"/>
    <x v="11"/>
    <s v="Standard order"/>
    <x v="216"/>
    <x v="216"/>
    <s v="S360"/>
    <s v="CRYSTAL S360NT"/>
    <s v="5003413"/>
    <s v="S360 ACH T20 PB SYSTIVA G100"/>
    <n v="20"/>
    <n v="0"/>
    <n v="20"/>
    <x v="6"/>
    <s v="DVNB"/>
    <s v="GEM 100"/>
    <s v="324"/>
    <s v="4.0 UN"/>
    <s v="STANDARD"/>
    <s v="N"/>
    <s v="Y"/>
    <s v="N"/>
    <s v="T20"/>
    <s v="Y"/>
    <s v="N"/>
    <s v="Y"/>
    <s v="N"/>
    <s v="A038"/>
    <d v="2016-12-07T00:00:00"/>
    <s v="20"/>
    <s v="TAN"/>
    <s v="OR"/>
    <d v="2016-12-02T00:00:00"/>
    <s v="MT"/>
    <s v="US"/>
    <s v="ZR"/>
    <d v="2016-12-03T00:00:00"/>
  </r>
  <r>
    <x v="0"/>
    <x v="4"/>
    <x v="231"/>
    <x v="19"/>
    <s v="Standard order"/>
    <x v="217"/>
    <x v="217"/>
    <s v="A399"/>
    <s v="CRYSTAL A399NT"/>
    <s v="5002931"/>
    <s v="A399 ACH PB XL"/>
    <n v="60"/>
    <n v="0"/>
    <n v="60"/>
    <x v="4"/>
    <s v="DP71"/>
    <s v="X-LARGE"/>
    <s v="314"/>
    <s v="4.0 UN"/>
    <s v="STANDARD"/>
    <s v="N"/>
    <s v="Y"/>
    <s v="N"/>
    <s v="N"/>
    <s v="N"/>
    <s v="N"/>
    <s v="N"/>
    <s v="N"/>
    <s v="A046"/>
    <d v="2016-12-07T00:00:00"/>
    <s v="10"/>
    <s v="TAN"/>
    <s v="OR"/>
    <d v="2016-12-02T00:00:00"/>
    <s v="ID"/>
    <s v="US"/>
    <s v="ZR"/>
    <d v="2016-12-03T00:00:00"/>
  </r>
  <r>
    <x v="0"/>
    <x v="0"/>
    <x v="232"/>
    <x v="10"/>
    <s v="Standard order"/>
    <x v="218"/>
    <x v="218"/>
    <s v="R059"/>
    <s v="CRYSTAL RR059"/>
    <s v="5003530"/>
    <s v="R059 ACH T20 Kabina RP"/>
    <n v="68"/>
    <n v="0"/>
    <n v="68"/>
    <x v="0"/>
    <s v="AP73"/>
    <s v="RP"/>
    <s v="387"/>
    <s v="4.0 UN"/>
    <s v="STANDARD"/>
    <s v="N"/>
    <s v="N"/>
    <s v="Y"/>
    <s v="T20"/>
    <s v="N"/>
    <s v="N"/>
    <s v="N"/>
    <s v="N"/>
    <s v="A036"/>
    <d v="2016-12-07T00:00:00"/>
    <s v="10"/>
    <s v="TAN"/>
    <s v="OR"/>
    <d v="2016-12-03T00:00:00"/>
    <s v="MI"/>
    <s v="US"/>
    <s v="ZR"/>
    <d v="2016-12-03T00:00:00"/>
  </r>
  <r>
    <x v="0"/>
    <x v="4"/>
    <x v="233"/>
    <x v="7"/>
    <s v="Standard order"/>
    <x v="219"/>
    <x v="219"/>
    <s v="R081"/>
    <s v="CRYSTAL RR081"/>
    <s v="5003572"/>
    <s v="R081 ACH T20 PB MP IDH"/>
    <n v="40"/>
    <n v="0"/>
    <n v="40"/>
    <x v="4"/>
    <s v="AQ82"/>
    <s v="MP"/>
    <s v="318"/>
    <s v="4.0 UN"/>
    <s v="STANDARD"/>
    <s v="N"/>
    <s v="Y"/>
    <s v="N"/>
    <s v="T20"/>
    <s v="N"/>
    <s v="N"/>
    <s v="N"/>
    <s v="N"/>
    <s v="A045"/>
    <d v="2016-12-07T00:00:00"/>
    <s v="10"/>
    <s v="TAN"/>
    <s v="OR"/>
    <d v="2016-12-02T00:00:00"/>
    <s v="OR"/>
    <s v="US"/>
    <s v="ZR"/>
    <d v="2016-12-03T00:00:00"/>
  </r>
  <r>
    <x v="0"/>
    <x v="0"/>
    <x v="234"/>
    <x v="10"/>
    <s v="Standard order"/>
    <x v="220"/>
    <x v="220"/>
    <s v="R059"/>
    <s v="CRYSTAL RR059"/>
    <s v="5003530"/>
    <s v="R059 ACH T20 Kabina RP"/>
    <n v="48"/>
    <n v="0"/>
    <n v="48"/>
    <x v="0"/>
    <s v="AP73"/>
    <s v="RP"/>
    <s v="387"/>
    <s v="4.0 UN"/>
    <s v="STANDARD"/>
    <s v="N"/>
    <s v="N"/>
    <s v="Y"/>
    <s v="T20"/>
    <s v="N"/>
    <s v="N"/>
    <s v="N"/>
    <s v="N"/>
    <s v="A036"/>
    <d v="2016-12-07T00:00:00"/>
    <s v="10"/>
    <s v="TAN"/>
    <s v="OR"/>
    <d v="2016-12-03T00:00:00"/>
    <s v="MI"/>
    <s v="US"/>
    <s v="ZR"/>
    <d v="2016-12-03T00:00:00"/>
  </r>
  <r>
    <x v="0"/>
    <x v="5"/>
    <x v="235"/>
    <x v="21"/>
    <s v="Standard order"/>
    <x v="221"/>
    <x v="221"/>
    <s v="R116"/>
    <s v="CRYSTAL RR116"/>
    <s v="5003105"/>
    <s v="R116 ACH T20 PB SYSTIVA RP"/>
    <n v="40"/>
    <n v="0"/>
    <n v="40"/>
    <x v="5"/>
    <s v="AP71"/>
    <s v="RP"/>
    <s v="324"/>
    <s v="4.0 UN"/>
    <s v="STANDARD"/>
    <s v="N"/>
    <s v="Y"/>
    <s v="N"/>
    <s v="T20"/>
    <s v="Y"/>
    <s v="N"/>
    <s v="N"/>
    <s v="N"/>
    <s v="A013"/>
    <d v="2016-12-07T00:00:00"/>
    <s v="10"/>
    <s v="TAN"/>
    <s v="OR"/>
    <d v="2016-12-03T00:00:00"/>
    <s v="MT"/>
    <s v="US"/>
    <s v="ZR"/>
    <d v="2016-12-03T00:00:00"/>
  </r>
  <r>
    <x v="0"/>
    <x v="5"/>
    <x v="235"/>
    <x v="21"/>
    <s v="Standard order"/>
    <x v="221"/>
    <x v="221"/>
    <s v="Y400"/>
    <s v="CRYSTAL Y400NT"/>
    <s v="5003735"/>
    <s v="Y400 ACH T20 PB SYSTIVA RP"/>
    <n v="16"/>
    <n v="0"/>
    <n v="16"/>
    <x v="5"/>
    <s v="4TBP"/>
    <s v="RP"/>
    <s v="324"/>
    <s v="4.0 UN"/>
    <s v="STANDARD"/>
    <s v="N"/>
    <s v="Y"/>
    <s v="N"/>
    <s v="T20"/>
    <s v="Y"/>
    <s v="N"/>
    <s v="N"/>
    <s v="N"/>
    <s v="A013"/>
    <d v="2016-12-07T00:00:00"/>
    <s v="20"/>
    <s v="TAN"/>
    <s v="OR"/>
    <d v="2016-12-03T00:00:00"/>
    <s v="MT"/>
    <s v="US"/>
    <s v="ZR"/>
    <d v="2016-12-03T00:00:00"/>
  </r>
  <r>
    <x v="0"/>
    <x v="4"/>
    <x v="236"/>
    <x v="17"/>
    <s v="Standard order"/>
    <x v="222"/>
    <x v="222"/>
    <s v="R275"/>
    <s v="CRYSTAL RR275"/>
    <s v="5003652"/>
    <s v="R275 ACH T20 PB Kabina MP"/>
    <n v="40"/>
    <n v="0"/>
    <n v="40"/>
    <x v="4"/>
    <s v="5CAY"/>
    <s v="MP"/>
    <s v="388"/>
    <s v="4.0 UN"/>
    <s v="STANDARD"/>
    <s v="N"/>
    <s v="Y"/>
    <s v="Y"/>
    <s v="T20"/>
    <s v="N"/>
    <s v="N"/>
    <s v="N"/>
    <s v="N"/>
    <s v="A040"/>
    <d v="2016-12-07T00:00:00"/>
    <s v="10"/>
    <s v="TAN"/>
    <s v="OR"/>
    <d v="2016-12-02T00:00:00"/>
    <s v="ID"/>
    <s v="US"/>
    <s v="ZR"/>
    <d v="2016-12-03T00:00:00"/>
  </r>
  <r>
    <x v="0"/>
    <x v="4"/>
    <x v="237"/>
    <x v="19"/>
    <s v="Standard order"/>
    <x v="223"/>
    <x v="223"/>
    <s v="A399"/>
    <s v="CRYSTAL A399NT"/>
    <s v="5002931"/>
    <s v="A399 ACH PB XL"/>
    <n v="32"/>
    <n v="0"/>
    <n v="32"/>
    <x v="4"/>
    <s v="DP71"/>
    <s v="X-LARGE"/>
    <s v="314"/>
    <s v="4.0 UN"/>
    <s v="STANDARD"/>
    <s v="N"/>
    <s v="Y"/>
    <s v="N"/>
    <s v="N"/>
    <s v="N"/>
    <s v="N"/>
    <s v="N"/>
    <s v="N"/>
    <s v="A046"/>
    <d v="2016-12-07T00:00:00"/>
    <s v="10"/>
    <s v="TAN"/>
    <s v="OR"/>
    <d v="2016-12-02T00:00:00"/>
    <s v="ID"/>
    <s v="US"/>
    <s v="ZR"/>
    <d v="2016-12-03T00:00:00"/>
  </r>
  <r>
    <x v="0"/>
    <x v="0"/>
    <x v="238"/>
    <x v="10"/>
    <s v="Standard order"/>
    <x v="224"/>
    <x v="224"/>
    <s v="R059"/>
    <s v="CRYSTAL RR059"/>
    <s v="5003530"/>
    <s v="R059 ACH T20 Kabina RP"/>
    <n v="140"/>
    <n v="0"/>
    <n v="140"/>
    <x v="0"/>
    <s v="AP73"/>
    <s v="RP"/>
    <s v="387"/>
    <s v="4.0 UN"/>
    <s v="STANDARD"/>
    <s v="N"/>
    <s v="N"/>
    <s v="Y"/>
    <s v="T20"/>
    <s v="N"/>
    <s v="N"/>
    <s v="N"/>
    <s v="N"/>
    <s v="A036"/>
    <d v="2016-12-07T00:00:00"/>
    <s v="10"/>
    <s v="TAN"/>
    <s v="OR"/>
    <d v="2016-12-03T00:00:00"/>
    <s v="MI"/>
    <s v="US"/>
    <s v="ZR"/>
    <d v="2016-12-03T00:00:00"/>
  </r>
  <r>
    <x v="0"/>
    <x v="4"/>
    <x v="239"/>
    <x v="7"/>
    <s v="Standard order"/>
    <x v="225"/>
    <x v="225"/>
    <s v="R081"/>
    <s v="CRYSTAL RR081"/>
    <s v="5003572"/>
    <s v="R081 ACH T20 PB MP IDH"/>
    <n v="44"/>
    <n v="0"/>
    <n v="44"/>
    <x v="4"/>
    <s v="AQ82"/>
    <s v="MP"/>
    <s v="318"/>
    <s v="4.0 UN"/>
    <s v="STANDARD"/>
    <s v="N"/>
    <s v="Y"/>
    <s v="N"/>
    <s v="T20"/>
    <s v="N"/>
    <s v="N"/>
    <s v="N"/>
    <s v="N"/>
    <s v="A045"/>
    <d v="2016-12-07T00:00:00"/>
    <s v="10"/>
    <s v="TAN"/>
    <s v="OR"/>
    <d v="2016-12-03T00:00:00"/>
    <s v="OR"/>
    <s v="US"/>
    <s v="ZR"/>
    <d v="2016-12-03T00:00:00"/>
  </r>
  <r>
    <x v="0"/>
    <x v="4"/>
    <x v="240"/>
    <x v="7"/>
    <s v="Standard order"/>
    <x v="226"/>
    <x v="226"/>
    <s v="R081"/>
    <s v="CRYSTAL RR081"/>
    <s v="5003572"/>
    <s v="R081 ACH T20 PB MP IDH"/>
    <n v="28"/>
    <n v="0"/>
    <n v="28"/>
    <x v="4"/>
    <s v="AQ82"/>
    <s v="MP"/>
    <s v="318"/>
    <s v="4.0 UN"/>
    <s v="STANDARD"/>
    <s v="N"/>
    <s v="Y"/>
    <s v="N"/>
    <s v="T20"/>
    <s v="N"/>
    <s v="N"/>
    <s v="N"/>
    <s v="N"/>
    <s v="A045"/>
    <d v="2016-12-07T00:00:00"/>
    <s v="10"/>
    <s v="TAN"/>
    <s v="OR"/>
    <d v="2016-12-03T00:00:00"/>
    <s v="OR"/>
    <s v="US"/>
    <s v="ZR"/>
    <d v="2016-12-03T00:00:00"/>
  </r>
  <r>
    <x v="0"/>
    <x v="0"/>
    <x v="241"/>
    <x v="10"/>
    <s v="Standard order"/>
    <x v="227"/>
    <x v="227"/>
    <s v="R059"/>
    <s v="CRYSTAL RR059"/>
    <s v="5003528"/>
    <s v="R059 ACH T20 Kabina ELS"/>
    <n v="80"/>
    <n v="0"/>
    <n v="80"/>
    <x v="0"/>
    <s v="AP73"/>
    <s v="ELS"/>
    <s v="387"/>
    <s v="4.0 UN"/>
    <s v="STANDARD"/>
    <s v="N"/>
    <s v="N"/>
    <s v="Y"/>
    <s v="T20"/>
    <s v="N"/>
    <s v="N"/>
    <s v="N"/>
    <s v="N"/>
    <s v="A036"/>
    <d v="2016-12-07T00:00:00"/>
    <s v="10"/>
    <s v="TAN"/>
    <s v="OR"/>
    <d v="2016-12-03T00:00:00"/>
    <s v="MI"/>
    <s v="US"/>
    <s v="ZR"/>
    <d v="2016-12-03T00:00:00"/>
  </r>
  <r>
    <x v="0"/>
    <x v="0"/>
    <x v="241"/>
    <x v="10"/>
    <s v="Standard order"/>
    <x v="227"/>
    <x v="227"/>
    <s v="G333"/>
    <s v="CRYSTAL G333NT"/>
    <s v="5003376"/>
    <s v="G333 ACH T20 Kabina ELS"/>
    <n v="104"/>
    <n v="0"/>
    <n v="104"/>
    <x v="0"/>
    <s v="EE73"/>
    <s v="ELS"/>
    <s v="387"/>
    <s v="4.0 UN"/>
    <s v="STANDARD"/>
    <s v="N"/>
    <s v="N"/>
    <s v="Y"/>
    <s v="T20"/>
    <s v="N"/>
    <s v="N"/>
    <s v="N"/>
    <s v="N"/>
    <s v="A036"/>
    <d v="2016-12-07T00:00:00"/>
    <s v="20"/>
    <s v="TAN"/>
    <s v="OR"/>
    <d v="2016-12-03T00:00:00"/>
    <s v="MI"/>
    <s v="US"/>
    <s v="ZR"/>
    <d v="2016-12-03T00:00:00"/>
  </r>
  <r>
    <x v="0"/>
    <x v="0"/>
    <x v="242"/>
    <x v="10"/>
    <s v="Standard order"/>
    <x v="228"/>
    <x v="228"/>
    <s v="G333"/>
    <s v="CRYSTAL G333NT"/>
    <s v="5003378"/>
    <s v="G333 ACH T20 Kabina RP"/>
    <n v="36"/>
    <n v="0"/>
    <n v="36"/>
    <x v="0"/>
    <s v="EE73"/>
    <s v="RP"/>
    <s v="387"/>
    <s v="4.0 UN"/>
    <s v="STANDARD"/>
    <s v="N"/>
    <s v="N"/>
    <s v="Y"/>
    <s v="T20"/>
    <s v="N"/>
    <s v="N"/>
    <s v="N"/>
    <s v="N"/>
    <s v="A036"/>
    <d v="2016-12-07T00:00:00"/>
    <s v="10"/>
    <s v="TAN"/>
    <s v="OR"/>
    <d v="2016-12-03T00:00:00"/>
    <s v="MI"/>
    <s v="US"/>
    <s v="ZR"/>
    <d v="2016-12-03T00:00:00"/>
  </r>
  <r>
    <x v="0"/>
    <x v="0"/>
    <x v="243"/>
    <x v="10"/>
    <s v="Standard order"/>
    <x v="229"/>
    <x v="229"/>
    <s v="R059"/>
    <s v="CRYSTAL RR059"/>
    <s v="5003530"/>
    <s v="R059 ACH T20 Kabina RP"/>
    <n v="16"/>
    <n v="0"/>
    <n v="16"/>
    <x v="0"/>
    <s v="AP73"/>
    <s v="RP"/>
    <s v="387"/>
    <s v="4.0 UN"/>
    <s v="STANDARD"/>
    <s v="N"/>
    <s v="N"/>
    <s v="Y"/>
    <s v="T20"/>
    <s v="N"/>
    <s v="N"/>
    <s v="N"/>
    <s v="N"/>
    <s v="A036"/>
    <d v="2016-12-07T00:00:00"/>
    <s v="10"/>
    <s v="TAN"/>
    <s v="OR"/>
    <d v="2016-12-03T00:00:00"/>
    <s v="MI"/>
    <s v="US"/>
    <s v="ZR"/>
    <d v="2016-12-03T00:00:00"/>
  </r>
  <r>
    <x v="0"/>
    <x v="6"/>
    <x v="244"/>
    <x v="11"/>
    <s v="Standard order"/>
    <x v="230"/>
    <x v="230"/>
    <s v="S517"/>
    <s v="CRYSTAL S517"/>
    <s v="5003467"/>
    <s v="S517 ACH T20 PB SYSTIVA G100"/>
    <n v="16"/>
    <n v="0"/>
    <n v="16"/>
    <x v="6"/>
    <s v="DVNV"/>
    <s v="GEM 100"/>
    <s v="324"/>
    <s v="4.0 UN"/>
    <s v="STANDARD"/>
    <s v="N"/>
    <s v="Y"/>
    <s v="N"/>
    <s v="T20"/>
    <s v="Y"/>
    <s v="N"/>
    <s v="Y"/>
    <s v="N"/>
    <s v="A038"/>
    <d v="2016-12-07T00:00:00"/>
    <s v="10"/>
    <s v="TAN"/>
    <s v="OR"/>
    <d v="2016-12-03T00:00:00"/>
    <s v="MT"/>
    <s v="US"/>
    <s v="ZR"/>
    <d v="2016-12-04T00:00:00"/>
  </r>
  <r>
    <x v="0"/>
    <x v="6"/>
    <x v="244"/>
    <x v="11"/>
    <s v="Standard order"/>
    <x v="230"/>
    <x v="230"/>
    <s v="S498"/>
    <s v="CRYSTAL S498"/>
    <s v="5003419"/>
    <s v="S498 ACH T20 PB CL SYSTIVA G100"/>
    <n v="28"/>
    <n v="0"/>
    <n v="28"/>
    <x v="6"/>
    <s v="FE73"/>
    <s v="GEM 100"/>
    <s v="321"/>
    <s v="4.0 UN"/>
    <s v="STANDARD"/>
    <s v="N"/>
    <s v="N"/>
    <s v="N"/>
    <s v="T20"/>
    <s v="Y"/>
    <s v="N"/>
    <s v="Y"/>
    <s v="N"/>
    <s v="A038"/>
    <d v="2016-12-07T00:00:00"/>
    <s v="20"/>
    <s v="TAN"/>
    <s v="OR"/>
    <d v="2016-12-03T00:00:00"/>
    <s v="MT"/>
    <s v="US"/>
    <s v="ZR"/>
    <d v="2016-12-04T00:00:00"/>
  </r>
  <r>
    <x v="0"/>
    <x v="6"/>
    <x v="244"/>
    <x v="11"/>
    <s v="Standard order"/>
    <x v="230"/>
    <x v="230"/>
    <s v="R052"/>
    <s v="CRYSTAL RR052"/>
    <s v="5003501"/>
    <s v="R052 ACH T20 PB CL SYSTIVA G100"/>
    <n v="24"/>
    <n v="0"/>
    <n v="24"/>
    <x v="6"/>
    <s v="AP82"/>
    <s v="GEM 100"/>
    <s v="321"/>
    <s v="4.0 UN"/>
    <s v="STANDARD"/>
    <s v="N"/>
    <s v="N"/>
    <s v="N"/>
    <s v="T20"/>
    <s v="Y"/>
    <s v="N"/>
    <s v="Y"/>
    <s v="N"/>
    <s v="A038"/>
    <d v="2016-12-07T00:00:00"/>
    <s v="30"/>
    <s v="TAN"/>
    <s v="OR"/>
    <d v="2016-12-03T00:00:00"/>
    <s v="MT"/>
    <s v="US"/>
    <s v="ZR"/>
    <d v="2016-12-04T00:00:00"/>
  </r>
  <r>
    <x v="0"/>
    <x v="6"/>
    <x v="244"/>
    <x v="11"/>
    <s v="Standard order"/>
    <x v="230"/>
    <x v="230"/>
    <s v="S498"/>
    <s v="CRYSTAL S498"/>
    <s v="5003419"/>
    <s v="S498 ACH T20 PB CL SYSTIVA G100"/>
    <n v="20"/>
    <n v="0"/>
    <n v="20"/>
    <x v="6"/>
    <s v="FE73"/>
    <s v="GEM 100"/>
    <s v="321"/>
    <s v="4.0 UN"/>
    <s v="STANDARD"/>
    <s v="N"/>
    <s v="N"/>
    <s v="N"/>
    <s v="T20"/>
    <s v="Y"/>
    <s v="N"/>
    <s v="Y"/>
    <s v="N"/>
    <s v="A038"/>
    <d v="2016-12-07T00:00:00"/>
    <s v="40"/>
    <s v="TAN"/>
    <s v="OR"/>
    <d v="2016-12-03T00:00:00"/>
    <s v="MT"/>
    <s v="US"/>
    <s v="ZR"/>
    <d v="2016-12-04T00:00:00"/>
  </r>
  <r>
    <x v="0"/>
    <x v="6"/>
    <x v="245"/>
    <x v="11"/>
    <s v="Standard order"/>
    <x v="231"/>
    <x v="231"/>
    <s v="S498"/>
    <s v="CRYSTAL S498"/>
    <s v="5003435"/>
    <s v="S498 ACH T45 PB SYSTIVA RP"/>
    <n v="20"/>
    <n v="0"/>
    <n v="20"/>
    <x v="6"/>
    <s v="FE73"/>
    <s v="RP"/>
    <s v="330"/>
    <s v="4.0 UN"/>
    <s v="STANDARD"/>
    <s v="N"/>
    <s v="Y"/>
    <s v="N"/>
    <s v="T45"/>
    <s v="Y"/>
    <s v="N"/>
    <s v="Y"/>
    <s v="N"/>
    <s v="A038"/>
    <d v="2016-12-07T00:00:00"/>
    <s v="50"/>
    <s v="TAN"/>
    <s v="OR"/>
    <d v="2016-12-03T00:00:00"/>
    <s v="MT"/>
    <s v="US"/>
    <s v="ZR"/>
    <d v="2016-12-04T00:00:00"/>
  </r>
  <r>
    <x v="0"/>
    <x v="6"/>
    <x v="245"/>
    <x v="11"/>
    <s v="Standard order"/>
    <x v="231"/>
    <x v="231"/>
    <s v="R081"/>
    <s v="CRYSTAL RR081"/>
    <s v="5003561"/>
    <s v="R081 ACH T20 PB CL SYSTIVA RP SSI"/>
    <n v="16"/>
    <n v="0"/>
    <n v="16"/>
    <x v="6"/>
    <s v="AQ82"/>
    <s v="RP"/>
    <s v="321"/>
    <s v="4.0 UN"/>
    <s v="STANDARD"/>
    <s v="N"/>
    <s v="N"/>
    <s v="N"/>
    <s v="T20"/>
    <s v="Y"/>
    <s v="N"/>
    <s v="Y"/>
    <s v="N"/>
    <s v="A038"/>
    <d v="2016-12-07T00:00:00"/>
    <s v="10"/>
    <s v="TAN"/>
    <s v="OR"/>
    <d v="2016-12-03T00:00:00"/>
    <s v="MT"/>
    <s v="US"/>
    <s v="ZR"/>
    <d v="2016-12-04T00:00:00"/>
  </r>
  <r>
    <x v="0"/>
    <x v="6"/>
    <x v="245"/>
    <x v="11"/>
    <s v="Standard order"/>
    <x v="231"/>
    <x v="231"/>
    <s v="R081"/>
    <s v="CRYSTAL RR081"/>
    <s v="5003579"/>
    <s v="R081 ACH T45 PB SYSTIVA RP SSI"/>
    <n v="16"/>
    <n v="0"/>
    <n v="16"/>
    <x v="6"/>
    <s v="AQ82"/>
    <s v="RP"/>
    <s v="330"/>
    <s v="4.0 UN"/>
    <s v="STANDARD"/>
    <s v="N"/>
    <s v="Y"/>
    <s v="N"/>
    <s v="T45"/>
    <s v="Y"/>
    <s v="N"/>
    <s v="Y"/>
    <s v="N"/>
    <s v="A038"/>
    <d v="2016-12-07T00:00:00"/>
    <s v="20"/>
    <s v="TAN"/>
    <s v="OR"/>
    <d v="2016-12-03T00:00:00"/>
    <s v="MT"/>
    <s v="US"/>
    <s v="ZR"/>
    <d v="2016-12-04T00:00:00"/>
  </r>
  <r>
    <x v="0"/>
    <x v="6"/>
    <x v="245"/>
    <x v="11"/>
    <s v="Standard order"/>
    <x v="231"/>
    <x v="231"/>
    <s v="R052"/>
    <s v="CRYSTAL RR052"/>
    <s v="5003503"/>
    <s v="R052 ACH T20 PB CL SYSTIVA RP"/>
    <n v="32"/>
    <n v="0"/>
    <n v="32"/>
    <x v="6"/>
    <s v="AP82"/>
    <s v="RP"/>
    <s v="321"/>
    <s v="4.0 UN"/>
    <s v="STANDARD"/>
    <s v="N"/>
    <s v="N"/>
    <s v="N"/>
    <s v="T20"/>
    <s v="Y"/>
    <s v="N"/>
    <s v="Y"/>
    <s v="N"/>
    <s v="A038"/>
    <d v="2016-12-07T00:00:00"/>
    <s v="30"/>
    <s v="TAN"/>
    <s v="OR"/>
    <d v="2016-12-03T00:00:00"/>
    <s v="MT"/>
    <s v="US"/>
    <s v="ZR"/>
    <d v="2016-12-04T00:00:00"/>
  </r>
  <r>
    <x v="0"/>
    <x v="6"/>
    <x v="245"/>
    <x v="11"/>
    <s v="Standard order"/>
    <x v="231"/>
    <x v="231"/>
    <s v="R052"/>
    <s v="CRYSTAL RR052"/>
    <s v="5003517"/>
    <s v="R052 ACH T45 PB SYSTIVA RP"/>
    <n v="36"/>
    <n v="0"/>
    <n v="36"/>
    <x v="6"/>
    <s v="AP82"/>
    <s v="RP"/>
    <s v="330"/>
    <s v="4.0 UN"/>
    <s v="STANDARD"/>
    <s v="N"/>
    <s v="Y"/>
    <s v="N"/>
    <s v="T45"/>
    <s v="Y"/>
    <s v="N"/>
    <s v="Y"/>
    <s v="N"/>
    <s v="A038"/>
    <d v="2016-12-07T00:00:00"/>
    <s v="40"/>
    <s v="TAN"/>
    <s v="OR"/>
    <d v="2016-12-03T00:00:00"/>
    <s v="MT"/>
    <s v="US"/>
    <s v="ZR"/>
    <d v="2016-12-04T00:00:00"/>
  </r>
  <r>
    <x v="0"/>
    <x v="4"/>
    <x v="246"/>
    <x v="15"/>
    <s v="Standard order"/>
    <x v="232"/>
    <x v="232"/>
    <s v="A399"/>
    <s v="CRYSTAL A399NT"/>
    <s v="5002928"/>
    <s v="A399 ACH PB LRG"/>
    <n v="20"/>
    <n v="0"/>
    <n v="20"/>
    <x v="4"/>
    <s v="DP71"/>
    <s v="LARGE"/>
    <s v="314"/>
    <s v="4.0 UN"/>
    <s v="STANDARD"/>
    <s v="N"/>
    <s v="Y"/>
    <s v="N"/>
    <s v="N"/>
    <s v="N"/>
    <s v="N"/>
    <s v="N"/>
    <s v="N"/>
    <s v="A043"/>
    <d v="2016-12-07T00:00:00"/>
    <s v="10"/>
    <s v="TAN"/>
    <s v="OR"/>
    <d v="2016-12-03T00:00:00"/>
    <s v="ID"/>
    <s v="US"/>
    <s v="ZR"/>
    <d v="2016-12-04T00:00:00"/>
  </r>
  <r>
    <x v="0"/>
    <x v="0"/>
    <x v="247"/>
    <x v="10"/>
    <s v="Standard order"/>
    <x v="233"/>
    <x v="233"/>
    <s v="G333"/>
    <s v="CRYSTAL G333NT"/>
    <s v="5003378"/>
    <s v="G333 ACH T20 Kabina RP"/>
    <n v="52"/>
    <n v="0"/>
    <n v="52"/>
    <x v="0"/>
    <s v="EE73"/>
    <s v="RP"/>
    <s v="387"/>
    <s v="4.0 UN"/>
    <s v="STANDARD"/>
    <s v="N"/>
    <s v="N"/>
    <s v="Y"/>
    <s v="T20"/>
    <s v="N"/>
    <s v="N"/>
    <s v="N"/>
    <s v="N"/>
    <s v="A036"/>
    <d v="2016-12-07T00:00:00"/>
    <s v="10"/>
    <s v="TAN"/>
    <s v="OR"/>
    <d v="2016-12-03T00:00:00"/>
    <s v="MI"/>
    <s v="US"/>
    <s v="ZR"/>
    <d v="2016-12-04T00:00:00"/>
  </r>
  <r>
    <x v="0"/>
    <x v="6"/>
    <x v="248"/>
    <x v="11"/>
    <s v="Standard order"/>
    <x v="234"/>
    <x v="234"/>
    <s v="R052"/>
    <s v="CRYSTAL RR052"/>
    <s v="5003501"/>
    <s v="R052 ACH T20 PB CL SYSTIVA G100"/>
    <n v="56"/>
    <n v="0"/>
    <n v="56"/>
    <x v="6"/>
    <s v="AP82"/>
    <s v="GEM 100"/>
    <s v="321"/>
    <s v="4.0 UN"/>
    <s v="STANDARD"/>
    <s v="N"/>
    <s v="N"/>
    <s v="N"/>
    <s v="T20"/>
    <s v="Y"/>
    <s v="N"/>
    <s v="Y"/>
    <s v="N"/>
    <s v="A038"/>
    <d v="2016-12-07T00:00:00"/>
    <s v="10"/>
    <s v="TAN"/>
    <s v="OR"/>
    <d v="2016-12-03T00:00:00"/>
    <s v="MT"/>
    <s v="US"/>
    <s v="ZR"/>
    <d v="2016-12-04T00:00:00"/>
  </r>
  <r>
    <x v="0"/>
    <x v="6"/>
    <x v="248"/>
    <x v="11"/>
    <s v="Standard order"/>
    <x v="234"/>
    <x v="234"/>
    <s v="S498"/>
    <s v="CRYSTAL S498"/>
    <s v="5003419"/>
    <s v="S498 ACH T20 PB CL SYSTIVA G100"/>
    <n v="52"/>
    <n v="0"/>
    <n v="52"/>
    <x v="6"/>
    <s v="FE73"/>
    <s v="GEM 100"/>
    <s v="321"/>
    <s v="4.0 UN"/>
    <s v="STANDARD"/>
    <s v="N"/>
    <s v="N"/>
    <s v="N"/>
    <s v="T20"/>
    <s v="Y"/>
    <s v="N"/>
    <s v="Y"/>
    <s v="N"/>
    <s v="A038"/>
    <d v="2016-12-07T00:00:00"/>
    <s v="20"/>
    <s v="TAN"/>
    <s v="OR"/>
    <d v="2016-12-03T00:00:00"/>
    <s v="MT"/>
    <s v="US"/>
    <s v="ZR"/>
    <d v="2016-12-04T00:00:00"/>
  </r>
  <r>
    <x v="0"/>
    <x v="6"/>
    <x v="248"/>
    <x v="11"/>
    <s v="Standard order"/>
    <x v="234"/>
    <x v="234"/>
    <s v="S517"/>
    <s v="CRYSTAL S517"/>
    <s v="5003467"/>
    <s v="S517 ACH T20 PB SYSTIVA G100"/>
    <n v="28"/>
    <n v="0"/>
    <n v="28"/>
    <x v="6"/>
    <s v="DVNV"/>
    <s v="GEM 100"/>
    <s v="324"/>
    <s v="4.0 UN"/>
    <s v="STANDARD"/>
    <s v="N"/>
    <s v="Y"/>
    <s v="N"/>
    <s v="T20"/>
    <s v="Y"/>
    <s v="N"/>
    <s v="Y"/>
    <s v="N"/>
    <s v="A038"/>
    <d v="2016-12-07T00:00:00"/>
    <s v="30"/>
    <s v="TAN"/>
    <s v="OR"/>
    <d v="2016-12-03T00:00:00"/>
    <s v="MT"/>
    <s v="US"/>
    <s v="ZR"/>
    <d v="2016-12-04T00:00:00"/>
  </r>
  <r>
    <x v="0"/>
    <x v="4"/>
    <x v="249"/>
    <x v="7"/>
    <s v="Standard order"/>
    <x v="235"/>
    <x v="235"/>
    <s v="A399"/>
    <s v="CRYSTAL A399NT"/>
    <s v="5002936"/>
    <s v="A399 ACH T20 PB Kabina MP"/>
    <n v="24"/>
    <n v="0"/>
    <n v="24"/>
    <x v="4"/>
    <s v="DP71"/>
    <s v="MP"/>
    <s v="388"/>
    <s v="4.0 UN"/>
    <s v="STANDARD"/>
    <s v="N"/>
    <s v="Y"/>
    <s v="Y"/>
    <s v="T20"/>
    <s v="N"/>
    <s v="N"/>
    <s v="N"/>
    <s v="N"/>
    <s v="A045"/>
    <d v="2016-12-07T00:00:00"/>
    <s v="10"/>
    <s v="TAN"/>
    <s v="OR"/>
    <d v="2016-12-04T00:00:00"/>
    <s v="OR"/>
    <s v="US"/>
    <s v="ZR"/>
    <d v="2016-12-04T00:00:00"/>
  </r>
  <r>
    <x v="0"/>
    <x v="6"/>
    <x v="250"/>
    <x v="11"/>
    <s v="Standard order"/>
    <x v="236"/>
    <x v="236"/>
    <s v="R052"/>
    <s v="CRYSTAL RR052"/>
    <s v="5003513"/>
    <s v="R052 ACH T20 PB SYSTIVA G100"/>
    <n v="68"/>
    <n v="0"/>
    <n v="68"/>
    <x v="6"/>
    <s v="AP82"/>
    <s v="GEM 100"/>
    <s v="324"/>
    <s v="4.0 UN"/>
    <s v="STANDARD"/>
    <s v="N"/>
    <s v="Y"/>
    <s v="N"/>
    <s v="T20"/>
    <s v="Y"/>
    <s v="N"/>
    <s v="Y"/>
    <s v="N"/>
    <s v="A038"/>
    <d v="2016-12-07T00:00:00"/>
    <s v="10"/>
    <s v="TAN"/>
    <s v="OR"/>
    <d v="2016-12-03T00:00:00"/>
    <s v="MT"/>
    <s v="US"/>
    <s v="ZR"/>
    <d v="2016-12-04T00:00:00"/>
  </r>
  <r>
    <x v="0"/>
    <x v="6"/>
    <x v="250"/>
    <x v="11"/>
    <s v="Standard order"/>
    <x v="236"/>
    <x v="236"/>
    <s v="R052"/>
    <s v="CRYSTAL RR052"/>
    <s v="5003501"/>
    <s v="R052 ACH T20 PB CL SYSTIVA G100"/>
    <n v="44"/>
    <n v="0"/>
    <n v="44"/>
    <x v="6"/>
    <s v="AP82"/>
    <s v="GEM 100"/>
    <s v="321"/>
    <s v="4.0 UN"/>
    <s v="STANDARD"/>
    <s v="N"/>
    <s v="N"/>
    <s v="N"/>
    <s v="T20"/>
    <s v="Y"/>
    <s v="N"/>
    <s v="Y"/>
    <s v="N"/>
    <s v="A038"/>
    <d v="2016-12-07T00:00:00"/>
    <s v="20"/>
    <s v="TAN"/>
    <s v="OR"/>
    <d v="2016-12-03T00:00:00"/>
    <s v="MT"/>
    <s v="US"/>
    <s v="ZR"/>
    <d v="2016-12-04T00:00:00"/>
  </r>
  <r>
    <x v="0"/>
    <x v="6"/>
    <x v="250"/>
    <x v="11"/>
    <s v="Standard order"/>
    <x v="236"/>
    <x v="236"/>
    <s v="S517"/>
    <s v="CRYSTAL S517"/>
    <s v="5003467"/>
    <s v="S517 ACH T20 PB SYSTIVA G100"/>
    <n v="20"/>
    <n v="0"/>
    <n v="20"/>
    <x v="6"/>
    <s v="DVNV"/>
    <s v="GEM 100"/>
    <s v="324"/>
    <s v="4.0 UN"/>
    <s v="STANDARD"/>
    <s v="N"/>
    <s v="Y"/>
    <s v="N"/>
    <s v="T20"/>
    <s v="Y"/>
    <s v="N"/>
    <s v="Y"/>
    <s v="N"/>
    <s v="A038"/>
    <d v="2016-12-07T00:00:00"/>
    <s v="30"/>
    <s v="TAN"/>
    <s v="OR"/>
    <d v="2016-12-03T00:00:00"/>
    <s v="MT"/>
    <s v="US"/>
    <s v="ZR"/>
    <d v="2016-12-04T00:00:00"/>
  </r>
  <r>
    <x v="0"/>
    <x v="6"/>
    <x v="250"/>
    <x v="11"/>
    <s v="Standard order"/>
    <x v="236"/>
    <x v="236"/>
    <s v="S498"/>
    <s v="CRYSTAL S498"/>
    <s v="5003431"/>
    <s v="S498 ACH T20 PB SYSTIVA G100"/>
    <n v="12"/>
    <n v="0"/>
    <n v="12"/>
    <x v="6"/>
    <s v="FE73"/>
    <s v="GEM 100"/>
    <s v="324"/>
    <s v="4.0 UN"/>
    <s v="STANDARD"/>
    <s v="N"/>
    <s v="Y"/>
    <s v="N"/>
    <s v="T20"/>
    <s v="Y"/>
    <s v="N"/>
    <s v="Y"/>
    <s v="N"/>
    <s v="A038"/>
    <d v="2016-12-07T00:00:00"/>
    <s v="40"/>
    <s v="TAN"/>
    <s v="OR"/>
    <d v="2016-12-03T00:00:00"/>
    <s v="MT"/>
    <s v="US"/>
    <s v="ZR"/>
    <d v="2016-12-04T00:00:00"/>
  </r>
  <r>
    <x v="0"/>
    <x v="4"/>
    <x v="251"/>
    <x v="15"/>
    <s v="Standard order"/>
    <x v="237"/>
    <x v="237"/>
    <s v="A399"/>
    <s v="CRYSTAL A399NT"/>
    <s v="5002928"/>
    <s v="A399 ACH PB LRG"/>
    <n v="12"/>
    <n v="0"/>
    <n v="12"/>
    <x v="4"/>
    <s v="DP71"/>
    <s v="LARGE"/>
    <s v="314"/>
    <s v="4.0 UN"/>
    <s v="STANDARD"/>
    <s v="N"/>
    <s v="Y"/>
    <s v="N"/>
    <s v="N"/>
    <s v="N"/>
    <s v="N"/>
    <s v="N"/>
    <s v="N"/>
    <s v="A043"/>
    <d v="2016-12-07T00:00:00"/>
    <s v="10"/>
    <s v="TAN"/>
    <s v="OR"/>
    <d v="2016-12-03T00:00:00"/>
    <s v="ID"/>
    <s v="US"/>
    <s v="ZR"/>
    <d v="2016-12-04T00:00:00"/>
  </r>
  <r>
    <x v="0"/>
    <x v="0"/>
    <x v="252"/>
    <x v="10"/>
    <s v="Standard order"/>
    <x v="238"/>
    <x v="238"/>
    <s v="G351"/>
    <s v="CRYSTAL G351NT"/>
    <s v="5003398"/>
    <s v="G351 ACH T20 Kabina RP"/>
    <n v="32"/>
    <n v="0"/>
    <n v="32"/>
    <x v="0"/>
    <s v="DA73"/>
    <s v="RP"/>
    <s v="387"/>
    <s v="4.0 UN"/>
    <s v="STANDARD"/>
    <s v="N"/>
    <s v="N"/>
    <s v="Y"/>
    <s v="T20"/>
    <s v="N"/>
    <s v="N"/>
    <s v="N"/>
    <s v="N"/>
    <s v="A036"/>
    <d v="2016-12-07T00:00:00"/>
    <s v="10"/>
    <s v="TAN"/>
    <s v="OR"/>
    <d v="2016-12-03T00:00:00"/>
    <s v="MI"/>
    <s v="US"/>
    <s v="ZR"/>
    <d v="2016-12-04T00:00:00"/>
  </r>
  <r>
    <x v="0"/>
    <x v="0"/>
    <x v="252"/>
    <x v="10"/>
    <s v="Standard order"/>
    <x v="238"/>
    <x v="238"/>
    <s v="R059"/>
    <s v="CRYSTAL RR059"/>
    <s v="5003530"/>
    <s v="R059 ACH T20 Kabina RP"/>
    <n v="28"/>
    <n v="0"/>
    <n v="28"/>
    <x v="0"/>
    <s v="AP73"/>
    <s v="RP"/>
    <s v="387"/>
    <s v="4.0 UN"/>
    <s v="STANDARD"/>
    <s v="N"/>
    <s v="N"/>
    <s v="Y"/>
    <s v="T20"/>
    <s v="N"/>
    <s v="N"/>
    <s v="N"/>
    <s v="N"/>
    <s v="A036"/>
    <d v="2016-12-07T00:00:00"/>
    <s v="20"/>
    <s v="TAN"/>
    <s v="OR"/>
    <d v="2016-12-03T00:00:00"/>
    <s v="MI"/>
    <s v="US"/>
    <s v="ZR"/>
    <d v="2016-12-04T00:00:00"/>
  </r>
  <r>
    <x v="0"/>
    <x v="0"/>
    <x v="252"/>
    <x v="10"/>
    <s v="Standard order"/>
    <x v="238"/>
    <x v="238"/>
    <s v="G515"/>
    <s v="CRYSTAL G515"/>
    <s v="5003019"/>
    <s v="G515 ACH T20 Kabina RP"/>
    <n v="8"/>
    <n v="0"/>
    <n v="8"/>
    <x v="0"/>
    <s v="APND"/>
    <s v="RP"/>
    <s v="387"/>
    <s v="4.0 UN"/>
    <s v="STANDARD"/>
    <s v="N"/>
    <s v="N"/>
    <s v="Y"/>
    <s v="T20"/>
    <s v="N"/>
    <s v="N"/>
    <s v="N"/>
    <s v="N"/>
    <s v="A036"/>
    <d v="2016-12-07T00:00:00"/>
    <s v="30"/>
    <s v="TAN"/>
    <s v="OR"/>
    <d v="2016-12-03T00:00:00"/>
    <s v="MI"/>
    <s v="US"/>
    <s v="ZR"/>
    <d v="2016-12-04T00:00:00"/>
  </r>
  <r>
    <x v="0"/>
    <x v="5"/>
    <x v="253"/>
    <x v="9"/>
    <s v="Standard order"/>
    <x v="239"/>
    <x v="239"/>
    <s v="Y400"/>
    <s v="CRYSTAL Y400NT"/>
    <s v="5003735"/>
    <s v="Y400 ACH T20 PB SYSTIVA RP"/>
    <n v="52"/>
    <n v="0"/>
    <n v="52"/>
    <x v="5"/>
    <s v="4TBP"/>
    <s v="RP"/>
    <s v="324"/>
    <s v="4.0 UN"/>
    <s v="STANDARD"/>
    <s v="N"/>
    <s v="Y"/>
    <s v="N"/>
    <s v="T20"/>
    <s v="Y"/>
    <s v="N"/>
    <s v="N"/>
    <s v="N"/>
    <s v="A016"/>
    <d v="2016-12-08T00:00:00"/>
    <s v="10"/>
    <s v="TAN"/>
    <s v="OR"/>
    <d v="2016-12-05T00:00:00"/>
    <s v="WY"/>
    <s v="US"/>
    <s v="ZR"/>
    <d v="2016-12-05T00:00:00"/>
  </r>
  <r>
    <x v="0"/>
    <x v="5"/>
    <x v="253"/>
    <x v="9"/>
    <s v="Standard order"/>
    <x v="239"/>
    <x v="239"/>
    <s v="R116"/>
    <s v="CRYSTAL RR116"/>
    <s v="5003105"/>
    <s v="R116 ACH T20 PB SYSTIVA RP"/>
    <n v="160"/>
    <n v="0"/>
    <n v="160"/>
    <x v="5"/>
    <s v="AP71"/>
    <s v="RP"/>
    <s v="324"/>
    <s v="4.0 UN"/>
    <s v="STANDARD"/>
    <s v="N"/>
    <s v="Y"/>
    <s v="N"/>
    <s v="T20"/>
    <s v="Y"/>
    <s v="N"/>
    <s v="N"/>
    <s v="N"/>
    <s v="A016"/>
    <d v="2016-12-08T00:00:00"/>
    <s v="20"/>
    <s v="TAN"/>
    <s v="OR"/>
    <d v="2016-12-05T00:00:00"/>
    <s v="WY"/>
    <s v="US"/>
    <s v="ZR"/>
    <d v="2016-12-05T00:00:00"/>
  </r>
  <r>
    <x v="0"/>
    <x v="4"/>
    <x v="254"/>
    <x v="7"/>
    <s v="Standard order"/>
    <x v="240"/>
    <x v="240"/>
    <s v="A488"/>
    <s v="CRYSTAL A488NT"/>
    <s v="5002980"/>
    <s v="A488 ACH PB LRG"/>
    <n v="8"/>
    <n v="0"/>
    <n v="8"/>
    <x v="4"/>
    <s v="EENE"/>
    <s v="LARGE"/>
    <s v="314"/>
    <s v="4.0 UN"/>
    <s v="STANDARD"/>
    <s v="N"/>
    <s v="Y"/>
    <s v="N"/>
    <s v="N"/>
    <s v="N"/>
    <s v="N"/>
    <s v="N"/>
    <s v="N"/>
    <s v="A045"/>
    <d v="2016-12-08T00:00:00"/>
    <s v="10"/>
    <s v="TAN"/>
    <s v="OR"/>
    <d v="2016-12-05T00:00:00"/>
    <s v="OR"/>
    <s v="US"/>
    <s v="ZR"/>
    <d v="2016-12-05T00:00:00"/>
  </r>
  <r>
    <x v="0"/>
    <x v="4"/>
    <x v="254"/>
    <x v="7"/>
    <s v="Standard order"/>
    <x v="240"/>
    <x v="240"/>
    <s v="R240"/>
    <s v="CRYSTAL RR240NT"/>
    <s v="5003159"/>
    <s v="R240 ACH PB LRG"/>
    <n v="8"/>
    <n v="0"/>
    <n v="8"/>
    <x v="4"/>
    <s v="BHMP"/>
    <s v="LARGE"/>
    <s v="314"/>
    <s v="4.0 UN"/>
    <s v="STANDARD"/>
    <s v="N"/>
    <s v="Y"/>
    <s v="N"/>
    <s v="N"/>
    <s v="N"/>
    <s v="N"/>
    <s v="N"/>
    <s v="N"/>
    <s v="A045"/>
    <d v="2016-12-08T00:00:00"/>
    <s v="20"/>
    <s v="TAN"/>
    <s v="OR"/>
    <d v="2016-12-05T00:00:00"/>
    <s v="OR"/>
    <s v="US"/>
    <s v="ZR"/>
    <d v="2016-12-05T00:00:00"/>
  </r>
  <r>
    <x v="0"/>
    <x v="4"/>
    <x v="255"/>
    <x v="7"/>
    <s v="Standard order"/>
    <x v="241"/>
    <x v="241"/>
    <s v="A399"/>
    <s v="CRYSTAL A399NT"/>
    <s v="5002931"/>
    <s v="A399 ACH PB XL"/>
    <n v="60"/>
    <n v="0"/>
    <n v="60"/>
    <x v="4"/>
    <s v="DP71"/>
    <s v="X-LARGE"/>
    <s v="314"/>
    <s v="4.0 UN"/>
    <s v="STANDARD"/>
    <s v="N"/>
    <s v="Y"/>
    <s v="N"/>
    <s v="N"/>
    <s v="N"/>
    <s v="N"/>
    <s v="N"/>
    <s v="N"/>
    <s v="A045"/>
    <d v="2016-12-08T00:00:00"/>
    <s v="10"/>
    <s v="TAN"/>
    <s v="OR"/>
    <d v="2016-12-05T00:00:00"/>
    <s v="OR"/>
    <s v="US"/>
    <s v="ZR"/>
    <d v="2016-12-05T00:00:00"/>
  </r>
  <r>
    <x v="0"/>
    <x v="4"/>
    <x v="255"/>
    <x v="7"/>
    <s v="Standard order"/>
    <x v="241"/>
    <x v="241"/>
    <s v="A404"/>
    <s v="CRYSTAL A404NT"/>
    <s v="5002957"/>
    <s v="A404 ACH PB XL"/>
    <n v="68"/>
    <n v="0"/>
    <n v="68"/>
    <x v="4"/>
    <s v="DPNE"/>
    <s v="X-LARGE"/>
    <s v="314"/>
    <s v="4.0 UN"/>
    <s v="STANDARD"/>
    <s v="N"/>
    <s v="Y"/>
    <s v="N"/>
    <s v="N"/>
    <s v="N"/>
    <s v="N"/>
    <s v="N"/>
    <s v="N"/>
    <s v="A045"/>
    <d v="2016-12-08T00:00:00"/>
    <s v="20"/>
    <s v="TAN"/>
    <s v="OR"/>
    <d v="2016-12-05T00:00:00"/>
    <s v="OR"/>
    <s v="US"/>
    <s v="ZR"/>
    <d v="2016-12-05T00:00:00"/>
  </r>
  <r>
    <x v="0"/>
    <x v="4"/>
    <x v="255"/>
    <x v="7"/>
    <s v="Standard order"/>
    <x v="241"/>
    <x v="241"/>
    <s v="A501"/>
    <s v="CRYSTAL A501"/>
    <s v="5003308"/>
    <s v="A501 ACH PB XL"/>
    <n v="4"/>
    <n v="0"/>
    <n v="4"/>
    <x v="4"/>
    <s v="EZPB"/>
    <s v="X-LARGE"/>
    <s v="314"/>
    <s v="4.0 UN"/>
    <s v="STANDARD"/>
    <s v="N"/>
    <s v="Y"/>
    <s v="N"/>
    <s v="N"/>
    <s v="N"/>
    <s v="N"/>
    <s v="N"/>
    <s v="N"/>
    <s v="A045"/>
    <d v="2016-12-08T00:00:00"/>
    <s v="30"/>
    <s v="TAN"/>
    <s v="OR"/>
    <d v="2016-12-05T00:00:00"/>
    <s v="OR"/>
    <s v="US"/>
    <s v="ZR"/>
    <d v="2016-12-05T00:00:00"/>
  </r>
  <r>
    <x v="0"/>
    <x v="0"/>
    <x v="256"/>
    <x v="10"/>
    <s v="Standard order"/>
    <x v="242"/>
    <x v="242"/>
    <s v="R059"/>
    <s v="CRYSTAL RR059"/>
    <s v="5003528"/>
    <s v="R059 ACH T20 Kabina ELS"/>
    <n v="32"/>
    <n v="0"/>
    <n v="32"/>
    <x v="0"/>
    <s v="AP73"/>
    <s v="ELS"/>
    <s v="387"/>
    <s v="4.0 UN"/>
    <s v="STANDARD"/>
    <s v="N"/>
    <s v="N"/>
    <s v="Y"/>
    <s v="T20"/>
    <s v="N"/>
    <s v="N"/>
    <s v="N"/>
    <s v="N"/>
    <s v="A036"/>
    <d v="2016-12-08T00:00:00"/>
    <s v="10"/>
    <s v="TAN"/>
    <s v="OR"/>
    <d v="2016-12-05T00:00:00"/>
    <s v="MI"/>
    <s v="US"/>
    <s v="ZR"/>
    <d v="2016-12-05T00:00:00"/>
  </r>
  <r>
    <x v="0"/>
    <x v="0"/>
    <x v="256"/>
    <x v="10"/>
    <s v="Standard order"/>
    <x v="242"/>
    <x v="242"/>
    <s v="G333"/>
    <s v="CRYSTAL G333NT"/>
    <s v="5003376"/>
    <s v="G333 ACH T20 Kabina ELS"/>
    <n v="32"/>
    <n v="0"/>
    <n v="32"/>
    <x v="0"/>
    <s v="EE73"/>
    <s v="ELS"/>
    <s v="387"/>
    <s v="4.0 UN"/>
    <s v="STANDARD"/>
    <s v="N"/>
    <s v="N"/>
    <s v="Y"/>
    <s v="T20"/>
    <s v="N"/>
    <s v="N"/>
    <s v="N"/>
    <s v="N"/>
    <s v="A036"/>
    <d v="2016-12-08T00:00:00"/>
    <s v="20"/>
    <s v="TAN"/>
    <s v="OR"/>
    <d v="2016-12-05T00:00:00"/>
    <s v="MI"/>
    <s v="US"/>
    <s v="ZR"/>
    <d v="2016-12-05T00:00:00"/>
  </r>
  <r>
    <x v="0"/>
    <x v="0"/>
    <x v="257"/>
    <x v="10"/>
    <s v="Standard order"/>
    <x v="243"/>
    <x v="243"/>
    <s v="R059"/>
    <s v="CRYSTAL RR059"/>
    <s v="5003530"/>
    <s v="R059 ACH T20 Kabina RP"/>
    <n v="32"/>
    <n v="0"/>
    <n v="32"/>
    <x v="0"/>
    <s v="AP73"/>
    <s v="RP"/>
    <s v="387"/>
    <s v="4.0 UN"/>
    <s v="STANDARD"/>
    <s v="N"/>
    <s v="N"/>
    <s v="Y"/>
    <s v="T20"/>
    <s v="N"/>
    <s v="N"/>
    <s v="N"/>
    <s v="N"/>
    <s v="A036"/>
    <d v="2016-12-08T00:00:00"/>
    <s v="10"/>
    <s v="TAN"/>
    <s v="OR"/>
    <d v="2016-12-05T00:00:00"/>
    <s v="MI"/>
    <s v="US"/>
    <s v="ZR"/>
    <d v="2016-12-05T00:00:00"/>
  </r>
  <r>
    <x v="0"/>
    <x v="0"/>
    <x v="257"/>
    <x v="10"/>
    <s v="Standard order"/>
    <x v="243"/>
    <x v="243"/>
    <s v="G333"/>
    <s v="CRYSTAL G333NT"/>
    <s v="5003378"/>
    <s v="G333 ACH T20 Kabina RP"/>
    <n v="28"/>
    <n v="0"/>
    <n v="28"/>
    <x v="0"/>
    <s v="EE73"/>
    <s v="RP"/>
    <s v="387"/>
    <s v="4.0 UN"/>
    <s v="STANDARD"/>
    <s v="N"/>
    <s v="N"/>
    <s v="Y"/>
    <s v="T20"/>
    <s v="N"/>
    <s v="N"/>
    <s v="N"/>
    <s v="N"/>
    <s v="A036"/>
    <d v="2016-12-08T00:00:00"/>
    <s v="20"/>
    <s v="TAN"/>
    <s v="OR"/>
    <d v="2016-12-05T00:00:00"/>
    <s v="MI"/>
    <s v="US"/>
    <s v="ZR"/>
    <d v="2016-12-05T00:00:00"/>
  </r>
  <r>
    <x v="0"/>
    <x v="4"/>
    <x v="258"/>
    <x v="16"/>
    <s v="Standard order"/>
    <x v="244"/>
    <x v="244"/>
    <s v="R933"/>
    <s v="CRYSTAL RR933"/>
    <s v="5003689"/>
    <s v="R933 ACH PB XL"/>
    <n v="44"/>
    <n v="0"/>
    <n v="44"/>
    <x v="4"/>
    <s v="3571"/>
    <s v="X-LARGE"/>
    <s v="314"/>
    <s v="4.0 UN"/>
    <s v="STANDARD"/>
    <s v="N"/>
    <s v="Y"/>
    <s v="N"/>
    <s v="N"/>
    <s v="N"/>
    <s v="N"/>
    <s v="N"/>
    <s v="N"/>
    <s v="A042"/>
    <d v="2016-12-08T00:00:00"/>
    <s v="10"/>
    <s v="TAN"/>
    <s v="OR"/>
    <d v="2016-12-05T00:00:00"/>
    <s v="ID"/>
    <s v="US"/>
    <s v="ZR"/>
    <d v="2016-12-05T00:00:00"/>
  </r>
  <r>
    <x v="0"/>
    <x v="4"/>
    <x v="258"/>
    <x v="16"/>
    <s v="Standard order"/>
    <x v="244"/>
    <x v="244"/>
    <s v="A399"/>
    <s v="CRYSTAL A399NT"/>
    <s v="5002931"/>
    <s v="A399 ACH PB XL"/>
    <n v="44"/>
    <n v="0"/>
    <n v="44"/>
    <x v="4"/>
    <s v="DP71"/>
    <s v="X-LARGE"/>
    <s v="314"/>
    <s v="4.0 UN"/>
    <s v="STANDARD"/>
    <s v="N"/>
    <s v="Y"/>
    <s v="N"/>
    <s v="N"/>
    <s v="N"/>
    <s v="N"/>
    <s v="N"/>
    <s v="N"/>
    <s v="A042"/>
    <d v="2016-12-08T00:00:00"/>
    <s v="20"/>
    <s v="TAN"/>
    <s v="OR"/>
    <d v="2016-12-05T00:00:00"/>
    <s v="ID"/>
    <s v="US"/>
    <s v="ZR"/>
    <d v="2016-12-05T00:00:00"/>
  </r>
  <r>
    <x v="0"/>
    <x v="4"/>
    <x v="258"/>
    <x v="16"/>
    <s v="Standard order"/>
    <x v="244"/>
    <x v="244"/>
    <s v="A404"/>
    <s v="CRYSTAL A404NT"/>
    <s v="5002957"/>
    <s v="A404 ACH PB XL"/>
    <n v="36"/>
    <n v="0"/>
    <n v="36"/>
    <x v="4"/>
    <s v="DPNE"/>
    <s v="X-LARGE"/>
    <s v="314"/>
    <s v="4.0 UN"/>
    <s v="STANDARD"/>
    <s v="N"/>
    <s v="Y"/>
    <s v="N"/>
    <s v="N"/>
    <s v="N"/>
    <s v="N"/>
    <s v="N"/>
    <s v="N"/>
    <s v="A042"/>
    <d v="2016-12-08T00:00:00"/>
    <s v="30"/>
    <s v="TAN"/>
    <s v="OR"/>
    <d v="2016-12-05T00:00:00"/>
    <s v="ID"/>
    <s v="US"/>
    <s v="ZR"/>
    <d v="2016-12-05T00:00:00"/>
  </r>
  <r>
    <x v="0"/>
    <x v="4"/>
    <x v="259"/>
    <x v="7"/>
    <s v="Standard order"/>
    <x v="245"/>
    <x v="245"/>
    <s v="A399"/>
    <s v="CRYSTAL A399NT"/>
    <s v="5002935"/>
    <s v="A399 ACH T20 PB Kabina CL MP"/>
    <n v="60"/>
    <n v="0"/>
    <n v="60"/>
    <x v="4"/>
    <s v="DP71"/>
    <s v="MP"/>
    <s v="323"/>
    <s v="4.0 UN"/>
    <s v="STANDARD"/>
    <s v="N"/>
    <s v="Y"/>
    <s v="Y"/>
    <s v="T20"/>
    <s v="N"/>
    <s v="N"/>
    <s v="N"/>
    <s v="N"/>
    <s v="A045"/>
    <d v="2016-12-08T00:00:00"/>
    <s v="10"/>
    <s v="TAN"/>
    <s v="OR"/>
    <d v="2016-12-05T00:00:00"/>
    <s v="ID"/>
    <s v="US"/>
    <s v="ZR"/>
    <d v="2016-12-05T00:00:00"/>
  </r>
  <r>
    <x v="0"/>
    <x v="4"/>
    <x v="260"/>
    <x v="8"/>
    <s v="Standard order"/>
    <x v="246"/>
    <x v="246"/>
    <s v="A404"/>
    <s v="CRYSTAL A404NT"/>
    <s v="5002957"/>
    <s v="A404 ACH PB XL"/>
    <n v="28"/>
    <n v="0"/>
    <n v="28"/>
    <x v="4"/>
    <s v="DPNE"/>
    <s v="X-LARGE"/>
    <s v="314"/>
    <s v="4.0 UN"/>
    <s v="STANDARD"/>
    <s v="N"/>
    <s v="Y"/>
    <s v="N"/>
    <s v="N"/>
    <s v="N"/>
    <s v="N"/>
    <s v="N"/>
    <s v="N"/>
    <s v="A044"/>
    <d v="2016-12-08T00:00:00"/>
    <s v="10"/>
    <s v="TAN"/>
    <s v="OR"/>
    <d v="2016-12-05T00:00:00"/>
    <s v="ID"/>
    <s v="US"/>
    <s v="ZR"/>
    <d v="2016-12-05T00:00:00"/>
  </r>
  <r>
    <x v="0"/>
    <x v="4"/>
    <x v="261"/>
    <x v="8"/>
    <s v="Standard order"/>
    <x v="247"/>
    <x v="247"/>
    <s v="A488"/>
    <s v="CRYSTAL A488NT"/>
    <s v="5002983"/>
    <s v="A488 ACH PB XL"/>
    <n v="124"/>
    <n v="0"/>
    <n v="124"/>
    <x v="4"/>
    <s v="EENE"/>
    <s v="X-LARGE"/>
    <s v="314"/>
    <s v="4.0 UN"/>
    <s v="STANDARD"/>
    <s v="N"/>
    <s v="Y"/>
    <s v="N"/>
    <s v="N"/>
    <s v="N"/>
    <s v="N"/>
    <s v="N"/>
    <s v="N"/>
    <s v="A044"/>
    <d v="2016-12-08T00:00:00"/>
    <s v="10"/>
    <s v="TAN"/>
    <s v="OR"/>
    <d v="2016-12-05T00:00:00"/>
    <s v="ID"/>
    <s v="US"/>
    <s v="ZR"/>
    <d v="2016-12-05T00:00:00"/>
  </r>
  <r>
    <x v="0"/>
    <x v="4"/>
    <x v="261"/>
    <x v="8"/>
    <s v="Standard order"/>
    <x v="247"/>
    <x v="247"/>
    <s v="A399"/>
    <s v="CRYSTAL A399NT"/>
    <s v="5002931"/>
    <s v="A399 ACH PB XL"/>
    <n v="124"/>
    <n v="0"/>
    <n v="124"/>
    <x v="4"/>
    <s v="DP71"/>
    <s v="X-LARGE"/>
    <s v="314"/>
    <s v="4.0 UN"/>
    <s v="STANDARD"/>
    <s v="N"/>
    <s v="Y"/>
    <s v="N"/>
    <s v="N"/>
    <s v="N"/>
    <s v="N"/>
    <s v="N"/>
    <s v="N"/>
    <s v="A044"/>
    <d v="2016-12-08T00:00:00"/>
    <s v="20"/>
    <s v="TAN"/>
    <s v="OR"/>
    <d v="2016-12-05T00:00:00"/>
    <s v="ID"/>
    <s v="US"/>
    <s v="ZR"/>
    <d v="2016-12-05T00:00:00"/>
  </r>
  <r>
    <x v="0"/>
    <x v="4"/>
    <x v="262"/>
    <x v="20"/>
    <s v="Standard order"/>
    <x v="248"/>
    <x v="248"/>
    <s v="A404"/>
    <s v="CRYSTAL A404NT"/>
    <s v="5002961"/>
    <s v="A404 ACH T20 PB Kabina CL MP"/>
    <n v="32"/>
    <n v="0"/>
    <n v="32"/>
    <x v="4"/>
    <s v="DPNE"/>
    <s v="MP"/>
    <s v="323"/>
    <s v="4.0 UN"/>
    <s v="STANDARD"/>
    <s v="N"/>
    <s v="Y"/>
    <s v="Y"/>
    <s v="T20"/>
    <s v="N"/>
    <s v="N"/>
    <s v="N"/>
    <s v="N"/>
    <s v="A039"/>
    <d v="2016-12-08T00:00:00"/>
    <s v="10"/>
    <s v="TAN"/>
    <s v="OR"/>
    <d v="2016-12-05T00:00:00"/>
    <s v="ID"/>
    <s v="US"/>
    <s v="ZR"/>
    <d v="2016-12-05T00:00:00"/>
  </r>
  <r>
    <x v="0"/>
    <x v="5"/>
    <x v="263"/>
    <x v="14"/>
    <s v="Standard order"/>
    <x v="249"/>
    <x v="249"/>
    <s v="Y400"/>
    <s v="CRYSTAL Y400NT"/>
    <s v="5003731"/>
    <s v="Y400 ACH T20 PB SYSTIVA ELS"/>
    <n v="20"/>
    <n v="0"/>
    <n v="20"/>
    <x v="5"/>
    <s v="4TBP"/>
    <s v="ELS"/>
    <s v="324"/>
    <s v="4.0 UN"/>
    <s v="STANDARD"/>
    <s v="N"/>
    <s v="Y"/>
    <s v="N"/>
    <s v="T20"/>
    <s v="Y"/>
    <s v="N"/>
    <s v="N"/>
    <s v="N"/>
    <s v="A017"/>
    <d v="2016-12-08T00:00:00"/>
    <s v="10"/>
    <s v="TAN"/>
    <s v="OR"/>
    <d v="2016-12-05T00:00:00"/>
    <s v="WY"/>
    <s v="US"/>
    <s v="ZR"/>
    <d v="2016-12-05T00:00:00"/>
  </r>
  <r>
    <x v="0"/>
    <x v="5"/>
    <x v="263"/>
    <x v="14"/>
    <s v="Standard order"/>
    <x v="249"/>
    <x v="249"/>
    <s v="Y313"/>
    <s v="CRYSTAL Y313NT"/>
    <s v="5003707"/>
    <s v="Y313 ACH T20 PB SYSTIVA ELS"/>
    <n v="28"/>
    <n v="0"/>
    <n v="28"/>
    <x v="5"/>
    <s v="DLNC"/>
    <s v="ELS"/>
    <s v="324"/>
    <s v="4.0 UN"/>
    <s v="STANDARD"/>
    <s v="N"/>
    <s v="Y"/>
    <s v="N"/>
    <s v="T20"/>
    <s v="Y"/>
    <s v="N"/>
    <s v="N"/>
    <s v="N"/>
    <s v="A017"/>
    <d v="2016-12-08T00:00:00"/>
    <s v="20"/>
    <s v="TAN"/>
    <s v="OR"/>
    <d v="2016-12-05T00:00:00"/>
    <s v="WY"/>
    <s v="US"/>
    <s v="ZR"/>
    <d v="2016-12-05T00:00:00"/>
  </r>
  <r>
    <x v="0"/>
    <x v="2"/>
    <x v="264"/>
    <x v="3"/>
    <s v="Standard order"/>
    <x v="250"/>
    <x v="250"/>
    <s v="R272"/>
    <s v="CRYSTAL RR272"/>
    <s v="5003629"/>
    <s v="R272 ACH T20 PB SYSTIVA G100"/>
    <n v="60"/>
    <n v="0"/>
    <n v="60"/>
    <x v="2"/>
    <s v="DG73"/>
    <s v="GEM 100"/>
    <s v="324"/>
    <s v="4.0 UN"/>
    <s v="STANDARD"/>
    <s v="N"/>
    <s v="Y"/>
    <s v="N"/>
    <s v="T20"/>
    <s v="Y"/>
    <s v="N"/>
    <s v="Y"/>
    <s v="N"/>
    <s v="A024"/>
    <d v="2016-12-08T00:00:00"/>
    <s v="10"/>
    <s v="TAN"/>
    <s v="OR"/>
    <d v="2016-12-05T00:00:00"/>
    <s v="NE"/>
    <s v="US"/>
    <s v="ZR"/>
    <d v="2016-12-05T00:00:00"/>
  </r>
  <r>
    <x v="0"/>
    <x v="4"/>
    <x v="265"/>
    <x v="17"/>
    <s v="Standard order"/>
    <x v="251"/>
    <x v="251"/>
    <s v="A399"/>
    <s v="CRYSTAL A399NT"/>
    <s v="5002928"/>
    <s v="A399 ACH PB LRG"/>
    <n v="80"/>
    <n v="0"/>
    <n v="80"/>
    <x v="4"/>
    <s v="DP71"/>
    <s v="LARGE"/>
    <s v="314"/>
    <s v="4.0 UN"/>
    <s v="STANDARD"/>
    <s v="N"/>
    <s v="Y"/>
    <s v="N"/>
    <s v="N"/>
    <s v="N"/>
    <s v="N"/>
    <s v="N"/>
    <s v="N"/>
    <s v="A040"/>
    <d v="2016-12-08T00:00:00"/>
    <s v="10"/>
    <s v="TAN"/>
    <s v="OR"/>
    <d v="2016-12-05T00:00:00"/>
    <s v="ID"/>
    <s v="US"/>
    <s v="ZR"/>
    <d v="2016-12-05T00:00:00"/>
  </r>
  <r>
    <x v="0"/>
    <x v="4"/>
    <x v="265"/>
    <x v="17"/>
    <s v="Standard order"/>
    <x v="251"/>
    <x v="251"/>
    <s v="A501"/>
    <s v="CRYSTAL A501"/>
    <s v="5003305"/>
    <s v="A501 ACH PB LRG"/>
    <n v="36"/>
    <n v="0"/>
    <n v="36"/>
    <x v="4"/>
    <s v="EZPB"/>
    <s v="LARGE"/>
    <s v="314"/>
    <s v="4.0 UN"/>
    <s v="STANDARD"/>
    <s v="N"/>
    <s v="Y"/>
    <s v="N"/>
    <s v="N"/>
    <s v="N"/>
    <s v="N"/>
    <s v="N"/>
    <s v="N"/>
    <s v="A040"/>
    <d v="2016-12-08T00:00:00"/>
    <s v="20"/>
    <s v="TAN"/>
    <s v="OR"/>
    <d v="2016-12-05T00:00:00"/>
    <s v="ID"/>
    <s v="US"/>
    <s v="ZR"/>
    <d v="2016-12-05T00:00:00"/>
  </r>
  <r>
    <x v="0"/>
    <x v="0"/>
    <x v="266"/>
    <x v="10"/>
    <s v="Standard order"/>
    <x v="252"/>
    <x v="252"/>
    <s v="G333"/>
    <s v="CRYSTAL G333NT"/>
    <s v="5003382"/>
    <s v="G333 ACH T20 SYSTIVA ELS"/>
    <n v="100"/>
    <n v="0"/>
    <n v="100"/>
    <x v="0"/>
    <s v="EE73"/>
    <s v="ELS"/>
    <s v="328"/>
    <s v="4.0 UN"/>
    <s v="STANDARD"/>
    <s v="N"/>
    <s v="N"/>
    <s v="N"/>
    <s v="T20"/>
    <s v="Y"/>
    <s v="N"/>
    <s v="Y"/>
    <s v="N"/>
    <s v="A036"/>
    <d v="2016-12-08T00:00:00"/>
    <s v="10"/>
    <s v="TAN"/>
    <s v="OR"/>
    <d v="2016-12-05T00:00:00"/>
    <s v="MI"/>
    <s v="US"/>
    <s v="ZR"/>
    <d v="2016-12-05T00:00:00"/>
  </r>
  <r>
    <x v="0"/>
    <x v="4"/>
    <x v="267"/>
    <x v="20"/>
    <s v="Standard order"/>
    <x v="253"/>
    <x v="253"/>
    <s v="A399"/>
    <s v="CRYSTAL A399NT"/>
    <s v="5002928"/>
    <s v="A399 ACH PB LRG"/>
    <n v="16"/>
    <n v="0"/>
    <n v="16"/>
    <x v="4"/>
    <s v="DP71"/>
    <s v="LARGE"/>
    <s v="314"/>
    <s v="4.0 UN"/>
    <s v="STANDARD"/>
    <s v="N"/>
    <s v="Y"/>
    <s v="N"/>
    <s v="N"/>
    <s v="N"/>
    <s v="N"/>
    <s v="N"/>
    <s v="N"/>
    <s v="A039"/>
    <d v="2016-12-08T00:00:00"/>
    <s v="10"/>
    <s v="TAN"/>
    <s v="OR"/>
    <d v="2016-12-05T00:00:00"/>
    <s v="ID"/>
    <s v="US"/>
    <s v="ZR"/>
    <d v="2016-12-05T00:00:00"/>
  </r>
  <r>
    <x v="0"/>
    <x v="0"/>
    <x v="268"/>
    <x v="10"/>
    <s v="Standard order"/>
    <x v="254"/>
    <x v="254"/>
    <s v="G515"/>
    <s v="CRYSTAL G515"/>
    <s v="5003019"/>
    <s v="G515 ACH T20 Kabina RP"/>
    <n v="12"/>
    <n v="0"/>
    <n v="12"/>
    <x v="0"/>
    <s v="APND"/>
    <s v="RP"/>
    <s v="387"/>
    <s v="4.0 UN"/>
    <s v="STANDARD"/>
    <s v="N"/>
    <s v="N"/>
    <s v="Y"/>
    <s v="T20"/>
    <s v="N"/>
    <s v="N"/>
    <s v="N"/>
    <s v="N"/>
    <s v="A036"/>
    <d v="2016-12-08T00:00:00"/>
    <s v="10"/>
    <s v="TAN"/>
    <s v="OR"/>
    <d v="2016-12-05T00:00:00"/>
    <s v="MI"/>
    <s v="US"/>
    <s v="ZR"/>
    <d v="2016-12-05T00:00:00"/>
  </r>
  <r>
    <x v="0"/>
    <x v="0"/>
    <x v="268"/>
    <x v="10"/>
    <s v="Standard order"/>
    <x v="254"/>
    <x v="254"/>
    <s v="R059"/>
    <s v="CRYSTAL RR059"/>
    <s v="5003536"/>
    <s v="R059 ACH T20 SYSTIVA RP"/>
    <n v="32"/>
    <n v="0"/>
    <n v="32"/>
    <x v="0"/>
    <s v="AP73"/>
    <s v="RP"/>
    <s v="328"/>
    <s v="4.0 UN"/>
    <s v="STANDARD"/>
    <s v="N"/>
    <s v="N"/>
    <s v="N"/>
    <s v="T20"/>
    <s v="Y"/>
    <s v="N"/>
    <s v="Y"/>
    <s v="N"/>
    <s v="A036"/>
    <d v="2016-12-08T00:00:00"/>
    <s v="20"/>
    <s v="TAN"/>
    <s v="OR"/>
    <d v="2016-12-05T00:00:00"/>
    <s v="MI"/>
    <s v="US"/>
    <s v="ZR"/>
    <d v="2016-12-05T00:00:00"/>
  </r>
  <r>
    <x v="0"/>
    <x v="0"/>
    <x v="268"/>
    <x v="10"/>
    <s v="Standard order"/>
    <x v="254"/>
    <x v="254"/>
    <s v="G333"/>
    <s v="CRYSTAL G333NT"/>
    <s v="5003378"/>
    <s v="G333 ACH T20 Kabina RP"/>
    <n v="16"/>
    <n v="0"/>
    <n v="16"/>
    <x v="0"/>
    <s v="EE73"/>
    <s v="RP"/>
    <s v="387"/>
    <s v="4.0 UN"/>
    <s v="STANDARD"/>
    <s v="N"/>
    <s v="N"/>
    <s v="Y"/>
    <s v="T20"/>
    <s v="N"/>
    <s v="N"/>
    <s v="N"/>
    <s v="N"/>
    <s v="A036"/>
    <d v="2016-12-08T00:00:00"/>
    <s v="30"/>
    <s v="TAN"/>
    <s v="OR"/>
    <d v="2016-12-05T00:00:00"/>
    <s v="MI"/>
    <s v="US"/>
    <s v="ZR"/>
    <d v="2016-12-05T00:00:00"/>
  </r>
  <r>
    <x v="0"/>
    <x v="4"/>
    <x v="269"/>
    <x v="16"/>
    <s v="Standard order"/>
    <x v="255"/>
    <x v="255"/>
    <s v="A501"/>
    <s v="CRYSTAL A501"/>
    <s v="5003305"/>
    <s v="A501 ACH PB LRG"/>
    <n v="40"/>
    <n v="0"/>
    <n v="40"/>
    <x v="4"/>
    <s v="EZPB"/>
    <s v="LARGE"/>
    <s v="314"/>
    <s v="4.0 UN"/>
    <s v="STANDARD"/>
    <s v="N"/>
    <s v="Y"/>
    <s v="N"/>
    <s v="N"/>
    <s v="N"/>
    <s v="N"/>
    <s v="N"/>
    <s v="N"/>
    <s v="A042"/>
    <d v="2016-12-08T00:00:00"/>
    <s v="10"/>
    <s v="TAN"/>
    <s v="OR"/>
    <d v="2016-12-04T00:00:00"/>
    <s v="ID"/>
    <s v="US"/>
    <s v="ZR"/>
    <d v="2016-12-05T00:00:00"/>
  </r>
  <r>
    <x v="0"/>
    <x v="4"/>
    <x v="269"/>
    <x v="16"/>
    <s v="Standard order"/>
    <x v="255"/>
    <x v="255"/>
    <s v="A404"/>
    <s v="CRYSTAL A404NT"/>
    <s v="5002954"/>
    <s v="A404 ACH PB LRG"/>
    <n v="96"/>
    <n v="0"/>
    <n v="96"/>
    <x v="4"/>
    <s v="DPNE"/>
    <s v="LARGE"/>
    <s v="314"/>
    <s v="4.0 UN"/>
    <s v="STANDARD"/>
    <s v="N"/>
    <s v="Y"/>
    <s v="N"/>
    <s v="N"/>
    <s v="N"/>
    <s v="N"/>
    <s v="N"/>
    <s v="N"/>
    <s v="A042"/>
    <d v="2016-12-08T00:00:00"/>
    <s v="20"/>
    <s v="TAN"/>
    <s v="OR"/>
    <d v="2016-12-04T00:00:00"/>
    <s v="ID"/>
    <s v="US"/>
    <s v="ZR"/>
    <d v="2016-12-05T00:00:00"/>
  </r>
  <r>
    <x v="0"/>
    <x v="4"/>
    <x v="269"/>
    <x v="16"/>
    <s v="Standard order"/>
    <x v="255"/>
    <x v="255"/>
    <s v="A399"/>
    <s v="CRYSTAL A399NT"/>
    <s v="5002928"/>
    <s v="A399 ACH PB LRG"/>
    <n v="64"/>
    <n v="0"/>
    <n v="64"/>
    <x v="4"/>
    <s v="DP71"/>
    <s v="LARGE"/>
    <s v="314"/>
    <s v="4.0 UN"/>
    <s v="STANDARD"/>
    <s v="N"/>
    <s v="Y"/>
    <s v="N"/>
    <s v="N"/>
    <s v="N"/>
    <s v="N"/>
    <s v="N"/>
    <s v="N"/>
    <s v="A042"/>
    <d v="2016-12-08T00:00:00"/>
    <s v="30"/>
    <s v="TAN"/>
    <s v="OR"/>
    <d v="2016-12-04T00:00:00"/>
    <s v="ID"/>
    <s v="US"/>
    <s v="ZR"/>
    <d v="2016-12-05T00:00:00"/>
  </r>
  <r>
    <x v="0"/>
    <x v="5"/>
    <x v="270"/>
    <x v="9"/>
    <s v="Standard order"/>
    <x v="256"/>
    <x v="256"/>
    <s v="R116"/>
    <s v="CRYSTAL RR116"/>
    <s v="5003105"/>
    <s v="R116 ACH T20 PB SYSTIVA RP"/>
    <n v="40"/>
    <n v="0"/>
    <n v="40"/>
    <x v="5"/>
    <s v="AP71"/>
    <s v="RP"/>
    <s v="324"/>
    <s v="4.0 UN"/>
    <s v="STANDARD"/>
    <s v="N"/>
    <s v="Y"/>
    <s v="N"/>
    <s v="T20"/>
    <s v="Y"/>
    <s v="N"/>
    <s v="N"/>
    <s v="N"/>
    <s v="A016"/>
    <d v="2016-12-08T00:00:00"/>
    <s v="10"/>
    <s v="TAN"/>
    <s v="OR"/>
    <d v="2016-12-05T00:00:00"/>
    <s v="WY"/>
    <s v="US"/>
    <s v="ZR"/>
    <d v="2016-12-05T00:00:00"/>
  </r>
  <r>
    <x v="0"/>
    <x v="2"/>
    <x v="271"/>
    <x v="3"/>
    <s v="Standard order"/>
    <x v="257"/>
    <x v="257"/>
    <s v="R272"/>
    <s v="CRYSTAL RR272"/>
    <s v="5003629"/>
    <s v="R272 ACH T20 PB SYSTIVA G100"/>
    <n v="328"/>
    <n v="0"/>
    <n v="328"/>
    <x v="2"/>
    <s v="DG73"/>
    <s v="GEM 100"/>
    <s v="324"/>
    <s v="4.0 UN"/>
    <s v="STANDARD"/>
    <s v="N"/>
    <s v="Y"/>
    <s v="N"/>
    <s v="T20"/>
    <s v="Y"/>
    <s v="N"/>
    <s v="Y"/>
    <s v="N"/>
    <s v="A024"/>
    <d v="2016-12-08T00:00:00"/>
    <s v="10"/>
    <s v="TAN"/>
    <s v="OR"/>
    <d v="2016-12-05T00:00:00"/>
    <s v="NE"/>
    <s v="US"/>
    <s v="ZR"/>
    <d v="2016-12-05T00:00:00"/>
  </r>
  <r>
    <x v="0"/>
    <x v="2"/>
    <x v="271"/>
    <x v="3"/>
    <s v="Standard order"/>
    <x v="257"/>
    <x v="257"/>
    <s v="W322"/>
    <s v="CRYSTAL W322NT"/>
    <s v="5003488"/>
    <s v="W322 ACH T20 PB SYSTIVA G100"/>
    <n v="64"/>
    <n v="0"/>
    <n v="64"/>
    <x v="2"/>
    <s v="EE73"/>
    <s v="GEM 100"/>
    <s v="324"/>
    <s v="4.0 UN"/>
    <s v="STANDARD"/>
    <s v="N"/>
    <s v="Y"/>
    <s v="N"/>
    <s v="T20"/>
    <s v="Y"/>
    <s v="N"/>
    <s v="Y"/>
    <s v="N"/>
    <s v="A024"/>
    <d v="2016-12-08T00:00:00"/>
    <s v="20"/>
    <s v="TAN"/>
    <s v="OR"/>
    <d v="2016-12-05T00:00:00"/>
    <s v="NE"/>
    <s v="US"/>
    <s v="ZR"/>
    <d v="2016-12-05T00:00:00"/>
  </r>
  <r>
    <x v="0"/>
    <x v="4"/>
    <x v="272"/>
    <x v="16"/>
    <s v="Standard order"/>
    <x v="258"/>
    <x v="258"/>
    <s v="A399"/>
    <s v="CRYSTAL A399NT"/>
    <s v="5002930"/>
    <s v="A399 ACH PB MP"/>
    <n v="76"/>
    <n v="0"/>
    <n v="76"/>
    <x v="4"/>
    <s v="DP71"/>
    <s v="MP"/>
    <s v="314"/>
    <s v="4.0 UN"/>
    <s v="STANDARD"/>
    <s v="N"/>
    <s v="Y"/>
    <s v="N"/>
    <s v="N"/>
    <s v="N"/>
    <s v="N"/>
    <s v="N"/>
    <s v="N"/>
    <s v="A042"/>
    <d v="2016-12-08T00:00:00"/>
    <s v="10"/>
    <s v="TAN"/>
    <s v="OR"/>
    <d v="2016-12-05T00:00:00"/>
    <s v="ID"/>
    <s v="US"/>
    <s v="ZR"/>
    <d v="2016-12-05T00:00:00"/>
  </r>
  <r>
    <x v="0"/>
    <x v="4"/>
    <x v="272"/>
    <x v="16"/>
    <s v="Standard order"/>
    <x v="258"/>
    <x v="258"/>
    <s v="A404"/>
    <s v="CRYSTAL A404NT"/>
    <s v="5002956"/>
    <s v="A404 ACH PB MP"/>
    <n v="40"/>
    <n v="0"/>
    <n v="40"/>
    <x v="4"/>
    <s v="DPNE"/>
    <s v="MP"/>
    <s v="314"/>
    <s v="4.0 UN"/>
    <s v="STANDARD"/>
    <s v="N"/>
    <s v="Y"/>
    <s v="N"/>
    <s v="N"/>
    <s v="N"/>
    <s v="N"/>
    <s v="N"/>
    <s v="N"/>
    <s v="A042"/>
    <d v="2016-12-08T00:00:00"/>
    <s v="20"/>
    <s v="TAN"/>
    <s v="OR"/>
    <d v="2016-12-05T00:00:00"/>
    <s v="ID"/>
    <s v="US"/>
    <s v="ZR"/>
    <d v="2016-12-05T00:00:00"/>
  </r>
  <r>
    <x v="0"/>
    <x v="4"/>
    <x v="273"/>
    <x v="16"/>
    <s v="Standard order"/>
    <x v="259"/>
    <x v="259"/>
    <s v="A399"/>
    <s v="CRYSTAL A399NT"/>
    <s v="5002935"/>
    <s v="A399 ACH T20 PB Kabina CL MP"/>
    <n v="32"/>
    <n v="0"/>
    <n v="32"/>
    <x v="4"/>
    <s v="DP71"/>
    <s v="MP"/>
    <s v="323"/>
    <s v="4.0 UN"/>
    <s v="STANDARD"/>
    <s v="N"/>
    <s v="Y"/>
    <s v="Y"/>
    <s v="T20"/>
    <s v="N"/>
    <s v="N"/>
    <s v="N"/>
    <s v="N"/>
    <s v="A042"/>
    <d v="2016-12-08T00:00:00"/>
    <s v="10"/>
    <s v="TAN"/>
    <s v="OR"/>
    <d v="2016-12-05T00:00:00"/>
    <s v="ID"/>
    <s v="US"/>
    <s v="ZR"/>
    <d v="2016-12-05T00:00:00"/>
  </r>
  <r>
    <x v="0"/>
    <x v="4"/>
    <x v="273"/>
    <x v="16"/>
    <s v="Standard order"/>
    <x v="259"/>
    <x v="259"/>
    <s v="A399"/>
    <s v="CRYSTAL A399NT"/>
    <s v="5002931"/>
    <s v="A399 ACH PB XL"/>
    <n v="28"/>
    <n v="0"/>
    <n v="28"/>
    <x v="4"/>
    <s v="DP71"/>
    <s v="X-LARGE"/>
    <s v="314"/>
    <s v="4.0 UN"/>
    <s v="STANDARD"/>
    <s v="N"/>
    <s v="Y"/>
    <s v="N"/>
    <s v="N"/>
    <s v="N"/>
    <s v="N"/>
    <s v="N"/>
    <s v="N"/>
    <s v="A042"/>
    <d v="2016-12-08T00:00:00"/>
    <s v="20"/>
    <s v="TAN"/>
    <s v="OR"/>
    <d v="2016-12-05T00:00:00"/>
    <s v="ID"/>
    <s v="US"/>
    <s v="ZR"/>
    <d v="2016-12-05T00:00:00"/>
  </r>
  <r>
    <x v="0"/>
    <x v="4"/>
    <x v="274"/>
    <x v="18"/>
    <s v="Standard order"/>
    <x v="260"/>
    <x v="260"/>
    <s v="A404"/>
    <s v="CRYSTAL A404NT"/>
    <s v="5002957"/>
    <s v="A404 ACH PB XL"/>
    <n v="132"/>
    <n v="0"/>
    <n v="132"/>
    <x v="4"/>
    <s v="DPNE"/>
    <s v="X-LARGE"/>
    <s v="314"/>
    <s v="4.0 UN"/>
    <s v="STANDARD"/>
    <s v="N"/>
    <s v="Y"/>
    <s v="N"/>
    <s v="N"/>
    <s v="N"/>
    <s v="N"/>
    <s v="N"/>
    <s v="N"/>
    <s v="A041"/>
    <d v="2016-12-08T00:00:00"/>
    <s v="10"/>
    <s v="TAN"/>
    <s v="OR"/>
    <d v="2016-12-05T00:00:00"/>
    <s v="ID"/>
    <s v="US"/>
    <s v="ZR"/>
    <d v="2016-12-05T00:00:00"/>
  </r>
  <r>
    <x v="0"/>
    <x v="4"/>
    <x v="274"/>
    <x v="18"/>
    <s v="Standard order"/>
    <x v="260"/>
    <x v="260"/>
    <s v="A399"/>
    <s v="CRYSTAL A399NT"/>
    <s v="5002931"/>
    <s v="A399 ACH PB XL"/>
    <n v="132"/>
    <n v="0"/>
    <n v="132"/>
    <x v="4"/>
    <s v="DP71"/>
    <s v="X-LARGE"/>
    <s v="314"/>
    <s v="4.0 UN"/>
    <s v="STANDARD"/>
    <s v="N"/>
    <s v="Y"/>
    <s v="N"/>
    <s v="N"/>
    <s v="N"/>
    <s v="N"/>
    <s v="N"/>
    <s v="N"/>
    <s v="A041"/>
    <d v="2016-12-08T00:00:00"/>
    <s v="20"/>
    <s v="TAN"/>
    <s v="OR"/>
    <d v="2016-12-05T00:00:00"/>
    <s v="ID"/>
    <s v="US"/>
    <s v="ZR"/>
    <d v="2016-12-05T00:00:00"/>
  </r>
  <r>
    <x v="0"/>
    <x v="4"/>
    <x v="274"/>
    <x v="18"/>
    <s v="Standard order"/>
    <x v="260"/>
    <x v="260"/>
    <s v="R081"/>
    <s v="CRYSTAL RR081"/>
    <s v="5003554"/>
    <s v="R081 ACH PB XL IDH"/>
    <n v="296"/>
    <n v="0"/>
    <n v="296"/>
    <x v="4"/>
    <s v="AQ82"/>
    <s v="X-LARGE"/>
    <s v="314"/>
    <s v="4.0 UN"/>
    <s v="STANDARD"/>
    <s v="N"/>
    <s v="Y"/>
    <s v="N"/>
    <s v="N"/>
    <s v="N"/>
    <s v="N"/>
    <s v="N"/>
    <s v="N"/>
    <s v="A041"/>
    <d v="2016-12-08T00:00:00"/>
    <s v="30"/>
    <s v="TAN"/>
    <s v="OR"/>
    <d v="2016-12-05T00:00:00"/>
    <s v="ID"/>
    <s v="US"/>
    <s v="ZR"/>
    <d v="2016-12-05T00:00:00"/>
  </r>
  <r>
    <x v="0"/>
    <x v="4"/>
    <x v="274"/>
    <x v="18"/>
    <s v="Standard order"/>
    <x v="260"/>
    <x v="260"/>
    <s v="A501"/>
    <s v="CRYSTAL A501"/>
    <s v="5003308"/>
    <s v="A501 ACH PB XL"/>
    <n v="240"/>
    <n v="0"/>
    <n v="240"/>
    <x v="4"/>
    <s v="EZPB"/>
    <s v="X-LARGE"/>
    <s v="314"/>
    <s v="4.0 UN"/>
    <s v="STANDARD"/>
    <s v="N"/>
    <s v="Y"/>
    <s v="N"/>
    <s v="N"/>
    <s v="N"/>
    <s v="N"/>
    <s v="N"/>
    <s v="N"/>
    <s v="A041"/>
    <d v="2016-12-08T00:00:00"/>
    <s v="40"/>
    <s v="TAN"/>
    <s v="OR"/>
    <d v="2016-12-05T00:00:00"/>
    <s v="ID"/>
    <s v="US"/>
    <s v="ZR"/>
    <d v="2016-12-05T00:00:00"/>
  </r>
  <r>
    <x v="0"/>
    <x v="0"/>
    <x v="275"/>
    <x v="2"/>
    <s v="Standard order"/>
    <x v="261"/>
    <x v="261"/>
    <s v="G333"/>
    <s v="CRYSTAL G333NT"/>
    <s v="5003377"/>
    <s v="G333 ACH T20 Kabina MP"/>
    <n v="108"/>
    <n v="0"/>
    <n v="108"/>
    <x v="0"/>
    <s v="EE73"/>
    <s v="MP"/>
    <s v="387"/>
    <s v="4.0 UN"/>
    <s v="STANDARD"/>
    <s v="N"/>
    <s v="N"/>
    <s v="Y"/>
    <s v="T20"/>
    <s v="N"/>
    <s v="N"/>
    <s v="N"/>
    <s v="N"/>
    <s v="A034"/>
    <d v="2016-12-08T00:00:00"/>
    <s v="10"/>
    <s v="TAN"/>
    <s v="OR"/>
    <d v="2016-12-05T00:00:00"/>
    <s v="MI"/>
    <s v="US"/>
    <s v="ZR"/>
    <d v="2016-12-05T00:00:00"/>
  </r>
  <r>
    <x v="0"/>
    <x v="0"/>
    <x v="276"/>
    <x v="2"/>
    <s v="Standard order"/>
    <x v="262"/>
    <x v="262"/>
    <s v="R059"/>
    <s v="CRYSTAL RR059"/>
    <s v="5003528"/>
    <s v="R059 ACH T20 Kabina ELS"/>
    <n v="152"/>
    <n v="0"/>
    <n v="152"/>
    <x v="0"/>
    <s v="AP73"/>
    <s v="ELS"/>
    <s v="387"/>
    <s v="4.0 UN"/>
    <s v="STANDARD"/>
    <s v="N"/>
    <s v="N"/>
    <s v="Y"/>
    <s v="T20"/>
    <s v="N"/>
    <s v="N"/>
    <s v="N"/>
    <s v="N"/>
    <s v="A034"/>
    <d v="2016-12-08T00:00:00"/>
    <s v="10"/>
    <s v="TAN"/>
    <s v="OR"/>
    <d v="2016-12-05T00:00:00"/>
    <s v="MI"/>
    <s v="US"/>
    <s v="ZR"/>
    <d v="2016-12-05T00:00:00"/>
  </r>
  <r>
    <x v="0"/>
    <x v="0"/>
    <x v="276"/>
    <x v="2"/>
    <s v="Standard order"/>
    <x v="262"/>
    <x v="262"/>
    <s v="G333"/>
    <s v="CRYSTAL G333NT"/>
    <s v="5003376"/>
    <s v="G333 ACH T20 Kabina ELS"/>
    <n v="32"/>
    <n v="0"/>
    <n v="32"/>
    <x v="0"/>
    <s v="EE73"/>
    <s v="ELS"/>
    <s v="387"/>
    <s v="4.0 UN"/>
    <s v="STANDARD"/>
    <s v="N"/>
    <s v="N"/>
    <s v="Y"/>
    <s v="T20"/>
    <s v="N"/>
    <s v="N"/>
    <s v="N"/>
    <s v="N"/>
    <s v="A034"/>
    <d v="2016-12-08T00:00:00"/>
    <s v="20"/>
    <s v="TAN"/>
    <s v="OR"/>
    <d v="2016-12-05T00:00:00"/>
    <s v="MI"/>
    <s v="US"/>
    <s v="ZR"/>
    <d v="2016-12-05T00:00:00"/>
  </r>
  <r>
    <x v="0"/>
    <x v="0"/>
    <x v="276"/>
    <x v="2"/>
    <s v="Standard order"/>
    <x v="262"/>
    <x v="262"/>
    <s v="G351"/>
    <s v="CRYSTAL G351NT"/>
    <s v="5003396"/>
    <s v="G351 ACH T20 Kabina ELS"/>
    <n v="8"/>
    <n v="0"/>
    <n v="8"/>
    <x v="0"/>
    <s v="DA73"/>
    <s v="ELS"/>
    <s v="387"/>
    <s v="4.0 UN"/>
    <s v="STANDARD"/>
    <s v="N"/>
    <s v="N"/>
    <s v="Y"/>
    <s v="T20"/>
    <s v="N"/>
    <s v="N"/>
    <s v="N"/>
    <s v="N"/>
    <s v="A034"/>
    <d v="2016-12-08T00:00:00"/>
    <s v="30"/>
    <s v="TAN"/>
    <s v="OR"/>
    <d v="2016-12-05T00:00:00"/>
    <s v="MI"/>
    <s v="US"/>
    <s v="ZR"/>
    <d v="2016-12-05T00:00:00"/>
  </r>
  <r>
    <x v="0"/>
    <x v="0"/>
    <x v="276"/>
    <x v="2"/>
    <s v="Standard order"/>
    <x v="262"/>
    <x v="262"/>
    <s v="G515"/>
    <s v="CRYSTAL G515"/>
    <s v="5003017"/>
    <s v="G515 ACH T20 Kabina ELS"/>
    <n v="8"/>
    <n v="0"/>
    <n v="8"/>
    <x v="0"/>
    <s v="APND"/>
    <s v="ELS"/>
    <s v="387"/>
    <s v="4.0 UN"/>
    <s v="STANDARD"/>
    <s v="N"/>
    <s v="N"/>
    <s v="Y"/>
    <s v="T20"/>
    <s v="N"/>
    <s v="N"/>
    <s v="N"/>
    <s v="N"/>
    <s v="A034"/>
    <d v="2016-12-08T00:00:00"/>
    <s v="40"/>
    <s v="TAN"/>
    <s v="OR"/>
    <d v="2016-12-05T00:00:00"/>
    <s v="MI"/>
    <s v="US"/>
    <s v="ZR"/>
    <d v="2016-12-05T00:00:00"/>
  </r>
  <r>
    <x v="0"/>
    <x v="4"/>
    <x v="277"/>
    <x v="20"/>
    <s v="Standard order"/>
    <x v="263"/>
    <x v="263"/>
    <s v="A501"/>
    <s v="CRYSTAL A501"/>
    <s v="5003307"/>
    <s v="A501 ACH PB MP"/>
    <n v="68"/>
    <n v="0"/>
    <n v="68"/>
    <x v="4"/>
    <s v="EZPB"/>
    <s v="MP"/>
    <s v="314"/>
    <s v="4.0 UN"/>
    <s v="STANDARD"/>
    <s v="N"/>
    <s v="Y"/>
    <s v="N"/>
    <s v="N"/>
    <s v="N"/>
    <s v="N"/>
    <s v="N"/>
    <s v="N"/>
    <s v="A039"/>
    <d v="2016-12-08T00:00:00"/>
    <s v="10"/>
    <s v="TAN"/>
    <s v="OR"/>
    <d v="2016-12-05T00:00:00"/>
    <s v="ID"/>
    <s v="US"/>
    <s v="ZR"/>
    <d v="2016-12-05T00:00:00"/>
  </r>
  <r>
    <x v="0"/>
    <x v="4"/>
    <x v="277"/>
    <x v="20"/>
    <s v="Standard order"/>
    <x v="263"/>
    <x v="263"/>
    <s v="A404"/>
    <s v="CRYSTAL A404NT"/>
    <s v="5002961"/>
    <s v="A404 ACH T20 PB Kabina CL MP"/>
    <n v="80"/>
    <n v="0"/>
    <n v="80"/>
    <x v="4"/>
    <s v="DPNE"/>
    <s v="MP"/>
    <s v="323"/>
    <s v="4.0 UN"/>
    <s v="STANDARD"/>
    <s v="N"/>
    <s v="Y"/>
    <s v="Y"/>
    <s v="T20"/>
    <s v="N"/>
    <s v="N"/>
    <s v="N"/>
    <s v="N"/>
    <s v="A039"/>
    <d v="2016-12-08T00:00:00"/>
    <s v="20"/>
    <s v="TAN"/>
    <s v="OR"/>
    <d v="2016-12-05T00:00:00"/>
    <s v="ID"/>
    <s v="US"/>
    <s v="ZR"/>
    <d v="2016-12-05T00:00:00"/>
  </r>
  <r>
    <x v="0"/>
    <x v="4"/>
    <x v="277"/>
    <x v="20"/>
    <s v="Standard order"/>
    <x v="263"/>
    <x v="263"/>
    <s v="A404"/>
    <s v="CRYSTAL A404NT"/>
    <s v="5002956"/>
    <s v="A404 ACH PB MP"/>
    <n v="136"/>
    <n v="0"/>
    <n v="136"/>
    <x v="4"/>
    <s v="DPNE"/>
    <s v="MP"/>
    <s v="314"/>
    <s v="4.0 UN"/>
    <s v="STANDARD"/>
    <s v="N"/>
    <s v="Y"/>
    <s v="N"/>
    <s v="N"/>
    <s v="N"/>
    <s v="N"/>
    <s v="N"/>
    <s v="N"/>
    <s v="A039"/>
    <d v="2016-12-08T00:00:00"/>
    <s v="30"/>
    <s v="TAN"/>
    <s v="OR"/>
    <d v="2016-12-05T00:00:00"/>
    <s v="ID"/>
    <s v="US"/>
    <s v="ZR"/>
    <d v="2016-12-05T00:00:00"/>
  </r>
  <r>
    <x v="0"/>
    <x v="4"/>
    <x v="277"/>
    <x v="20"/>
    <s v="Standard order"/>
    <x v="263"/>
    <x v="263"/>
    <s v="A399"/>
    <s v="CRYSTAL A399NT"/>
    <s v="5002930"/>
    <s v="A399 ACH PB MP"/>
    <n v="200"/>
    <n v="0"/>
    <n v="200"/>
    <x v="4"/>
    <s v="DP71"/>
    <s v="MP"/>
    <s v="314"/>
    <s v="4.0 UN"/>
    <s v="STANDARD"/>
    <s v="N"/>
    <s v="Y"/>
    <s v="N"/>
    <s v="N"/>
    <s v="N"/>
    <s v="N"/>
    <s v="N"/>
    <s v="N"/>
    <s v="A039"/>
    <d v="2016-12-08T00:00:00"/>
    <s v="40"/>
    <s v="TAN"/>
    <s v="OR"/>
    <d v="2016-12-05T00:00:00"/>
    <s v="ID"/>
    <s v="US"/>
    <s v="ZR"/>
    <d v="2016-12-05T00:00:00"/>
  </r>
  <r>
    <x v="0"/>
    <x v="4"/>
    <x v="278"/>
    <x v="16"/>
    <s v="Standard order"/>
    <x v="264"/>
    <x v="264"/>
    <s v="A404"/>
    <s v="CRYSTAL A404NT"/>
    <s v="5002956"/>
    <s v="A404 ACH PB MP"/>
    <n v="40"/>
    <n v="0"/>
    <n v="40"/>
    <x v="4"/>
    <s v="DPNE"/>
    <s v="MP"/>
    <s v="314"/>
    <s v="4.0 UN"/>
    <s v="STANDARD"/>
    <s v="N"/>
    <s v="Y"/>
    <s v="N"/>
    <s v="N"/>
    <s v="N"/>
    <s v="N"/>
    <s v="N"/>
    <s v="N"/>
    <s v="A042"/>
    <d v="2016-12-08T00:00:00"/>
    <s v="20"/>
    <s v="TAN"/>
    <s v="OR"/>
    <d v="2016-12-05T00:00:00"/>
    <s v="ID"/>
    <s v="US"/>
    <s v="ZR"/>
    <d v="2016-12-05T00:00:00"/>
  </r>
  <r>
    <x v="0"/>
    <x v="4"/>
    <x v="278"/>
    <x v="16"/>
    <s v="Standard order"/>
    <x v="264"/>
    <x v="264"/>
    <s v="R240"/>
    <s v="CRYSTAL RR240NT"/>
    <s v="5003161"/>
    <s v="R240 ACH PB MP"/>
    <n v="76"/>
    <n v="0"/>
    <n v="76"/>
    <x v="4"/>
    <s v="BHMP"/>
    <s v="MP"/>
    <s v="314"/>
    <s v="4.0 UN"/>
    <s v="STANDARD"/>
    <s v="N"/>
    <s v="Y"/>
    <s v="N"/>
    <s v="N"/>
    <s v="N"/>
    <s v="N"/>
    <s v="N"/>
    <s v="N"/>
    <s v="A042"/>
    <d v="2016-12-08T00:00:00"/>
    <s v="10"/>
    <s v="TAN"/>
    <s v="OR"/>
    <d v="2016-12-05T00:00:00"/>
    <s v="ID"/>
    <s v="US"/>
    <s v="ZR"/>
    <d v="2016-12-05T00:00:00"/>
  </r>
  <r>
    <x v="0"/>
    <x v="0"/>
    <x v="279"/>
    <x v="10"/>
    <s v="Standard order"/>
    <x v="265"/>
    <x v="265"/>
    <s v="R059"/>
    <s v="CRYSTAL RR059"/>
    <s v="5003536"/>
    <s v="R059 ACH T20 SYSTIVA RP"/>
    <n v="232"/>
    <n v="0"/>
    <n v="232"/>
    <x v="0"/>
    <s v="AP73"/>
    <s v="RP"/>
    <s v="328"/>
    <s v="4.0 UN"/>
    <s v="STANDARD"/>
    <s v="N"/>
    <s v="N"/>
    <s v="N"/>
    <s v="T20"/>
    <s v="Y"/>
    <s v="N"/>
    <s v="Y"/>
    <s v="N"/>
    <s v="A036"/>
    <d v="2016-12-08T00:00:00"/>
    <s v="10"/>
    <s v="TAN"/>
    <s v="OR"/>
    <d v="2016-12-05T00:00:00"/>
    <s v="MI"/>
    <s v="US"/>
    <s v="ZR"/>
    <d v="2016-12-05T00:00:00"/>
  </r>
  <r>
    <x v="0"/>
    <x v="0"/>
    <x v="279"/>
    <x v="10"/>
    <s v="Standard order"/>
    <x v="265"/>
    <x v="265"/>
    <s v="G333"/>
    <s v="CRYSTAL G333NT"/>
    <s v="5003384"/>
    <s v="G333 ACH T20 SYSTIVA RP"/>
    <n v="92"/>
    <n v="0"/>
    <n v="92"/>
    <x v="0"/>
    <s v="EE73"/>
    <s v="RP"/>
    <s v="328"/>
    <s v="4.0 UN"/>
    <s v="STANDARD"/>
    <s v="N"/>
    <s v="N"/>
    <s v="N"/>
    <s v="T20"/>
    <s v="Y"/>
    <s v="N"/>
    <s v="Y"/>
    <s v="N"/>
    <s v="A036"/>
    <d v="2016-12-08T00:00:00"/>
    <s v="20"/>
    <s v="TAN"/>
    <s v="OR"/>
    <d v="2016-12-05T00:00:00"/>
    <s v="MI"/>
    <s v="US"/>
    <s v="ZR"/>
    <d v="2016-12-05T00:00:00"/>
  </r>
  <r>
    <x v="0"/>
    <x v="0"/>
    <x v="279"/>
    <x v="10"/>
    <s v="Standard order"/>
    <x v="265"/>
    <x v="265"/>
    <s v="G351"/>
    <s v="CRYSTAL G351NT"/>
    <s v="5003398"/>
    <s v="G351 ACH T20 Kabina RP"/>
    <n v="92"/>
    <n v="0"/>
    <n v="92"/>
    <x v="0"/>
    <s v="DA73"/>
    <s v="RP"/>
    <s v="387"/>
    <s v="4.0 UN"/>
    <s v="STANDARD"/>
    <s v="N"/>
    <s v="N"/>
    <s v="Y"/>
    <s v="T20"/>
    <s v="N"/>
    <s v="N"/>
    <s v="N"/>
    <s v="N"/>
    <s v="A036"/>
    <d v="2016-12-08T00:00:00"/>
    <s v="30"/>
    <s v="TAN"/>
    <s v="OR"/>
    <d v="2016-12-05T00:00:00"/>
    <s v="MI"/>
    <s v="US"/>
    <s v="ZR"/>
    <d v="2016-12-05T00:00:00"/>
  </r>
  <r>
    <x v="0"/>
    <x v="0"/>
    <x v="279"/>
    <x v="10"/>
    <s v="Standard order"/>
    <x v="265"/>
    <x v="265"/>
    <s v="G515"/>
    <s v="CRYSTAL G515"/>
    <s v="5003019"/>
    <s v="G515 ACH T20 Kabina RP"/>
    <n v="32"/>
    <n v="0"/>
    <n v="32"/>
    <x v="0"/>
    <s v="APND"/>
    <s v="RP"/>
    <s v="387"/>
    <s v="4.0 UN"/>
    <s v="STANDARD"/>
    <s v="N"/>
    <s v="N"/>
    <s v="Y"/>
    <s v="T20"/>
    <s v="N"/>
    <s v="N"/>
    <s v="N"/>
    <s v="N"/>
    <s v="A036"/>
    <d v="2016-12-08T00:00:00"/>
    <s v="40"/>
    <s v="TAN"/>
    <s v="OR"/>
    <d v="2016-12-05T00:00:00"/>
    <s v="MI"/>
    <s v="US"/>
    <s v="ZR"/>
    <d v="2016-12-05T00:00:00"/>
  </r>
  <r>
    <x v="0"/>
    <x v="2"/>
    <x v="280"/>
    <x v="3"/>
    <s v="Standard order"/>
    <x v="266"/>
    <x v="266"/>
    <s v="R014"/>
    <s v="CRYSTAL RR014"/>
    <s v="5003091"/>
    <s v="R014 ACH T20 PB SYSTIVA G100"/>
    <n v="64"/>
    <n v="0"/>
    <n v="64"/>
    <x v="2"/>
    <s v="AP82"/>
    <s v="GEM 100"/>
    <s v="324"/>
    <s v="4.0 UN"/>
    <s v="STANDARD"/>
    <s v="N"/>
    <s v="Y"/>
    <s v="N"/>
    <s v="T20"/>
    <s v="Y"/>
    <s v="N"/>
    <s v="Y"/>
    <s v="N"/>
    <s v="A024"/>
    <d v="2016-12-08T00:00:00"/>
    <s v="10"/>
    <s v="TAN"/>
    <s v="OR"/>
    <d v="2016-12-05T00:00:00"/>
    <s v="NE"/>
    <s v="US"/>
    <s v="ZR"/>
    <d v="2016-12-05T00:00:00"/>
  </r>
  <r>
    <x v="0"/>
    <x v="4"/>
    <x v="281"/>
    <x v="20"/>
    <s v="Standard order"/>
    <x v="267"/>
    <x v="267"/>
    <s v="A488"/>
    <s v="CRYSTAL A488NT"/>
    <s v="5002980"/>
    <s v="A488 ACH PB LRG"/>
    <n v="40"/>
    <n v="0"/>
    <n v="40"/>
    <x v="4"/>
    <s v="EENE"/>
    <s v="LARGE"/>
    <s v="314"/>
    <s v="4.0 UN"/>
    <s v="STANDARD"/>
    <s v="N"/>
    <s v="Y"/>
    <s v="N"/>
    <s v="N"/>
    <s v="N"/>
    <s v="N"/>
    <s v="N"/>
    <s v="N"/>
    <s v="A039"/>
    <d v="2016-12-08T00:00:00"/>
    <s v="10"/>
    <s v="TAN"/>
    <s v="OR"/>
    <d v="2016-12-05T00:00:00"/>
    <s v="ID"/>
    <s v="US"/>
    <s v="ZR"/>
    <d v="2016-12-05T00:00:00"/>
  </r>
  <r>
    <x v="0"/>
    <x v="4"/>
    <x v="281"/>
    <x v="20"/>
    <s v="Standard order"/>
    <x v="267"/>
    <x v="267"/>
    <s v="R240"/>
    <s v="CRYSTAL RR240NT"/>
    <s v="5003159"/>
    <s v="R240 ACH PB LRG"/>
    <n v="88"/>
    <n v="0"/>
    <n v="88"/>
    <x v="4"/>
    <s v="BHMP"/>
    <s v="LARGE"/>
    <s v="314"/>
    <s v="4.0 UN"/>
    <s v="STANDARD"/>
    <s v="N"/>
    <s v="Y"/>
    <s v="N"/>
    <s v="N"/>
    <s v="N"/>
    <s v="N"/>
    <s v="N"/>
    <s v="N"/>
    <s v="A039"/>
    <d v="2016-12-08T00:00:00"/>
    <s v="20"/>
    <s v="TAN"/>
    <s v="OR"/>
    <d v="2016-12-05T00:00:00"/>
    <s v="ID"/>
    <s v="US"/>
    <s v="ZR"/>
    <d v="2016-12-05T00:00:00"/>
  </r>
  <r>
    <x v="0"/>
    <x v="4"/>
    <x v="281"/>
    <x v="20"/>
    <s v="Standard order"/>
    <x v="267"/>
    <x v="267"/>
    <s v="A501"/>
    <s v="CRYSTAL A501"/>
    <s v="5003305"/>
    <s v="A501 ACH PB LRG"/>
    <n v="68"/>
    <n v="0"/>
    <n v="68"/>
    <x v="4"/>
    <s v="EZPB"/>
    <s v="LARGE"/>
    <s v="314"/>
    <s v="4.0 UN"/>
    <s v="STANDARD"/>
    <s v="N"/>
    <s v="Y"/>
    <s v="N"/>
    <s v="N"/>
    <s v="N"/>
    <s v="N"/>
    <s v="N"/>
    <s v="N"/>
    <s v="A039"/>
    <d v="2016-12-08T00:00:00"/>
    <s v="30"/>
    <s v="TAN"/>
    <s v="OR"/>
    <d v="2016-12-05T00:00:00"/>
    <s v="ID"/>
    <s v="US"/>
    <s v="ZR"/>
    <d v="2016-12-05T00:00:00"/>
  </r>
  <r>
    <x v="0"/>
    <x v="4"/>
    <x v="281"/>
    <x v="20"/>
    <s v="Standard order"/>
    <x v="267"/>
    <x v="267"/>
    <s v="A399"/>
    <s v="CRYSTAL A399NT"/>
    <s v="5002928"/>
    <s v="A399 ACH PB LRG"/>
    <n v="24"/>
    <n v="0"/>
    <n v="24"/>
    <x v="4"/>
    <s v="DP71"/>
    <s v="LARGE"/>
    <s v="314"/>
    <s v="4.0 UN"/>
    <s v="STANDARD"/>
    <s v="N"/>
    <s v="Y"/>
    <s v="N"/>
    <s v="N"/>
    <s v="N"/>
    <s v="N"/>
    <s v="N"/>
    <s v="N"/>
    <s v="A039"/>
    <d v="2016-12-08T00:00:00"/>
    <s v="40"/>
    <s v="TAN"/>
    <s v="OR"/>
    <d v="2016-12-05T00:00:00"/>
    <s v="ID"/>
    <s v="US"/>
    <s v="ZR"/>
    <d v="2016-12-05T00:00:00"/>
  </r>
  <r>
    <x v="0"/>
    <x v="4"/>
    <x v="281"/>
    <x v="20"/>
    <s v="Standard order"/>
    <x v="267"/>
    <x v="267"/>
    <s v="R933"/>
    <s v="CRYSTAL RR933"/>
    <s v="5003686"/>
    <s v="R933 ACH PB LRG"/>
    <n v="28"/>
    <n v="0"/>
    <n v="28"/>
    <x v="4"/>
    <s v="3571"/>
    <s v="LARGE"/>
    <s v="314"/>
    <s v="4.0 UN"/>
    <s v="STANDARD"/>
    <s v="N"/>
    <s v="Y"/>
    <s v="N"/>
    <s v="N"/>
    <s v="N"/>
    <s v="N"/>
    <s v="N"/>
    <s v="N"/>
    <s v="A039"/>
    <d v="2016-12-08T00:00:00"/>
    <s v="50"/>
    <s v="TAN"/>
    <s v="OR"/>
    <d v="2016-12-05T00:00:00"/>
    <s v="ID"/>
    <s v="US"/>
    <s v="ZR"/>
    <d v="2016-12-05T00:00:00"/>
  </r>
  <r>
    <x v="0"/>
    <x v="4"/>
    <x v="282"/>
    <x v="17"/>
    <s v="Standard order"/>
    <x v="268"/>
    <x v="268"/>
    <s v="A399"/>
    <s v="CRYSTAL A399NT"/>
    <s v="5002929"/>
    <s v="A399 ACH PB MED"/>
    <n v="16"/>
    <n v="0"/>
    <n v="16"/>
    <x v="4"/>
    <s v="DP71"/>
    <s v="MEDIUM"/>
    <s v="314"/>
    <s v="4.0 UN"/>
    <s v="STANDARD"/>
    <s v="N"/>
    <s v="Y"/>
    <s v="N"/>
    <s v="N"/>
    <s v="N"/>
    <s v="N"/>
    <s v="N"/>
    <s v="N"/>
    <s v="A040"/>
    <d v="2016-12-08T00:00:00"/>
    <s v="10"/>
    <s v="TAN"/>
    <s v="OR"/>
    <d v="2016-12-05T00:00:00"/>
    <s v="ID"/>
    <s v="US"/>
    <s v="ZR"/>
    <d v="2016-12-05T00:00:00"/>
  </r>
  <r>
    <x v="0"/>
    <x v="0"/>
    <x v="283"/>
    <x v="2"/>
    <s v="Standard order"/>
    <x v="269"/>
    <x v="269"/>
    <s v="R059"/>
    <s v="CRYSTAL RR059"/>
    <s v="5003748"/>
    <s v="R059 ACH T20 PB Kabina RP"/>
    <n v="16"/>
    <n v="0"/>
    <n v="16"/>
    <x v="0"/>
    <s v="AP73"/>
    <s v="RP"/>
    <s v="388"/>
    <s v="4.0 UN"/>
    <s v="STANDARD"/>
    <s v="N"/>
    <s v="Y"/>
    <s v="Y"/>
    <s v="T20"/>
    <s v="N"/>
    <s v="N"/>
    <s v="N"/>
    <s v="N"/>
    <s v="A034"/>
    <d v="2016-12-08T00:00:00"/>
    <s v="10"/>
    <s v="TAN"/>
    <s v="OR"/>
    <d v="2016-12-05T00:00:00"/>
    <s v="MI"/>
    <s v="US"/>
    <s v="ZR"/>
    <d v="2016-12-05T00:00:00"/>
  </r>
  <r>
    <x v="0"/>
    <x v="4"/>
    <x v="284"/>
    <x v="8"/>
    <s v="Standard order"/>
    <x v="270"/>
    <x v="270"/>
    <s v="A399"/>
    <s v="CRYSTAL A399NT"/>
    <s v="5002920"/>
    <s v="A399 ACH LRG"/>
    <n v="120"/>
    <n v="0"/>
    <n v="120"/>
    <x v="4"/>
    <s v="DP71"/>
    <s v="LARGE"/>
    <s v="316"/>
    <s v="4.0 UN"/>
    <s v="STANDARD"/>
    <s v="N"/>
    <s v="N"/>
    <s v="N"/>
    <s v="N"/>
    <s v="N"/>
    <s v="N"/>
    <s v="N"/>
    <s v="N"/>
    <s v="A044"/>
    <d v="2016-12-08T00:00:00"/>
    <s v="10"/>
    <s v="TAN"/>
    <s v="OR"/>
    <d v="2016-12-05T00:00:00"/>
    <s v="ID"/>
    <s v="US"/>
    <s v="ZR"/>
    <d v="2016-12-05T00:00:00"/>
  </r>
  <r>
    <x v="0"/>
    <x v="4"/>
    <x v="285"/>
    <x v="8"/>
    <s v="Standard order"/>
    <x v="271"/>
    <x v="271"/>
    <s v="A399"/>
    <s v="CRYSTAL A399NT"/>
    <s v="5002928"/>
    <s v="A399 ACH PB LRG"/>
    <n v="48"/>
    <n v="0"/>
    <n v="48"/>
    <x v="4"/>
    <s v="DP71"/>
    <s v="LARGE"/>
    <s v="314"/>
    <s v="4.0 UN"/>
    <s v="STANDARD"/>
    <s v="N"/>
    <s v="Y"/>
    <s v="N"/>
    <s v="N"/>
    <s v="N"/>
    <s v="N"/>
    <s v="N"/>
    <s v="N"/>
    <s v="A044"/>
    <d v="2016-12-08T00:00:00"/>
    <s v="10"/>
    <s v="TAN"/>
    <s v="OR"/>
    <d v="2016-12-05T00:00:00"/>
    <s v="ID"/>
    <s v="US"/>
    <s v="ZR"/>
    <d v="2016-12-05T00:00:00"/>
  </r>
  <r>
    <x v="0"/>
    <x v="4"/>
    <x v="285"/>
    <x v="8"/>
    <s v="Standard order"/>
    <x v="271"/>
    <x v="271"/>
    <s v="R240"/>
    <s v="CRYSTAL RR240NT"/>
    <s v="5003159"/>
    <s v="R240 ACH PB LRG"/>
    <n v="48"/>
    <n v="0"/>
    <n v="48"/>
    <x v="4"/>
    <s v="BHMP"/>
    <s v="LARGE"/>
    <s v="314"/>
    <s v="4.0 UN"/>
    <s v="STANDARD"/>
    <s v="N"/>
    <s v="Y"/>
    <s v="N"/>
    <s v="N"/>
    <s v="N"/>
    <s v="N"/>
    <s v="N"/>
    <s v="N"/>
    <s v="A044"/>
    <d v="2016-12-08T00:00:00"/>
    <s v="20"/>
    <s v="TAN"/>
    <s v="OR"/>
    <d v="2016-12-05T00:00:00"/>
    <s v="ID"/>
    <s v="US"/>
    <s v="ZR"/>
    <d v="2016-12-05T00:00:00"/>
  </r>
  <r>
    <x v="0"/>
    <x v="4"/>
    <x v="286"/>
    <x v="8"/>
    <s v="Standard order"/>
    <x v="272"/>
    <x v="272"/>
    <s v="A404"/>
    <s v="CRYSTAL A404NT"/>
    <s v="5002957"/>
    <s v="A404 ACH PB XL"/>
    <n v="28"/>
    <n v="0"/>
    <n v="28"/>
    <x v="4"/>
    <s v="DPNE"/>
    <s v="X-LARGE"/>
    <s v="314"/>
    <s v="4.0 UN"/>
    <s v="STANDARD"/>
    <s v="N"/>
    <s v="Y"/>
    <s v="N"/>
    <s v="N"/>
    <s v="N"/>
    <s v="N"/>
    <s v="N"/>
    <s v="N"/>
    <s v="A044"/>
    <d v="2016-12-08T00:00:00"/>
    <s v="10"/>
    <s v="TAN"/>
    <s v="OR"/>
    <d v="2016-12-05T00:00:00"/>
    <s v="ID"/>
    <s v="US"/>
    <s v="ZR"/>
    <d v="2016-12-05T00:00:00"/>
  </r>
  <r>
    <x v="0"/>
    <x v="0"/>
    <x v="287"/>
    <x v="2"/>
    <s v="Standard order"/>
    <x v="273"/>
    <x v="273"/>
    <s v="R059"/>
    <s v="CRYSTAL RR059"/>
    <s v="5003530"/>
    <s v="R059 ACH T20 Kabina RP"/>
    <n v="52"/>
    <n v="0"/>
    <n v="52"/>
    <x v="0"/>
    <s v="AP73"/>
    <s v="RP"/>
    <s v="387"/>
    <s v="4.0 UN"/>
    <s v="STANDARD"/>
    <s v="N"/>
    <s v="N"/>
    <s v="Y"/>
    <s v="T20"/>
    <s v="N"/>
    <s v="N"/>
    <s v="N"/>
    <s v="N"/>
    <s v="A034"/>
    <d v="2016-12-08T00:00:00"/>
    <s v="10"/>
    <s v="TAN"/>
    <s v="OR"/>
    <d v="2016-12-05T00:00:00"/>
    <s v="MI"/>
    <s v="US"/>
    <s v="ZR"/>
    <d v="2016-12-05T00:00:00"/>
  </r>
  <r>
    <x v="0"/>
    <x v="0"/>
    <x v="288"/>
    <x v="2"/>
    <s v="Standard order"/>
    <x v="274"/>
    <x v="274"/>
    <s v="G515"/>
    <s v="CRYSTAL G515"/>
    <s v="5003019"/>
    <s v="G515 ACH T20 Kabina RP"/>
    <n v="12"/>
    <n v="0"/>
    <n v="12"/>
    <x v="0"/>
    <s v="APND"/>
    <s v="RP"/>
    <s v="387"/>
    <s v="4.0 UN"/>
    <s v="STANDARD"/>
    <s v="N"/>
    <s v="N"/>
    <s v="Y"/>
    <s v="T20"/>
    <s v="N"/>
    <s v="N"/>
    <s v="N"/>
    <s v="N"/>
    <s v="A034"/>
    <d v="2016-12-08T00:00:00"/>
    <s v="10"/>
    <s v="TAN"/>
    <s v="OR"/>
    <d v="2016-12-05T00:00:00"/>
    <s v="MI"/>
    <s v="US"/>
    <s v="ZR"/>
    <d v="2016-12-05T00:00:00"/>
  </r>
  <r>
    <x v="0"/>
    <x v="0"/>
    <x v="288"/>
    <x v="2"/>
    <s v="Standard order"/>
    <x v="274"/>
    <x v="274"/>
    <s v="R059"/>
    <s v="CRYSTAL RR059"/>
    <s v="5003530"/>
    <s v="R059 ACH T20 Kabina RP"/>
    <n v="48"/>
    <n v="0"/>
    <n v="48"/>
    <x v="0"/>
    <s v="AP73"/>
    <s v="RP"/>
    <s v="387"/>
    <s v="4.0 UN"/>
    <s v="STANDARD"/>
    <s v="N"/>
    <s v="N"/>
    <s v="Y"/>
    <s v="T20"/>
    <s v="N"/>
    <s v="N"/>
    <s v="N"/>
    <s v="N"/>
    <s v="A034"/>
    <d v="2016-12-08T00:00:00"/>
    <s v="20"/>
    <s v="TAN"/>
    <s v="OR"/>
    <d v="2016-12-05T00:00:00"/>
    <s v="MI"/>
    <s v="US"/>
    <s v="ZR"/>
    <d v="2016-12-05T00:00:00"/>
  </r>
  <r>
    <x v="0"/>
    <x v="4"/>
    <x v="289"/>
    <x v="17"/>
    <s v="Standard order"/>
    <x v="275"/>
    <x v="275"/>
    <s v="A399"/>
    <s v="CRYSTAL A399NT"/>
    <s v="5002928"/>
    <s v="A399 ACH PB LRG"/>
    <n v="160"/>
    <n v="0"/>
    <n v="160"/>
    <x v="4"/>
    <s v="DP71"/>
    <s v="LARGE"/>
    <s v="314"/>
    <s v="4.0 UN"/>
    <s v="STANDARD"/>
    <s v="N"/>
    <s v="Y"/>
    <s v="N"/>
    <s v="N"/>
    <s v="N"/>
    <s v="N"/>
    <s v="N"/>
    <s v="N"/>
    <s v="A040"/>
    <d v="2016-12-08T00:00:00"/>
    <s v="10"/>
    <s v="TAN"/>
    <s v="OR"/>
    <d v="2016-12-05T00:00:00"/>
    <s v="ID"/>
    <s v="US"/>
    <s v="ZR"/>
    <d v="2016-12-05T00:00:00"/>
  </r>
  <r>
    <x v="0"/>
    <x v="4"/>
    <x v="290"/>
    <x v="15"/>
    <s v="Standard order"/>
    <x v="276"/>
    <x v="276"/>
    <s v="A399"/>
    <s v="CRYSTAL A399NT"/>
    <s v="5002929"/>
    <s v="A399 ACH PB MED"/>
    <n v="48"/>
    <n v="0"/>
    <n v="48"/>
    <x v="4"/>
    <s v="DP71"/>
    <s v="MEDIUM"/>
    <s v="314"/>
    <s v="4.0 UN"/>
    <s v="STANDARD"/>
    <s v="N"/>
    <s v="Y"/>
    <s v="N"/>
    <s v="N"/>
    <s v="N"/>
    <s v="N"/>
    <s v="N"/>
    <s v="N"/>
    <s v="A043"/>
    <d v="2016-12-09T00:00:00"/>
    <s v="10"/>
    <s v="TAN"/>
    <s v="OR"/>
    <d v="2016-12-06T00:00:00"/>
    <s v="ID"/>
    <s v="US"/>
    <s v="ZR"/>
    <d v="2016-12-06T00:00:00"/>
  </r>
  <r>
    <x v="0"/>
    <x v="0"/>
    <x v="291"/>
    <x v="4"/>
    <s v="Standard order"/>
    <x v="277"/>
    <x v="277"/>
    <s v="G333"/>
    <s v="CRYSTAL G333NT"/>
    <s v="5003382"/>
    <s v="G333 ACH T20 SYSTIVA ELS"/>
    <n v="12"/>
    <n v="0"/>
    <n v="12"/>
    <x v="0"/>
    <s v="EE73"/>
    <s v="ELS"/>
    <s v="328"/>
    <s v="4.0 UN"/>
    <s v="STANDARD"/>
    <s v="N"/>
    <s v="N"/>
    <s v="N"/>
    <s v="T20"/>
    <s v="Y"/>
    <s v="N"/>
    <s v="Y"/>
    <s v="N"/>
    <s v="A035"/>
    <d v="2016-12-09T00:00:00"/>
    <s v="20"/>
    <s v="TAN"/>
    <s v="OR"/>
    <d v="2016-12-06T00:00:00"/>
    <s v="MI"/>
    <s v="US"/>
    <s v="ZR"/>
    <d v="2016-12-06T00:00:00"/>
  </r>
  <r>
    <x v="0"/>
    <x v="2"/>
    <x v="292"/>
    <x v="6"/>
    <s v="Standard order"/>
    <x v="278"/>
    <x v="278"/>
    <s v="R014"/>
    <s v="CRYSTAL RR014"/>
    <s v="5003091"/>
    <s v="R014 ACH T20 PB SYSTIVA G100"/>
    <n v="72"/>
    <n v="0"/>
    <n v="72"/>
    <x v="2"/>
    <s v="AP82"/>
    <s v="GEM 100"/>
    <s v="324"/>
    <s v="4.0 UN"/>
    <s v="STANDARD"/>
    <s v="N"/>
    <s v="Y"/>
    <s v="N"/>
    <s v="T20"/>
    <s v="Y"/>
    <s v="N"/>
    <s v="Y"/>
    <s v="N"/>
    <s v="A025"/>
    <d v="2016-12-09T00:00:00"/>
    <s v="10"/>
    <s v="TAN"/>
    <s v="OR"/>
    <d v="2016-12-06T00:00:00"/>
    <s v="NE"/>
    <s v="US"/>
    <s v="ZR"/>
    <d v="2016-12-06T00:00:00"/>
  </r>
  <r>
    <x v="0"/>
    <x v="2"/>
    <x v="293"/>
    <x v="6"/>
    <s v="Standard order"/>
    <x v="279"/>
    <x v="279"/>
    <s v="R014"/>
    <s v="CRYSTAL RR014"/>
    <s v="5003090"/>
    <s v="R014 ACH T20 PB SYSTIVA ELS"/>
    <n v="64"/>
    <n v="0"/>
    <n v="64"/>
    <x v="2"/>
    <s v="AP82"/>
    <s v="ELS"/>
    <s v="324"/>
    <s v="4.0 UN"/>
    <s v="STANDARD"/>
    <s v="N"/>
    <s v="Y"/>
    <s v="N"/>
    <s v="T20"/>
    <s v="Y"/>
    <s v="N"/>
    <s v="Y"/>
    <s v="N"/>
    <s v="A025"/>
    <d v="2016-12-09T00:00:00"/>
    <s v="10"/>
    <s v="TAN"/>
    <s v="OR"/>
    <d v="2016-12-06T00:00:00"/>
    <s v="NE"/>
    <s v="US"/>
    <s v="ZR"/>
    <d v="2016-12-06T00:00:00"/>
  </r>
  <r>
    <x v="0"/>
    <x v="5"/>
    <x v="294"/>
    <x v="13"/>
    <s v="Standard order"/>
    <x v="280"/>
    <x v="280"/>
    <s v="Y400"/>
    <s v="CRYSTAL Y400NT"/>
    <s v="5003735"/>
    <s v="Y400 ACH T20 PB SYSTIVA RP"/>
    <n v="20"/>
    <n v="0"/>
    <n v="20"/>
    <x v="5"/>
    <s v="4TBP"/>
    <s v="RP"/>
    <s v="324"/>
    <s v="4.0 UN"/>
    <s v="STANDARD"/>
    <s v="N"/>
    <s v="Y"/>
    <s v="N"/>
    <s v="T20"/>
    <s v="Y"/>
    <s v="N"/>
    <s v="N"/>
    <s v="N"/>
    <s v="A015"/>
    <d v="2016-12-09T00:00:00"/>
    <s v="10"/>
    <s v="TAN"/>
    <s v="OR"/>
    <d v="2016-12-06T00:00:00"/>
    <s v="MT"/>
    <s v="US"/>
    <s v="ZR"/>
    <d v="2016-12-06T00:00:00"/>
  </r>
  <r>
    <x v="0"/>
    <x v="4"/>
    <x v="295"/>
    <x v="20"/>
    <s v="Standard order"/>
    <x v="281"/>
    <x v="281"/>
    <s v="A399"/>
    <s v="CRYSTAL A399NT"/>
    <s v="5002936"/>
    <s v="A399 ACH T20 PB Kabina MP"/>
    <n v="40"/>
    <n v="0"/>
    <n v="40"/>
    <x v="4"/>
    <s v="DP71"/>
    <s v="MP"/>
    <s v="388"/>
    <s v="4.0 UN"/>
    <s v="STANDARD"/>
    <s v="N"/>
    <s v="Y"/>
    <s v="Y"/>
    <s v="T20"/>
    <s v="N"/>
    <s v="N"/>
    <s v="N"/>
    <s v="N"/>
    <s v="A039"/>
    <d v="2016-12-09T00:00:00"/>
    <s v="10"/>
    <s v="TAN"/>
    <s v="OR"/>
    <d v="2016-12-06T00:00:00"/>
    <s v="ID"/>
    <s v="US"/>
    <s v="ZR"/>
    <d v="2016-12-06T00:00:00"/>
  </r>
  <r>
    <x v="0"/>
    <x v="4"/>
    <x v="295"/>
    <x v="20"/>
    <s v="Standard order"/>
    <x v="281"/>
    <x v="281"/>
    <s v="A488"/>
    <s v="CRYSTAL A488NT"/>
    <s v="5002988"/>
    <s v="A488 ACH T20 PB Kabina MP"/>
    <n v="88"/>
    <n v="0"/>
    <n v="88"/>
    <x v="4"/>
    <s v="EENE"/>
    <s v="MP"/>
    <s v="388"/>
    <s v="4.0 UN"/>
    <s v="STANDARD"/>
    <s v="N"/>
    <s v="Y"/>
    <s v="Y"/>
    <s v="T20"/>
    <s v="N"/>
    <s v="N"/>
    <s v="N"/>
    <s v="N"/>
    <s v="A039"/>
    <d v="2016-12-09T00:00:00"/>
    <s v="20"/>
    <s v="TAN"/>
    <s v="OR"/>
    <d v="2016-12-06T00:00:00"/>
    <s v="ID"/>
    <s v="US"/>
    <s v="ZR"/>
    <d v="2016-12-06T00:00:00"/>
  </r>
  <r>
    <x v="0"/>
    <x v="4"/>
    <x v="296"/>
    <x v="17"/>
    <s v="Standard order"/>
    <x v="282"/>
    <x v="282"/>
    <s v="A399"/>
    <s v="CRYSTAL A399NT"/>
    <s v="5002920"/>
    <s v="A399 ACH LRG"/>
    <n v="48"/>
    <n v="0"/>
    <n v="48"/>
    <x v="4"/>
    <s v="DP71"/>
    <s v="LARGE"/>
    <s v="316"/>
    <s v="4.0 UN"/>
    <s v="STANDARD"/>
    <s v="N"/>
    <s v="N"/>
    <s v="N"/>
    <s v="N"/>
    <s v="N"/>
    <s v="N"/>
    <s v="N"/>
    <s v="N"/>
    <s v="A040"/>
    <d v="2016-12-09T00:00:00"/>
    <s v="10"/>
    <s v="TAN"/>
    <s v="OR"/>
    <d v="2016-12-06T00:00:00"/>
    <s v="ID"/>
    <s v="US"/>
    <s v="ZR"/>
    <d v="2016-12-06T00:00:00"/>
  </r>
  <r>
    <x v="0"/>
    <x v="4"/>
    <x v="296"/>
    <x v="17"/>
    <s v="Standard order"/>
    <x v="282"/>
    <x v="282"/>
    <s v="R933"/>
    <s v="CRYSTAL RR933"/>
    <s v="5003678"/>
    <s v="R933 ACH LRG"/>
    <n v="44"/>
    <n v="0"/>
    <n v="44"/>
    <x v="4"/>
    <s v="3571"/>
    <s v="LARGE"/>
    <s v="316"/>
    <s v="4.0 UN"/>
    <s v="STANDARD"/>
    <s v="N"/>
    <s v="N"/>
    <s v="N"/>
    <s v="N"/>
    <s v="N"/>
    <s v="N"/>
    <s v="N"/>
    <s v="N"/>
    <s v="A040"/>
    <d v="2016-12-09T00:00:00"/>
    <s v="20"/>
    <s v="TAN"/>
    <s v="OR"/>
    <d v="2016-12-06T00:00:00"/>
    <s v="ID"/>
    <s v="US"/>
    <s v="ZR"/>
    <d v="2016-12-06T00:00:00"/>
  </r>
  <r>
    <x v="0"/>
    <x v="4"/>
    <x v="297"/>
    <x v="17"/>
    <s v="Standard order"/>
    <x v="283"/>
    <x v="283"/>
    <s v="A501"/>
    <s v="CRYSTAL A501"/>
    <s v="5003305"/>
    <s v="A501 ACH PB LRG"/>
    <n v="32"/>
    <n v="0"/>
    <n v="32"/>
    <x v="4"/>
    <s v="EZPB"/>
    <s v="LARGE"/>
    <s v="314"/>
    <s v="4.0 UN"/>
    <s v="STANDARD"/>
    <s v="N"/>
    <s v="Y"/>
    <s v="N"/>
    <s v="N"/>
    <s v="N"/>
    <s v="N"/>
    <s v="N"/>
    <s v="N"/>
    <s v="A040"/>
    <d v="2016-12-09T00:00:00"/>
    <s v="10"/>
    <s v="TAN"/>
    <s v="OR"/>
    <d v="2016-12-06T00:00:00"/>
    <s v="ID"/>
    <s v="US"/>
    <s v="ZR"/>
    <d v="2016-12-06T00:00:00"/>
  </r>
  <r>
    <x v="0"/>
    <x v="4"/>
    <x v="297"/>
    <x v="17"/>
    <s v="Standard order"/>
    <x v="283"/>
    <x v="283"/>
    <s v="R933"/>
    <s v="CRYSTAL RR933"/>
    <s v="5003678"/>
    <s v="R933 ACH LRG"/>
    <n v="44"/>
    <n v="0"/>
    <n v="44"/>
    <x v="4"/>
    <s v="3571"/>
    <s v="LARGE"/>
    <s v="316"/>
    <s v="4.0 UN"/>
    <s v="STANDARD"/>
    <s v="N"/>
    <s v="N"/>
    <s v="N"/>
    <s v="N"/>
    <s v="N"/>
    <s v="N"/>
    <s v="N"/>
    <s v="N"/>
    <s v="A040"/>
    <d v="2016-12-09T00:00:00"/>
    <s v="20"/>
    <s v="TAN"/>
    <s v="OR"/>
    <d v="2016-12-06T00:00:00"/>
    <s v="ID"/>
    <s v="US"/>
    <s v="ZR"/>
    <d v="2016-12-06T00:00:00"/>
  </r>
  <r>
    <x v="0"/>
    <x v="4"/>
    <x v="298"/>
    <x v="20"/>
    <s v="Standard order"/>
    <x v="284"/>
    <x v="284"/>
    <s v="A501"/>
    <s v="CRYSTAL A501"/>
    <s v="5003305"/>
    <s v="A501 ACH PB LRG"/>
    <n v="20"/>
    <n v="0"/>
    <n v="20"/>
    <x v="4"/>
    <s v="EZPB"/>
    <s v="LARGE"/>
    <s v="314"/>
    <s v="4.0 UN"/>
    <s v="STANDARD"/>
    <s v="N"/>
    <s v="Y"/>
    <s v="N"/>
    <s v="N"/>
    <s v="N"/>
    <s v="N"/>
    <s v="N"/>
    <s v="N"/>
    <s v="A039"/>
    <d v="2016-12-09T00:00:00"/>
    <s v="10"/>
    <s v="TAN"/>
    <s v="OR"/>
    <d v="2016-12-06T00:00:00"/>
    <s v="ID"/>
    <s v="US"/>
    <s v="ZR"/>
    <d v="2016-12-06T00:00:00"/>
  </r>
  <r>
    <x v="0"/>
    <x v="2"/>
    <x v="299"/>
    <x v="6"/>
    <s v="Standard order"/>
    <x v="285"/>
    <x v="285"/>
    <s v="R014"/>
    <s v="CRYSTAL RR014"/>
    <s v="5003091"/>
    <s v="R014 ACH T20 PB SYSTIVA G100"/>
    <n v="140"/>
    <n v="0"/>
    <n v="140"/>
    <x v="2"/>
    <s v="AP82"/>
    <s v="GEM 100"/>
    <s v="324"/>
    <s v="4.0 UN"/>
    <s v="STANDARD"/>
    <s v="N"/>
    <s v="Y"/>
    <s v="N"/>
    <s v="T20"/>
    <s v="Y"/>
    <s v="N"/>
    <s v="Y"/>
    <s v="N"/>
    <s v="A025"/>
    <d v="2016-12-09T00:00:00"/>
    <s v="10"/>
    <s v="TAN"/>
    <s v="OR"/>
    <d v="2016-12-06T00:00:00"/>
    <s v="NE"/>
    <s v="US"/>
    <s v="ZR"/>
    <d v="2016-12-06T00:00:00"/>
  </r>
  <r>
    <x v="0"/>
    <x v="2"/>
    <x v="299"/>
    <x v="6"/>
    <s v="Standard order"/>
    <x v="285"/>
    <x v="285"/>
    <s v="W322"/>
    <s v="CRYSTAL W322NT"/>
    <s v="5003488"/>
    <s v="W322 ACH T20 PB SYSTIVA G100"/>
    <n v="140"/>
    <n v="0"/>
    <n v="140"/>
    <x v="2"/>
    <s v="EE73"/>
    <s v="GEM 100"/>
    <s v="324"/>
    <s v="4.0 UN"/>
    <s v="STANDARD"/>
    <s v="N"/>
    <s v="Y"/>
    <s v="N"/>
    <s v="T20"/>
    <s v="Y"/>
    <s v="N"/>
    <s v="Y"/>
    <s v="N"/>
    <s v="A025"/>
    <d v="2016-12-09T00:00:00"/>
    <s v="20"/>
    <s v="TAN"/>
    <s v="OR"/>
    <d v="2016-12-06T00:00:00"/>
    <s v="NE"/>
    <s v="US"/>
    <s v="ZR"/>
    <d v="2016-12-06T00:00:00"/>
  </r>
  <r>
    <x v="0"/>
    <x v="5"/>
    <x v="300"/>
    <x v="13"/>
    <s v="Standard order"/>
    <x v="286"/>
    <x v="286"/>
    <s v="Y400"/>
    <s v="CRYSTAL Y400NT"/>
    <s v="5003735"/>
    <s v="Y400 ACH T20 PB SYSTIVA RP"/>
    <n v="32"/>
    <n v="0"/>
    <n v="32"/>
    <x v="5"/>
    <s v="4TBP"/>
    <s v="RP"/>
    <s v="324"/>
    <s v="4.0 UN"/>
    <s v="STANDARD"/>
    <s v="N"/>
    <s v="Y"/>
    <s v="N"/>
    <s v="T20"/>
    <s v="Y"/>
    <s v="N"/>
    <s v="N"/>
    <s v="N"/>
    <s v="A015"/>
    <d v="2016-12-09T00:00:00"/>
    <s v="10"/>
    <s v="TAN"/>
    <s v="OR"/>
    <d v="2016-12-06T00:00:00"/>
    <s v="MT"/>
    <s v="US"/>
    <s v="ZR"/>
    <d v="2016-12-06T00:00:00"/>
  </r>
  <r>
    <x v="0"/>
    <x v="4"/>
    <x v="301"/>
    <x v="8"/>
    <s v="Standard order"/>
    <x v="287"/>
    <x v="287"/>
    <s v="A399"/>
    <s v="CRYSTAL A399NT"/>
    <s v="5002931"/>
    <s v="A399 ACH PB XL"/>
    <n v="144"/>
    <n v="0"/>
    <n v="144"/>
    <x v="4"/>
    <s v="DP71"/>
    <s v="X-LARGE"/>
    <s v="314"/>
    <s v="4.0 UN"/>
    <s v="STANDARD"/>
    <s v="N"/>
    <s v="Y"/>
    <s v="N"/>
    <s v="N"/>
    <s v="N"/>
    <s v="N"/>
    <s v="N"/>
    <s v="N"/>
    <s v="A044"/>
    <d v="2016-12-09T00:00:00"/>
    <s v="10"/>
    <s v="TAN"/>
    <s v="OR"/>
    <d v="2016-12-05T00:00:00"/>
    <s v="ID"/>
    <s v="US"/>
    <s v="ZR"/>
    <d v="2016-12-06T00:00:00"/>
  </r>
  <r>
    <x v="0"/>
    <x v="4"/>
    <x v="301"/>
    <x v="8"/>
    <s v="Standard order"/>
    <x v="287"/>
    <x v="287"/>
    <s v="R933"/>
    <s v="CRYSTAL RR933"/>
    <s v="5003689"/>
    <s v="R933 ACH PB XL"/>
    <n v="60"/>
    <n v="0"/>
    <n v="60"/>
    <x v="4"/>
    <s v="3571"/>
    <s v="X-LARGE"/>
    <s v="314"/>
    <s v="4.0 UN"/>
    <s v="STANDARD"/>
    <s v="N"/>
    <s v="Y"/>
    <s v="N"/>
    <s v="N"/>
    <s v="N"/>
    <s v="N"/>
    <s v="N"/>
    <s v="N"/>
    <s v="A044"/>
    <d v="2016-12-09T00:00:00"/>
    <s v="20"/>
    <s v="TAN"/>
    <s v="OR"/>
    <d v="2016-12-05T00:00:00"/>
    <s v="ID"/>
    <s v="US"/>
    <s v="ZR"/>
    <d v="2016-12-06T00:00:00"/>
  </r>
  <r>
    <x v="0"/>
    <x v="0"/>
    <x v="302"/>
    <x v="4"/>
    <s v="Standard order"/>
    <x v="288"/>
    <x v="288"/>
    <s v="R059"/>
    <s v="CRYSTAL RR059"/>
    <s v="5003536"/>
    <s v="R059 ACH T20 SYSTIVA RP"/>
    <n v="60"/>
    <n v="0"/>
    <n v="60"/>
    <x v="0"/>
    <s v="AP73"/>
    <s v="RP"/>
    <s v="328"/>
    <s v="4.0 UN"/>
    <s v="STANDARD"/>
    <s v="N"/>
    <s v="N"/>
    <s v="N"/>
    <s v="T20"/>
    <s v="Y"/>
    <s v="N"/>
    <s v="Y"/>
    <s v="N"/>
    <s v="A035"/>
    <d v="2016-12-09T00:00:00"/>
    <s v="10"/>
    <s v="TAN"/>
    <s v="OR"/>
    <d v="2016-12-05T00:00:00"/>
    <s v="MI"/>
    <s v="US"/>
    <s v="ZR"/>
    <d v="2016-12-06T00:00:00"/>
  </r>
  <r>
    <x v="0"/>
    <x v="0"/>
    <x v="302"/>
    <x v="4"/>
    <s v="Standard order"/>
    <x v="288"/>
    <x v="288"/>
    <s v="R059"/>
    <s v="CRYSTAL RR059"/>
    <s v="5003530"/>
    <s v="R059 ACH T20 Kabina RP"/>
    <n v="60"/>
    <n v="0"/>
    <n v="60"/>
    <x v="0"/>
    <s v="AP73"/>
    <s v="RP"/>
    <s v="387"/>
    <s v="4.0 UN"/>
    <s v="STANDARD"/>
    <s v="N"/>
    <s v="N"/>
    <s v="Y"/>
    <s v="T20"/>
    <s v="N"/>
    <s v="N"/>
    <s v="N"/>
    <s v="N"/>
    <s v="A035"/>
    <d v="2016-12-09T00:00:00"/>
    <s v="20"/>
    <s v="TAN"/>
    <s v="OR"/>
    <d v="2016-12-05T00:00:00"/>
    <s v="MI"/>
    <s v="US"/>
    <s v="ZR"/>
    <d v="2016-12-06T00:00:00"/>
  </r>
  <r>
    <x v="0"/>
    <x v="0"/>
    <x v="302"/>
    <x v="4"/>
    <s v="Standard order"/>
    <x v="288"/>
    <x v="288"/>
    <s v="G515"/>
    <s v="CRYSTAL G515"/>
    <s v="5003019"/>
    <s v="G515 ACH T20 Kabina RP"/>
    <n v="12"/>
    <n v="0"/>
    <n v="12"/>
    <x v="0"/>
    <s v="APND"/>
    <s v="RP"/>
    <s v="387"/>
    <s v="4.0 UN"/>
    <s v="STANDARD"/>
    <s v="N"/>
    <s v="N"/>
    <s v="Y"/>
    <s v="T20"/>
    <s v="N"/>
    <s v="N"/>
    <s v="N"/>
    <s v="N"/>
    <s v="A035"/>
    <d v="2016-12-09T00:00:00"/>
    <s v="30"/>
    <s v="TAN"/>
    <s v="OR"/>
    <d v="2016-12-05T00:00:00"/>
    <s v="MI"/>
    <s v="US"/>
    <s v="ZR"/>
    <d v="2016-12-06T00:00:00"/>
  </r>
  <r>
    <x v="0"/>
    <x v="4"/>
    <x v="303"/>
    <x v="7"/>
    <s v="Standard order"/>
    <x v="289"/>
    <x v="289"/>
    <s v="R081"/>
    <s v="CRYSTAL RR081"/>
    <s v="5003570"/>
    <s v="R081 ACH T20 PB Kabina MP IDH"/>
    <n v="36"/>
    <n v="0"/>
    <n v="36"/>
    <x v="4"/>
    <s v="AQ82"/>
    <s v="MP"/>
    <s v="388"/>
    <s v="4.0 UN"/>
    <s v="STANDARD"/>
    <s v="N"/>
    <s v="Y"/>
    <s v="Y"/>
    <s v="T20"/>
    <s v="N"/>
    <s v="N"/>
    <s v="N"/>
    <s v="N"/>
    <s v="A045"/>
    <d v="2016-12-09T00:00:00"/>
    <s v="10"/>
    <s v="TAN"/>
    <s v="OR"/>
    <d v="2016-12-06T00:00:00"/>
    <s v="WA"/>
    <s v="US"/>
    <s v="ZR"/>
    <d v="2016-12-06T00:00:00"/>
  </r>
  <r>
    <x v="0"/>
    <x v="4"/>
    <x v="303"/>
    <x v="7"/>
    <s v="Standard order"/>
    <x v="289"/>
    <x v="289"/>
    <s v="A501"/>
    <s v="CRYSTAL A501"/>
    <s v="5003313"/>
    <s v="A501 ACH T20 PB Kabina MP"/>
    <n v="36"/>
    <n v="0"/>
    <n v="36"/>
    <x v="4"/>
    <s v="EZPB"/>
    <s v="MP"/>
    <s v="388"/>
    <s v="4.0 UN"/>
    <s v="STANDARD"/>
    <s v="N"/>
    <s v="Y"/>
    <s v="Y"/>
    <s v="T20"/>
    <s v="N"/>
    <s v="N"/>
    <s v="N"/>
    <s v="N"/>
    <s v="A045"/>
    <d v="2016-12-09T00:00:00"/>
    <s v="20"/>
    <s v="TAN"/>
    <s v="OR"/>
    <d v="2016-12-06T00:00:00"/>
    <s v="WA"/>
    <s v="US"/>
    <s v="ZR"/>
    <d v="2016-12-06T00:00:00"/>
  </r>
  <r>
    <x v="0"/>
    <x v="2"/>
    <x v="304"/>
    <x v="6"/>
    <s v="Standard order"/>
    <x v="290"/>
    <x v="290"/>
    <s v="W322"/>
    <s v="CRYSTAL W322NT"/>
    <s v="5003489"/>
    <s v="W322 ACH T20 PB SYSTIVA G50"/>
    <n v="20"/>
    <n v="0"/>
    <n v="20"/>
    <x v="2"/>
    <s v="EE73"/>
    <s v="GEM 50"/>
    <s v="324"/>
    <s v="4.0 UN"/>
    <s v="STANDARD"/>
    <s v="N"/>
    <s v="Y"/>
    <s v="N"/>
    <s v="T20"/>
    <s v="Y"/>
    <s v="N"/>
    <s v="Y"/>
    <s v="N"/>
    <s v="A025"/>
    <d v="2016-12-09T00:00:00"/>
    <s v="10"/>
    <s v="TAN"/>
    <s v="OR"/>
    <d v="2016-12-06T00:00:00"/>
    <s v="NE"/>
    <s v="US"/>
    <s v="ZR"/>
    <d v="2016-12-06T00:00:00"/>
  </r>
  <r>
    <x v="0"/>
    <x v="0"/>
    <x v="305"/>
    <x v="4"/>
    <s v="Standard order"/>
    <x v="7"/>
    <x v="7"/>
    <s v="G333"/>
    <s v="CRYSTAL G333NT"/>
    <s v="5003378"/>
    <s v="G333 ACH T20 Kabina RP"/>
    <n v="172"/>
    <n v="0"/>
    <n v="172"/>
    <x v="0"/>
    <s v="EE73"/>
    <s v="RP"/>
    <s v="387"/>
    <s v="4.0 UN"/>
    <s v="STANDARD"/>
    <s v="N"/>
    <s v="N"/>
    <s v="Y"/>
    <s v="T20"/>
    <s v="N"/>
    <s v="N"/>
    <s v="N"/>
    <s v="N"/>
    <s v="A035"/>
    <d v="2016-12-09T00:00:00"/>
    <s v="10"/>
    <s v="TAN"/>
    <s v="OR"/>
    <d v="2016-12-06T00:00:00"/>
    <s v="MI"/>
    <s v="US"/>
    <s v="ZR"/>
    <d v="2016-12-06T00:00:00"/>
  </r>
  <r>
    <x v="0"/>
    <x v="0"/>
    <x v="305"/>
    <x v="4"/>
    <s v="Standard order"/>
    <x v="7"/>
    <x v="7"/>
    <s v="R059"/>
    <s v="CRYSTAL RR059"/>
    <s v="5003530"/>
    <s v="R059 ACH T20 Kabina RP"/>
    <n v="84"/>
    <n v="0"/>
    <n v="84"/>
    <x v="0"/>
    <s v="AP73"/>
    <s v="RP"/>
    <s v="387"/>
    <s v="4.0 UN"/>
    <s v="STANDARD"/>
    <s v="N"/>
    <s v="N"/>
    <s v="Y"/>
    <s v="T20"/>
    <s v="N"/>
    <s v="N"/>
    <s v="N"/>
    <s v="N"/>
    <s v="A035"/>
    <d v="2016-12-09T00:00:00"/>
    <s v="20"/>
    <s v="TAN"/>
    <s v="OR"/>
    <d v="2016-12-06T00:00:00"/>
    <s v="MI"/>
    <s v="US"/>
    <s v="ZR"/>
    <d v="2016-12-06T00:00:00"/>
  </r>
  <r>
    <x v="0"/>
    <x v="0"/>
    <x v="305"/>
    <x v="4"/>
    <s v="Standard order"/>
    <x v="7"/>
    <x v="7"/>
    <s v="G515"/>
    <s v="CRYSTAL G515"/>
    <s v="5003019"/>
    <s v="G515 ACH T20 Kabina RP"/>
    <n v="84"/>
    <n v="0"/>
    <n v="84"/>
    <x v="0"/>
    <s v="APND"/>
    <s v="RP"/>
    <s v="387"/>
    <s v="4.0 UN"/>
    <s v="STANDARD"/>
    <s v="N"/>
    <s v="N"/>
    <s v="Y"/>
    <s v="T20"/>
    <s v="N"/>
    <s v="N"/>
    <s v="N"/>
    <s v="N"/>
    <s v="A035"/>
    <d v="2016-12-09T00:00:00"/>
    <s v="30"/>
    <s v="TAN"/>
    <s v="OR"/>
    <d v="2016-12-06T00:00:00"/>
    <s v="MI"/>
    <s v="US"/>
    <s v="ZR"/>
    <d v="2016-12-06T00:00:00"/>
  </r>
  <r>
    <x v="0"/>
    <x v="5"/>
    <x v="306"/>
    <x v="14"/>
    <s v="Standard order"/>
    <x v="291"/>
    <x v="291"/>
    <s v="Y400"/>
    <s v="CRYSTAL Y400NT"/>
    <s v="5003735"/>
    <s v="Y400 ACH T20 PB SYSTIVA RP"/>
    <n v="24"/>
    <n v="0"/>
    <n v="24"/>
    <x v="5"/>
    <s v="4TBP"/>
    <s v="RP"/>
    <s v="324"/>
    <s v="4.0 UN"/>
    <s v="STANDARD"/>
    <s v="N"/>
    <s v="Y"/>
    <s v="N"/>
    <s v="T20"/>
    <s v="Y"/>
    <s v="N"/>
    <s v="N"/>
    <s v="N"/>
    <s v="A017"/>
    <d v="2016-12-09T00:00:00"/>
    <s v="10"/>
    <s v="TAN"/>
    <s v="OR"/>
    <d v="2016-12-06T00:00:00"/>
    <s v="WY"/>
    <s v="US"/>
    <s v="ZR"/>
    <d v="2016-12-06T00:00:00"/>
  </r>
  <r>
    <x v="0"/>
    <x v="5"/>
    <x v="306"/>
    <x v="14"/>
    <s v="Standard order"/>
    <x v="291"/>
    <x v="291"/>
    <s v="Y313"/>
    <s v="CRYSTAL Y313NT"/>
    <s v="5003711"/>
    <s v="Y313 ACH T20 PB SYSTIVA RP"/>
    <n v="20"/>
    <n v="0"/>
    <n v="20"/>
    <x v="5"/>
    <s v="DLNC"/>
    <s v="RP"/>
    <s v="324"/>
    <s v="4.0 UN"/>
    <s v="STANDARD"/>
    <s v="N"/>
    <s v="Y"/>
    <s v="N"/>
    <s v="T20"/>
    <s v="Y"/>
    <s v="N"/>
    <s v="N"/>
    <s v="N"/>
    <s v="A017"/>
    <d v="2016-12-09T00:00:00"/>
    <s v="20"/>
    <s v="TAN"/>
    <s v="OR"/>
    <d v="2016-12-06T00:00:00"/>
    <s v="WY"/>
    <s v="US"/>
    <s v="ZR"/>
    <d v="2016-12-06T00:00:00"/>
  </r>
  <r>
    <x v="0"/>
    <x v="4"/>
    <x v="307"/>
    <x v="17"/>
    <s v="Standard order"/>
    <x v="292"/>
    <x v="292"/>
    <s v="A488"/>
    <s v="CRYSTAL A488NT"/>
    <s v="5002983"/>
    <s v="A488 ACH PB XL"/>
    <n v="88"/>
    <n v="0"/>
    <n v="88"/>
    <x v="4"/>
    <s v="EENE"/>
    <s v="X-LARGE"/>
    <s v="314"/>
    <s v="4.0 UN"/>
    <s v="STANDARD"/>
    <s v="N"/>
    <s v="Y"/>
    <s v="N"/>
    <s v="N"/>
    <s v="N"/>
    <s v="N"/>
    <s v="N"/>
    <s v="N"/>
    <s v="A040"/>
    <d v="2016-12-09T00:00:00"/>
    <s v="10"/>
    <s v="TAN"/>
    <s v="OR"/>
    <d v="2016-12-06T00:00:00"/>
    <s v="ID"/>
    <s v="US"/>
    <s v="ZR"/>
    <d v="2016-12-06T00:00:00"/>
  </r>
  <r>
    <x v="0"/>
    <x v="4"/>
    <x v="307"/>
    <x v="17"/>
    <s v="Standard order"/>
    <x v="292"/>
    <x v="292"/>
    <s v="A404"/>
    <s v="CRYSTAL A404NT"/>
    <s v="5002957"/>
    <s v="A404 ACH PB XL"/>
    <n v="64"/>
    <n v="0"/>
    <n v="64"/>
    <x v="4"/>
    <s v="DPNE"/>
    <s v="X-LARGE"/>
    <s v="314"/>
    <s v="4.0 UN"/>
    <s v="STANDARD"/>
    <s v="N"/>
    <s v="Y"/>
    <s v="N"/>
    <s v="N"/>
    <s v="N"/>
    <s v="N"/>
    <s v="N"/>
    <s v="N"/>
    <s v="A040"/>
    <d v="2016-12-09T00:00:00"/>
    <s v="20"/>
    <s v="TAN"/>
    <s v="OR"/>
    <d v="2016-12-06T00:00:00"/>
    <s v="ID"/>
    <s v="US"/>
    <s v="ZR"/>
    <d v="2016-12-06T00:00:00"/>
  </r>
  <r>
    <x v="0"/>
    <x v="4"/>
    <x v="308"/>
    <x v="8"/>
    <s v="Standard order"/>
    <x v="293"/>
    <x v="293"/>
    <s v="A399"/>
    <s v="CRYSTAL A399NT"/>
    <s v="5002928"/>
    <s v="A399 ACH PB LRG"/>
    <n v="48"/>
    <n v="0"/>
    <n v="48"/>
    <x v="4"/>
    <s v="DP71"/>
    <s v="LARGE"/>
    <s v="314"/>
    <s v="4.0 UN"/>
    <s v="STANDARD"/>
    <s v="N"/>
    <s v="Y"/>
    <s v="N"/>
    <s v="N"/>
    <s v="N"/>
    <s v="N"/>
    <s v="N"/>
    <s v="N"/>
    <s v="A044"/>
    <d v="2016-12-09T00:00:00"/>
    <s v="10"/>
    <s v="TAN"/>
    <s v="OR"/>
    <d v="2016-12-06T00:00:00"/>
    <s v="ID"/>
    <s v="US"/>
    <s v="ZR"/>
    <d v="2016-12-06T00:00:00"/>
  </r>
  <r>
    <x v="0"/>
    <x v="4"/>
    <x v="309"/>
    <x v="8"/>
    <s v="Standard order"/>
    <x v="294"/>
    <x v="294"/>
    <s v="A399"/>
    <s v="CRYSTAL A399NT"/>
    <s v="5002931"/>
    <s v="A399 ACH PB XL"/>
    <n v="48"/>
    <n v="0"/>
    <n v="48"/>
    <x v="4"/>
    <s v="DP71"/>
    <s v="X-LARGE"/>
    <s v="314"/>
    <s v="4.0 UN"/>
    <s v="STANDARD"/>
    <s v="N"/>
    <s v="Y"/>
    <s v="N"/>
    <s v="N"/>
    <s v="N"/>
    <s v="N"/>
    <s v="N"/>
    <s v="N"/>
    <s v="A044"/>
    <d v="2016-12-09T00:00:00"/>
    <s v="10"/>
    <s v="TAN"/>
    <s v="OR"/>
    <d v="2016-12-06T00:00:00"/>
    <s v="ID"/>
    <s v="US"/>
    <s v="ZR"/>
    <d v="2016-12-06T00:00:00"/>
  </r>
  <r>
    <x v="0"/>
    <x v="4"/>
    <x v="309"/>
    <x v="8"/>
    <s v="Standard order"/>
    <x v="294"/>
    <x v="294"/>
    <s v="A404"/>
    <s v="CRYSTAL A404NT"/>
    <s v="5002957"/>
    <s v="A404 ACH PB XL"/>
    <n v="48"/>
    <n v="0"/>
    <n v="48"/>
    <x v="4"/>
    <s v="DPNE"/>
    <s v="X-LARGE"/>
    <s v="314"/>
    <s v="4.0 UN"/>
    <s v="STANDARD"/>
    <s v="N"/>
    <s v="Y"/>
    <s v="N"/>
    <s v="N"/>
    <s v="N"/>
    <s v="N"/>
    <s v="N"/>
    <s v="N"/>
    <s v="A044"/>
    <d v="2016-12-09T00:00:00"/>
    <s v="20"/>
    <s v="TAN"/>
    <s v="OR"/>
    <d v="2016-12-06T00:00:00"/>
    <s v="ID"/>
    <s v="US"/>
    <s v="ZR"/>
    <d v="2016-12-06T00:00:00"/>
  </r>
  <r>
    <x v="0"/>
    <x v="4"/>
    <x v="310"/>
    <x v="8"/>
    <s v="Standard order"/>
    <x v="295"/>
    <x v="295"/>
    <s v="A399"/>
    <s v="CRYSTAL A399NT"/>
    <s v="5002931"/>
    <s v="A399 ACH PB XL"/>
    <n v="160"/>
    <n v="0"/>
    <n v="160"/>
    <x v="4"/>
    <s v="DP71"/>
    <s v="X-LARGE"/>
    <s v="314"/>
    <s v="4.0 UN"/>
    <s v="STANDARD"/>
    <s v="N"/>
    <s v="Y"/>
    <s v="N"/>
    <s v="N"/>
    <s v="N"/>
    <s v="N"/>
    <s v="N"/>
    <s v="N"/>
    <s v="A044"/>
    <d v="2016-12-09T00:00:00"/>
    <s v="10"/>
    <s v="TAN"/>
    <s v="OR"/>
    <d v="2016-12-06T00:00:00"/>
    <s v="ID"/>
    <s v="US"/>
    <s v="ZR"/>
    <d v="2016-12-06T00:00:00"/>
  </r>
  <r>
    <x v="0"/>
    <x v="4"/>
    <x v="311"/>
    <x v="8"/>
    <s v="Standard order"/>
    <x v="296"/>
    <x v="296"/>
    <s v="A399"/>
    <s v="CRYSTAL A399NT"/>
    <s v="5002931"/>
    <s v="A399 ACH PB XL"/>
    <n v="172"/>
    <n v="0"/>
    <n v="172"/>
    <x v="4"/>
    <s v="DP71"/>
    <s v="X-LARGE"/>
    <s v="314"/>
    <s v="4.0 UN"/>
    <s v="STANDARD"/>
    <s v="N"/>
    <s v="Y"/>
    <s v="N"/>
    <s v="N"/>
    <s v="N"/>
    <s v="N"/>
    <s v="N"/>
    <s v="N"/>
    <s v="A044"/>
    <d v="2016-12-09T00:00:00"/>
    <s v="10"/>
    <s v="TAN"/>
    <s v="OR"/>
    <d v="2016-12-06T00:00:00"/>
    <s v="ID"/>
    <s v="US"/>
    <s v="ZR"/>
    <d v="2016-12-06T00:00:00"/>
  </r>
  <r>
    <x v="0"/>
    <x v="0"/>
    <x v="312"/>
    <x v="4"/>
    <s v="Standard order"/>
    <x v="297"/>
    <x v="297"/>
    <s v="R059"/>
    <s v="CRYSTAL RR059"/>
    <s v="5003528"/>
    <s v="R059 ACH T20 Kabina ELS"/>
    <n v="8"/>
    <n v="0"/>
    <n v="8"/>
    <x v="0"/>
    <s v="AP73"/>
    <s v="ELS"/>
    <s v="387"/>
    <s v="4.0 UN"/>
    <s v="STANDARD"/>
    <s v="N"/>
    <s v="N"/>
    <s v="Y"/>
    <s v="T20"/>
    <s v="N"/>
    <s v="N"/>
    <s v="N"/>
    <s v="N"/>
    <s v="A035"/>
    <d v="2016-12-09T00:00:00"/>
    <s v="20"/>
    <s v="TAN"/>
    <s v="OR"/>
    <d v="2016-12-06T00:00:00"/>
    <s v="MI"/>
    <s v="US"/>
    <s v="ZR"/>
    <d v="2016-12-06T00:00:00"/>
  </r>
  <r>
    <x v="0"/>
    <x v="0"/>
    <x v="312"/>
    <x v="4"/>
    <s v="Standard order"/>
    <x v="297"/>
    <x v="297"/>
    <s v="G333"/>
    <s v="CRYSTAL G333NT"/>
    <s v="5003376"/>
    <s v="G333 ACH T20 Kabina ELS"/>
    <n v="44"/>
    <n v="0"/>
    <n v="44"/>
    <x v="0"/>
    <s v="EE73"/>
    <s v="ELS"/>
    <s v="387"/>
    <s v="4.0 UN"/>
    <s v="STANDARD"/>
    <s v="N"/>
    <s v="N"/>
    <s v="Y"/>
    <s v="T20"/>
    <s v="N"/>
    <s v="N"/>
    <s v="N"/>
    <s v="N"/>
    <s v="A035"/>
    <d v="2016-12-09T00:00:00"/>
    <s v="30"/>
    <s v="TAN"/>
    <s v="OR"/>
    <d v="2016-12-06T00:00:00"/>
    <s v="MI"/>
    <s v="US"/>
    <s v="ZR"/>
    <d v="2016-12-06T00:00:00"/>
  </r>
  <r>
    <x v="0"/>
    <x v="4"/>
    <x v="313"/>
    <x v="20"/>
    <s v="Standard order"/>
    <x v="298"/>
    <x v="298"/>
    <s v="A399"/>
    <s v="CRYSTAL A399NT"/>
    <s v="5002936"/>
    <s v="A399 ACH T20 PB Kabina MP"/>
    <n v="40"/>
    <n v="0"/>
    <n v="40"/>
    <x v="4"/>
    <s v="DP71"/>
    <s v="MP"/>
    <s v="388"/>
    <s v="4.0 UN"/>
    <s v="STANDARD"/>
    <s v="N"/>
    <s v="Y"/>
    <s v="Y"/>
    <s v="T20"/>
    <s v="N"/>
    <s v="N"/>
    <s v="N"/>
    <s v="N"/>
    <s v="A039"/>
    <d v="2016-12-09T00:00:00"/>
    <s v="30"/>
    <s v="TAN"/>
    <s v="OR"/>
    <d v="2016-12-06T00:00:00"/>
    <s v="ID"/>
    <s v="US"/>
    <s v="ZR"/>
    <d v="2016-12-06T00:00:00"/>
  </r>
  <r>
    <x v="0"/>
    <x v="4"/>
    <x v="313"/>
    <x v="20"/>
    <s v="Standard order"/>
    <x v="298"/>
    <x v="298"/>
    <s v="A404"/>
    <s v="CRYSTAL A404NT"/>
    <s v="5002954"/>
    <s v="A404 ACH PB LRG"/>
    <n v="32"/>
    <n v="0"/>
    <n v="32"/>
    <x v="4"/>
    <s v="DPNE"/>
    <s v="LARGE"/>
    <s v="314"/>
    <s v="4.0 UN"/>
    <s v="STANDARD"/>
    <s v="N"/>
    <s v="Y"/>
    <s v="N"/>
    <s v="N"/>
    <s v="N"/>
    <s v="N"/>
    <s v="N"/>
    <s v="N"/>
    <s v="A039"/>
    <d v="2016-12-09T00:00:00"/>
    <s v="40"/>
    <s v="TAN"/>
    <s v="OR"/>
    <d v="2016-12-06T00:00:00"/>
    <s v="ID"/>
    <s v="US"/>
    <s v="ZR"/>
    <d v="2016-12-06T00:00:00"/>
  </r>
  <r>
    <x v="0"/>
    <x v="4"/>
    <x v="313"/>
    <x v="20"/>
    <s v="Standard order"/>
    <x v="298"/>
    <x v="298"/>
    <s v="A501"/>
    <s v="CRYSTAL A501"/>
    <s v="5003305"/>
    <s v="A501 ACH PB LRG"/>
    <n v="4"/>
    <n v="0"/>
    <n v="4"/>
    <x v="4"/>
    <s v="EZPB"/>
    <s v="LARGE"/>
    <s v="314"/>
    <s v="4.0 UN"/>
    <s v="STANDARD"/>
    <s v="N"/>
    <s v="Y"/>
    <s v="N"/>
    <s v="N"/>
    <s v="N"/>
    <s v="N"/>
    <s v="N"/>
    <s v="N"/>
    <s v="A039"/>
    <d v="2016-12-09T00:00:00"/>
    <s v="10"/>
    <s v="TAN"/>
    <s v="OR"/>
    <d v="2016-12-06T00:00:00"/>
    <s v="ID"/>
    <s v="US"/>
    <s v="ZR"/>
    <d v="2016-12-06T00:00:00"/>
  </r>
  <r>
    <x v="0"/>
    <x v="4"/>
    <x v="313"/>
    <x v="20"/>
    <s v="Standard order"/>
    <x v="298"/>
    <x v="298"/>
    <s v="A399"/>
    <s v="CRYSTAL A399NT"/>
    <s v="5002928"/>
    <s v="A399 ACH PB LRG"/>
    <n v="100"/>
    <n v="0"/>
    <n v="100"/>
    <x v="4"/>
    <s v="DP71"/>
    <s v="LARGE"/>
    <s v="314"/>
    <s v="4.0 UN"/>
    <s v="STANDARD"/>
    <s v="N"/>
    <s v="Y"/>
    <s v="N"/>
    <s v="N"/>
    <s v="N"/>
    <s v="N"/>
    <s v="N"/>
    <s v="N"/>
    <s v="A039"/>
    <d v="2016-12-09T00:00:00"/>
    <s v="20"/>
    <s v="TAN"/>
    <s v="OR"/>
    <d v="2016-12-06T00:00:00"/>
    <s v="ID"/>
    <s v="US"/>
    <s v="ZR"/>
    <d v="2016-12-06T00:00:00"/>
  </r>
  <r>
    <x v="0"/>
    <x v="6"/>
    <x v="314"/>
    <x v="11"/>
    <s v="Standard order"/>
    <x v="299"/>
    <x v="299"/>
    <s v="S360"/>
    <s v="CRYSTAL S360NT"/>
    <s v="5003413"/>
    <s v="S360 ACH T20 PB SYSTIVA G100"/>
    <n v="192"/>
    <n v="0"/>
    <n v="192"/>
    <x v="6"/>
    <s v="DVNB"/>
    <s v="GEM 100"/>
    <s v="324"/>
    <s v="4.0 UN"/>
    <s v="STANDARD"/>
    <s v="N"/>
    <s v="Y"/>
    <s v="N"/>
    <s v="T20"/>
    <s v="Y"/>
    <s v="N"/>
    <s v="Y"/>
    <s v="N"/>
    <s v="A038"/>
    <d v="2016-12-09T00:00:00"/>
    <s v="40"/>
    <s v="TAN"/>
    <s v="OR"/>
    <d v="2016-12-05T00:00:00"/>
    <s v="MT"/>
    <s v="US"/>
    <s v="ZR"/>
    <d v="2016-12-06T00:00:00"/>
  </r>
  <r>
    <x v="0"/>
    <x v="6"/>
    <x v="314"/>
    <x v="11"/>
    <s v="Standard order"/>
    <x v="299"/>
    <x v="299"/>
    <s v="S517"/>
    <s v="CRYSTAL S517"/>
    <s v="5003467"/>
    <s v="S517 ACH T20 PB SYSTIVA G100"/>
    <n v="48"/>
    <n v="0"/>
    <n v="48"/>
    <x v="6"/>
    <s v="DVNV"/>
    <s v="GEM 100"/>
    <s v="324"/>
    <s v="4.0 UN"/>
    <s v="STANDARD"/>
    <s v="N"/>
    <s v="Y"/>
    <s v="N"/>
    <s v="T20"/>
    <s v="Y"/>
    <s v="N"/>
    <s v="Y"/>
    <s v="N"/>
    <s v="A038"/>
    <d v="2016-12-09T00:00:00"/>
    <s v="10"/>
    <s v="TAN"/>
    <s v="OR"/>
    <d v="2016-12-05T00:00:00"/>
    <s v="MT"/>
    <s v="US"/>
    <s v="ZR"/>
    <d v="2016-12-06T00:00:00"/>
  </r>
  <r>
    <x v="0"/>
    <x v="6"/>
    <x v="314"/>
    <x v="11"/>
    <s v="Standard order"/>
    <x v="299"/>
    <x v="299"/>
    <s v="S498"/>
    <s v="CRYSTAL S498"/>
    <s v="5003431"/>
    <s v="S498 ACH T20 PB SYSTIVA G100"/>
    <n v="124"/>
    <n v="0"/>
    <n v="124"/>
    <x v="6"/>
    <s v="FE73"/>
    <s v="GEM 100"/>
    <s v="324"/>
    <s v="4.0 UN"/>
    <s v="STANDARD"/>
    <s v="N"/>
    <s v="Y"/>
    <s v="N"/>
    <s v="T20"/>
    <s v="Y"/>
    <s v="N"/>
    <s v="Y"/>
    <s v="N"/>
    <s v="A038"/>
    <d v="2016-12-09T00:00:00"/>
    <s v="20"/>
    <s v="TAN"/>
    <s v="OR"/>
    <d v="2016-12-05T00:00:00"/>
    <s v="MT"/>
    <s v="US"/>
    <s v="ZR"/>
    <d v="2016-12-06T00:00:00"/>
  </r>
  <r>
    <x v="0"/>
    <x v="6"/>
    <x v="314"/>
    <x v="11"/>
    <s v="Standard order"/>
    <x v="299"/>
    <x v="299"/>
    <s v="S498"/>
    <s v="CRYSTAL S498"/>
    <s v="5003419"/>
    <s v="S498 ACH T20 PB CL SYSTIVA G100"/>
    <n v="72"/>
    <n v="0"/>
    <n v="72"/>
    <x v="6"/>
    <s v="FE73"/>
    <s v="GEM 100"/>
    <s v="321"/>
    <s v="4.0 UN"/>
    <s v="STANDARD"/>
    <s v="N"/>
    <s v="N"/>
    <s v="N"/>
    <s v="T20"/>
    <s v="Y"/>
    <s v="N"/>
    <s v="Y"/>
    <s v="N"/>
    <s v="A038"/>
    <d v="2016-12-09T00:00:00"/>
    <s v="30"/>
    <s v="TAN"/>
    <s v="OR"/>
    <d v="2016-12-05T00:00:00"/>
    <s v="MT"/>
    <s v="US"/>
    <s v="ZR"/>
    <d v="2016-12-06T00:00:00"/>
  </r>
  <r>
    <x v="0"/>
    <x v="6"/>
    <x v="315"/>
    <x v="11"/>
    <s v="Standard order"/>
    <x v="300"/>
    <x v="300"/>
    <s v="S517"/>
    <s v="CRYSTAL S517"/>
    <s v="5003467"/>
    <s v="S517 ACH T20 PB SYSTIVA G100"/>
    <n v="8"/>
    <n v="0"/>
    <n v="8"/>
    <x v="6"/>
    <s v="DVNV"/>
    <s v="GEM 100"/>
    <s v="324"/>
    <s v="4.0 UN"/>
    <s v="STANDARD"/>
    <s v="N"/>
    <s v="Y"/>
    <s v="N"/>
    <s v="T20"/>
    <s v="Y"/>
    <s v="N"/>
    <s v="Y"/>
    <s v="N"/>
    <s v="A038"/>
    <d v="2016-12-09T00:00:00"/>
    <s v="10"/>
    <s v="TAN"/>
    <s v="OR"/>
    <d v="2016-12-05T00:00:00"/>
    <s v="MT"/>
    <s v="US"/>
    <s v="ZR"/>
    <d v="2016-12-06T00:00:00"/>
  </r>
  <r>
    <x v="0"/>
    <x v="6"/>
    <x v="315"/>
    <x v="11"/>
    <s v="Standard order"/>
    <x v="300"/>
    <x v="300"/>
    <s v="S360"/>
    <s v="CRYSTAL S360NT"/>
    <s v="5003413"/>
    <s v="S360 ACH T20 PB SYSTIVA G100"/>
    <n v="28"/>
    <n v="0"/>
    <n v="28"/>
    <x v="6"/>
    <s v="DVNB"/>
    <s v="GEM 100"/>
    <s v="324"/>
    <s v="4.0 UN"/>
    <s v="STANDARD"/>
    <s v="N"/>
    <s v="Y"/>
    <s v="N"/>
    <s v="T20"/>
    <s v="Y"/>
    <s v="N"/>
    <s v="Y"/>
    <s v="N"/>
    <s v="A038"/>
    <d v="2016-12-09T00:00:00"/>
    <s v="20"/>
    <s v="TAN"/>
    <s v="OR"/>
    <d v="2016-12-05T00:00:00"/>
    <s v="MT"/>
    <s v="US"/>
    <s v="ZR"/>
    <d v="2016-12-06T00:00:00"/>
  </r>
  <r>
    <x v="0"/>
    <x v="6"/>
    <x v="315"/>
    <x v="11"/>
    <s v="Standard order"/>
    <x v="300"/>
    <x v="300"/>
    <s v="S498"/>
    <s v="CRYSTAL S498"/>
    <s v="5003431"/>
    <s v="S498 ACH T20 PB SYSTIVA G100"/>
    <n v="12"/>
    <n v="0"/>
    <n v="12"/>
    <x v="6"/>
    <s v="FE73"/>
    <s v="GEM 100"/>
    <s v="324"/>
    <s v="4.0 UN"/>
    <s v="STANDARD"/>
    <s v="N"/>
    <s v="Y"/>
    <s v="N"/>
    <s v="T20"/>
    <s v="Y"/>
    <s v="N"/>
    <s v="Y"/>
    <s v="N"/>
    <s v="A038"/>
    <d v="2016-12-09T00:00:00"/>
    <s v="30"/>
    <s v="TAN"/>
    <s v="OR"/>
    <d v="2016-12-05T00:00:00"/>
    <s v="MT"/>
    <s v="US"/>
    <s v="ZR"/>
    <d v="2016-12-06T00:00:00"/>
  </r>
  <r>
    <x v="0"/>
    <x v="6"/>
    <x v="316"/>
    <x v="11"/>
    <s v="Standard order"/>
    <x v="301"/>
    <x v="301"/>
    <s v="S517"/>
    <s v="CRYSTAL S517"/>
    <s v="5003467"/>
    <s v="S517 ACH T20 PB SYSTIVA G100"/>
    <n v="24"/>
    <n v="0"/>
    <n v="24"/>
    <x v="6"/>
    <s v="DVNV"/>
    <s v="GEM 100"/>
    <s v="324"/>
    <s v="4.0 UN"/>
    <s v="STANDARD"/>
    <s v="N"/>
    <s v="Y"/>
    <s v="N"/>
    <s v="T20"/>
    <s v="Y"/>
    <s v="N"/>
    <s v="Y"/>
    <s v="N"/>
    <s v="A038"/>
    <d v="2016-12-09T00:00:00"/>
    <s v="10"/>
    <s v="TAN"/>
    <s v="OR"/>
    <d v="2016-12-05T00:00:00"/>
    <s v="MT"/>
    <s v="US"/>
    <s v="ZR"/>
    <d v="2016-12-06T00:00:00"/>
  </r>
  <r>
    <x v="0"/>
    <x v="6"/>
    <x v="316"/>
    <x v="11"/>
    <s v="Standard order"/>
    <x v="301"/>
    <x v="301"/>
    <s v="S360"/>
    <s v="CRYSTAL S360NT"/>
    <s v="5003413"/>
    <s v="S360 ACH T20 PB SYSTIVA G100"/>
    <n v="44"/>
    <n v="0"/>
    <n v="44"/>
    <x v="6"/>
    <s v="DVNB"/>
    <s v="GEM 100"/>
    <s v="324"/>
    <s v="4.0 UN"/>
    <s v="STANDARD"/>
    <s v="N"/>
    <s v="Y"/>
    <s v="N"/>
    <s v="T20"/>
    <s v="Y"/>
    <s v="N"/>
    <s v="Y"/>
    <s v="N"/>
    <s v="A038"/>
    <d v="2016-12-09T00:00:00"/>
    <s v="20"/>
    <s v="TAN"/>
    <s v="OR"/>
    <d v="2016-12-05T00:00:00"/>
    <s v="MT"/>
    <s v="US"/>
    <s v="ZR"/>
    <d v="2016-12-06T00:00:00"/>
  </r>
  <r>
    <x v="0"/>
    <x v="6"/>
    <x v="317"/>
    <x v="11"/>
    <s v="Standard order"/>
    <x v="302"/>
    <x v="302"/>
    <s v="S517"/>
    <s v="CRYSTAL S517"/>
    <s v="5003467"/>
    <s v="S517 ACH T20 PB SYSTIVA G100"/>
    <n v="48"/>
    <n v="0"/>
    <n v="48"/>
    <x v="6"/>
    <s v="DVNV"/>
    <s v="GEM 100"/>
    <s v="324"/>
    <s v="4.0 UN"/>
    <s v="STANDARD"/>
    <s v="N"/>
    <s v="Y"/>
    <s v="N"/>
    <s v="T20"/>
    <s v="Y"/>
    <s v="N"/>
    <s v="Y"/>
    <s v="N"/>
    <s v="A038"/>
    <d v="2016-12-09T00:00:00"/>
    <s v="10"/>
    <s v="TAN"/>
    <s v="OR"/>
    <d v="2016-12-05T00:00:00"/>
    <s v="ND"/>
    <s v="US"/>
    <s v="ZR"/>
    <d v="2016-12-06T00:00:00"/>
  </r>
  <r>
    <x v="0"/>
    <x v="6"/>
    <x v="317"/>
    <x v="11"/>
    <s v="Standard order"/>
    <x v="302"/>
    <x v="302"/>
    <s v="R052"/>
    <s v="CRYSTAL RR052"/>
    <s v="5003513"/>
    <s v="R052 ACH T20 PB SYSTIVA G100"/>
    <n v="44"/>
    <n v="0"/>
    <n v="44"/>
    <x v="6"/>
    <s v="AP82"/>
    <s v="GEM 100"/>
    <s v="324"/>
    <s v="4.0 UN"/>
    <s v="STANDARD"/>
    <s v="N"/>
    <s v="Y"/>
    <s v="N"/>
    <s v="T20"/>
    <s v="Y"/>
    <s v="N"/>
    <s v="Y"/>
    <s v="N"/>
    <s v="A038"/>
    <d v="2016-12-09T00:00:00"/>
    <s v="20"/>
    <s v="TAN"/>
    <s v="OR"/>
    <d v="2016-12-05T00:00:00"/>
    <s v="ND"/>
    <s v="US"/>
    <s v="ZR"/>
    <d v="2016-12-06T00:00:00"/>
  </r>
  <r>
    <x v="0"/>
    <x v="6"/>
    <x v="317"/>
    <x v="11"/>
    <s v="Standard order"/>
    <x v="302"/>
    <x v="302"/>
    <s v="S360"/>
    <s v="CRYSTAL S360NT"/>
    <s v="5003413"/>
    <s v="S360 ACH T20 PB SYSTIVA G100"/>
    <n v="56"/>
    <n v="0"/>
    <n v="56"/>
    <x v="6"/>
    <s v="DVNB"/>
    <s v="GEM 100"/>
    <s v="324"/>
    <s v="4.0 UN"/>
    <s v="STANDARD"/>
    <s v="N"/>
    <s v="Y"/>
    <s v="N"/>
    <s v="T20"/>
    <s v="Y"/>
    <s v="N"/>
    <s v="Y"/>
    <s v="N"/>
    <s v="A038"/>
    <d v="2016-12-09T00:00:00"/>
    <s v="30"/>
    <s v="TAN"/>
    <s v="OR"/>
    <d v="2016-12-05T00:00:00"/>
    <s v="ND"/>
    <s v="US"/>
    <s v="ZR"/>
    <d v="2016-12-06T00:00:00"/>
  </r>
  <r>
    <x v="0"/>
    <x v="6"/>
    <x v="318"/>
    <x v="11"/>
    <s v="Standard order"/>
    <x v="303"/>
    <x v="303"/>
    <s v="R052"/>
    <s v="CRYSTAL RR052"/>
    <s v="5003513"/>
    <s v="R052 ACH T20 PB SYSTIVA G100"/>
    <n v="32"/>
    <n v="0"/>
    <n v="32"/>
    <x v="6"/>
    <s v="AP82"/>
    <s v="GEM 100"/>
    <s v="324"/>
    <s v="4.0 UN"/>
    <s v="STANDARD"/>
    <s v="N"/>
    <s v="Y"/>
    <s v="N"/>
    <s v="T20"/>
    <s v="Y"/>
    <s v="N"/>
    <s v="Y"/>
    <s v="N"/>
    <s v="A038"/>
    <d v="2016-12-09T00:00:00"/>
    <s v="10"/>
    <s v="TAN"/>
    <s v="OR"/>
    <d v="2016-12-05T00:00:00"/>
    <s v="ND"/>
    <s v="US"/>
    <s v="ZR"/>
    <d v="2016-12-06T00:00:00"/>
  </r>
  <r>
    <x v="0"/>
    <x v="0"/>
    <x v="319"/>
    <x v="4"/>
    <s v="Standard order"/>
    <x v="304"/>
    <x v="304"/>
    <s v="G351"/>
    <s v="CRYSTAL G351NT"/>
    <s v="5003398"/>
    <s v="G351 ACH T20 Kabina RP"/>
    <n v="12"/>
    <n v="0"/>
    <n v="12"/>
    <x v="0"/>
    <s v="DA73"/>
    <s v="RP"/>
    <s v="387"/>
    <s v="4.0 UN"/>
    <s v="STANDARD"/>
    <s v="N"/>
    <s v="N"/>
    <s v="Y"/>
    <s v="T20"/>
    <s v="N"/>
    <s v="N"/>
    <s v="N"/>
    <s v="N"/>
    <s v="A035"/>
    <d v="2016-12-09T00:00:00"/>
    <s v="10"/>
    <s v="TAN"/>
    <s v="OR"/>
    <d v="2016-12-06T00:00:00"/>
    <s v="MI"/>
    <s v="US"/>
    <s v="ZR"/>
    <d v="2016-12-06T00:00:00"/>
  </r>
  <r>
    <x v="0"/>
    <x v="0"/>
    <x v="319"/>
    <x v="4"/>
    <s v="Standard order"/>
    <x v="304"/>
    <x v="304"/>
    <s v="G333"/>
    <s v="CRYSTAL G333NT"/>
    <s v="5003378"/>
    <s v="G333 ACH T20 Kabina RP"/>
    <n v="12"/>
    <n v="0"/>
    <n v="12"/>
    <x v="0"/>
    <s v="EE73"/>
    <s v="RP"/>
    <s v="387"/>
    <s v="4.0 UN"/>
    <s v="STANDARD"/>
    <s v="N"/>
    <s v="N"/>
    <s v="Y"/>
    <s v="T20"/>
    <s v="N"/>
    <s v="N"/>
    <s v="N"/>
    <s v="N"/>
    <s v="A035"/>
    <d v="2016-12-09T00:00:00"/>
    <s v="20"/>
    <s v="TAN"/>
    <s v="OR"/>
    <d v="2016-12-06T00:00:00"/>
    <s v="MI"/>
    <s v="US"/>
    <s v="ZR"/>
    <d v="2016-12-06T00:00:00"/>
  </r>
  <r>
    <x v="0"/>
    <x v="4"/>
    <x v="320"/>
    <x v="17"/>
    <s v="Standard order"/>
    <x v="305"/>
    <x v="305"/>
    <s v="A501"/>
    <s v="CRYSTAL A501"/>
    <s v="5003305"/>
    <s v="A501 ACH PB LRG"/>
    <n v="32"/>
    <n v="0"/>
    <n v="32"/>
    <x v="4"/>
    <s v="EZPB"/>
    <s v="LARGE"/>
    <s v="314"/>
    <s v="4.0 UN"/>
    <s v="STANDARD"/>
    <s v="N"/>
    <s v="Y"/>
    <s v="N"/>
    <s v="N"/>
    <s v="N"/>
    <s v="N"/>
    <s v="N"/>
    <s v="N"/>
    <s v="A040"/>
    <d v="2016-12-09T00:00:00"/>
    <s v="10"/>
    <s v="TAN"/>
    <s v="OR"/>
    <d v="2016-12-06T00:00:00"/>
    <s v="ID"/>
    <s v="US"/>
    <s v="ZR"/>
    <d v="2016-12-06T00:00:00"/>
  </r>
  <r>
    <x v="0"/>
    <x v="4"/>
    <x v="320"/>
    <x v="17"/>
    <s v="Standard order"/>
    <x v="305"/>
    <x v="305"/>
    <s v="R933"/>
    <s v="CRYSTAL RR933"/>
    <s v="5003678"/>
    <s v="R933 ACH LRG"/>
    <n v="160"/>
    <n v="0"/>
    <n v="160"/>
    <x v="4"/>
    <s v="3571"/>
    <s v="LARGE"/>
    <s v="316"/>
    <s v="4.0 UN"/>
    <s v="STANDARD"/>
    <s v="N"/>
    <s v="N"/>
    <s v="N"/>
    <s v="N"/>
    <s v="N"/>
    <s v="N"/>
    <s v="N"/>
    <s v="N"/>
    <s v="A040"/>
    <d v="2016-12-09T00:00:00"/>
    <s v="20"/>
    <s v="TAN"/>
    <s v="OR"/>
    <d v="2016-12-06T00:00:00"/>
    <s v="ID"/>
    <s v="US"/>
    <s v="ZR"/>
    <d v="2016-12-06T00:00:00"/>
  </r>
  <r>
    <x v="0"/>
    <x v="0"/>
    <x v="321"/>
    <x v="10"/>
    <s v="Standard order"/>
    <x v="306"/>
    <x v="306"/>
    <s v="R059"/>
    <s v="CRYSTAL RR059"/>
    <s v="5003528"/>
    <s v="R059 ACH T20 Kabina ELS"/>
    <n v="128"/>
    <n v="0"/>
    <n v="128"/>
    <x v="0"/>
    <s v="AP73"/>
    <s v="ELS"/>
    <s v="387"/>
    <s v="4.0 UN"/>
    <s v="STANDARD"/>
    <s v="N"/>
    <s v="N"/>
    <s v="Y"/>
    <s v="T20"/>
    <s v="N"/>
    <s v="N"/>
    <s v="N"/>
    <s v="N"/>
    <s v="A036"/>
    <d v="2016-12-09T00:00:00"/>
    <s v="10"/>
    <s v="TAN"/>
    <s v="OR"/>
    <d v="2016-12-06T00:00:00"/>
    <s v="MI"/>
    <s v="US"/>
    <s v="ZR"/>
    <d v="2016-12-06T00:00:00"/>
  </r>
  <r>
    <x v="0"/>
    <x v="0"/>
    <x v="321"/>
    <x v="10"/>
    <s v="Standard order"/>
    <x v="306"/>
    <x v="306"/>
    <s v="G515"/>
    <s v="CRYSTAL G515"/>
    <s v="5003017"/>
    <s v="G515 ACH T20 Kabina ELS"/>
    <n v="40"/>
    <n v="0"/>
    <n v="40"/>
    <x v="0"/>
    <s v="APND"/>
    <s v="ELS"/>
    <s v="387"/>
    <s v="4.0 UN"/>
    <s v="STANDARD"/>
    <s v="N"/>
    <s v="N"/>
    <s v="Y"/>
    <s v="T20"/>
    <s v="N"/>
    <s v="N"/>
    <s v="N"/>
    <s v="N"/>
    <s v="A036"/>
    <d v="2016-12-09T00:00:00"/>
    <s v="20"/>
    <s v="TAN"/>
    <s v="OR"/>
    <d v="2016-12-06T00:00:00"/>
    <s v="MI"/>
    <s v="US"/>
    <s v="ZR"/>
    <d v="2016-12-06T00:00:00"/>
  </r>
  <r>
    <x v="0"/>
    <x v="0"/>
    <x v="322"/>
    <x v="10"/>
    <s v="Standard order"/>
    <x v="307"/>
    <x v="307"/>
    <s v="R059"/>
    <s v="CRYSTAL RR059"/>
    <s v="5003528"/>
    <s v="R059 ACH T20 Kabina ELS"/>
    <n v="92"/>
    <n v="0"/>
    <n v="92"/>
    <x v="0"/>
    <s v="AP73"/>
    <s v="ELS"/>
    <s v="387"/>
    <s v="4.0 UN"/>
    <s v="STANDARD"/>
    <s v="N"/>
    <s v="N"/>
    <s v="Y"/>
    <s v="T20"/>
    <s v="N"/>
    <s v="N"/>
    <s v="N"/>
    <s v="N"/>
    <s v="A036"/>
    <d v="2016-12-09T00:00:00"/>
    <s v="10"/>
    <s v="TAN"/>
    <s v="OR"/>
    <d v="2016-12-06T00:00:00"/>
    <s v="MI"/>
    <s v="US"/>
    <s v="ZR"/>
    <d v="2016-12-06T00:00:00"/>
  </r>
  <r>
    <x v="0"/>
    <x v="4"/>
    <x v="323"/>
    <x v="15"/>
    <s v="Standard order"/>
    <x v="308"/>
    <x v="308"/>
    <s v="A399"/>
    <s v="CRYSTAL A399NT"/>
    <s v="5002935"/>
    <s v="A399 ACH T20 PB Kabina CL MP"/>
    <n v="28"/>
    <n v="0"/>
    <n v="28"/>
    <x v="4"/>
    <s v="DP71"/>
    <s v="MP"/>
    <s v="323"/>
    <s v="4.0 UN"/>
    <s v="STANDARD"/>
    <s v="N"/>
    <s v="Y"/>
    <s v="Y"/>
    <s v="T20"/>
    <s v="N"/>
    <s v="N"/>
    <s v="N"/>
    <s v="N"/>
    <s v="A043"/>
    <d v="2016-12-09T00:00:00"/>
    <s v="10"/>
    <s v="TAN"/>
    <s v="OR"/>
    <d v="2016-12-06T00:00:00"/>
    <s v="ID"/>
    <s v="US"/>
    <s v="ZR"/>
    <d v="2016-12-06T00:00:00"/>
  </r>
  <r>
    <x v="0"/>
    <x v="4"/>
    <x v="323"/>
    <x v="15"/>
    <s v="Standard order"/>
    <x v="308"/>
    <x v="308"/>
    <s v="A404"/>
    <s v="CRYSTAL A404NT"/>
    <s v="5002961"/>
    <s v="A404 ACH T20 PB Kabina CL MP"/>
    <n v="28"/>
    <n v="0"/>
    <n v="28"/>
    <x v="4"/>
    <s v="DPNE"/>
    <s v="MP"/>
    <s v="323"/>
    <s v="4.0 UN"/>
    <s v="STANDARD"/>
    <s v="N"/>
    <s v="Y"/>
    <s v="Y"/>
    <s v="T20"/>
    <s v="N"/>
    <s v="N"/>
    <s v="N"/>
    <s v="N"/>
    <s v="A043"/>
    <d v="2016-12-09T00:00:00"/>
    <s v="20"/>
    <s v="TAN"/>
    <s v="OR"/>
    <d v="2016-12-06T00:00:00"/>
    <s v="ID"/>
    <s v="US"/>
    <s v="ZR"/>
    <d v="2016-12-06T00:00:00"/>
  </r>
  <r>
    <x v="0"/>
    <x v="4"/>
    <x v="323"/>
    <x v="15"/>
    <s v="Standard order"/>
    <x v="308"/>
    <x v="308"/>
    <s v="A501"/>
    <s v="CRYSTAL A501"/>
    <s v="5003313"/>
    <s v="A501 ACH T20 PB Kabina MP"/>
    <n v="32"/>
    <n v="0"/>
    <n v="32"/>
    <x v="4"/>
    <s v="EZPB"/>
    <s v="MP"/>
    <s v="388"/>
    <s v="4.0 UN"/>
    <s v="STANDARD"/>
    <s v="N"/>
    <s v="Y"/>
    <s v="Y"/>
    <s v="T20"/>
    <s v="N"/>
    <s v="N"/>
    <s v="N"/>
    <s v="N"/>
    <s v="A043"/>
    <d v="2016-12-09T00:00:00"/>
    <s v="30"/>
    <s v="TAN"/>
    <s v="OR"/>
    <d v="2016-12-06T00:00:00"/>
    <s v="ID"/>
    <s v="US"/>
    <s v="ZR"/>
    <d v="2016-12-06T00:00:00"/>
  </r>
  <r>
    <x v="0"/>
    <x v="0"/>
    <x v="324"/>
    <x v="2"/>
    <s v="Standard order"/>
    <x v="309"/>
    <x v="309"/>
    <s v="G333"/>
    <s v="CRYSTAL G333NT"/>
    <s v="5003378"/>
    <s v="G333 ACH T20 Kabina RP"/>
    <n v="108"/>
    <n v="0"/>
    <n v="108"/>
    <x v="0"/>
    <s v="EE73"/>
    <s v="RP"/>
    <s v="387"/>
    <s v="4.0 UN"/>
    <s v="STANDARD"/>
    <s v="N"/>
    <s v="N"/>
    <s v="Y"/>
    <s v="T20"/>
    <s v="N"/>
    <s v="N"/>
    <s v="N"/>
    <s v="N"/>
    <s v="A034"/>
    <d v="2016-12-09T00:00:00"/>
    <s v="10"/>
    <s v="TAN"/>
    <s v="OR"/>
    <d v="2016-12-06T00:00:00"/>
    <s v="MI"/>
    <s v="US"/>
    <s v="ZR"/>
    <d v="2016-12-06T00:00:00"/>
  </r>
  <r>
    <x v="0"/>
    <x v="0"/>
    <x v="324"/>
    <x v="2"/>
    <s v="Standard order"/>
    <x v="309"/>
    <x v="309"/>
    <s v="R059"/>
    <s v="CRYSTAL RR059"/>
    <s v="5003530"/>
    <s v="R059 ACH T20 Kabina RP"/>
    <n v="72"/>
    <n v="0"/>
    <n v="72"/>
    <x v="0"/>
    <s v="AP73"/>
    <s v="RP"/>
    <s v="387"/>
    <s v="4.0 UN"/>
    <s v="STANDARD"/>
    <s v="N"/>
    <s v="N"/>
    <s v="Y"/>
    <s v="T20"/>
    <s v="N"/>
    <s v="N"/>
    <s v="N"/>
    <s v="N"/>
    <s v="A034"/>
    <d v="2016-12-09T00:00:00"/>
    <s v="20"/>
    <s v="TAN"/>
    <s v="OR"/>
    <d v="2016-12-06T00:00:00"/>
    <s v="MI"/>
    <s v="US"/>
    <s v="ZR"/>
    <d v="2016-12-06T00:00:00"/>
  </r>
  <r>
    <x v="0"/>
    <x v="0"/>
    <x v="324"/>
    <x v="2"/>
    <s v="Standard order"/>
    <x v="309"/>
    <x v="309"/>
    <s v="G351"/>
    <s v="CRYSTAL G351NT"/>
    <s v="5003398"/>
    <s v="G351 ACH T20 Kabina RP"/>
    <n v="24"/>
    <n v="0"/>
    <n v="24"/>
    <x v="0"/>
    <s v="DA73"/>
    <s v="RP"/>
    <s v="387"/>
    <s v="4.0 UN"/>
    <s v="STANDARD"/>
    <s v="N"/>
    <s v="N"/>
    <s v="Y"/>
    <s v="T20"/>
    <s v="N"/>
    <s v="N"/>
    <s v="N"/>
    <s v="N"/>
    <s v="A034"/>
    <d v="2016-12-09T00:00:00"/>
    <s v="30"/>
    <s v="TAN"/>
    <s v="OR"/>
    <d v="2016-12-06T00:00:00"/>
    <s v="MI"/>
    <s v="US"/>
    <s v="ZR"/>
    <d v="2016-12-06T00:00:00"/>
  </r>
  <r>
    <x v="0"/>
    <x v="0"/>
    <x v="324"/>
    <x v="2"/>
    <s v="Standard order"/>
    <x v="309"/>
    <x v="309"/>
    <s v="R202"/>
    <s v="CRYSTAL RR202"/>
    <s v="5003119"/>
    <s v="R202 ACH T20 Kabina RP"/>
    <n v="8"/>
    <n v="0"/>
    <n v="8"/>
    <x v="0"/>
    <s v="4ULM"/>
    <s v="RP"/>
    <s v="387"/>
    <s v="4.0 UN"/>
    <s v="STANDARD"/>
    <s v="N"/>
    <s v="N"/>
    <s v="Y"/>
    <s v="T20"/>
    <s v="N"/>
    <s v="N"/>
    <s v="N"/>
    <s v="N"/>
    <s v="A034"/>
    <d v="2016-12-09T00:00:00"/>
    <s v="40"/>
    <s v="TAN"/>
    <s v="OR"/>
    <d v="2016-12-06T00:00:00"/>
    <s v="MI"/>
    <s v="US"/>
    <s v="ZR"/>
    <d v="2016-12-06T00:00:00"/>
  </r>
  <r>
    <x v="0"/>
    <x v="6"/>
    <x v="325"/>
    <x v="11"/>
    <s v="Standard order"/>
    <x v="310"/>
    <x v="310"/>
    <s v="R052"/>
    <s v="CRYSTAL RR052"/>
    <s v="5003513"/>
    <s v="R052 ACH T20 PB SYSTIVA G100"/>
    <n v="56"/>
    <n v="0"/>
    <n v="56"/>
    <x v="6"/>
    <s v="AP82"/>
    <s v="GEM 100"/>
    <s v="324"/>
    <s v="4.0 UN"/>
    <s v="STANDARD"/>
    <s v="N"/>
    <s v="Y"/>
    <s v="N"/>
    <s v="T20"/>
    <s v="Y"/>
    <s v="N"/>
    <s v="Y"/>
    <s v="N"/>
    <s v="A038"/>
    <d v="2016-12-09T00:00:00"/>
    <s v="10"/>
    <s v="TAN"/>
    <s v="OR"/>
    <d v="2016-12-05T00:00:00"/>
    <s v="MT"/>
    <s v="US"/>
    <s v="ZR"/>
    <d v="2016-12-06T00:00:00"/>
  </r>
  <r>
    <x v="0"/>
    <x v="4"/>
    <x v="326"/>
    <x v="20"/>
    <s v="Standard order"/>
    <x v="311"/>
    <x v="311"/>
    <s v="A399"/>
    <s v="CRYSTAL A399NT"/>
    <s v="5002920"/>
    <s v="A399 ACH LRG"/>
    <n v="12"/>
    <n v="0"/>
    <n v="12"/>
    <x v="4"/>
    <s v="DP71"/>
    <s v="LARGE"/>
    <s v="316"/>
    <s v="4.0 UN"/>
    <s v="STANDARD"/>
    <s v="N"/>
    <s v="N"/>
    <s v="N"/>
    <s v="N"/>
    <s v="N"/>
    <s v="N"/>
    <s v="N"/>
    <s v="N"/>
    <s v="A039"/>
    <d v="2016-12-09T00:00:00"/>
    <s v="10"/>
    <s v="TAN"/>
    <s v="OR"/>
    <d v="2016-12-05T00:00:00"/>
    <s v="ID"/>
    <s v="US"/>
    <s v="ZR"/>
    <d v="2016-12-06T00:00:00"/>
  </r>
  <r>
    <x v="0"/>
    <x v="4"/>
    <x v="326"/>
    <x v="20"/>
    <s v="Standard order"/>
    <x v="311"/>
    <x v="311"/>
    <s v="A488"/>
    <s v="CRYSTAL A488NT"/>
    <s v="5002980"/>
    <s v="A488 ACH PB LRG"/>
    <n v="32"/>
    <n v="0"/>
    <n v="32"/>
    <x v="4"/>
    <s v="EENE"/>
    <s v="LARGE"/>
    <s v="314"/>
    <s v="4.0 UN"/>
    <s v="STANDARD"/>
    <s v="N"/>
    <s v="Y"/>
    <s v="N"/>
    <s v="N"/>
    <s v="N"/>
    <s v="N"/>
    <s v="N"/>
    <s v="N"/>
    <s v="A039"/>
    <d v="2016-12-09T00:00:00"/>
    <s v="20"/>
    <s v="TAN"/>
    <s v="OR"/>
    <d v="2016-12-05T00:00:00"/>
    <s v="ID"/>
    <s v="US"/>
    <s v="ZR"/>
    <d v="2016-12-06T00:00:00"/>
  </r>
  <r>
    <x v="0"/>
    <x v="0"/>
    <x v="327"/>
    <x v="4"/>
    <s v="Standard order"/>
    <x v="312"/>
    <x v="312"/>
    <s v="R059"/>
    <s v="CRYSTAL RR059"/>
    <s v="5003536"/>
    <s v="R059 ACH T20 SYSTIVA RP"/>
    <n v="152"/>
    <n v="0"/>
    <n v="152"/>
    <x v="0"/>
    <s v="AP73"/>
    <s v="RP"/>
    <s v="328"/>
    <s v="4.0 UN"/>
    <s v="STANDARD"/>
    <s v="N"/>
    <s v="N"/>
    <s v="N"/>
    <s v="T20"/>
    <s v="Y"/>
    <s v="N"/>
    <s v="Y"/>
    <s v="N"/>
    <s v="A035"/>
    <d v="2016-12-09T00:00:00"/>
    <s v="10"/>
    <s v="TAN"/>
    <s v="OR"/>
    <d v="2016-12-05T00:00:00"/>
    <s v="MI"/>
    <s v="US"/>
    <s v="ZR"/>
    <d v="2016-12-06T00:00:00"/>
  </r>
  <r>
    <x v="0"/>
    <x v="0"/>
    <x v="327"/>
    <x v="4"/>
    <s v="Standard order"/>
    <x v="312"/>
    <x v="312"/>
    <s v="R059"/>
    <s v="CRYSTAL RR059"/>
    <s v="5003530"/>
    <s v="R059 ACH T20 Kabina RP"/>
    <n v="152"/>
    <n v="0"/>
    <n v="152"/>
    <x v="0"/>
    <s v="AP73"/>
    <s v="RP"/>
    <s v="387"/>
    <s v="4.0 UN"/>
    <s v="STANDARD"/>
    <s v="N"/>
    <s v="N"/>
    <s v="Y"/>
    <s v="T20"/>
    <s v="N"/>
    <s v="N"/>
    <s v="N"/>
    <s v="N"/>
    <s v="A035"/>
    <d v="2016-12-09T00:00:00"/>
    <s v="20"/>
    <s v="TAN"/>
    <s v="OR"/>
    <d v="2016-12-05T00:00:00"/>
    <s v="MI"/>
    <s v="US"/>
    <s v="ZR"/>
    <d v="2016-12-06T00:00:00"/>
  </r>
  <r>
    <x v="0"/>
    <x v="5"/>
    <x v="328"/>
    <x v="9"/>
    <s v="Standard order"/>
    <x v="313"/>
    <x v="313"/>
    <s v="R116"/>
    <s v="CRYSTAL RR116"/>
    <s v="5003105"/>
    <s v="R116 ACH T20 PB SYSTIVA RP"/>
    <n v="84"/>
    <n v="0"/>
    <n v="84"/>
    <x v="5"/>
    <s v="AP71"/>
    <s v="RP"/>
    <s v="324"/>
    <s v="4.0 UN"/>
    <s v="STANDARD"/>
    <s v="N"/>
    <s v="Y"/>
    <s v="N"/>
    <s v="T20"/>
    <s v="Y"/>
    <s v="N"/>
    <s v="N"/>
    <s v="N"/>
    <s v="A016"/>
    <d v="2016-12-09T00:00:00"/>
    <s v="10"/>
    <s v="TAN"/>
    <s v="OR"/>
    <d v="2016-12-06T00:00:00"/>
    <s v="WY"/>
    <s v="US"/>
    <s v="ZR"/>
    <d v="2016-12-06T00:00:00"/>
  </r>
  <r>
    <x v="0"/>
    <x v="5"/>
    <x v="328"/>
    <x v="9"/>
    <s v="Standard order"/>
    <x v="313"/>
    <x v="313"/>
    <s v="Y400"/>
    <s v="CRYSTAL Y400NT"/>
    <s v="5003735"/>
    <s v="Y400 ACH T20 PB SYSTIVA RP"/>
    <n v="20"/>
    <n v="0"/>
    <n v="20"/>
    <x v="5"/>
    <s v="4TBP"/>
    <s v="RP"/>
    <s v="324"/>
    <s v="4.0 UN"/>
    <s v="STANDARD"/>
    <s v="N"/>
    <s v="Y"/>
    <s v="N"/>
    <s v="T20"/>
    <s v="Y"/>
    <s v="N"/>
    <s v="N"/>
    <s v="N"/>
    <s v="A016"/>
    <d v="2016-12-09T00:00:00"/>
    <s v="20"/>
    <s v="TAN"/>
    <s v="OR"/>
    <d v="2016-12-06T00:00:00"/>
    <s v="WY"/>
    <s v="US"/>
    <s v="ZR"/>
    <d v="2016-12-06T00:00:00"/>
  </r>
  <r>
    <x v="0"/>
    <x v="5"/>
    <x v="329"/>
    <x v="9"/>
    <s v="Standard order"/>
    <x v="314"/>
    <x v="314"/>
    <s v="Y400"/>
    <s v="CRYSTAL Y400NT"/>
    <s v="5003735"/>
    <s v="Y400 ACH T20 PB SYSTIVA RP"/>
    <n v="16"/>
    <n v="0"/>
    <n v="16"/>
    <x v="5"/>
    <s v="4TBP"/>
    <s v="RP"/>
    <s v="324"/>
    <s v="4.0 UN"/>
    <s v="STANDARD"/>
    <s v="N"/>
    <s v="Y"/>
    <s v="N"/>
    <s v="T20"/>
    <s v="Y"/>
    <s v="N"/>
    <s v="N"/>
    <s v="N"/>
    <s v="A016"/>
    <d v="2016-12-09T00:00:00"/>
    <s v="10"/>
    <s v="TAN"/>
    <s v="OR"/>
    <d v="2016-12-06T00:00:00"/>
    <s v="WY"/>
    <s v="US"/>
    <s v="ZR"/>
    <d v="2016-12-06T00:00:00"/>
  </r>
  <r>
    <x v="0"/>
    <x v="5"/>
    <x v="329"/>
    <x v="9"/>
    <s v="Standard order"/>
    <x v="314"/>
    <x v="314"/>
    <s v="R116"/>
    <s v="CRYSTAL RR116"/>
    <s v="5003105"/>
    <s v="R116 ACH T20 PB SYSTIVA RP"/>
    <n v="88"/>
    <n v="0"/>
    <n v="88"/>
    <x v="5"/>
    <s v="AP71"/>
    <s v="RP"/>
    <s v="324"/>
    <s v="4.0 UN"/>
    <s v="STANDARD"/>
    <s v="N"/>
    <s v="Y"/>
    <s v="N"/>
    <s v="T20"/>
    <s v="Y"/>
    <s v="N"/>
    <s v="N"/>
    <s v="N"/>
    <s v="A016"/>
    <d v="2016-12-09T00:00:00"/>
    <s v="20"/>
    <s v="TAN"/>
    <s v="OR"/>
    <d v="2016-12-06T00:00:00"/>
    <s v="WY"/>
    <s v="US"/>
    <s v="ZR"/>
    <d v="2016-12-06T00:00:00"/>
  </r>
  <r>
    <x v="0"/>
    <x v="0"/>
    <x v="330"/>
    <x v="10"/>
    <s v="Standard order"/>
    <x v="315"/>
    <x v="315"/>
    <s v="R059"/>
    <s v="CRYSTAL RR059"/>
    <s v="5003528"/>
    <s v="R059 ACH T20 Kabina ELS"/>
    <n v="132"/>
    <n v="0"/>
    <n v="132"/>
    <x v="0"/>
    <s v="AP73"/>
    <s v="ELS"/>
    <s v="387"/>
    <s v="4.0 UN"/>
    <s v="STANDARD"/>
    <s v="N"/>
    <s v="N"/>
    <s v="Y"/>
    <s v="T20"/>
    <s v="N"/>
    <s v="N"/>
    <s v="N"/>
    <s v="N"/>
    <s v="A036"/>
    <d v="2016-12-09T00:00:00"/>
    <s v="10"/>
    <s v="TAN"/>
    <s v="OR"/>
    <d v="2016-12-06T00:00:00"/>
    <s v="MI"/>
    <s v="US"/>
    <s v="ZR"/>
    <d v="2016-12-06T00:00:00"/>
  </r>
  <r>
    <x v="0"/>
    <x v="4"/>
    <x v="331"/>
    <x v="19"/>
    <s v="Standard order"/>
    <x v="316"/>
    <x v="316"/>
    <s v="A501"/>
    <s v="CRYSTAL A501"/>
    <s v="5003308"/>
    <s v="A501 ACH PB XL"/>
    <n v="44"/>
    <n v="0"/>
    <n v="44"/>
    <x v="4"/>
    <s v="EZPB"/>
    <s v="X-LARGE"/>
    <s v="314"/>
    <s v="4.0 UN"/>
    <s v="STANDARD"/>
    <s v="N"/>
    <s v="Y"/>
    <s v="N"/>
    <s v="N"/>
    <s v="N"/>
    <s v="N"/>
    <s v="N"/>
    <s v="N"/>
    <s v="A046"/>
    <d v="2016-12-09T00:00:00"/>
    <s v="10"/>
    <s v="TAN"/>
    <s v="OR"/>
    <d v="2016-12-06T00:00:00"/>
    <s v="ID"/>
    <s v="US"/>
    <s v="ZR"/>
    <d v="2016-12-06T00:00:00"/>
  </r>
  <r>
    <x v="0"/>
    <x v="4"/>
    <x v="331"/>
    <x v="19"/>
    <s v="Standard order"/>
    <x v="316"/>
    <x v="316"/>
    <s v="R081"/>
    <s v="CRYSTAL RR081"/>
    <s v="5003554"/>
    <s v="R081 ACH PB XL IDH"/>
    <n v="36"/>
    <n v="0"/>
    <n v="36"/>
    <x v="4"/>
    <s v="AQ82"/>
    <s v="X-LARGE"/>
    <s v="314"/>
    <s v="4.0 UN"/>
    <s v="STANDARD"/>
    <s v="N"/>
    <s v="Y"/>
    <s v="N"/>
    <s v="N"/>
    <s v="N"/>
    <s v="N"/>
    <s v="N"/>
    <s v="N"/>
    <s v="A046"/>
    <d v="2016-12-09T00:00:00"/>
    <s v="20"/>
    <s v="TAN"/>
    <s v="OR"/>
    <d v="2016-12-06T00:00:00"/>
    <s v="ID"/>
    <s v="US"/>
    <s v="ZR"/>
    <d v="2016-12-06T00:00:00"/>
  </r>
  <r>
    <x v="0"/>
    <x v="0"/>
    <x v="332"/>
    <x v="10"/>
    <s v="Standard order"/>
    <x v="317"/>
    <x v="317"/>
    <s v="R059"/>
    <s v="CRYSTAL RR059"/>
    <s v="5003528"/>
    <s v="R059 ACH T20 Kabina ELS"/>
    <n v="212"/>
    <n v="0"/>
    <n v="212"/>
    <x v="0"/>
    <s v="AP73"/>
    <s v="ELS"/>
    <s v="387"/>
    <s v="4.0 UN"/>
    <s v="STANDARD"/>
    <s v="N"/>
    <s v="N"/>
    <s v="Y"/>
    <s v="T20"/>
    <s v="N"/>
    <s v="N"/>
    <s v="N"/>
    <s v="N"/>
    <s v="A036"/>
    <d v="2016-12-09T00:00:00"/>
    <s v="10"/>
    <s v="TAN"/>
    <s v="OR"/>
    <d v="2016-12-06T00:00:00"/>
    <s v="MI"/>
    <s v="US"/>
    <s v="ZR"/>
    <d v="2016-12-06T00:00:00"/>
  </r>
  <r>
    <x v="0"/>
    <x v="5"/>
    <x v="333"/>
    <x v="13"/>
    <s v="Standard order"/>
    <x v="318"/>
    <x v="318"/>
    <s v="Y400"/>
    <s v="CRYSTAL Y400NT"/>
    <s v="5003735"/>
    <s v="Y400 ACH T20 PB SYSTIVA RP"/>
    <n v="20"/>
    <n v="0"/>
    <n v="20"/>
    <x v="5"/>
    <s v="4TBP"/>
    <s v="RP"/>
    <s v="324"/>
    <s v="4.0 UN"/>
    <s v="STANDARD"/>
    <s v="N"/>
    <s v="Y"/>
    <s v="N"/>
    <s v="T20"/>
    <s v="Y"/>
    <s v="N"/>
    <s v="N"/>
    <s v="N"/>
    <s v="A015"/>
    <d v="2016-12-09T00:00:00"/>
    <s v="10"/>
    <s v="TAN"/>
    <s v="OR"/>
    <d v="2016-12-06T00:00:00"/>
    <s v="MT"/>
    <s v="US"/>
    <s v="ZR"/>
    <d v="2016-12-06T00:00:00"/>
  </r>
  <r>
    <x v="0"/>
    <x v="2"/>
    <x v="334"/>
    <x v="3"/>
    <s v="Standard order"/>
    <x v="319"/>
    <x v="319"/>
    <s v="R014"/>
    <s v="CRYSTAL RR014"/>
    <s v="5003091"/>
    <s v="R014 ACH T20 PB SYSTIVA G100"/>
    <n v="192"/>
    <n v="0"/>
    <n v="192"/>
    <x v="2"/>
    <s v="AP82"/>
    <s v="GEM 100"/>
    <s v="324"/>
    <s v="4.0 UN"/>
    <s v="STANDARD"/>
    <s v="N"/>
    <s v="Y"/>
    <s v="N"/>
    <s v="T20"/>
    <s v="Y"/>
    <s v="N"/>
    <s v="Y"/>
    <s v="N"/>
    <s v="A024"/>
    <d v="2016-12-09T00:00:00"/>
    <s v="10"/>
    <s v="TAN"/>
    <s v="OR"/>
    <d v="2016-12-06T00:00:00"/>
    <s v="NE"/>
    <s v="US"/>
    <s v="ZR"/>
    <d v="2016-12-06T00:00:00"/>
  </r>
  <r>
    <x v="0"/>
    <x v="2"/>
    <x v="334"/>
    <x v="3"/>
    <s v="Standard order"/>
    <x v="319"/>
    <x v="319"/>
    <s v="W322"/>
    <s v="CRYSTAL W322NT"/>
    <s v="5003488"/>
    <s v="W322 ACH T20 PB SYSTIVA G100"/>
    <n v="576"/>
    <n v="0"/>
    <n v="576"/>
    <x v="2"/>
    <s v="EE73"/>
    <s v="GEM 100"/>
    <s v="324"/>
    <s v="4.0 UN"/>
    <s v="STANDARD"/>
    <s v="N"/>
    <s v="Y"/>
    <s v="N"/>
    <s v="T20"/>
    <s v="Y"/>
    <s v="N"/>
    <s v="Y"/>
    <s v="N"/>
    <s v="A024"/>
    <d v="2016-12-09T00:00:00"/>
    <s v="20"/>
    <s v="TAN"/>
    <s v="OR"/>
    <d v="2016-12-06T00:00:00"/>
    <s v="NE"/>
    <s v="US"/>
    <s v="ZR"/>
    <d v="2016-12-06T00:00:00"/>
  </r>
  <r>
    <x v="0"/>
    <x v="0"/>
    <x v="335"/>
    <x v="4"/>
    <s v="Standard order"/>
    <x v="320"/>
    <x v="320"/>
    <s v="G515"/>
    <s v="CRYSTAL G515"/>
    <s v="5003017"/>
    <s v="G515 ACH T20 Kabina ELS"/>
    <n v="48"/>
    <n v="0"/>
    <n v="48"/>
    <x v="0"/>
    <s v="APND"/>
    <s v="ELS"/>
    <s v="387"/>
    <s v="4.0 UN"/>
    <s v="STANDARD"/>
    <s v="N"/>
    <s v="N"/>
    <s v="Y"/>
    <s v="T20"/>
    <s v="N"/>
    <s v="N"/>
    <s v="N"/>
    <s v="N"/>
    <s v="A035"/>
    <d v="2016-12-09T00:00:00"/>
    <s v="30"/>
    <s v="TAN"/>
    <s v="OR"/>
    <d v="2016-12-06T00:00:00"/>
    <s v="MI"/>
    <s v="US"/>
    <s v="ZR"/>
    <d v="2016-12-06T00:00:00"/>
  </r>
  <r>
    <x v="0"/>
    <x v="0"/>
    <x v="335"/>
    <x v="4"/>
    <s v="Standard order"/>
    <x v="320"/>
    <x v="320"/>
    <s v="G333"/>
    <s v="CRYSTAL G333NT"/>
    <s v="5003376"/>
    <s v="G333 ACH T20 Kabina ELS"/>
    <n v="96"/>
    <n v="0"/>
    <n v="96"/>
    <x v="0"/>
    <s v="EE73"/>
    <s v="ELS"/>
    <s v="387"/>
    <s v="4.0 UN"/>
    <s v="STANDARD"/>
    <s v="N"/>
    <s v="N"/>
    <s v="Y"/>
    <s v="T20"/>
    <s v="N"/>
    <s v="N"/>
    <s v="N"/>
    <s v="N"/>
    <s v="A035"/>
    <d v="2016-12-09T00:00:00"/>
    <s v="10"/>
    <s v="TAN"/>
    <s v="OR"/>
    <d v="2016-12-06T00:00:00"/>
    <s v="MI"/>
    <s v="US"/>
    <s v="ZR"/>
    <d v="2016-12-06T00:00:00"/>
  </r>
  <r>
    <x v="0"/>
    <x v="0"/>
    <x v="335"/>
    <x v="4"/>
    <s v="Standard order"/>
    <x v="320"/>
    <x v="320"/>
    <s v="R059"/>
    <s v="CRYSTAL RR059"/>
    <s v="5003528"/>
    <s v="R059 ACH T20 Kabina ELS"/>
    <n v="72"/>
    <n v="0"/>
    <n v="72"/>
    <x v="0"/>
    <s v="AP73"/>
    <s v="ELS"/>
    <s v="387"/>
    <s v="4.0 UN"/>
    <s v="STANDARD"/>
    <s v="N"/>
    <s v="N"/>
    <s v="Y"/>
    <s v="T20"/>
    <s v="N"/>
    <s v="N"/>
    <s v="N"/>
    <s v="N"/>
    <s v="A035"/>
    <d v="2016-12-09T00:00:00"/>
    <s v="20"/>
    <s v="TAN"/>
    <s v="OR"/>
    <d v="2016-12-06T00:00:00"/>
    <s v="MI"/>
    <s v="US"/>
    <s v="ZR"/>
    <d v="2016-12-06T00:00:00"/>
  </r>
  <r>
    <x v="0"/>
    <x v="4"/>
    <x v="336"/>
    <x v="7"/>
    <s v="Standard order"/>
    <x v="321"/>
    <x v="321"/>
    <s v="A399"/>
    <s v="CRYSTAL A399NT"/>
    <s v="5002930"/>
    <s v="A399 ACH PB MP"/>
    <n v="44"/>
    <n v="0"/>
    <n v="44"/>
    <x v="4"/>
    <s v="DP71"/>
    <s v="MP"/>
    <s v="314"/>
    <s v="4.0 UN"/>
    <s v="STANDARD"/>
    <s v="N"/>
    <s v="Y"/>
    <s v="N"/>
    <s v="N"/>
    <s v="N"/>
    <s v="N"/>
    <s v="N"/>
    <s v="N"/>
    <s v="A045"/>
    <d v="2016-12-09T00:00:00"/>
    <s v="10"/>
    <s v="TAN"/>
    <s v="OR"/>
    <d v="2016-12-06T00:00:00"/>
    <s v="ID"/>
    <s v="US"/>
    <s v="ZR"/>
    <d v="2016-12-06T00:00:00"/>
  </r>
  <r>
    <x v="0"/>
    <x v="4"/>
    <x v="337"/>
    <x v="7"/>
    <s v="Standard order"/>
    <x v="322"/>
    <x v="322"/>
    <s v="A399"/>
    <s v="CRYSTAL A399NT"/>
    <s v="5002928"/>
    <s v="A399 ACH PB LRG"/>
    <n v="36"/>
    <n v="0"/>
    <n v="36"/>
    <x v="4"/>
    <s v="DP71"/>
    <s v="LARGE"/>
    <s v="314"/>
    <s v="4.0 UN"/>
    <s v="STANDARD"/>
    <s v="N"/>
    <s v="Y"/>
    <s v="N"/>
    <s v="N"/>
    <s v="N"/>
    <s v="N"/>
    <s v="N"/>
    <s v="N"/>
    <s v="A045"/>
    <d v="2016-12-09T00:00:00"/>
    <s v="10"/>
    <s v="TAN"/>
    <s v="OR"/>
    <d v="2016-12-06T00:00:00"/>
    <s v="ID"/>
    <s v="US"/>
    <s v="ZR"/>
    <d v="2016-12-06T00:00:00"/>
  </r>
  <r>
    <x v="0"/>
    <x v="4"/>
    <x v="338"/>
    <x v="17"/>
    <s v="Standard order"/>
    <x v="323"/>
    <x v="323"/>
    <s v="A399"/>
    <s v="CRYSTAL A399NT"/>
    <s v="5002920"/>
    <s v="A399 ACH LRG"/>
    <n v="76"/>
    <n v="0"/>
    <n v="76"/>
    <x v="4"/>
    <s v="DP71"/>
    <s v="LARGE"/>
    <s v="316"/>
    <s v="4.0 UN"/>
    <s v="STANDARD"/>
    <s v="N"/>
    <s v="N"/>
    <s v="N"/>
    <s v="N"/>
    <s v="N"/>
    <s v="N"/>
    <s v="N"/>
    <s v="N"/>
    <s v="A040"/>
    <d v="2016-12-09T00:00:00"/>
    <s v="10"/>
    <s v="TAN"/>
    <s v="OR"/>
    <d v="2016-12-06T00:00:00"/>
    <s v="ID"/>
    <s v="US"/>
    <s v="ZR"/>
    <d v="2016-12-06T00:00:00"/>
  </r>
  <r>
    <x v="0"/>
    <x v="4"/>
    <x v="338"/>
    <x v="17"/>
    <s v="Standard order"/>
    <x v="323"/>
    <x v="323"/>
    <s v="A488"/>
    <s v="CRYSTAL A488NT"/>
    <s v="5002980"/>
    <s v="A488 ACH PB LRG"/>
    <n v="24"/>
    <n v="0"/>
    <n v="24"/>
    <x v="4"/>
    <s v="EENE"/>
    <s v="LARGE"/>
    <s v="314"/>
    <s v="4.0 UN"/>
    <s v="STANDARD"/>
    <s v="N"/>
    <s v="Y"/>
    <s v="N"/>
    <s v="N"/>
    <s v="N"/>
    <s v="N"/>
    <s v="N"/>
    <s v="N"/>
    <s v="A040"/>
    <d v="2016-12-09T00:00:00"/>
    <s v="20"/>
    <s v="TAN"/>
    <s v="OR"/>
    <d v="2016-12-06T00:00:00"/>
    <s v="ID"/>
    <s v="US"/>
    <s v="ZR"/>
    <d v="2016-12-06T00:00:00"/>
  </r>
  <r>
    <x v="0"/>
    <x v="2"/>
    <x v="339"/>
    <x v="6"/>
    <s v="Standard order"/>
    <x v="324"/>
    <x v="324"/>
    <s v="W322"/>
    <s v="CRYSTAL W322NT"/>
    <s v="5003488"/>
    <s v="W322 ACH T20 PB SYSTIVA G100"/>
    <n v="36"/>
    <n v="0"/>
    <n v="36"/>
    <x v="2"/>
    <s v="EE73"/>
    <s v="GEM 100"/>
    <s v="324"/>
    <s v="4.0 UN"/>
    <s v="STANDARD"/>
    <s v="N"/>
    <s v="Y"/>
    <s v="N"/>
    <s v="T20"/>
    <s v="Y"/>
    <s v="N"/>
    <s v="Y"/>
    <s v="N"/>
    <s v="A025"/>
    <d v="2016-12-09T00:00:00"/>
    <s v="10"/>
    <s v="TAN"/>
    <s v="OR"/>
    <d v="2016-12-06T00:00:00"/>
    <s v="NE"/>
    <s v="US"/>
    <s v="ZR"/>
    <d v="2016-12-06T00:00:00"/>
  </r>
  <r>
    <x v="0"/>
    <x v="5"/>
    <x v="340"/>
    <x v="12"/>
    <s v="Standard order"/>
    <x v="325"/>
    <x v="325"/>
    <s v="R116"/>
    <s v="CRYSTAL RR116"/>
    <s v="5003101"/>
    <s v="R116 ACH T20 PB SYSTIVA ELS"/>
    <n v="16"/>
    <n v="0"/>
    <n v="16"/>
    <x v="5"/>
    <s v="AP71"/>
    <s v="ELS"/>
    <s v="324"/>
    <s v="4.0 UN"/>
    <s v="STANDARD"/>
    <s v="N"/>
    <s v="Y"/>
    <s v="N"/>
    <s v="T20"/>
    <s v="Y"/>
    <s v="N"/>
    <s v="N"/>
    <s v="N"/>
    <s v="A014"/>
    <d v="2016-12-09T00:00:00"/>
    <s v="10"/>
    <s v="TAN"/>
    <s v="OR"/>
    <d v="2016-12-06T00:00:00"/>
    <s v="MT"/>
    <s v="US"/>
    <s v="ZR"/>
    <d v="2016-12-06T00:00:00"/>
  </r>
  <r>
    <x v="0"/>
    <x v="5"/>
    <x v="340"/>
    <x v="12"/>
    <s v="Standard order"/>
    <x v="325"/>
    <x v="325"/>
    <s v="Y400"/>
    <s v="CRYSTAL Y400NT"/>
    <s v="5003731"/>
    <s v="Y400 ACH T20 PB SYSTIVA ELS"/>
    <n v="12"/>
    <n v="0"/>
    <n v="12"/>
    <x v="5"/>
    <s v="4TBP"/>
    <s v="ELS"/>
    <s v="324"/>
    <s v="4.0 UN"/>
    <s v="STANDARD"/>
    <s v="N"/>
    <s v="Y"/>
    <s v="N"/>
    <s v="T20"/>
    <s v="Y"/>
    <s v="N"/>
    <s v="N"/>
    <s v="N"/>
    <s v="A014"/>
    <d v="2016-12-09T00:00:00"/>
    <s v="20"/>
    <s v="TAN"/>
    <s v="OR"/>
    <d v="2016-12-06T00:00:00"/>
    <s v="MT"/>
    <s v="US"/>
    <s v="ZR"/>
    <d v="2016-12-06T00:00:00"/>
  </r>
  <r>
    <x v="0"/>
    <x v="5"/>
    <x v="341"/>
    <x v="13"/>
    <s v="Standard order"/>
    <x v="326"/>
    <x v="326"/>
    <s v="Y400"/>
    <s v="CRYSTAL Y400NT"/>
    <s v="5003735"/>
    <s v="Y400 ACH T20 PB SYSTIVA RP"/>
    <n v="12"/>
    <n v="0"/>
    <n v="12"/>
    <x v="5"/>
    <s v="4TBP"/>
    <s v="RP"/>
    <s v="324"/>
    <s v="4.0 UN"/>
    <s v="STANDARD"/>
    <s v="N"/>
    <s v="Y"/>
    <s v="N"/>
    <s v="T20"/>
    <s v="Y"/>
    <s v="N"/>
    <s v="N"/>
    <s v="N"/>
    <s v="A015"/>
    <d v="2016-12-09T00:00:00"/>
    <s v="10"/>
    <s v="TAN"/>
    <s v="OR"/>
    <d v="2016-12-06T00:00:00"/>
    <s v="MT"/>
    <s v="US"/>
    <s v="ZR"/>
    <d v="2016-12-06T00:00:00"/>
  </r>
  <r>
    <x v="0"/>
    <x v="2"/>
    <x v="342"/>
    <x v="6"/>
    <s v="Standard order"/>
    <x v="327"/>
    <x v="327"/>
    <s v="R014"/>
    <s v="CRYSTAL RR014"/>
    <s v="5003092"/>
    <s v="R014 ACH T20 PB SYSTIVA G50"/>
    <n v="44"/>
    <n v="0"/>
    <n v="44"/>
    <x v="2"/>
    <s v="AP82"/>
    <s v="GEM 50"/>
    <s v="324"/>
    <s v="4.0 UN"/>
    <s v="STANDARD"/>
    <s v="N"/>
    <s v="Y"/>
    <s v="N"/>
    <s v="T20"/>
    <s v="Y"/>
    <s v="N"/>
    <s v="Y"/>
    <s v="N"/>
    <s v="A025"/>
    <d v="2016-12-09T00:00:00"/>
    <s v="10"/>
    <s v="TAN"/>
    <s v="OR"/>
    <d v="2016-12-06T00:00:00"/>
    <s v="NE"/>
    <s v="US"/>
    <s v="ZR"/>
    <d v="2016-12-06T00:00:00"/>
  </r>
  <r>
    <x v="0"/>
    <x v="5"/>
    <x v="343"/>
    <x v="9"/>
    <s v="Standard order"/>
    <x v="328"/>
    <x v="328"/>
    <s v="R116"/>
    <s v="CRYSTAL RR116"/>
    <s v="5003105"/>
    <s v="R116 ACH T20 PB SYSTIVA RP"/>
    <n v="20"/>
    <n v="0"/>
    <n v="20"/>
    <x v="5"/>
    <s v="AP71"/>
    <s v="RP"/>
    <s v="324"/>
    <s v="4.0 UN"/>
    <s v="STANDARD"/>
    <s v="N"/>
    <s v="Y"/>
    <s v="N"/>
    <s v="T20"/>
    <s v="Y"/>
    <s v="N"/>
    <s v="N"/>
    <s v="N"/>
    <s v="A016"/>
    <d v="2016-12-12T00:00:00"/>
    <s v="10"/>
    <s v="TAN"/>
    <s v="OR"/>
    <d v="2016-12-06T00:00:00"/>
    <s v="WY"/>
    <s v="US"/>
    <s v="ZR"/>
    <d v="2016-12-07T00:00:00"/>
  </r>
  <r>
    <x v="0"/>
    <x v="5"/>
    <x v="343"/>
    <x v="9"/>
    <s v="Standard order"/>
    <x v="328"/>
    <x v="328"/>
    <s v="Y400"/>
    <s v="CRYSTAL Y400NT"/>
    <s v="5003735"/>
    <s v="Y400 ACH T20 PB SYSTIVA RP"/>
    <n v="20"/>
    <n v="0"/>
    <n v="20"/>
    <x v="5"/>
    <s v="4TBP"/>
    <s v="RP"/>
    <s v="324"/>
    <s v="4.0 UN"/>
    <s v="STANDARD"/>
    <s v="N"/>
    <s v="Y"/>
    <s v="N"/>
    <s v="T20"/>
    <s v="Y"/>
    <s v="N"/>
    <s v="N"/>
    <s v="N"/>
    <s v="A016"/>
    <d v="2016-12-12T00:00:00"/>
    <s v="20"/>
    <s v="TAN"/>
    <s v="OR"/>
    <d v="2016-12-06T00:00:00"/>
    <s v="WY"/>
    <s v="US"/>
    <s v="ZR"/>
    <d v="2016-12-07T00:00:00"/>
  </r>
  <r>
    <x v="0"/>
    <x v="4"/>
    <x v="344"/>
    <x v="8"/>
    <s v="Standard order"/>
    <x v="329"/>
    <x v="329"/>
    <s v="A399"/>
    <s v="CRYSTAL A399NT"/>
    <s v="5002931"/>
    <s v="A399 ACH PB XL"/>
    <n v="12"/>
    <n v="0"/>
    <n v="12"/>
    <x v="4"/>
    <s v="DP71"/>
    <s v="X-LARGE"/>
    <s v="314"/>
    <s v="4.0 UN"/>
    <s v="STANDARD"/>
    <s v="N"/>
    <s v="Y"/>
    <s v="N"/>
    <s v="N"/>
    <s v="N"/>
    <s v="N"/>
    <s v="N"/>
    <s v="N"/>
    <s v="A044"/>
    <d v="2016-12-12T00:00:00"/>
    <s v="10"/>
    <s v="TAN"/>
    <s v="OR"/>
    <d v="2016-12-06T00:00:00"/>
    <s v="ID"/>
    <s v="US"/>
    <s v="ZR"/>
    <d v="2016-12-07T00:00:00"/>
  </r>
  <r>
    <x v="0"/>
    <x v="4"/>
    <x v="345"/>
    <x v="8"/>
    <s v="Standard order"/>
    <x v="330"/>
    <x v="330"/>
    <s v="A399"/>
    <s v="CRYSTAL A399NT"/>
    <s v="5002931"/>
    <s v="A399 ACH PB XL"/>
    <n v="24"/>
    <n v="0"/>
    <n v="24"/>
    <x v="4"/>
    <s v="DP71"/>
    <s v="X-LARGE"/>
    <s v="314"/>
    <s v="4.0 UN"/>
    <s v="STANDARD"/>
    <s v="N"/>
    <s v="Y"/>
    <s v="N"/>
    <s v="N"/>
    <s v="N"/>
    <s v="N"/>
    <s v="N"/>
    <s v="N"/>
    <s v="A044"/>
    <d v="2016-12-12T00:00:00"/>
    <s v="10"/>
    <s v="TAN"/>
    <s v="OR"/>
    <d v="2016-12-06T00:00:00"/>
    <s v="ID"/>
    <s v="US"/>
    <s v="ZR"/>
    <d v="2016-12-07T00:00:00"/>
  </r>
  <r>
    <x v="0"/>
    <x v="0"/>
    <x v="346"/>
    <x v="10"/>
    <s v="Standard order"/>
    <x v="331"/>
    <x v="331"/>
    <s v="R059"/>
    <s v="CRYSTAL RR059"/>
    <s v="5003530"/>
    <s v="R059 ACH T20 Kabina RP"/>
    <n v="12"/>
    <n v="0"/>
    <n v="12"/>
    <x v="0"/>
    <s v="AP73"/>
    <s v="RP"/>
    <s v="387"/>
    <s v="4.0 UN"/>
    <s v="STANDARD"/>
    <s v="N"/>
    <s v="N"/>
    <s v="Y"/>
    <s v="T20"/>
    <s v="N"/>
    <s v="N"/>
    <s v="N"/>
    <s v="N"/>
    <s v="A036"/>
    <d v="2016-12-12T00:00:00"/>
    <s v="10"/>
    <s v="TAN"/>
    <s v="OR"/>
    <d v="2016-12-06T00:00:00"/>
    <s v="MI"/>
    <s v="US"/>
    <s v="ZR"/>
    <d v="2016-12-07T00:00:00"/>
  </r>
  <r>
    <x v="0"/>
    <x v="4"/>
    <x v="347"/>
    <x v="7"/>
    <s v="Standard order"/>
    <x v="332"/>
    <x v="332"/>
    <s v="A399"/>
    <s v="CRYSTAL A399NT"/>
    <s v="5002935"/>
    <s v="A399 ACH T20 PB Kabina CL MP"/>
    <n v="24"/>
    <n v="0"/>
    <n v="24"/>
    <x v="4"/>
    <s v="DP71"/>
    <s v="MP"/>
    <s v="323"/>
    <s v="4.0 UN"/>
    <s v="STANDARD"/>
    <s v="N"/>
    <s v="Y"/>
    <s v="Y"/>
    <s v="T20"/>
    <s v="N"/>
    <s v="N"/>
    <s v="N"/>
    <s v="N"/>
    <s v="A045"/>
    <d v="2016-12-12T00:00:00"/>
    <s v="10"/>
    <s v="TAN"/>
    <s v="OR"/>
    <d v="2016-12-06T00:00:00"/>
    <s v="OR"/>
    <s v="US"/>
    <s v="ZR"/>
    <d v="2016-12-07T00:00:00"/>
  </r>
  <r>
    <x v="0"/>
    <x v="4"/>
    <x v="347"/>
    <x v="7"/>
    <s v="Standard order"/>
    <x v="332"/>
    <x v="332"/>
    <s v="A404"/>
    <s v="CRYSTAL A404NT"/>
    <s v="5002961"/>
    <s v="A404 ACH T20 PB Kabina CL MP"/>
    <n v="24"/>
    <n v="0"/>
    <n v="24"/>
    <x v="4"/>
    <s v="DPNE"/>
    <s v="MP"/>
    <s v="323"/>
    <s v="4.0 UN"/>
    <s v="STANDARD"/>
    <s v="N"/>
    <s v="Y"/>
    <s v="Y"/>
    <s v="T20"/>
    <s v="N"/>
    <s v="N"/>
    <s v="N"/>
    <s v="N"/>
    <s v="A045"/>
    <d v="2016-12-12T00:00:00"/>
    <s v="20"/>
    <s v="TAN"/>
    <s v="OR"/>
    <d v="2016-12-06T00:00:00"/>
    <s v="OR"/>
    <s v="US"/>
    <s v="ZR"/>
    <d v="2016-12-07T00:00:00"/>
  </r>
  <r>
    <x v="0"/>
    <x v="4"/>
    <x v="347"/>
    <x v="7"/>
    <s v="Standard order"/>
    <x v="332"/>
    <x v="332"/>
    <s v="A501"/>
    <s v="CRYSTAL A501"/>
    <s v="5003307"/>
    <s v="A501 ACH PB MP"/>
    <n v="8"/>
    <n v="0"/>
    <n v="8"/>
    <x v="4"/>
    <s v="EZPB"/>
    <s v="MP"/>
    <s v="314"/>
    <s v="4.0 UN"/>
    <s v="STANDARD"/>
    <s v="N"/>
    <s v="Y"/>
    <s v="N"/>
    <s v="N"/>
    <s v="N"/>
    <s v="N"/>
    <s v="N"/>
    <s v="N"/>
    <s v="A045"/>
    <d v="2016-12-12T00:00:00"/>
    <s v="30"/>
    <s v="TAN"/>
    <s v="OR"/>
    <d v="2016-12-06T00:00:00"/>
    <s v="OR"/>
    <s v="US"/>
    <s v="ZR"/>
    <d v="2016-12-07T00:00:00"/>
  </r>
  <r>
    <x v="0"/>
    <x v="5"/>
    <x v="348"/>
    <x v="14"/>
    <s v="Standard order"/>
    <x v="333"/>
    <x v="333"/>
    <s v="Y400"/>
    <s v="CRYSTAL Y400NT"/>
    <s v="5003735"/>
    <s v="Y400 ACH T20 PB SYSTIVA RP"/>
    <n v="20"/>
    <n v="0"/>
    <n v="20"/>
    <x v="5"/>
    <s v="4TBP"/>
    <s v="RP"/>
    <s v="324"/>
    <s v="4.0 UN"/>
    <s v="STANDARD"/>
    <s v="N"/>
    <s v="Y"/>
    <s v="N"/>
    <s v="T20"/>
    <s v="Y"/>
    <s v="N"/>
    <s v="N"/>
    <s v="N"/>
    <s v="A017"/>
    <d v="2016-12-12T00:00:00"/>
    <s v="10"/>
    <s v="TAN"/>
    <s v="OR"/>
    <d v="2016-12-06T00:00:00"/>
    <s v="WY"/>
    <s v="US"/>
    <s v="ZR"/>
    <d v="2016-12-07T00:00:00"/>
  </r>
  <r>
    <x v="0"/>
    <x v="5"/>
    <x v="348"/>
    <x v="14"/>
    <s v="Standard order"/>
    <x v="333"/>
    <x v="333"/>
    <s v="Y313"/>
    <s v="CRYSTAL Y313NT"/>
    <s v="5003711"/>
    <s v="Y313 ACH T20 PB SYSTIVA RP"/>
    <n v="20"/>
    <n v="0"/>
    <n v="20"/>
    <x v="5"/>
    <s v="DLNC"/>
    <s v="RP"/>
    <s v="324"/>
    <s v="4.0 UN"/>
    <s v="STANDARD"/>
    <s v="N"/>
    <s v="Y"/>
    <s v="N"/>
    <s v="T20"/>
    <s v="Y"/>
    <s v="N"/>
    <s v="N"/>
    <s v="N"/>
    <s v="A017"/>
    <d v="2016-12-12T00:00:00"/>
    <s v="20"/>
    <s v="TAN"/>
    <s v="OR"/>
    <d v="2016-12-06T00:00:00"/>
    <s v="WY"/>
    <s v="US"/>
    <s v="ZR"/>
    <d v="2016-12-07T00:00:00"/>
  </r>
  <r>
    <x v="0"/>
    <x v="5"/>
    <x v="349"/>
    <x v="14"/>
    <s v="Standard order"/>
    <x v="334"/>
    <x v="334"/>
    <s v="Y400"/>
    <s v="CRYSTAL Y400NT"/>
    <s v="5003735"/>
    <s v="Y400 ACH T20 PB SYSTIVA RP"/>
    <n v="16"/>
    <n v="0"/>
    <n v="16"/>
    <x v="5"/>
    <s v="4TBP"/>
    <s v="RP"/>
    <s v="324"/>
    <s v="4.0 UN"/>
    <s v="STANDARD"/>
    <s v="N"/>
    <s v="Y"/>
    <s v="N"/>
    <s v="T20"/>
    <s v="Y"/>
    <s v="N"/>
    <s v="N"/>
    <s v="N"/>
    <s v="A017"/>
    <d v="2016-12-12T00:00:00"/>
    <s v="10"/>
    <s v="TAN"/>
    <s v="OR"/>
    <d v="2016-12-06T00:00:00"/>
    <s v="WY"/>
    <s v="US"/>
    <s v="ZR"/>
    <d v="2016-12-07T00:00:00"/>
  </r>
  <r>
    <x v="0"/>
    <x v="2"/>
    <x v="350"/>
    <x v="3"/>
    <s v="Standard order"/>
    <x v="335"/>
    <x v="335"/>
    <s v="R014"/>
    <s v="CRYSTAL RR014"/>
    <s v="5003090"/>
    <s v="R014 ACH T20 PB SYSTIVA ELS"/>
    <n v="32"/>
    <n v="0"/>
    <n v="32"/>
    <x v="2"/>
    <s v="AP82"/>
    <s v="ELS"/>
    <s v="324"/>
    <s v="4.0 UN"/>
    <s v="STANDARD"/>
    <s v="N"/>
    <s v="Y"/>
    <s v="N"/>
    <s v="T20"/>
    <s v="Y"/>
    <s v="N"/>
    <s v="Y"/>
    <s v="N"/>
    <s v="A024"/>
    <d v="2016-12-12T00:00:00"/>
    <s v="10"/>
    <s v="TAN"/>
    <s v="OR"/>
    <d v="2016-12-07T00:00:00"/>
    <s v="NE"/>
    <s v="US"/>
    <s v="ZR"/>
    <d v="2016-12-07T00:00:00"/>
  </r>
  <r>
    <x v="0"/>
    <x v="2"/>
    <x v="350"/>
    <x v="3"/>
    <s v="Standard order"/>
    <x v="335"/>
    <x v="335"/>
    <s v="W322"/>
    <s v="CRYSTAL W322NT"/>
    <s v="5003487"/>
    <s v="W322 ACH T20 PB SYSTIVA ELS"/>
    <n v="32"/>
    <n v="0"/>
    <n v="32"/>
    <x v="2"/>
    <s v="EE73"/>
    <s v="ELS"/>
    <s v="324"/>
    <s v="4.0 UN"/>
    <s v="STANDARD"/>
    <s v="N"/>
    <s v="Y"/>
    <s v="N"/>
    <s v="T20"/>
    <s v="Y"/>
    <s v="N"/>
    <s v="Y"/>
    <s v="N"/>
    <s v="A024"/>
    <d v="2016-12-12T00:00:00"/>
    <s v="20"/>
    <s v="TAN"/>
    <s v="OR"/>
    <d v="2016-12-07T00:00:00"/>
    <s v="NE"/>
    <s v="US"/>
    <s v="ZR"/>
    <d v="2016-12-07T00:00:00"/>
  </r>
  <r>
    <x v="0"/>
    <x v="2"/>
    <x v="350"/>
    <x v="3"/>
    <s v="Standard order"/>
    <x v="335"/>
    <x v="335"/>
    <s v="R272"/>
    <s v="CRYSTAL RR272"/>
    <s v="5003628"/>
    <s v="R272 ACH T20 PB SYSTIVA ELS"/>
    <n v="32"/>
    <n v="0"/>
    <n v="32"/>
    <x v="2"/>
    <s v="DG73"/>
    <s v="ELS"/>
    <s v="324"/>
    <s v="4.0 UN"/>
    <s v="STANDARD"/>
    <s v="N"/>
    <s v="Y"/>
    <s v="N"/>
    <s v="T20"/>
    <s v="Y"/>
    <s v="N"/>
    <s v="Y"/>
    <s v="N"/>
    <s v="A024"/>
    <d v="2016-12-12T00:00:00"/>
    <s v="30"/>
    <s v="TAN"/>
    <s v="OR"/>
    <d v="2016-12-07T00:00:00"/>
    <s v="NE"/>
    <s v="US"/>
    <s v="ZR"/>
    <d v="2016-12-07T00:00:00"/>
  </r>
  <r>
    <x v="0"/>
    <x v="2"/>
    <x v="351"/>
    <x v="6"/>
    <s v="Standard order"/>
    <x v="336"/>
    <x v="336"/>
    <s v="R014"/>
    <s v="CRYSTAL RR014"/>
    <s v="5003091"/>
    <s v="R014 ACH T20 PB SYSTIVA G100"/>
    <n v="432"/>
    <n v="0"/>
    <n v="432"/>
    <x v="2"/>
    <s v="AP82"/>
    <s v="GEM 100"/>
    <s v="324"/>
    <s v="4.0 UN"/>
    <s v="STANDARD"/>
    <s v="N"/>
    <s v="Y"/>
    <s v="N"/>
    <s v="T20"/>
    <s v="Y"/>
    <s v="N"/>
    <s v="Y"/>
    <s v="N"/>
    <s v="A025"/>
    <d v="2016-12-12T00:00:00"/>
    <s v="10"/>
    <s v="TAN"/>
    <s v="OR"/>
    <d v="2016-12-07T00:00:00"/>
    <s v="CO"/>
    <s v="US"/>
    <s v="ZR"/>
    <d v="2016-12-07T00:00:00"/>
  </r>
  <r>
    <x v="0"/>
    <x v="2"/>
    <x v="351"/>
    <x v="6"/>
    <s v="Standard order"/>
    <x v="336"/>
    <x v="336"/>
    <s v="W322"/>
    <s v="CRYSTAL W322NT"/>
    <s v="5003488"/>
    <s v="W322 ACH T20 PB SYSTIVA G100"/>
    <n v="112"/>
    <n v="0"/>
    <n v="112"/>
    <x v="2"/>
    <s v="EE73"/>
    <s v="GEM 100"/>
    <s v="324"/>
    <s v="4.0 UN"/>
    <s v="STANDARD"/>
    <s v="N"/>
    <s v="Y"/>
    <s v="N"/>
    <s v="T20"/>
    <s v="Y"/>
    <s v="N"/>
    <s v="Y"/>
    <s v="N"/>
    <s v="A025"/>
    <d v="2016-12-12T00:00:00"/>
    <s v="20"/>
    <s v="TAN"/>
    <s v="OR"/>
    <d v="2016-12-07T00:00:00"/>
    <s v="CO"/>
    <s v="US"/>
    <s v="ZR"/>
    <d v="2016-12-07T00:00:00"/>
  </r>
  <r>
    <x v="0"/>
    <x v="0"/>
    <x v="352"/>
    <x v="4"/>
    <s v="Standard order"/>
    <x v="337"/>
    <x v="337"/>
    <s v="G351"/>
    <s v="CRYSTAL G351NT"/>
    <s v="5003396"/>
    <s v="G351 ACH T20 Kabina ELS"/>
    <n v="68"/>
    <n v="0"/>
    <n v="68"/>
    <x v="0"/>
    <s v="DA73"/>
    <s v="ELS"/>
    <s v="387"/>
    <s v="4.0 UN"/>
    <s v="STANDARD"/>
    <s v="N"/>
    <s v="N"/>
    <s v="Y"/>
    <s v="T20"/>
    <s v="N"/>
    <s v="N"/>
    <s v="N"/>
    <s v="N"/>
    <s v="A035"/>
    <d v="2016-12-12T00:00:00"/>
    <s v="10"/>
    <s v="TAN"/>
    <s v="OR"/>
    <d v="2016-12-07T00:00:00"/>
    <s v="MI"/>
    <s v="US"/>
    <s v="ZR"/>
    <d v="2016-12-07T00:00:00"/>
  </r>
  <r>
    <x v="0"/>
    <x v="0"/>
    <x v="352"/>
    <x v="4"/>
    <s v="Standard order"/>
    <x v="337"/>
    <x v="337"/>
    <s v="G333"/>
    <s v="CRYSTAL G333NT"/>
    <s v="5003376"/>
    <s v="G333 ACH T20 Kabina ELS"/>
    <n v="44"/>
    <n v="0"/>
    <n v="44"/>
    <x v="0"/>
    <s v="EE73"/>
    <s v="ELS"/>
    <s v="387"/>
    <s v="4.0 UN"/>
    <s v="STANDARD"/>
    <s v="N"/>
    <s v="N"/>
    <s v="Y"/>
    <s v="T20"/>
    <s v="N"/>
    <s v="N"/>
    <s v="N"/>
    <s v="N"/>
    <s v="A035"/>
    <d v="2016-12-12T00:00:00"/>
    <s v="20"/>
    <s v="TAN"/>
    <s v="OR"/>
    <d v="2016-12-07T00:00:00"/>
    <s v="MI"/>
    <s v="US"/>
    <s v="ZR"/>
    <d v="2016-12-07T00:00:00"/>
  </r>
  <r>
    <x v="0"/>
    <x v="0"/>
    <x v="352"/>
    <x v="4"/>
    <s v="Standard order"/>
    <x v="337"/>
    <x v="337"/>
    <s v="G515"/>
    <s v="CRYSTAL G515"/>
    <s v="5003017"/>
    <s v="G515 ACH T20 Kabina ELS"/>
    <n v="20"/>
    <n v="0"/>
    <n v="20"/>
    <x v="0"/>
    <s v="APND"/>
    <s v="ELS"/>
    <s v="387"/>
    <s v="4.0 UN"/>
    <s v="STANDARD"/>
    <s v="N"/>
    <s v="N"/>
    <s v="Y"/>
    <s v="T20"/>
    <s v="N"/>
    <s v="N"/>
    <s v="N"/>
    <s v="N"/>
    <s v="A035"/>
    <d v="2016-12-12T00:00:00"/>
    <s v="40"/>
    <s v="TAN"/>
    <s v="OR"/>
    <d v="2016-12-07T00:00:00"/>
    <s v="MI"/>
    <s v="US"/>
    <s v="ZR"/>
    <d v="2016-12-07T00:00:00"/>
  </r>
  <r>
    <x v="0"/>
    <x v="0"/>
    <x v="352"/>
    <x v="4"/>
    <s v="Standard order"/>
    <x v="337"/>
    <x v="337"/>
    <s v="R059"/>
    <s v="CRYSTAL RR059"/>
    <s v="5003528"/>
    <s v="R059 ACH T20 Kabina ELS"/>
    <n v="40"/>
    <n v="0"/>
    <n v="40"/>
    <x v="0"/>
    <s v="AP73"/>
    <s v="ELS"/>
    <s v="387"/>
    <s v="4.0 UN"/>
    <s v="STANDARD"/>
    <s v="N"/>
    <s v="N"/>
    <s v="Y"/>
    <s v="T20"/>
    <s v="N"/>
    <s v="N"/>
    <s v="N"/>
    <s v="N"/>
    <s v="A035"/>
    <d v="2016-12-12T00:00:00"/>
    <s v="50"/>
    <s v="TAN"/>
    <s v="OR"/>
    <d v="2016-12-07T00:00:00"/>
    <s v="MI"/>
    <s v="US"/>
    <s v="ZR"/>
    <d v="2016-12-07T00:00:00"/>
  </r>
  <r>
    <x v="0"/>
    <x v="4"/>
    <x v="353"/>
    <x v="17"/>
    <s v="Standard order"/>
    <x v="338"/>
    <x v="338"/>
    <s v="A501"/>
    <s v="CRYSTAL A501"/>
    <s v="5003308"/>
    <s v="A501 ACH PB XL"/>
    <n v="12"/>
    <n v="0"/>
    <n v="12"/>
    <x v="4"/>
    <s v="EZPB"/>
    <s v="X-LARGE"/>
    <s v="314"/>
    <s v="4.0 UN"/>
    <s v="STANDARD"/>
    <s v="N"/>
    <s v="Y"/>
    <s v="N"/>
    <s v="N"/>
    <s v="N"/>
    <s v="N"/>
    <s v="N"/>
    <s v="N"/>
    <s v="A040"/>
    <d v="2016-12-12T00:00:00"/>
    <s v="10"/>
    <s v="TAN"/>
    <s v="OR"/>
    <d v="2016-12-07T00:00:00"/>
    <s v="ID"/>
    <s v="US"/>
    <s v="ZR"/>
    <d v="2016-12-07T00:00:00"/>
  </r>
  <r>
    <x v="0"/>
    <x v="4"/>
    <x v="353"/>
    <x v="17"/>
    <s v="Standard order"/>
    <x v="338"/>
    <x v="338"/>
    <s v="A399"/>
    <s v="CRYSTAL A399NT"/>
    <s v="5002931"/>
    <s v="A399 ACH PB XL"/>
    <n v="40"/>
    <n v="0"/>
    <n v="40"/>
    <x v="4"/>
    <s v="DP71"/>
    <s v="X-LARGE"/>
    <s v="314"/>
    <s v="4.0 UN"/>
    <s v="STANDARD"/>
    <s v="N"/>
    <s v="Y"/>
    <s v="N"/>
    <s v="N"/>
    <s v="N"/>
    <s v="N"/>
    <s v="N"/>
    <s v="N"/>
    <s v="A040"/>
    <d v="2016-12-12T00:00:00"/>
    <s v="20"/>
    <s v="TAN"/>
    <s v="OR"/>
    <d v="2016-12-07T00:00:00"/>
    <s v="ID"/>
    <s v="US"/>
    <s v="ZR"/>
    <d v="2016-12-07T00:00:00"/>
  </r>
  <r>
    <x v="0"/>
    <x v="5"/>
    <x v="354"/>
    <x v="13"/>
    <s v="Standard order"/>
    <x v="339"/>
    <x v="339"/>
    <s v="Y400"/>
    <s v="CRYSTAL Y400NT"/>
    <s v="5003735"/>
    <s v="Y400 ACH T20 PB SYSTIVA RP"/>
    <n v="92"/>
    <n v="0"/>
    <n v="92"/>
    <x v="5"/>
    <s v="4TBP"/>
    <s v="RP"/>
    <s v="324"/>
    <s v="4.0 UN"/>
    <s v="STANDARD"/>
    <s v="N"/>
    <s v="Y"/>
    <s v="N"/>
    <s v="T20"/>
    <s v="Y"/>
    <s v="N"/>
    <s v="N"/>
    <s v="N"/>
    <s v="A015"/>
    <d v="2016-12-12T00:00:00"/>
    <s v="10"/>
    <s v="TAN"/>
    <s v="OR"/>
    <d v="2016-12-07T00:00:00"/>
    <s v="MT"/>
    <s v="US"/>
    <s v="ZR"/>
    <d v="2016-12-07T00:00:00"/>
  </r>
  <r>
    <x v="0"/>
    <x v="2"/>
    <x v="355"/>
    <x v="3"/>
    <s v="Standard order"/>
    <x v="340"/>
    <x v="340"/>
    <s v="R014"/>
    <s v="CRYSTAL RR014"/>
    <s v="5003090"/>
    <s v="R014 ACH T20 PB SYSTIVA ELS"/>
    <n v="200"/>
    <n v="0"/>
    <n v="200"/>
    <x v="2"/>
    <s v="AP82"/>
    <s v="ELS"/>
    <s v="324"/>
    <s v="4.0 UN"/>
    <s v="STANDARD"/>
    <s v="N"/>
    <s v="Y"/>
    <s v="N"/>
    <s v="T20"/>
    <s v="Y"/>
    <s v="N"/>
    <s v="Y"/>
    <s v="N"/>
    <s v="A024"/>
    <d v="2016-12-12T00:00:00"/>
    <s v="10"/>
    <s v="TAN"/>
    <s v="OR"/>
    <d v="2016-12-07T00:00:00"/>
    <s v="NE"/>
    <s v="US"/>
    <s v="ZR"/>
    <d v="2016-12-07T00:00:00"/>
  </r>
  <r>
    <x v="0"/>
    <x v="5"/>
    <x v="356"/>
    <x v="12"/>
    <s v="Standard order"/>
    <x v="341"/>
    <x v="341"/>
    <s v="Y400"/>
    <s v="CRYSTAL Y400NT"/>
    <s v="5003731"/>
    <s v="Y400 ACH T20 PB SYSTIVA ELS"/>
    <n v="12"/>
    <n v="0"/>
    <n v="12"/>
    <x v="5"/>
    <s v="4TBP"/>
    <s v="ELS"/>
    <s v="324"/>
    <s v="4.0 UN"/>
    <s v="STANDARD"/>
    <s v="N"/>
    <s v="Y"/>
    <s v="N"/>
    <s v="T20"/>
    <s v="Y"/>
    <s v="N"/>
    <s v="N"/>
    <s v="N"/>
    <s v="A014"/>
    <d v="2016-12-12T00:00:00"/>
    <s v="10"/>
    <s v="TAN"/>
    <s v="OR"/>
    <d v="2016-12-07T00:00:00"/>
    <s v="MT"/>
    <s v="US"/>
    <s v="ZR"/>
    <d v="2016-12-07T00:00:00"/>
  </r>
  <r>
    <x v="0"/>
    <x v="4"/>
    <x v="357"/>
    <x v="17"/>
    <s v="Standard order"/>
    <x v="342"/>
    <x v="342"/>
    <s v="A399"/>
    <s v="CRYSTAL A399NT"/>
    <s v="5002929"/>
    <s v="A399 ACH PB MED"/>
    <n v="172"/>
    <n v="0"/>
    <n v="172"/>
    <x v="4"/>
    <s v="DP71"/>
    <s v="MEDIUM"/>
    <s v="314"/>
    <s v="4.0 UN"/>
    <s v="STANDARD"/>
    <s v="N"/>
    <s v="Y"/>
    <s v="N"/>
    <s v="N"/>
    <s v="N"/>
    <s v="N"/>
    <s v="N"/>
    <s v="N"/>
    <s v="A040"/>
    <d v="2016-12-12T00:00:00"/>
    <s v="10"/>
    <s v="TAN"/>
    <s v="OR"/>
    <d v="2016-12-07T00:00:00"/>
    <s v="ID"/>
    <s v="US"/>
    <s v="ZR"/>
    <d v="2016-12-07T00:00:00"/>
  </r>
  <r>
    <x v="0"/>
    <x v="0"/>
    <x v="358"/>
    <x v="2"/>
    <s v="Standard order"/>
    <x v="343"/>
    <x v="343"/>
    <s v="G351"/>
    <s v="CRYSTAL G351NT"/>
    <s v="5003397"/>
    <s v="G351 ACH T20 Kabina MP"/>
    <n v="24"/>
    <n v="0"/>
    <n v="24"/>
    <x v="0"/>
    <s v="DA73"/>
    <s v="MP"/>
    <s v="387"/>
    <s v="4.0 UN"/>
    <s v="STANDARD"/>
    <s v="N"/>
    <s v="N"/>
    <s v="Y"/>
    <s v="T20"/>
    <s v="N"/>
    <s v="N"/>
    <s v="N"/>
    <s v="N"/>
    <s v="A034"/>
    <d v="2016-12-12T00:00:00"/>
    <s v="10"/>
    <s v="TAN"/>
    <s v="OR"/>
    <d v="2016-12-07T00:00:00"/>
    <s v="MI"/>
    <s v="US"/>
    <s v="ZR"/>
    <d v="2016-12-07T00:00:00"/>
  </r>
  <r>
    <x v="0"/>
    <x v="4"/>
    <x v="359"/>
    <x v="8"/>
    <s v="Standard order"/>
    <x v="344"/>
    <x v="344"/>
    <s v="A488"/>
    <s v="CRYSTAL A488NT"/>
    <s v="5002983"/>
    <s v="A488 ACH PB XL"/>
    <n v="24"/>
    <n v="0"/>
    <n v="24"/>
    <x v="4"/>
    <s v="EENE"/>
    <s v="X-LARGE"/>
    <s v="314"/>
    <s v="4.0 UN"/>
    <s v="STANDARD"/>
    <s v="N"/>
    <s v="Y"/>
    <s v="N"/>
    <s v="N"/>
    <s v="N"/>
    <s v="N"/>
    <s v="N"/>
    <s v="N"/>
    <s v="A044"/>
    <d v="2016-12-12T00:00:00"/>
    <s v="10"/>
    <s v="TAN"/>
    <s v="OR"/>
    <d v="2016-12-07T00:00:00"/>
    <s v="ID"/>
    <s v="US"/>
    <s v="ZR"/>
    <d v="2016-12-07T00:00:00"/>
  </r>
  <r>
    <x v="0"/>
    <x v="4"/>
    <x v="359"/>
    <x v="8"/>
    <s v="Standard order"/>
    <x v="344"/>
    <x v="344"/>
    <s v="A399"/>
    <s v="CRYSTAL A399NT"/>
    <s v="5002931"/>
    <s v="A399 ACH PB XL"/>
    <n v="24"/>
    <n v="0"/>
    <n v="24"/>
    <x v="4"/>
    <s v="DP71"/>
    <s v="X-LARGE"/>
    <s v="314"/>
    <s v="4.0 UN"/>
    <s v="STANDARD"/>
    <s v="N"/>
    <s v="Y"/>
    <s v="N"/>
    <s v="N"/>
    <s v="N"/>
    <s v="N"/>
    <s v="N"/>
    <s v="N"/>
    <s v="A044"/>
    <d v="2016-12-12T00:00:00"/>
    <s v="20"/>
    <s v="TAN"/>
    <s v="OR"/>
    <d v="2016-12-07T00:00:00"/>
    <s v="ID"/>
    <s v="US"/>
    <s v="ZR"/>
    <d v="2016-12-07T00:00:00"/>
  </r>
  <r>
    <x v="0"/>
    <x v="0"/>
    <x v="360"/>
    <x v="10"/>
    <s v="Standard order"/>
    <x v="345"/>
    <x v="345"/>
    <s v="R059"/>
    <s v="CRYSTAL RR059"/>
    <s v="5003530"/>
    <s v="R059 ACH T20 Kabina RP"/>
    <n v="92"/>
    <n v="0"/>
    <n v="92"/>
    <x v="0"/>
    <s v="AP73"/>
    <s v="RP"/>
    <s v="387"/>
    <s v="4.0 UN"/>
    <s v="STANDARD"/>
    <s v="N"/>
    <s v="N"/>
    <s v="Y"/>
    <s v="T20"/>
    <s v="N"/>
    <s v="N"/>
    <s v="N"/>
    <s v="N"/>
    <s v="A036"/>
    <d v="2016-12-12T00:00:00"/>
    <s v="10"/>
    <s v="TAN"/>
    <s v="OR"/>
    <d v="2016-12-07T00:00:00"/>
    <s v="MI"/>
    <s v="US"/>
    <s v="ZR"/>
    <d v="2016-12-07T00:00:00"/>
  </r>
  <r>
    <x v="0"/>
    <x v="0"/>
    <x v="360"/>
    <x v="10"/>
    <s v="Standard order"/>
    <x v="345"/>
    <x v="345"/>
    <s v="G333"/>
    <s v="CRYSTAL G333NT"/>
    <s v="5003378"/>
    <s v="G333 ACH T20 Kabina RP"/>
    <n v="96"/>
    <n v="0"/>
    <n v="96"/>
    <x v="0"/>
    <s v="EE73"/>
    <s v="RP"/>
    <s v="387"/>
    <s v="4.0 UN"/>
    <s v="STANDARD"/>
    <s v="N"/>
    <s v="N"/>
    <s v="Y"/>
    <s v="T20"/>
    <s v="N"/>
    <s v="N"/>
    <s v="N"/>
    <s v="N"/>
    <s v="A036"/>
    <d v="2016-12-12T00:00:00"/>
    <s v="20"/>
    <s v="TAN"/>
    <s v="OR"/>
    <d v="2016-12-07T00:00:00"/>
    <s v="MI"/>
    <s v="US"/>
    <s v="ZR"/>
    <d v="2016-12-07T00:00:00"/>
  </r>
  <r>
    <x v="0"/>
    <x v="4"/>
    <x v="361"/>
    <x v="18"/>
    <s v="Standard order"/>
    <x v="346"/>
    <x v="346"/>
    <s v="R081"/>
    <s v="CRYSTAL RR081"/>
    <s v="5003551"/>
    <s v="R081 ACH PB LRG IDH"/>
    <n v="212"/>
    <n v="0"/>
    <n v="212"/>
    <x v="4"/>
    <s v="AQ82"/>
    <s v="LARGE"/>
    <s v="314"/>
    <s v="4.0 UN"/>
    <s v="STANDARD"/>
    <s v="N"/>
    <s v="Y"/>
    <s v="N"/>
    <s v="N"/>
    <s v="N"/>
    <s v="N"/>
    <s v="N"/>
    <s v="N"/>
    <s v="A041"/>
    <d v="2016-12-12T00:00:00"/>
    <s v="10"/>
    <s v="TAN"/>
    <s v="OR"/>
    <d v="2016-12-07T00:00:00"/>
    <s v="ID"/>
    <s v="US"/>
    <s v="ZR"/>
    <d v="2016-12-07T00:00:00"/>
  </r>
  <r>
    <x v="0"/>
    <x v="4"/>
    <x v="361"/>
    <x v="18"/>
    <s v="Standard order"/>
    <x v="346"/>
    <x v="346"/>
    <s v="A501"/>
    <s v="CRYSTAL A501"/>
    <s v="5003305"/>
    <s v="A501 ACH PB LRG"/>
    <n v="128"/>
    <n v="0"/>
    <n v="128"/>
    <x v="4"/>
    <s v="EZPB"/>
    <s v="LARGE"/>
    <s v="314"/>
    <s v="4.0 UN"/>
    <s v="STANDARD"/>
    <s v="N"/>
    <s v="Y"/>
    <s v="N"/>
    <s v="N"/>
    <s v="N"/>
    <s v="N"/>
    <s v="N"/>
    <s v="N"/>
    <s v="A041"/>
    <d v="2016-12-12T00:00:00"/>
    <s v="20"/>
    <s v="TAN"/>
    <s v="OR"/>
    <d v="2016-12-07T00:00:00"/>
    <s v="ID"/>
    <s v="US"/>
    <s v="ZR"/>
    <d v="2016-12-07T00:00:00"/>
  </r>
  <r>
    <x v="0"/>
    <x v="4"/>
    <x v="362"/>
    <x v="18"/>
    <s v="Standard order"/>
    <x v="347"/>
    <x v="347"/>
    <s v="A404"/>
    <s v="CRYSTAL A404NT"/>
    <s v="5002954"/>
    <s v="A404 ACH PB LRG"/>
    <n v="44"/>
    <n v="0"/>
    <n v="44"/>
    <x v="4"/>
    <s v="DPNE"/>
    <s v="LARGE"/>
    <s v="314"/>
    <s v="4.0 UN"/>
    <s v="STANDARD"/>
    <s v="N"/>
    <s v="Y"/>
    <s v="N"/>
    <s v="N"/>
    <s v="N"/>
    <s v="N"/>
    <s v="N"/>
    <s v="N"/>
    <s v="A041"/>
    <d v="2016-12-12T00:00:00"/>
    <s v="10"/>
    <s v="TAN"/>
    <s v="OR"/>
    <d v="2016-12-07T00:00:00"/>
    <s v="ID"/>
    <s v="US"/>
    <s v="ZR"/>
    <d v="2016-12-07T00:00:00"/>
  </r>
  <r>
    <x v="0"/>
    <x v="4"/>
    <x v="362"/>
    <x v="18"/>
    <s v="Standard order"/>
    <x v="347"/>
    <x v="347"/>
    <s v="A501"/>
    <s v="CRYSTAL A501"/>
    <s v="5003305"/>
    <s v="A501 ACH PB LRG"/>
    <n v="48"/>
    <n v="0"/>
    <n v="48"/>
    <x v="4"/>
    <s v="EZPB"/>
    <s v="LARGE"/>
    <s v="314"/>
    <s v="4.0 UN"/>
    <s v="STANDARD"/>
    <s v="N"/>
    <s v="Y"/>
    <s v="N"/>
    <s v="N"/>
    <s v="N"/>
    <s v="N"/>
    <s v="N"/>
    <s v="N"/>
    <s v="A041"/>
    <d v="2016-12-12T00:00:00"/>
    <s v="20"/>
    <s v="TAN"/>
    <s v="OR"/>
    <d v="2016-12-07T00:00:00"/>
    <s v="ID"/>
    <s v="US"/>
    <s v="ZR"/>
    <d v="2016-12-07T00:00:00"/>
  </r>
  <r>
    <x v="0"/>
    <x v="4"/>
    <x v="362"/>
    <x v="18"/>
    <s v="Standard order"/>
    <x v="347"/>
    <x v="347"/>
    <s v="A399"/>
    <s v="CRYSTAL A399NT"/>
    <s v="5002928"/>
    <s v="A399 ACH PB LRG"/>
    <n v="72"/>
    <n v="0"/>
    <n v="72"/>
    <x v="4"/>
    <s v="DP71"/>
    <s v="LARGE"/>
    <s v="314"/>
    <s v="4.0 UN"/>
    <s v="STANDARD"/>
    <s v="N"/>
    <s v="Y"/>
    <s v="N"/>
    <s v="N"/>
    <s v="N"/>
    <s v="N"/>
    <s v="N"/>
    <s v="N"/>
    <s v="A041"/>
    <d v="2016-12-12T00:00:00"/>
    <s v="30"/>
    <s v="TAN"/>
    <s v="OR"/>
    <d v="2016-12-07T00:00:00"/>
    <s v="ID"/>
    <s v="US"/>
    <s v="ZR"/>
    <d v="2016-12-07T00:00:00"/>
  </r>
  <r>
    <x v="0"/>
    <x v="4"/>
    <x v="362"/>
    <x v="18"/>
    <s v="Standard order"/>
    <x v="347"/>
    <x v="347"/>
    <s v="R081"/>
    <s v="CRYSTAL RR081"/>
    <s v="5003551"/>
    <s v="R081 ACH PB LRG IDH"/>
    <n v="84"/>
    <n v="0"/>
    <n v="84"/>
    <x v="4"/>
    <s v="AQ82"/>
    <s v="LARGE"/>
    <s v="314"/>
    <s v="4.0 UN"/>
    <s v="STANDARD"/>
    <s v="N"/>
    <s v="Y"/>
    <s v="N"/>
    <s v="N"/>
    <s v="N"/>
    <s v="N"/>
    <s v="N"/>
    <s v="N"/>
    <s v="A041"/>
    <d v="2016-12-12T00:00:00"/>
    <s v="40"/>
    <s v="TAN"/>
    <s v="OR"/>
    <d v="2016-12-07T00:00:00"/>
    <s v="ID"/>
    <s v="US"/>
    <s v="ZR"/>
    <d v="2016-12-07T00:00:00"/>
  </r>
  <r>
    <x v="0"/>
    <x v="4"/>
    <x v="362"/>
    <x v="18"/>
    <s v="Standard order"/>
    <x v="347"/>
    <x v="347"/>
    <s v="A399"/>
    <s v="CRYSTAL A399NT"/>
    <s v="5002928"/>
    <s v="A399 ACH PB LRG"/>
    <n v="40"/>
    <n v="0"/>
    <n v="40"/>
    <x v="4"/>
    <s v="DP71"/>
    <s v="LARGE"/>
    <s v="314"/>
    <s v="4.0 UN"/>
    <s v="STANDARD"/>
    <s v="N"/>
    <s v="Y"/>
    <s v="N"/>
    <s v="N"/>
    <s v="N"/>
    <s v="N"/>
    <s v="N"/>
    <s v="N"/>
    <s v="A041"/>
    <d v="2016-12-12T00:00:00"/>
    <s v="50"/>
    <s v="TAN"/>
    <s v="OR"/>
    <d v="2016-12-07T00:00:00"/>
    <s v="ID"/>
    <s v="US"/>
    <s v="ZR"/>
    <d v="2016-12-07T00:00:00"/>
  </r>
  <r>
    <x v="0"/>
    <x v="4"/>
    <x v="362"/>
    <x v="18"/>
    <s v="Standard order"/>
    <x v="347"/>
    <x v="347"/>
    <s v="R081"/>
    <s v="CRYSTAL RR081"/>
    <s v="5003551"/>
    <s v="R081 ACH PB LRG IDH"/>
    <n v="40"/>
    <n v="0"/>
    <n v="40"/>
    <x v="4"/>
    <s v="AQ82"/>
    <s v="LARGE"/>
    <s v="314"/>
    <s v="4.0 UN"/>
    <s v="STANDARD"/>
    <s v="N"/>
    <s v="Y"/>
    <s v="N"/>
    <s v="N"/>
    <s v="N"/>
    <s v="N"/>
    <s v="N"/>
    <s v="N"/>
    <s v="A041"/>
    <d v="2016-12-12T00:00:00"/>
    <s v="60"/>
    <s v="TAN"/>
    <s v="OR"/>
    <d v="2016-12-07T00:00:00"/>
    <s v="ID"/>
    <s v="US"/>
    <s v="ZR"/>
    <d v="2016-12-07T00:00:00"/>
  </r>
  <r>
    <x v="0"/>
    <x v="0"/>
    <x v="363"/>
    <x v="4"/>
    <s v="Standard order"/>
    <x v="348"/>
    <x v="348"/>
    <s v="R059"/>
    <s v="CRYSTAL RR059"/>
    <s v="5003529"/>
    <s v="R059 ACH T20 Kabina MP"/>
    <n v="60"/>
    <n v="0"/>
    <n v="60"/>
    <x v="0"/>
    <s v="AP73"/>
    <s v="MP"/>
    <s v="387"/>
    <s v="4.0 UN"/>
    <s v="STANDARD"/>
    <s v="N"/>
    <s v="N"/>
    <s v="Y"/>
    <s v="T20"/>
    <s v="N"/>
    <s v="N"/>
    <s v="N"/>
    <s v="N"/>
    <s v="A035"/>
    <d v="2016-12-12T00:00:00"/>
    <s v="10"/>
    <s v="TAN"/>
    <s v="OR"/>
    <d v="2016-12-07T00:00:00"/>
    <s v="MI"/>
    <s v="US"/>
    <s v="ZR"/>
    <d v="2016-12-07T00:00:00"/>
  </r>
  <r>
    <x v="0"/>
    <x v="0"/>
    <x v="363"/>
    <x v="4"/>
    <s v="Standard order"/>
    <x v="348"/>
    <x v="348"/>
    <s v="G515"/>
    <s v="CRYSTAL G515"/>
    <s v="5003018"/>
    <s v="G515 ACH T20 Kabina MP"/>
    <n v="20"/>
    <n v="0"/>
    <n v="20"/>
    <x v="0"/>
    <s v="APND"/>
    <s v="MP"/>
    <s v="387"/>
    <s v="4.0 UN"/>
    <s v="STANDARD"/>
    <s v="N"/>
    <s v="N"/>
    <s v="Y"/>
    <s v="T20"/>
    <s v="N"/>
    <s v="N"/>
    <s v="N"/>
    <s v="N"/>
    <s v="A035"/>
    <d v="2016-12-12T00:00:00"/>
    <s v="20"/>
    <s v="TAN"/>
    <s v="OR"/>
    <d v="2016-12-07T00:00:00"/>
    <s v="MI"/>
    <s v="US"/>
    <s v="ZR"/>
    <d v="2016-12-07T00:00:00"/>
  </r>
  <r>
    <x v="0"/>
    <x v="0"/>
    <x v="363"/>
    <x v="4"/>
    <s v="Standard order"/>
    <x v="348"/>
    <x v="348"/>
    <s v="G351"/>
    <s v="CRYSTAL G351NT"/>
    <s v="5003397"/>
    <s v="G351 ACH T20 Kabina MP"/>
    <n v="20"/>
    <n v="0"/>
    <n v="20"/>
    <x v="0"/>
    <s v="DA73"/>
    <s v="MP"/>
    <s v="387"/>
    <s v="4.0 UN"/>
    <s v="STANDARD"/>
    <s v="N"/>
    <s v="N"/>
    <s v="Y"/>
    <s v="T20"/>
    <s v="N"/>
    <s v="N"/>
    <s v="N"/>
    <s v="N"/>
    <s v="A035"/>
    <d v="2016-12-12T00:00:00"/>
    <s v="30"/>
    <s v="TAN"/>
    <s v="OR"/>
    <d v="2016-12-07T00:00:00"/>
    <s v="MI"/>
    <s v="US"/>
    <s v="ZR"/>
    <d v="2016-12-07T00:00:00"/>
  </r>
  <r>
    <x v="0"/>
    <x v="5"/>
    <x v="364"/>
    <x v="14"/>
    <s v="Standard order"/>
    <x v="349"/>
    <x v="349"/>
    <s v="Y400"/>
    <s v="CRYSTAL Y400NT"/>
    <s v="5003733"/>
    <s v="Y400 ACH T20 PB SYSTIVA MP"/>
    <n v="8"/>
    <n v="0"/>
    <n v="8"/>
    <x v="5"/>
    <s v="4TBP"/>
    <s v="MP"/>
    <s v="324"/>
    <s v="4.0 UN"/>
    <s v="STANDARD"/>
    <s v="N"/>
    <s v="Y"/>
    <s v="N"/>
    <s v="T20"/>
    <s v="Y"/>
    <s v="N"/>
    <s v="N"/>
    <s v="N"/>
    <s v="A017"/>
    <d v="2016-12-12T00:00:00"/>
    <s v="10"/>
    <s v="TAN"/>
    <s v="OR"/>
    <d v="2016-12-06T00:00:00"/>
    <s v="WY"/>
    <s v="US"/>
    <s v="ZR"/>
    <d v="2016-12-07T00:00:00"/>
  </r>
  <r>
    <x v="0"/>
    <x v="5"/>
    <x v="365"/>
    <x v="9"/>
    <s v="Standard order"/>
    <x v="350"/>
    <x v="350"/>
    <s v="R116"/>
    <s v="CRYSTAL RR116"/>
    <s v="5003105"/>
    <s v="R116 ACH T20 PB SYSTIVA RP"/>
    <n v="20"/>
    <n v="0"/>
    <n v="20"/>
    <x v="5"/>
    <s v="AP71"/>
    <s v="RP"/>
    <s v="324"/>
    <s v="4.0 UN"/>
    <s v="STANDARD"/>
    <s v="N"/>
    <s v="Y"/>
    <s v="N"/>
    <s v="T20"/>
    <s v="Y"/>
    <s v="N"/>
    <s v="N"/>
    <s v="N"/>
    <s v="A016"/>
    <d v="2016-12-12T00:00:00"/>
    <s v="10"/>
    <s v="TAN"/>
    <s v="OR"/>
    <d v="2016-12-06T00:00:00"/>
    <s v="WY"/>
    <s v="US"/>
    <s v="ZR"/>
    <d v="2016-12-07T00:00:00"/>
  </r>
  <r>
    <x v="0"/>
    <x v="4"/>
    <x v="366"/>
    <x v="8"/>
    <s v="Standard order"/>
    <x v="351"/>
    <x v="351"/>
    <s v="A399"/>
    <s v="CRYSTAL A399NT"/>
    <s v="5002928"/>
    <s v="A399 ACH PB LRG"/>
    <n v="48"/>
    <n v="0"/>
    <n v="48"/>
    <x v="4"/>
    <s v="DP71"/>
    <s v="LARGE"/>
    <s v="314"/>
    <s v="4.0 UN"/>
    <s v="STANDARD"/>
    <s v="N"/>
    <s v="Y"/>
    <s v="N"/>
    <s v="N"/>
    <s v="N"/>
    <s v="N"/>
    <s v="N"/>
    <s v="N"/>
    <s v="A044"/>
    <d v="2016-12-12T00:00:00"/>
    <s v="10"/>
    <s v="TAN"/>
    <s v="OR"/>
    <d v="2016-12-06T00:00:00"/>
    <s v="ID"/>
    <s v="US"/>
    <s v="ZR"/>
    <d v="2016-12-07T00:00:00"/>
  </r>
  <r>
    <x v="0"/>
    <x v="4"/>
    <x v="366"/>
    <x v="8"/>
    <s v="Standard order"/>
    <x v="351"/>
    <x v="351"/>
    <s v="A404"/>
    <s v="CRYSTAL A404NT"/>
    <s v="5002954"/>
    <s v="A404 ACH PB LRG"/>
    <n v="40"/>
    <n v="0"/>
    <n v="40"/>
    <x v="4"/>
    <s v="DPNE"/>
    <s v="LARGE"/>
    <s v="314"/>
    <s v="4.0 UN"/>
    <s v="STANDARD"/>
    <s v="N"/>
    <s v="Y"/>
    <s v="N"/>
    <s v="N"/>
    <s v="N"/>
    <s v="N"/>
    <s v="N"/>
    <s v="N"/>
    <s v="A044"/>
    <d v="2016-12-12T00:00:00"/>
    <s v="20"/>
    <s v="TAN"/>
    <s v="OR"/>
    <d v="2016-12-06T00:00:00"/>
    <s v="ID"/>
    <s v="US"/>
    <s v="ZR"/>
    <d v="2016-12-07T00:00:00"/>
  </r>
  <r>
    <x v="0"/>
    <x v="4"/>
    <x v="366"/>
    <x v="8"/>
    <s v="Standard order"/>
    <x v="351"/>
    <x v="351"/>
    <s v="A501"/>
    <s v="CRYSTAL A501"/>
    <s v="5003305"/>
    <s v="A501 ACH PB LRG"/>
    <n v="8"/>
    <n v="0"/>
    <n v="8"/>
    <x v="4"/>
    <s v="EZPB"/>
    <s v="LARGE"/>
    <s v="314"/>
    <s v="4.0 UN"/>
    <s v="STANDARD"/>
    <s v="N"/>
    <s v="Y"/>
    <s v="N"/>
    <s v="N"/>
    <s v="N"/>
    <s v="N"/>
    <s v="N"/>
    <s v="N"/>
    <s v="A044"/>
    <d v="2016-12-12T00:00:00"/>
    <s v="30"/>
    <s v="TAN"/>
    <s v="OR"/>
    <d v="2016-12-06T00:00:00"/>
    <s v="ID"/>
    <s v="US"/>
    <s v="ZR"/>
    <d v="2016-12-07T00:00:00"/>
  </r>
  <r>
    <x v="0"/>
    <x v="5"/>
    <x v="367"/>
    <x v="14"/>
    <s v="Standard order"/>
    <x v="352"/>
    <x v="352"/>
    <s v="Y400"/>
    <s v="CRYSTAL Y400NT"/>
    <s v="5003733"/>
    <s v="Y400 ACH T20 PB SYSTIVA MP"/>
    <n v="8"/>
    <n v="0"/>
    <n v="8"/>
    <x v="5"/>
    <s v="4TBP"/>
    <s v="MP"/>
    <s v="324"/>
    <s v="4.0 UN"/>
    <s v="STANDARD"/>
    <s v="N"/>
    <s v="Y"/>
    <s v="N"/>
    <s v="T20"/>
    <s v="Y"/>
    <s v="N"/>
    <s v="N"/>
    <s v="N"/>
    <s v="A017"/>
    <d v="2016-12-12T00:00:00"/>
    <s v="10"/>
    <s v="TAN"/>
    <s v="OR"/>
    <d v="2016-12-06T00:00:00"/>
    <s v="WY"/>
    <s v="US"/>
    <s v="ZR"/>
    <d v="2016-12-07T00:00:00"/>
  </r>
  <r>
    <x v="0"/>
    <x v="5"/>
    <x v="367"/>
    <x v="14"/>
    <s v="Standard order"/>
    <x v="352"/>
    <x v="352"/>
    <s v="Y313"/>
    <s v="CRYSTAL Y313NT"/>
    <s v="5003709"/>
    <s v="Y313 ACH T20 PB SYSTIVA MP"/>
    <n v="32"/>
    <n v="0"/>
    <n v="32"/>
    <x v="5"/>
    <s v="DLNC"/>
    <s v="MP"/>
    <s v="324"/>
    <s v="4.0 UN"/>
    <s v="STANDARD"/>
    <s v="N"/>
    <s v="Y"/>
    <s v="N"/>
    <s v="T20"/>
    <s v="Y"/>
    <s v="N"/>
    <s v="N"/>
    <s v="N"/>
    <s v="A017"/>
    <d v="2016-12-12T00:00:00"/>
    <s v="20"/>
    <s v="TAN"/>
    <s v="OR"/>
    <d v="2016-12-06T00:00:00"/>
    <s v="WY"/>
    <s v="US"/>
    <s v="ZR"/>
    <d v="2016-12-07T00:00:00"/>
  </r>
  <r>
    <x v="0"/>
    <x v="5"/>
    <x v="368"/>
    <x v="14"/>
    <s v="Standard order"/>
    <x v="353"/>
    <x v="353"/>
    <s v="Y400"/>
    <s v="CRYSTAL Y400NT"/>
    <s v="5003735"/>
    <s v="Y400 ACH T20 PB SYSTIVA RP"/>
    <n v="20"/>
    <n v="0"/>
    <n v="20"/>
    <x v="5"/>
    <s v="4TBP"/>
    <s v="RP"/>
    <s v="324"/>
    <s v="4.0 UN"/>
    <s v="STANDARD"/>
    <s v="N"/>
    <s v="Y"/>
    <s v="N"/>
    <s v="T20"/>
    <s v="Y"/>
    <s v="N"/>
    <s v="N"/>
    <s v="N"/>
    <s v="A017"/>
    <d v="2016-12-12T00:00:00"/>
    <s v="10"/>
    <s v="TAN"/>
    <s v="OR"/>
    <d v="2016-12-06T00:00:00"/>
    <s v="WY"/>
    <s v="US"/>
    <s v="ZR"/>
    <d v="2016-12-07T00:00:00"/>
  </r>
  <r>
    <x v="0"/>
    <x v="2"/>
    <x v="369"/>
    <x v="22"/>
    <s v="Standard order"/>
    <x v="354"/>
    <x v="354"/>
    <s v="W322"/>
    <s v="CRYSTAL W322NT"/>
    <s v="5003488"/>
    <s v="W322 ACH T20 PB SYSTIVA G100"/>
    <n v="12"/>
    <n v="0"/>
    <n v="12"/>
    <x v="2"/>
    <s v="EE73"/>
    <s v="GEM 100"/>
    <s v="324"/>
    <s v="4.0 UN"/>
    <s v="STANDARD"/>
    <s v="N"/>
    <s v="Y"/>
    <s v="N"/>
    <s v="T20"/>
    <s v="Y"/>
    <s v="N"/>
    <s v="Y"/>
    <s v="N"/>
    <s v="A018"/>
    <d v="2016-12-12T00:00:00"/>
    <s v="10"/>
    <s v="TAN"/>
    <s v="OR"/>
    <d v="2016-12-06T00:00:00"/>
    <s v="CO"/>
    <s v="US"/>
    <s v="ZR"/>
    <d v="2016-12-07T00:00:00"/>
  </r>
  <r>
    <x v="0"/>
    <x v="6"/>
    <x v="370"/>
    <x v="11"/>
    <s v="Standard order"/>
    <x v="355"/>
    <x v="355"/>
    <s v="S517"/>
    <s v="CRYSTAL S517"/>
    <s v="5003466"/>
    <s v="S517 ACH T20 PB SYSTIVA ELS"/>
    <n v="24"/>
    <n v="0"/>
    <n v="24"/>
    <x v="6"/>
    <s v="DVNV"/>
    <s v="ELS"/>
    <s v="324"/>
    <s v="4.0 UN"/>
    <s v="STANDARD"/>
    <s v="N"/>
    <s v="Y"/>
    <s v="N"/>
    <s v="T20"/>
    <s v="Y"/>
    <s v="N"/>
    <s v="Y"/>
    <s v="N"/>
    <s v="A038"/>
    <d v="2016-12-12T00:00:00"/>
    <s v="10"/>
    <s v="TAN"/>
    <s v="OR"/>
    <d v="2016-12-06T00:00:00"/>
    <s v="MT"/>
    <s v="US"/>
    <s v="ZR"/>
    <d v="2016-12-07T00:00:00"/>
  </r>
  <r>
    <x v="0"/>
    <x v="6"/>
    <x v="370"/>
    <x v="11"/>
    <s v="Standard order"/>
    <x v="355"/>
    <x v="355"/>
    <s v="S360"/>
    <s v="CRYSTAL S360NT"/>
    <s v="5003412"/>
    <s v="S360 ACH T20 PB SYSTIVA ELS"/>
    <n v="88"/>
    <n v="0"/>
    <n v="88"/>
    <x v="6"/>
    <s v="DVNB"/>
    <s v="ELS"/>
    <s v="324"/>
    <s v="4.0 UN"/>
    <s v="STANDARD"/>
    <s v="N"/>
    <s v="Y"/>
    <s v="N"/>
    <s v="T20"/>
    <s v="Y"/>
    <s v="N"/>
    <s v="Y"/>
    <s v="N"/>
    <s v="A038"/>
    <d v="2016-12-12T00:00:00"/>
    <s v="20"/>
    <s v="TAN"/>
    <s v="OR"/>
    <d v="2016-12-06T00:00:00"/>
    <s v="MT"/>
    <s v="US"/>
    <s v="ZR"/>
    <d v="2016-12-07T00:00:00"/>
  </r>
  <r>
    <x v="0"/>
    <x v="6"/>
    <x v="370"/>
    <x v="11"/>
    <s v="Standard order"/>
    <x v="355"/>
    <x v="355"/>
    <s v="R052"/>
    <s v="CRYSTAL RR052"/>
    <s v="5003400"/>
    <s v="R052 ACH T20 PB CL SYSTIVA ELS"/>
    <n v="12"/>
    <n v="0"/>
    <n v="12"/>
    <x v="6"/>
    <s v="AP82"/>
    <s v="ELS"/>
    <s v="321"/>
    <s v="4.0 UN"/>
    <s v="STANDARD"/>
    <s v="N"/>
    <s v="N"/>
    <s v="N"/>
    <s v="T20"/>
    <s v="Y"/>
    <s v="N"/>
    <s v="Y"/>
    <s v="N"/>
    <s v="A038"/>
    <d v="2016-12-12T00:00:00"/>
    <s v="30"/>
    <s v="TAN"/>
    <s v="OR"/>
    <d v="2016-12-06T00:00:00"/>
    <s v="MT"/>
    <s v="US"/>
    <s v="ZR"/>
    <d v="2016-12-07T00:00:00"/>
  </r>
  <r>
    <x v="0"/>
    <x v="6"/>
    <x v="370"/>
    <x v="11"/>
    <s v="Standard order"/>
    <x v="355"/>
    <x v="355"/>
    <s v="S498"/>
    <s v="CRYSTAL S498"/>
    <s v="5003418"/>
    <s v="S498 ACH T20 PB CL SYSTIVA ELS"/>
    <n v="40"/>
    <n v="0"/>
    <n v="40"/>
    <x v="6"/>
    <s v="FE73"/>
    <s v="ELS"/>
    <s v="321"/>
    <s v="4.0 UN"/>
    <s v="STANDARD"/>
    <s v="N"/>
    <s v="N"/>
    <s v="N"/>
    <s v="T20"/>
    <s v="Y"/>
    <s v="N"/>
    <s v="Y"/>
    <s v="N"/>
    <s v="A038"/>
    <d v="2016-12-12T00:00:00"/>
    <s v="40"/>
    <s v="TAN"/>
    <s v="OR"/>
    <d v="2016-12-06T00:00:00"/>
    <s v="MT"/>
    <s v="US"/>
    <s v="ZR"/>
    <d v="2016-12-07T00:00:00"/>
  </r>
  <r>
    <x v="0"/>
    <x v="6"/>
    <x v="371"/>
    <x v="11"/>
    <s v="Standard order"/>
    <x v="356"/>
    <x v="356"/>
    <s v="S517"/>
    <s v="CRYSTAL S517"/>
    <s v="5003467"/>
    <s v="S517 ACH T20 PB SYSTIVA G100"/>
    <n v="24"/>
    <n v="0"/>
    <n v="24"/>
    <x v="6"/>
    <s v="DVNV"/>
    <s v="GEM 100"/>
    <s v="324"/>
    <s v="4.0 UN"/>
    <s v="STANDARD"/>
    <s v="N"/>
    <s v="Y"/>
    <s v="N"/>
    <s v="T20"/>
    <s v="Y"/>
    <s v="N"/>
    <s v="Y"/>
    <s v="N"/>
    <s v="A038"/>
    <d v="2016-12-12T00:00:00"/>
    <s v="10"/>
    <s v="TAN"/>
    <s v="OR"/>
    <d v="2016-12-06T00:00:00"/>
    <s v="MT"/>
    <s v="US"/>
    <s v="ZR"/>
    <d v="2016-12-07T00:00:00"/>
  </r>
  <r>
    <x v="0"/>
    <x v="6"/>
    <x v="371"/>
    <x v="11"/>
    <s v="Standard order"/>
    <x v="356"/>
    <x v="356"/>
    <s v="S498"/>
    <s v="CRYSTAL S498"/>
    <s v="5003419"/>
    <s v="S498 ACH T20 PB CL SYSTIVA G100"/>
    <n v="24"/>
    <n v="0"/>
    <n v="24"/>
    <x v="6"/>
    <s v="FE73"/>
    <s v="GEM 100"/>
    <s v="321"/>
    <s v="4.0 UN"/>
    <s v="STANDARD"/>
    <s v="N"/>
    <s v="N"/>
    <s v="N"/>
    <s v="T20"/>
    <s v="Y"/>
    <s v="N"/>
    <s v="Y"/>
    <s v="N"/>
    <s v="A038"/>
    <d v="2016-12-12T00:00:00"/>
    <s v="20"/>
    <s v="TAN"/>
    <s v="OR"/>
    <d v="2016-12-06T00:00:00"/>
    <s v="MT"/>
    <s v="US"/>
    <s v="ZR"/>
    <d v="2016-12-07T00:00:00"/>
  </r>
  <r>
    <x v="0"/>
    <x v="6"/>
    <x v="371"/>
    <x v="11"/>
    <s v="Standard order"/>
    <x v="356"/>
    <x v="356"/>
    <s v="R052"/>
    <s v="CRYSTAL RR052"/>
    <s v="5003501"/>
    <s v="R052 ACH T20 PB CL SYSTIVA G100"/>
    <n v="28"/>
    <n v="0"/>
    <n v="28"/>
    <x v="6"/>
    <s v="AP82"/>
    <s v="GEM 100"/>
    <s v="321"/>
    <s v="4.0 UN"/>
    <s v="STANDARD"/>
    <s v="N"/>
    <s v="N"/>
    <s v="N"/>
    <s v="T20"/>
    <s v="Y"/>
    <s v="N"/>
    <s v="Y"/>
    <s v="N"/>
    <s v="A038"/>
    <d v="2016-12-12T00:00:00"/>
    <s v="30"/>
    <s v="TAN"/>
    <s v="OR"/>
    <d v="2016-12-06T00:00:00"/>
    <s v="MT"/>
    <s v="US"/>
    <s v="ZR"/>
    <d v="2016-12-07T00:00:00"/>
  </r>
  <r>
    <x v="0"/>
    <x v="0"/>
    <x v="372"/>
    <x v="4"/>
    <s v="Standard order"/>
    <x v="357"/>
    <x v="357"/>
    <s v="R059"/>
    <s v="CRYSTAL RR059"/>
    <s v="5003529"/>
    <s v="R059 ACH T20 Kabina MP"/>
    <n v="220"/>
    <n v="0"/>
    <n v="220"/>
    <x v="0"/>
    <s v="AP73"/>
    <s v="MP"/>
    <s v="387"/>
    <s v="4.0 UN"/>
    <s v="STANDARD"/>
    <s v="N"/>
    <s v="N"/>
    <s v="Y"/>
    <s v="T20"/>
    <s v="N"/>
    <s v="N"/>
    <s v="N"/>
    <s v="N"/>
    <s v="A035"/>
    <d v="2016-12-12T00:00:00"/>
    <s v="10"/>
    <s v="TAN"/>
    <s v="OR"/>
    <d v="2016-12-06T00:00:00"/>
    <s v="MI"/>
    <s v="US"/>
    <s v="ZR"/>
    <d v="2016-12-07T00:00:00"/>
  </r>
  <r>
    <x v="0"/>
    <x v="0"/>
    <x v="372"/>
    <x v="4"/>
    <s v="Standard order"/>
    <x v="357"/>
    <x v="357"/>
    <s v="G515"/>
    <s v="CRYSTAL G515"/>
    <s v="5003018"/>
    <s v="G515 ACH T20 Kabina MP"/>
    <n v="36"/>
    <n v="0"/>
    <n v="36"/>
    <x v="0"/>
    <s v="APND"/>
    <s v="MP"/>
    <s v="387"/>
    <s v="4.0 UN"/>
    <s v="STANDARD"/>
    <s v="N"/>
    <s v="N"/>
    <s v="Y"/>
    <s v="T20"/>
    <s v="N"/>
    <s v="N"/>
    <s v="N"/>
    <s v="N"/>
    <s v="A035"/>
    <d v="2016-12-12T00:00:00"/>
    <s v="20"/>
    <s v="TAN"/>
    <s v="OR"/>
    <d v="2016-12-06T00:00:00"/>
    <s v="MI"/>
    <s v="US"/>
    <s v="ZR"/>
    <d v="2016-12-07T00:00:00"/>
  </r>
  <r>
    <x v="0"/>
    <x v="0"/>
    <x v="372"/>
    <x v="4"/>
    <s v="Standard order"/>
    <x v="357"/>
    <x v="357"/>
    <s v="G351"/>
    <s v="CRYSTAL G351NT"/>
    <s v="5003397"/>
    <s v="G351 ACH T20 Kabina MP"/>
    <n v="12"/>
    <n v="0"/>
    <n v="12"/>
    <x v="0"/>
    <s v="DA73"/>
    <s v="MP"/>
    <s v="387"/>
    <s v="4.0 UN"/>
    <s v="STANDARD"/>
    <s v="N"/>
    <s v="N"/>
    <s v="Y"/>
    <s v="T20"/>
    <s v="N"/>
    <s v="N"/>
    <s v="N"/>
    <s v="N"/>
    <s v="A035"/>
    <d v="2016-12-12T00:00:00"/>
    <s v="30"/>
    <s v="TAN"/>
    <s v="OR"/>
    <d v="2016-12-06T00:00:00"/>
    <s v="MI"/>
    <s v="US"/>
    <s v="ZR"/>
    <d v="2016-12-07T00:00:00"/>
  </r>
  <r>
    <x v="0"/>
    <x v="4"/>
    <x v="373"/>
    <x v="15"/>
    <s v="Standard order"/>
    <x v="358"/>
    <x v="358"/>
    <s v="A399"/>
    <s v="CRYSTAL A399NT"/>
    <s v="5002936"/>
    <s v="A399 ACH T20 PB Kabina MP"/>
    <n v="4"/>
    <n v="0"/>
    <n v="4"/>
    <x v="4"/>
    <s v="DP71"/>
    <s v="MP"/>
    <s v="388"/>
    <s v="4.0 UN"/>
    <s v="STANDARD"/>
    <s v="N"/>
    <s v="Y"/>
    <s v="Y"/>
    <s v="T20"/>
    <s v="N"/>
    <s v="N"/>
    <s v="N"/>
    <s v="N"/>
    <s v="A043"/>
    <d v="2016-12-12T00:00:00"/>
    <s v="10"/>
    <s v="TAN"/>
    <s v="OR"/>
    <d v="2016-12-06T00:00:00"/>
    <s v="ID"/>
    <s v="US"/>
    <s v="ZR"/>
    <d v="2016-12-07T00:00:00"/>
  </r>
  <r>
    <x v="0"/>
    <x v="4"/>
    <x v="373"/>
    <x v="15"/>
    <s v="Standard order"/>
    <x v="358"/>
    <x v="358"/>
    <s v="A404"/>
    <s v="CRYSTAL A404NT"/>
    <s v="5002955"/>
    <s v="A404 ACH PB MED"/>
    <n v="40"/>
    <n v="0"/>
    <n v="40"/>
    <x v="4"/>
    <s v="DPNE"/>
    <s v="MEDIUM"/>
    <s v="314"/>
    <s v="4.0 UN"/>
    <s v="STANDARD"/>
    <s v="N"/>
    <s v="Y"/>
    <s v="N"/>
    <s v="N"/>
    <s v="N"/>
    <s v="N"/>
    <s v="N"/>
    <s v="N"/>
    <s v="A043"/>
    <d v="2016-12-12T00:00:00"/>
    <s v="20"/>
    <s v="TAN"/>
    <s v="OR"/>
    <d v="2016-12-06T00:00:00"/>
    <s v="ID"/>
    <s v="US"/>
    <s v="ZR"/>
    <d v="2016-12-07T00:00:00"/>
  </r>
  <r>
    <x v="0"/>
    <x v="4"/>
    <x v="373"/>
    <x v="15"/>
    <s v="Standard order"/>
    <x v="358"/>
    <x v="358"/>
    <s v="A399"/>
    <s v="CRYSTAL A399NT"/>
    <s v="5002929"/>
    <s v="A399 ACH PB MED"/>
    <n v="36"/>
    <n v="0"/>
    <n v="36"/>
    <x v="4"/>
    <s v="DP71"/>
    <s v="MEDIUM"/>
    <s v="314"/>
    <s v="4.0 UN"/>
    <s v="STANDARD"/>
    <s v="N"/>
    <s v="Y"/>
    <s v="N"/>
    <s v="N"/>
    <s v="N"/>
    <s v="N"/>
    <s v="N"/>
    <s v="N"/>
    <s v="A043"/>
    <d v="2016-12-12T00:00:00"/>
    <s v="30"/>
    <s v="TAN"/>
    <s v="OR"/>
    <d v="2016-12-06T00:00:00"/>
    <s v="ID"/>
    <s v="US"/>
    <s v="ZR"/>
    <d v="2016-12-07T00:00:00"/>
  </r>
  <r>
    <x v="0"/>
    <x v="4"/>
    <x v="373"/>
    <x v="15"/>
    <s v="Standard order"/>
    <x v="358"/>
    <x v="358"/>
    <s v="A488"/>
    <s v="CRYSTAL A488NT"/>
    <s v="5002988"/>
    <s v="A488 ACH T20 PB Kabina MP"/>
    <n v="16"/>
    <n v="0"/>
    <n v="16"/>
    <x v="4"/>
    <s v="EENE"/>
    <s v="MP"/>
    <s v="388"/>
    <s v="4.0 UN"/>
    <s v="STANDARD"/>
    <s v="N"/>
    <s v="Y"/>
    <s v="Y"/>
    <s v="T20"/>
    <s v="N"/>
    <s v="N"/>
    <s v="N"/>
    <s v="N"/>
    <s v="A043"/>
    <d v="2016-12-12T00:00:00"/>
    <s v="40"/>
    <s v="TAN"/>
    <s v="OR"/>
    <d v="2016-12-06T00:00:00"/>
    <s v="ID"/>
    <s v="US"/>
    <s v="ZR"/>
    <d v="2016-12-07T00:00:00"/>
  </r>
  <r>
    <x v="0"/>
    <x v="4"/>
    <x v="373"/>
    <x v="15"/>
    <s v="Standard order"/>
    <x v="358"/>
    <x v="358"/>
    <s v="R240"/>
    <s v="CRYSTAL RR240NT"/>
    <s v="5003167"/>
    <s v="R240 ACH T20 PB Kabina MP"/>
    <n v="16"/>
    <n v="0"/>
    <n v="16"/>
    <x v="4"/>
    <s v="BHMP"/>
    <s v="MP"/>
    <s v="388"/>
    <s v="4.0 UN"/>
    <s v="STANDARD"/>
    <s v="N"/>
    <s v="Y"/>
    <s v="Y"/>
    <s v="T20"/>
    <s v="N"/>
    <s v="N"/>
    <s v="N"/>
    <s v="N"/>
    <s v="A043"/>
    <d v="2016-12-12T00:00:00"/>
    <s v="50"/>
    <s v="TAN"/>
    <s v="OR"/>
    <d v="2016-12-06T00:00:00"/>
    <s v="ID"/>
    <s v="US"/>
    <s v="ZR"/>
    <d v="2016-12-07T00:00:00"/>
  </r>
  <r>
    <x v="0"/>
    <x v="5"/>
    <x v="374"/>
    <x v="14"/>
    <s v="Standard order"/>
    <x v="359"/>
    <x v="359"/>
    <s v="Y400"/>
    <s v="CRYSTAL Y400NT"/>
    <s v="5003733"/>
    <s v="Y400 ACH T20 PB SYSTIVA MP"/>
    <n v="12"/>
    <n v="0"/>
    <n v="12"/>
    <x v="5"/>
    <s v="4TBP"/>
    <s v="MP"/>
    <s v="324"/>
    <s v="4.0 UN"/>
    <s v="STANDARD"/>
    <s v="N"/>
    <s v="Y"/>
    <s v="N"/>
    <s v="T20"/>
    <s v="Y"/>
    <s v="N"/>
    <s v="N"/>
    <s v="N"/>
    <s v="A017"/>
    <d v="2016-12-12T00:00:00"/>
    <s v="10"/>
    <s v="TAN"/>
    <s v="OR"/>
    <d v="2016-12-06T00:00:00"/>
    <s v="WY"/>
    <s v="US"/>
    <s v="ZR"/>
    <d v="2016-12-07T00:00:00"/>
  </r>
  <r>
    <x v="0"/>
    <x v="0"/>
    <x v="375"/>
    <x v="4"/>
    <s v="Standard order"/>
    <x v="360"/>
    <x v="360"/>
    <s v="G351"/>
    <s v="CRYSTAL G351NT"/>
    <s v="5003398"/>
    <s v="G351 ACH T20 Kabina RP"/>
    <n v="40"/>
    <n v="0"/>
    <n v="40"/>
    <x v="0"/>
    <s v="DA73"/>
    <s v="RP"/>
    <s v="387"/>
    <s v="4.0 UN"/>
    <s v="STANDARD"/>
    <s v="N"/>
    <s v="N"/>
    <s v="Y"/>
    <s v="T20"/>
    <s v="N"/>
    <s v="N"/>
    <s v="N"/>
    <s v="N"/>
    <s v="A035"/>
    <d v="2016-12-12T00:00:00"/>
    <s v="10"/>
    <s v="TAN"/>
    <s v="OR"/>
    <d v="2016-12-06T00:00:00"/>
    <s v="MI"/>
    <s v="US"/>
    <s v="ZR"/>
    <d v="2016-12-07T00:00:00"/>
  </r>
  <r>
    <x v="0"/>
    <x v="0"/>
    <x v="375"/>
    <x v="4"/>
    <s v="Standard order"/>
    <x v="360"/>
    <x v="360"/>
    <s v="G515"/>
    <s v="CRYSTAL G515"/>
    <s v="5003018"/>
    <s v="G515 ACH T20 Kabina MP"/>
    <n v="24"/>
    <n v="0"/>
    <n v="24"/>
    <x v="0"/>
    <s v="APND"/>
    <s v="MP"/>
    <s v="387"/>
    <s v="4.0 UN"/>
    <s v="STANDARD"/>
    <s v="N"/>
    <s v="N"/>
    <s v="Y"/>
    <s v="T20"/>
    <s v="N"/>
    <s v="N"/>
    <s v="N"/>
    <s v="N"/>
    <s v="A035"/>
    <d v="2016-12-12T00:00:00"/>
    <s v="20"/>
    <s v="TAN"/>
    <s v="OR"/>
    <d v="2016-12-06T00:00:00"/>
    <s v="MI"/>
    <s v="US"/>
    <s v="ZR"/>
    <d v="2016-12-07T00:00:00"/>
  </r>
  <r>
    <x v="0"/>
    <x v="0"/>
    <x v="375"/>
    <x v="4"/>
    <s v="Standard order"/>
    <x v="360"/>
    <x v="360"/>
    <s v="R059"/>
    <s v="CRYSTAL RR059"/>
    <s v="5003529"/>
    <s v="R059 ACH T20 Kabina MP"/>
    <n v="180"/>
    <n v="0"/>
    <n v="180"/>
    <x v="0"/>
    <s v="AP73"/>
    <s v="MP"/>
    <s v="387"/>
    <s v="4.0 UN"/>
    <s v="STANDARD"/>
    <s v="N"/>
    <s v="N"/>
    <s v="Y"/>
    <s v="T20"/>
    <s v="N"/>
    <s v="N"/>
    <s v="N"/>
    <s v="N"/>
    <s v="A035"/>
    <d v="2016-12-12T00:00:00"/>
    <s v="30"/>
    <s v="TAN"/>
    <s v="OR"/>
    <d v="2016-12-06T00:00:00"/>
    <s v="MI"/>
    <s v="US"/>
    <s v="ZR"/>
    <d v="2016-12-07T00:00:00"/>
  </r>
  <r>
    <x v="0"/>
    <x v="4"/>
    <x v="376"/>
    <x v="15"/>
    <s v="Standard order"/>
    <x v="361"/>
    <x v="361"/>
    <s v="A488"/>
    <s v="CRYSTAL A488NT"/>
    <s v="5002987"/>
    <s v="A488 ACH T20 PB Kabina CL MP"/>
    <n v="40"/>
    <n v="0"/>
    <n v="40"/>
    <x v="4"/>
    <s v="EENE"/>
    <s v="MP"/>
    <s v="323"/>
    <s v="4.0 UN"/>
    <s v="STANDARD"/>
    <s v="N"/>
    <s v="Y"/>
    <s v="Y"/>
    <s v="T20"/>
    <s v="N"/>
    <s v="N"/>
    <s v="N"/>
    <s v="N"/>
    <s v="A043"/>
    <d v="2016-12-12T00:00:00"/>
    <s v="10"/>
    <s v="TAN"/>
    <s v="OR"/>
    <d v="2016-12-06T00:00:00"/>
    <s v="ID"/>
    <s v="US"/>
    <s v="ZR"/>
    <d v="2016-12-07T00:00:00"/>
  </r>
  <r>
    <x v="0"/>
    <x v="4"/>
    <x v="376"/>
    <x v="15"/>
    <s v="Standard order"/>
    <x v="361"/>
    <x v="361"/>
    <s v="A399"/>
    <s v="CRYSTAL A399NT"/>
    <s v="5002935"/>
    <s v="A399 ACH T20 PB Kabina CL MP"/>
    <n v="12"/>
    <n v="0"/>
    <n v="12"/>
    <x v="4"/>
    <s v="DP71"/>
    <s v="MP"/>
    <s v="323"/>
    <s v="4.0 UN"/>
    <s v="STANDARD"/>
    <s v="N"/>
    <s v="Y"/>
    <s v="Y"/>
    <s v="T20"/>
    <s v="N"/>
    <s v="N"/>
    <s v="N"/>
    <s v="N"/>
    <s v="A043"/>
    <d v="2016-12-12T00:00:00"/>
    <s v="20"/>
    <s v="TAN"/>
    <s v="OR"/>
    <d v="2016-12-06T00:00:00"/>
    <s v="ID"/>
    <s v="US"/>
    <s v="ZR"/>
    <d v="2016-12-07T00:00:00"/>
  </r>
  <r>
    <x v="0"/>
    <x v="4"/>
    <x v="377"/>
    <x v="8"/>
    <s v="Standard order"/>
    <x v="362"/>
    <x v="362"/>
    <s v="A501"/>
    <s v="CRYSTAL A501"/>
    <s v="5003308"/>
    <s v="A501 ACH PB XL"/>
    <n v="24"/>
    <n v="0"/>
    <n v="24"/>
    <x v="4"/>
    <s v="EZPB"/>
    <s v="X-LARGE"/>
    <s v="314"/>
    <s v="4.0 UN"/>
    <s v="STANDARD"/>
    <s v="N"/>
    <s v="Y"/>
    <s v="N"/>
    <s v="N"/>
    <s v="N"/>
    <s v="N"/>
    <s v="N"/>
    <s v="N"/>
    <s v="A044"/>
    <d v="2016-12-12T00:00:00"/>
    <s v="10"/>
    <s v="TAN"/>
    <s v="OR"/>
    <d v="2016-12-07T00:00:00"/>
    <s v="ID"/>
    <s v="US"/>
    <s v="ZR"/>
    <d v="2016-12-07T00:00:00"/>
  </r>
  <r>
    <x v="0"/>
    <x v="4"/>
    <x v="377"/>
    <x v="8"/>
    <s v="Standard order"/>
    <x v="362"/>
    <x v="362"/>
    <s v="A399"/>
    <s v="CRYSTAL A399NT"/>
    <s v="5002931"/>
    <s v="A399 ACH PB XL"/>
    <n v="48"/>
    <n v="0"/>
    <n v="48"/>
    <x v="4"/>
    <s v="DP71"/>
    <s v="X-LARGE"/>
    <s v="314"/>
    <s v="4.0 UN"/>
    <s v="STANDARD"/>
    <s v="N"/>
    <s v="Y"/>
    <s v="N"/>
    <s v="N"/>
    <s v="N"/>
    <s v="N"/>
    <s v="N"/>
    <s v="N"/>
    <s v="A044"/>
    <d v="2016-12-12T00:00:00"/>
    <s v="20"/>
    <s v="TAN"/>
    <s v="OR"/>
    <d v="2016-12-07T00:00:00"/>
    <s v="ID"/>
    <s v="US"/>
    <s v="ZR"/>
    <d v="2016-12-07T00:00:00"/>
  </r>
  <r>
    <x v="0"/>
    <x v="4"/>
    <x v="377"/>
    <x v="8"/>
    <s v="Standard order"/>
    <x v="362"/>
    <x v="362"/>
    <s v="A404"/>
    <s v="CRYSTAL A404NT"/>
    <s v="5002957"/>
    <s v="A404 ACH PB XL"/>
    <n v="40"/>
    <n v="0"/>
    <n v="40"/>
    <x v="4"/>
    <s v="DPNE"/>
    <s v="X-LARGE"/>
    <s v="314"/>
    <s v="4.0 UN"/>
    <s v="STANDARD"/>
    <s v="N"/>
    <s v="Y"/>
    <s v="N"/>
    <s v="N"/>
    <s v="N"/>
    <s v="N"/>
    <s v="N"/>
    <s v="N"/>
    <s v="A044"/>
    <d v="2016-12-12T00:00:00"/>
    <s v="30"/>
    <s v="TAN"/>
    <s v="OR"/>
    <d v="2016-12-07T00:00:00"/>
    <s v="ID"/>
    <s v="US"/>
    <s v="ZR"/>
    <d v="2016-12-07T00:00:00"/>
  </r>
  <r>
    <x v="0"/>
    <x v="4"/>
    <x v="378"/>
    <x v="7"/>
    <s v="Standard order"/>
    <x v="363"/>
    <x v="363"/>
    <s v="A501"/>
    <s v="CRYSTAL A501"/>
    <s v="5003313"/>
    <s v="A501 ACH T20 PB Kabina MP"/>
    <n v="8"/>
    <n v="0"/>
    <n v="8"/>
    <x v="4"/>
    <s v="EZPB"/>
    <s v="MP"/>
    <s v="388"/>
    <s v="4.0 UN"/>
    <s v="STANDARD"/>
    <s v="N"/>
    <s v="Y"/>
    <s v="Y"/>
    <s v="T20"/>
    <s v="N"/>
    <s v="N"/>
    <s v="N"/>
    <s v="N"/>
    <s v="A045"/>
    <d v="2016-12-12T00:00:00"/>
    <s v="10"/>
    <s v="TAN"/>
    <s v="OR"/>
    <d v="2016-12-07T00:00:00"/>
    <s v="ID"/>
    <s v="US"/>
    <s v="ZR"/>
    <d v="2016-12-07T00:00:00"/>
  </r>
  <r>
    <x v="0"/>
    <x v="4"/>
    <x v="378"/>
    <x v="7"/>
    <s v="Standard order"/>
    <x v="363"/>
    <x v="363"/>
    <s v="A488"/>
    <s v="CRYSTAL A488NT"/>
    <s v="5002988"/>
    <s v="A488 ACH T20 PB Kabina MP"/>
    <n v="20"/>
    <n v="0"/>
    <n v="20"/>
    <x v="4"/>
    <s v="EENE"/>
    <s v="MP"/>
    <s v="388"/>
    <s v="4.0 UN"/>
    <s v="STANDARD"/>
    <s v="N"/>
    <s v="Y"/>
    <s v="Y"/>
    <s v="T20"/>
    <s v="N"/>
    <s v="N"/>
    <s v="N"/>
    <s v="N"/>
    <s v="A045"/>
    <d v="2016-12-12T00:00:00"/>
    <s v="20"/>
    <s v="TAN"/>
    <s v="OR"/>
    <d v="2016-12-07T00:00:00"/>
    <s v="ID"/>
    <s v="US"/>
    <s v="ZR"/>
    <d v="2016-12-07T00:00:00"/>
  </r>
  <r>
    <x v="0"/>
    <x v="4"/>
    <x v="378"/>
    <x v="7"/>
    <s v="Standard order"/>
    <x v="363"/>
    <x v="363"/>
    <s v="A399"/>
    <s v="CRYSTAL A399NT"/>
    <s v="5002936"/>
    <s v="A399 ACH T20 PB Kabina MP"/>
    <n v="12"/>
    <n v="0"/>
    <n v="12"/>
    <x v="4"/>
    <s v="DP71"/>
    <s v="MP"/>
    <s v="388"/>
    <s v="4.0 UN"/>
    <s v="STANDARD"/>
    <s v="N"/>
    <s v="Y"/>
    <s v="Y"/>
    <s v="T20"/>
    <s v="N"/>
    <s v="N"/>
    <s v="N"/>
    <s v="N"/>
    <s v="A045"/>
    <d v="2016-12-12T00:00:00"/>
    <s v="30"/>
    <s v="TAN"/>
    <s v="OR"/>
    <d v="2016-12-07T00:00:00"/>
    <s v="ID"/>
    <s v="US"/>
    <s v="ZR"/>
    <d v="2016-12-07T00:00:00"/>
  </r>
  <r>
    <x v="0"/>
    <x v="2"/>
    <x v="379"/>
    <x v="3"/>
    <s v="Standard order"/>
    <x v="364"/>
    <x v="364"/>
    <s v="W322"/>
    <s v="CRYSTAL W322NT"/>
    <s v="5003488"/>
    <s v="W322 ACH T20 PB SYSTIVA G100"/>
    <n v="80"/>
    <n v="0"/>
    <n v="80"/>
    <x v="2"/>
    <s v="EE73"/>
    <s v="GEM 100"/>
    <s v="324"/>
    <s v="4.0 UN"/>
    <s v="STANDARD"/>
    <s v="N"/>
    <s v="Y"/>
    <s v="N"/>
    <s v="T20"/>
    <s v="Y"/>
    <s v="N"/>
    <s v="Y"/>
    <s v="N"/>
    <s v="A024"/>
    <d v="2016-12-12T00:00:00"/>
    <s v="10"/>
    <s v="TAN"/>
    <s v="OR"/>
    <d v="2016-12-07T00:00:00"/>
    <s v="NE"/>
    <s v="US"/>
    <s v="ZR"/>
    <d v="2016-12-07T00:00:00"/>
  </r>
  <r>
    <x v="0"/>
    <x v="4"/>
    <x v="380"/>
    <x v="17"/>
    <s v="Standard order"/>
    <x v="365"/>
    <x v="365"/>
    <s v="A501"/>
    <s v="CRYSTAL A501"/>
    <s v="5003308"/>
    <s v="A501 ACH PB XL"/>
    <n v="24"/>
    <n v="0"/>
    <n v="24"/>
    <x v="4"/>
    <s v="EZPB"/>
    <s v="X-LARGE"/>
    <s v="314"/>
    <s v="4.0 UN"/>
    <s v="STANDARD"/>
    <s v="N"/>
    <s v="Y"/>
    <s v="N"/>
    <s v="N"/>
    <s v="N"/>
    <s v="N"/>
    <s v="N"/>
    <s v="N"/>
    <s v="A040"/>
    <d v="2016-12-12T00:00:00"/>
    <s v="10"/>
    <s v="TAN"/>
    <s v="OR"/>
    <d v="2016-12-07T00:00:00"/>
    <s v="ID"/>
    <s v="US"/>
    <s v="ZR"/>
    <d v="2016-12-07T00:00:00"/>
  </r>
  <r>
    <x v="0"/>
    <x v="4"/>
    <x v="380"/>
    <x v="17"/>
    <s v="Standard order"/>
    <x v="365"/>
    <x v="365"/>
    <s v="R240"/>
    <s v="CRYSTAL RR240NT"/>
    <s v="5003162"/>
    <s v="R240 ACH PB XL"/>
    <n v="40"/>
    <n v="0"/>
    <n v="40"/>
    <x v="4"/>
    <s v="BHMP"/>
    <s v="X-LARGE"/>
    <s v="314"/>
    <s v="4.0 UN"/>
    <s v="STANDARD"/>
    <s v="N"/>
    <s v="Y"/>
    <s v="N"/>
    <s v="N"/>
    <s v="N"/>
    <s v="N"/>
    <s v="N"/>
    <s v="N"/>
    <s v="A040"/>
    <d v="2016-12-12T00:00:00"/>
    <s v="20"/>
    <s v="TAN"/>
    <s v="OR"/>
    <d v="2016-12-07T00:00:00"/>
    <s v="ID"/>
    <s v="US"/>
    <s v="ZR"/>
    <d v="2016-12-07T00:00:00"/>
  </r>
  <r>
    <x v="0"/>
    <x v="0"/>
    <x v="381"/>
    <x v="2"/>
    <s v="Standard order"/>
    <x v="366"/>
    <x v="366"/>
    <s v="R059"/>
    <s v="CRYSTAL RR059"/>
    <s v="5003530"/>
    <s v="R059 ACH T20 Kabina RP"/>
    <n v="312"/>
    <n v="0"/>
    <n v="312"/>
    <x v="0"/>
    <s v="AP73"/>
    <s v="RP"/>
    <s v="387"/>
    <s v="4.0 UN"/>
    <s v="STANDARD"/>
    <s v="N"/>
    <s v="N"/>
    <s v="Y"/>
    <s v="T20"/>
    <s v="N"/>
    <s v="N"/>
    <s v="N"/>
    <s v="N"/>
    <s v="A034"/>
    <d v="2016-12-12T00:00:00"/>
    <s v="10"/>
    <s v="TAN"/>
    <s v="OR"/>
    <d v="2016-12-07T00:00:00"/>
    <s v="MI"/>
    <s v="US"/>
    <s v="ZR"/>
    <d v="2016-12-07T00:00:00"/>
  </r>
  <r>
    <x v="0"/>
    <x v="0"/>
    <x v="381"/>
    <x v="2"/>
    <s v="Standard order"/>
    <x v="366"/>
    <x v="366"/>
    <s v="G333"/>
    <s v="CRYSTAL G333NT"/>
    <s v="5003378"/>
    <s v="G333 ACH T20 Kabina RP"/>
    <n v="96"/>
    <n v="0"/>
    <n v="96"/>
    <x v="0"/>
    <s v="EE73"/>
    <s v="RP"/>
    <s v="387"/>
    <s v="4.0 UN"/>
    <s v="STANDARD"/>
    <s v="N"/>
    <s v="N"/>
    <s v="Y"/>
    <s v="T20"/>
    <s v="N"/>
    <s v="N"/>
    <s v="N"/>
    <s v="N"/>
    <s v="A034"/>
    <d v="2016-12-12T00:00:00"/>
    <s v="20"/>
    <s v="TAN"/>
    <s v="OR"/>
    <d v="2016-12-07T00:00:00"/>
    <s v="MI"/>
    <s v="US"/>
    <s v="ZR"/>
    <d v="2016-12-07T00:00:00"/>
  </r>
  <r>
    <x v="0"/>
    <x v="0"/>
    <x v="381"/>
    <x v="2"/>
    <s v="Standard order"/>
    <x v="366"/>
    <x v="366"/>
    <s v="G351"/>
    <s v="CRYSTAL G351NT"/>
    <s v="5003398"/>
    <s v="G351 ACH T20 Kabina RP"/>
    <n v="96"/>
    <n v="0"/>
    <n v="96"/>
    <x v="0"/>
    <s v="DA73"/>
    <s v="RP"/>
    <s v="387"/>
    <s v="4.0 UN"/>
    <s v="STANDARD"/>
    <s v="N"/>
    <s v="N"/>
    <s v="Y"/>
    <s v="T20"/>
    <s v="N"/>
    <s v="N"/>
    <s v="N"/>
    <s v="N"/>
    <s v="A034"/>
    <d v="2016-12-12T00:00:00"/>
    <s v="30"/>
    <s v="TAN"/>
    <s v="OR"/>
    <d v="2016-12-07T00:00:00"/>
    <s v="MI"/>
    <s v="US"/>
    <s v="ZR"/>
    <d v="2016-12-07T00:00:00"/>
  </r>
  <r>
    <x v="0"/>
    <x v="0"/>
    <x v="382"/>
    <x v="2"/>
    <s v="Standard order"/>
    <x v="367"/>
    <x v="367"/>
    <s v="R059"/>
    <s v="CRYSTAL RR059"/>
    <s v="5003529"/>
    <s v="R059 ACH T20 Kabina MP"/>
    <n v="60"/>
    <n v="0"/>
    <n v="60"/>
    <x v="0"/>
    <s v="AP73"/>
    <s v="MP"/>
    <s v="387"/>
    <s v="4.0 UN"/>
    <s v="STANDARD"/>
    <s v="N"/>
    <s v="N"/>
    <s v="Y"/>
    <s v="T20"/>
    <s v="N"/>
    <s v="N"/>
    <s v="N"/>
    <s v="N"/>
    <s v="A034"/>
    <d v="2016-12-12T00:00:00"/>
    <s v="10"/>
    <s v="TAN"/>
    <s v="OR"/>
    <d v="2016-12-07T00:00:00"/>
    <s v="MI"/>
    <s v="US"/>
    <s v="ZR"/>
    <d v="2016-12-07T00:00:00"/>
  </r>
  <r>
    <x v="0"/>
    <x v="0"/>
    <x v="382"/>
    <x v="2"/>
    <s v="Standard order"/>
    <x v="367"/>
    <x v="367"/>
    <s v="G515"/>
    <s v="CRYSTAL G515"/>
    <s v="5003018"/>
    <s v="G515 ACH T20 Kabina MP"/>
    <n v="16"/>
    <n v="0"/>
    <n v="16"/>
    <x v="0"/>
    <s v="APND"/>
    <s v="MP"/>
    <s v="387"/>
    <s v="4.0 UN"/>
    <s v="STANDARD"/>
    <s v="N"/>
    <s v="N"/>
    <s v="Y"/>
    <s v="T20"/>
    <s v="N"/>
    <s v="N"/>
    <s v="N"/>
    <s v="N"/>
    <s v="A034"/>
    <d v="2016-12-12T00:00:00"/>
    <s v="20"/>
    <s v="TAN"/>
    <s v="OR"/>
    <d v="2016-12-07T00:00:00"/>
    <s v="MI"/>
    <s v="US"/>
    <s v="ZR"/>
    <d v="2016-12-07T00:00:00"/>
  </r>
  <r>
    <x v="0"/>
    <x v="0"/>
    <x v="383"/>
    <x v="2"/>
    <s v="Standard order"/>
    <x v="368"/>
    <x v="368"/>
    <s v="G351"/>
    <s v="CRYSTAL G351NT"/>
    <s v="5003398"/>
    <s v="G351 ACH T20 Kabina RP"/>
    <n v="36"/>
    <n v="0"/>
    <n v="36"/>
    <x v="0"/>
    <s v="DA73"/>
    <s v="RP"/>
    <s v="387"/>
    <s v="4.0 UN"/>
    <s v="STANDARD"/>
    <s v="N"/>
    <s v="N"/>
    <s v="Y"/>
    <s v="T20"/>
    <s v="N"/>
    <s v="N"/>
    <s v="N"/>
    <s v="N"/>
    <s v="A034"/>
    <d v="2016-12-12T00:00:00"/>
    <s v="10"/>
    <s v="TAN"/>
    <s v="OR"/>
    <d v="2016-12-07T00:00:00"/>
    <s v="MI"/>
    <s v="US"/>
    <s v="ZR"/>
    <d v="2016-12-07T00:00:00"/>
  </r>
  <r>
    <x v="0"/>
    <x v="4"/>
    <x v="384"/>
    <x v="7"/>
    <s v="Standard order"/>
    <x v="369"/>
    <x v="369"/>
    <s v="A399"/>
    <s v="CRYSTAL A399NT"/>
    <s v="5002930"/>
    <s v="A399 ACH PB MP"/>
    <n v="12"/>
    <n v="0"/>
    <n v="12"/>
    <x v="4"/>
    <s v="DP71"/>
    <s v="MP"/>
    <s v="314"/>
    <s v="4.0 UN"/>
    <s v="STANDARD"/>
    <s v="N"/>
    <s v="Y"/>
    <s v="N"/>
    <s v="N"/>
    <s v="N"/>
    <s v="N"/>
    <s v="N"/>
    <s v="N"/>
    <s v="A045"/>
    <d v="2016-12-12T00:00:00"/>
    <s v="10"/>
    <s v="TAN"/>
    <s v="OR"/>
    <d v="2016-12-07T00:00:00"/>
    <s v="OR"/>
    <s v="US"/>
    <s v="ZR"/>
    <d v="2016-12-07T00:00:00"/>
  </r>
  <r>
    <x v="0"/>
    <x v="4"/>
    <x v="385"/>
    <x v="17"/>
    <s v="Standard order"/>
    <x v="370"/>
    <x v="370"/>
    <s v="A399"/>
    <s v="CRYSTAL A399NT"/>
    <s v="5002931"/>
    <s v="A399 ACH PB XL"/>
    <n v="72"/>
    <n v="0"/>
    <n v="72"/>
    <x v="4"/>
    <s v="DP71"/>
    <s v="X-LARGE"/>
    <s v="314"/>
    <s v="4.0 UN"/>
    <s v="STANDARD"/>
    <s v="N"/>
    <s v="Y"/>
    <s v="N"/>
    <s v="N"/>
    <s v="N"/>
    <s v="N"/>
    <s v="N"/>
    <s v="N"/>
    <s v="A040"/>
    <d v="2016-12-12T00:00:00"/>
    <s v="10"/>
    <s v="TAN"/>
    <s v="OR"/>
    <d v="2016-12-07T00:00:00"/>
    <s v="ID"/>
    <s v="US"/>
    <s v="ZR"/>
    <d v="2016-12-07T00:00:00"/>
  </r>
  <r>
    <x v="0"/>
    <x v="4"/>
    <x v="385"/>
    <x v="17"/>
    <s v="Standard order"/>
    <x v="370"/>
    <x v="370"/>
    <s v="A404"/>
    <s v="CRYSTAL A404NT"/>
    <s v="5002957"/>
    <s v="A404 ACH PB XL"/>
    <n v="72"/>
    <n v="0"/>
    <n v="72"/>
    <x v="4"/>
    <s v="DPNE"/>
    <s v="X-LARGE"/>
    <s v="314"/>
    <s v="4.0 UN"/>
    <s v="STANDARD"/>
    <s v="N"/>
    <s v="Y"/>
    <s v="N"/>
    <s v="N"/>
    <s v="N"/>
    <s v="N"/>
    <s v="N"/>
    <s v="N"/>
    <s v="A040"/>
    <d v="2016-12-12T00:00:00"/>
    <s v="20"/>
    <s v="TAN"/>
    <s v="OR"/>
    <d v="2016-12-07T00:00:00"/>
    <s v="ID"/>
    <s v="US"/>
    <s v="ZR"/>
    <d v="2016-12-07T00:00:00"/>
  </r>
  <r>
    <x v="0"/>
    <x v="4"/>
    <x v="385"/>
    <x v="17"/>
    <s v="Standard order"/>
    <x v="370"/>
    <x v="370"/>
    <s v="A488"/>
    <s v="CRYSTAL A488NT"/>
    <s v="5002983"/>
    <s v="A488 ACH PB XL"/>
    <n v="72"/>
    <n v="0"/>
    <n v="72"/>
    <x v="4"/>
    <s v="EENE"/>
    <s v="X-LARGE"/>
    <s v="314"/>
    <s v="4.0 UN"/>
    <s v="STANDARD"/>
    <s v="N"/>
    <s v="Y"/>
    <s v="N"/>
    <s v="N"/>
    <s v="N"/>
    <s v="N"/>
    <s v="N"/>
    <s v="N"/>
    <s v="A040"/>
    <d v="2016-12-12T00:00:00"/>
    <s v="30"/>
    <s v="TAN"/>
    <s v="OR"/>
    <d v="2016-12-07T00:00:00"/>
    <s v="ID"/>
    <s v="US"/>
    <s v="ZR"/>
    <d v="2016-12-07T00:00:00"/>
  </r>
  <r>
    <x v="0"/>
    <x v="4"/>
    <x v="386"/>
    <x v="19"/>
    <s v="Standard order"/>
    <x v="371"/>
    <x v="371"/>
    <s v="A399"/>
    <s v="CRYSTAL A399NT"/>
    <s v="5002931"/>
    <s v="A399 ACH PB XL"/>
    <n v="40"/>
    <n v="0"/>
    <n v="40"/>
    <x v="4"/>
    <s v="DP71"/>
    <s v="X-LARGE"/>
    <s v="314"/>
    <s v="4.0 UN"/>
    <s v="STANDARD"/>
    <s v="N"/>
    <s v="Y"/>
    <s v="N"/>
    <s v="N"/>
    <s v="N"/>
    <s v="N"/>
    <s v="N"/>
    <s v="N"/>
    <s v="A046"/>
    <d v="2016-12-12T00:00:00"/>
    <s v="10"/>
    <s v="TAN"/>
    <s v="OR"/>
    <d v="2016-12-06T00:00:00"/>
    <s v="ID"/>
    <s v="US"/>
    <s v="ZR"/>
    <d v="2016-12-07T00:00:00"/>
  </r>
  <r>
    <x v="0"/>
    <x v="4"/>
    <x v="386"/>
    <x v="19"/>
    <s v="Standard order"/>
    <x v="371"/>
    <x v="371"/>
    <s v="A404"/>
    <s v="CRYSTAL A404NT"/>
    <s v="5002957"/>
    <s v="A404 ACH PB XL"/>
    <n v="40"/>
    <n v="0"/>
    <n v="40"/>
    <x v="4"/>
    <s v="DPNE"/>
    <s v="X-LARGE"/>
    <s v="314"/>
    <s v="4.0 UN"/>
    <s v="STANDARD"/>
    <s v="N"/>
    <s v="Y"/>
    <s v="N"/>
    <s v="N"/>
    <s v="N"/>
    <s v="N"/>
    <s v="N"/>
    <s v="N"/>
    <s v="A046"/>
    <d v="2016-12-12T00:00:00"/>
    <s v="20"/>
    <s v="TAN"/>
    <s v="OR"/>
    <d v="2016-12-06T00:00:00"/>
    <s v="ID"/>
    <s v="US"/>
    <s v="ZR"/>
    <d v="2016-12-07T00:00:00"/>
  </r>
  <r>
    <x v="0"/>
    <x v="5"/>
    <x v="387"/>
    <x v="9"/>
    <s v="Standard order"/>
    <x v="372"/>
    <x v="372"/>
    <s v="R116"/>
    <s v="CRYSTAL RR116"/>
    <s v="5003105"/>
    <s v="R116 ACH T20 PB SYSTIVA RP"/>
    <n v="132"/>
    <n v="0"/>
    <n v="132"/>
    <x v="5"/>
    <s v="AP71"/>
    <s v="RP"/>
    <s v="324"/>
    <s v="4.0 UN"/>
    <s v="STANDARD"/>
    <s v="N"/>
    <s v="Y"/>
    <s v="N"/>
    <s v="T20"/>
    <s v="Y"/>
    <s v="N"/>
    <s v="N"/>
    <s v="N"/>
    <s v="A016"/>
    <d v="2016-12-12T00:00:00"/>
    <s v="10"/>
    <s v="TAN"/>
    <s v="OR"/>
    <d v="2016-12-06T00:00:00"/>
    <s v="WY"/>
    <s v="US"/>
    <s v="ZR"/>
    <d v="2016-12-07T00:00:00"/>
  </r>
  <r>
    <x v="0"/>
    <x v="5"/>
    <x v="387"/>
    <x v="9"/>
    <s v="Standard order"/>
    <x v="372"/>
    <x v="372"/>
    <s v="Y400"/>
    <s v="CRYSTAL Y400NT"/>
    <s v="5003735"/>
    <s v="Y400 ACH T20 PB SYSTIVA RP"/>
    <n v="20"/>
    <n v="0"/>
    <n v="20"/>
    <x v="5"/>
    <s v="4TBP"/>
    <s v="RP"/>
    <s v="324"/>
    <s v="4.0 UN"/>
    <s v="STANDARD"/>
    <s v="N"/>
    <s v="Y"/>
    <s v="N"/>
    <s v="T20"/>
    <s v="Y"/>
    <s v="N"/>
    <s v="N"/>
    <s v="N"/>
    <s v="A016"/>
    <d v="2016-12-12T00:00:00"/>
    <s v="20"/>
    <s v="TAN"/>
    <s v="OR"/>
    <d v="2016-12-06T00:00:00"/>
    <s v="WY"/>
    <s v="US"/>
    <s v="ZR"/>
    <d v="2016-12-07T00:00:00"/>
  </r>
  <r>
    <x v="0"/>
    <x v="5"/>
    <x v="388"/>
    <x v="9"/>
    <s v="Standard order"/>
    <x v="373"/>
    <x v="373"/>
    <s v="R116"/>
    <s v="CRYSTAL RR116"/>
    <s v="5003101"/>
    <s v="R116 ACH T20 PB SYSTIVA ELS"/>
    <n v="84"/>
    <n v="0"/>
    <n v="84"/>
    <x v="5"/>
    <s v="AP71"/>
    <s v="ELS"/>
    <s v="324"/>
    <s v="4.0 UN"/>
    <s v="STANDARD"/>
    <s v="N"/>
    <s v="Y"/>
    <s v="N"/>
    <s v="T20"/>
    <s v="Y"/>
    <s v="N"/>
    <s v="N"/>
    <s v="N"/>
    <s v="A016"/>
    <d v="2016-12-12T00:00:00"/>
    <s v="10"/>
    <s v="TAN"/>
    <s v="OR"/>
    <d v="2016-12-06T00:00:00"/>
    <s v="WY"/>
    <s v="US"/>
    <s v="ZR"/>
    <d v="2016-12-07T00:00:00"/>
  </r>
  <r>
    <x v="0"/>
    <x v="5"/>
    <x v="389"/>
    <x v="9"/>
    <s v="Standard order"/>
    <x v="374"/>
    <x v="374"/>
    <s v="R116"/>
    <s v="CRYSTAL RR116"/>
    <s v="5003105"/>
    <s v="R116 ACH T20 PB SYSTIVA RP"/>
    <n v="36"/>
    <n v="0"/>
    <n v="36"/>
    <x v="5"/>
    <s v="AP71"/>
    <s v="RP"/>
    <s v="324"/>
    <s v="4.0 UN"/>
    <s v="STANDARD"/>
    <s v="N"/>
    <s v="Y"/>
    <s v="N"/>
    <s v="T20"/>
    <s v="Y"/>
    <s v="N"/>
    <s v="N"/>
    <s v="N"/>
    <s v="A016"/>
    <d v="2016-12-12T00:00:00"/>
    <s v="10"/>
    <s v="TAN"/>
    <s v="OR"/>
    <d v="2016-12-06T00:00:00"/>
    <s v="WY"/>
    <s v="US"/>
    <s v="ZR"/>
    <d v="2016-12-07T00:00:00"/>
  </r>
  <r>
    <x v="0"/>
    <x v="5"/>
    <x v="389"/>
    <x v="9"/>
    <s v="Standard order"/>
    <x v="374"/>
    <x v="374"/>
    <s v="Y400"/>
    <s v="CRYSTAL Y400NT"/>
    <s v="5003735"/>
    <s v="Y400 ACH T20 PB SYSTIVA RP"/>
    <n v="16"/>
    <n v="0"/>
    <n v="16"/>
    <x v="5"/>
    <s v="4TBP"/>
    <s v="RP"/>
    <s v="324"/>
    <s v="4.0 UN"/>
    <s v="STANDARD"/>
    <s v="N"/>
    <s v="Y"/>
    <s v="N"/>
    <s v="T20"/>
    <s v="Y"/>
    <s v="N"/>
    <s v="N"/>
    <s v="N"/>
    <s v="A016"/>
    <d v="2016-12-12T00:00:00"/>
    <s v="20"/>
    <s v="TAN"/>
    <s v="OR"/>
    <d v="2016-12-06T00:00:00"/>
    <s v="WY"/>
    <s v="US"/>
    <s v="ZR"/>
    <d v="2016-12-07T00:00:00"/>
  </r>
  <r>
    <x v="0"/>
    <x v="5"/>
    <x v="390"/>
    <x v="9"/>
    <s v="Standard order"/>
    <x v="375"/>
    <x v="375"/>
    <s v="R116"/>
    <s v="CRYSTAL RR116"/>
    <s v="5003105"/>
    <s v="R116 ACH T20 PB SYSTIVA RP"/>
    <n v="16"/>
    <n v="0"/>
    <n v="16"/>
    <x v="5"/>
    <s v="AP71"/>
    <s v="RP"/>
    <s v="324"/>
    <s v="4.0 UN"/>
    <s v="STANDARD"/>
    <s v="N"/>
    <s v="Y"/>
    <s v="N"/>
    <s v="T20"/>
    <s v="Y"/>
    <s v="N"/>
    <s v="N"/>
    <s v="N"/>
    <s v="A016"/>
    <d v="2016-12-12T00:00:00"/>
    <s v="10"/>
    <s v="TAN"/>
    <s v="OR"/>
    <d v="2016-12-06T00:00:00"/>
    <s v="WY"/>
    <s v="US"/>
    <s v="ZR"/>
    <d v="2016-12-07T00:00:00"/>
  </r>
  <r>
    <x v="0"/>
    <x v="5"/>
    <x v="391"/>
    <x v="9"/>
    <s v="Standard order"/>
    <x v="376"/>
    <x v="376"/>
    <s v="R116"/>
    <s v="CRYSTAL RR116"/>
    <s v="5003105"/>
    <s v="R116 ACH T20 PB SYSTIVA RP"/>
    <n v="36"/>
    <n v="0"/>
    <n v="36"/>
    <x v="5"/>
    <s v="AP71"/>
    <s v="RP"/>
    <s v="324"/>
    <s v="4.0 UN"/>
    <s v="STANDARD"/>
    <s v="N"/>
    <s v="Y"/>
    <s v="N"/>
    <s v="T20"/>
    <s v="Y"/>
    <s v="N"/>
    <s v="N"/>
    <s v="N"/>
    <s v="A016"/>
    <d v="2016-12-12T00:00:00"/>
    <s v="10"/>
    <s v="TAN"/>
    <s v="OR"/>
    <d v="2016-12-06T00:00:00"/>
    <s v="WY"/>
    <s v="US"/>
    <s v="ZR"/>
    <d v="2016-12-07T00:00:00"/>
  </r>
  <r>
    <x v="0"/>
    <x v="4"/>
    <x v="392"/>
    <x v="8"/>
    <s v="Standard order"/>
    <x v="377"/>
    <x v="377"/>
    <s v="A399"/>
    <s v="CRYSTAL A399NT"/>
    <s v="5002928"/>
    <s v="A399 ACH PB LRG"/>
    <n v="144"/>
    <n v="0"/>
    <n v="144"/>
    <x v="4"/>
    <s v="DP71"/>
    <s v="LARGE"/>
    <s v="314"/>
    <s v="4.0 UN"/>
    <s v="STANDARD"/>
    <s v="N"/>
    <s v="Y"/>
    <s v="N"/>
    <s v="N"/>
    <s v="N"/>
    <s v="N"/>
    <s v="N"/>
    <s v="N"/>
    <s v="A044"/>
    <d v="2016-12-12T00:00:00"/>
    <s v="10"/>
    <s v="TAN"/>
    <s v="OR"/>
    <d v="2016-12-06T00:00:00"/>
    <s v="ID"/>
    <s v="US"/>
    <s v="ZR"/>
    <d v="2016-12-07T00:00:00"/>
  </r>
  <r>
    <x v="0"/>
    <x v="4"/>
    <x v="393"/>
    <x v="8"/>
    <s v="Standard order"/>
    <x v="378"/>
    <x v="378"/>
    <s v="A399"/>
    <s v="CRYSTAL A399NT"/>
    <s v="5002939"/>
    <s v="A399 ACH XL"/>
    <n v="12"/>
    <n v="0"/>
    <n v="12"/>
    <x v="4"/>
    <s v="DP71"/>
    <s v="X-LARGE"/>
    <s v="316"/>
    <s v="4.0 UN"/>
    <s v="STANDARD"/>
    <s v="N"/>
    <s v="N"/>
    <s v="N"/>
    <s v="N"/>
    <s v="N"/>
    <s v="N"/>
    <s v="N"/>
    <s v="N"/>
    <s v="A044"/>
    <d v="2016-12-12T00:00:00"/>
    <s v="10"/>
    <s v="TAN"/>
    <s v="OR"/>
    <d v="2016-12-06T00:00:00"/>
    <s v="ID"/>
    <s v="US"/>
    <s v="ZR"/>
    <d v="2016-12-07T00:00:00"/>
  </r>
  <r>
    <x v="0"/>
    <x v="2"/>
    <x v="394"/>
    <x v="22"/>
    <s v="Standard order"/>
    <x v="379"/>
    <x v="379"/>
    <s v="W322"/>
    <s v="CRYSTAL W322NT"/>
    <s v="5003488"/>
    <s v="W322 ACH T20 PB SYSTIVA G100"/>
    <n v="60"/>
    <n v="0"/>
    <n v="60"/>
    <x v="2"/>
    <s v="EE73"/>
    <s v="GEM 100"/>
    <s v="324"/>
    <s v="4.0 UN"/>
    <s v="STANDARD"/>
    <s v="N"/>
    <s v="Y"/>
    <s v="N"/>
    <s v="T20"/>
    <s v="Y"/>
    <s v="N"/>
    <s v="Y"/>
    <s v="N"/>
    <s v="A018"/>
    <d v="2016-12-12T00:00:00"/>
    <s v="20"/>
    <s v="TAN"/>
    <s v="OR"/>
    <d v="2016-12-06T00:00:00"/>
    <s v="CO"/>
    <s v="US"/>
    <s v="ZR"/>
    <d v="2016-12-07T00:00:00"/>
  </r>
  <r>
    <x v="0"/>
    <x v="2"/>
    <x v="394"/>
    <x v="22"/>
    <s v="Standard order"/>
    <x v="379"/>
    <x v="379"/>
    <s v="R014"/>
    <s v="CRYSTAL RR014"/>
    <s v="5003091"/>
    <s v="R014 ACH T20 PB SYSTIVA G100"/>
    <n v="20"/>
    <n v="0"/>
    <n v="20"/>
    <x v="2"/>
    <s v="AP82"/>
    <s v="GEM 100"/>
    <s v="324"/>
    <s v="4.0 UN"/>
    <s v="STANDARD"/>
    <s v="N"/>
    <s v="Y"/>
    <s v="N"/>
    <s v="T20"/>
    <s v="Y"/>
    <s v="N"/>
    <s v="Y"/>
    <s v="N"/>
    <s v="A018"/>
    <d v="2016-12-12T00:00:00"/>
    <s v="10"/>
    <s v="TAN"/>
    <s v="OR"/>
    <d v="2016-12-06T00:00:00"/>
    <s v="CO"/>
    <s v="US"/>
    <s v="ZR"/>
    <d v="2016-12-07T00:00:00"/>
  </r>
  <r>
    <x v="0"/>
    <x v="5"/>
    <x v="395"/>
    <x v="12"/>
    <s v="Standard order"/>
    <x v="380"/>
    <x v="380"/>
    <s v="Y400"/>
    <s v="CRYSTAL Y400NT"/>
    <s v="5003735"/>
    <s v="Y400 ACH T20 PB SYSTIVA RP"/>
    <n v="28"/>
    <n v="0"/>
    <n v="28"/>
    <x v="5"/>
    <s v="4TBP"/>
    <s v="RP"/>
    <s v="324"/>
    <s v="4.0 UN"/>
    <s v="STANDARD"/>
    <s v="N"/>
    <s v="Y"/>
    <s v="N"/>
    <s v="T20"/>
    <s v="Y"/>
    <s v="N"/>
    <s v="N"/>
    <s v="N"/>
    <s v="A014"/>
    <d v="2016-12-12T00:00:00"/>
    <s v="10"/>
    <s v="TAN"/>
    <s v="OR"/>
    <d v="2016-12-07T00:00:00"/>
    <s v="MT"/>
    <s v="US"/>
    <s v="ZR"/>
    <d v="2016-12-07T00:00:00"/>
  </r>
  <r>
    <x v="0"/>
    <x v="5"/>
    <x v="395"/>
    <x v="12"/>
    <s v="Standard order"/>
    <x v="380"/>
    <x v="380"/>
    <s v="R116"/>
    <s v="CRYSTAL RR116"/>
    <s v="5003105"/>
    <s v="R116 ACH T20 PB SYSTIVA RP"/>
    <n v="184"/>
    <n v="0"/>
    <n v="184"/>
    <x v="5"/>
    <s v="AP71"/>
    <s v="RP"/>
    <s v="324"/>
    <s v="4.0 UN"/>
    <s v="STANDARD"/>
    <s v="N"/>
    <s v="Y"/>
    <s v="N"/>
    <s v="T20"/>
    <s v="Y"/>
    <s v="N"/>
    <s v="N"/>
    <s v="N"/>
    <s v="A014"/>
    <d v="2016-12-12T00:00:00"/>
    <s v="20"/>
    <s v="TAN"/>
    <s v="OR"/>
    <d v="2016-12-07T00:00:00"/>
    <s v="MT"/>
    <s v="US"/>
    <s v="ZR"/>
    <d v="2016-12-07T00:00:00"/>
  </r>
  <r>
    <x v="0"/>
    <x v="0"/>
    <x v="396"/>
    <x v="10"/>
    <s v="Standard order"/>
    <x v="381"/>
    <x v="381"/>
    <s v="R059"/>
    <s v="CRYSTAL RR059"/>
    <s v="5003528"/>
    <s v="R059 ACH T20 Kabina ELS"/>
    <n v="24"/>
    <n v="0"/>
    <n v="24"/>
    <x v="0"/>
    <s v="AP73"/>
    <s v="ELS"/>
    <s v="387"/>
    <s v="4.0 UN"/>
    <s v="STANDARD"/>
    <s v="N"/>
    <s v="N"/>
    <s v="Y"/>
    <s v="T20"/>
    <s v="N"/>
    <s v="N"/>
    <s v="N"/>
    <s v="N"/>
    <s v="A036"/>
    <d v="2016-12-12T00:00:00"/>
    <s v="10"/>
    <s v="TAN"/>
    <s v="OR"/>
    <d v="2016-12-07T00:00:00"/>
    <s v="MI"/>
    <s v="US"/>
    <s v="ZR"/>
    <d v="2016-12-07T00:00:00"/>
  </r>
  <r>
    <x v="0"/>
    <x v="0"/>
    <x v="396"/>
    <x v="10"/>
    <s v="Standard order"/>
    <x v="381"/>
    <x v="381"/>
    <s v="G333"/>
    <s v="CRYSTAL G333NT"/>
    <s v="5003376"/>
    <s v="G333 ACH T20 Kabina ELS"/>
    <n v="24"/>
    <n v="0"/>
    <n v="24"/>
    <x v="0"/>
    <s v="EE73"/>
    <s v="ELS"/>
    <s v="387"/>
    <s v="4.0 UN"/>
    <s v="STANDARD"/>
    <s v="N"/>
    <s v="N"/>
    <s v="Y"/>
    <s v="T20"/>
    <s v="N"/>
    <s v="N"/>
    <s v="N"/>
    <s v="N"/>
    <s v="A036"/>
    <d v="2016-12-12T00:00:00"/>
    <s v="20"/>
    <s v="TAN"/>
    <s v="OR"/>
    <d v="2016-12-07T00:00:00"/>
    <s v="MI"/>
    <s v="US"/>
    <s v="ZR"/>
    <d v="2016-12-07T00:00:00"/>
  </r>
  <r>
    <x v="0"/>
    <x v="2"/>
    <x v="397"/>
    <x v="22"/>
    <s v="Standard order"/>
    <x v="382"/>
    <x v="382"/>
    <s v="W322"/>
    <s v="CRYSTAL W322NT"/>
    <s v="5003488"/>
    <s v="W322 ACH T20 PB SYSTIVA G100"/>
    <n v="32"/>
    <n v="0"/>
    <n v="32"/>
    <x v="2"/>
    <s v="EE73"/>
    <s v="GEM 100"/>
    <s v="324"/>
    <s v="4.0 UN"/>
    <s v="STANDARD"/>
    <s v="N"/>
    <s v="Y"/>
    <s v="N"/>
    <s v="T20"/>
    <s v="Y"/>
    <s v="N"/>
    <s v="Y"/>
    <s v="N"/>
    <s v="A018"/>
    <d v="2016-12-12T00:00:00"/>
    <s v="10"/>
    <s v="TAN"/>
    <s v="OR"/>
    <d v="2016-12-07T00:00:00"/>
    <s v="CO"/>
    <s v="US"/>
    <s v="ZR"/>
    <d v="2016-12-07T00:00:00"/>
  </r>
  <r>
    <x v="0"/>
    <x v="4"/>
    <x v="398"/>
    <x v="17"/>
    <s v="Standard order"/>
    <x v="383"/>
    <x v="383"/>
    <s v="A399"/>
    <s v="CRYSTAL A399NT"/>
    <s v="5002929"/>
    <s v="A399 ACH PB MED"/>
    <n v="92"/>
    <n v="0"/>
    <n v="92"/>
    <x v="4"/>
    <s v="DP71"/>
    <s v="MEDIUM"/>
    <s v="314"/>
    <s v="4.0 UN"/>
    <s v="STANDARD"/>
    <s v="N"/>
    <s v="Y"/>
    <s v="N"/>
    <s v="N"/>
    <s v="N"/>
    <s v="N"/>
    <s v="N"/>
    <s v="N"/>
    <s v="A040"/>
    <d v="2016-12-12T00:00:00"/>
    <s v="10"/>
    <s v="TAN"/>
    <s v="OR"/>
    <d v="2016-12-07T00:00:00"/>
    <s v="ID"/>
    <s v="US"/>
    <s v="ZR"/>
    <d v="2016-12-07T00:00:00"/>
  </r>
  <r>
    <x v="0"/>
    <x v="4"/>
    <x v="399"/>
    <x v="8"/>
    <s v="Standard order"/>
    <x v="384"/>
    <x v="384"/>
    <s v="A501"/>
    <s v="CRYSTAL A501"/>
    <s v="5003313"/>
    <s v="A501 ACH T20 PB Kabina MP"/>
    <n v="48"/>
    <n v="0"/>
    <n v="48"/>
    <x v="4"/>
    <s v="EZPB"/>
    <s v="MP"/>
    <s v="388"/>
    <s v="4.0 UN"/>
    <s v="STANDARD"/>
    <s v="N"/>
    <s v="Y"/>
    <s v="Y"/>
    <s v="T20"/>
    <s v="N"/>
    <s v="N"/>
    <s v="N"/>
    <s v="N"/>
    <s v="A044"/>
    <d v="2016-12-12T00:00:00"/>
    <s v="10"/>
    <s v="TAN"/>
    <s v="OR"/>
    <d v="2016-12-07T00:00:00"/>
    <s v="ID"/>
    <s v="US"/>
    <s v="ZR"/>
    <d v="2016-12-07T00:00:00"/>
  </r>
  <r>
    <x v="0"/>
    <x v="4"/>
    <x v="399"/>
    <x v="8"/>
    <s v="Standard order"/>
    <x v="384"/>
    <x v="384"/>
    <s v="A399"/>
    <s v="CRYSTAL A399NT"/>
    <s v="5002935"/>
    <s v="A399 ACH T20 PB Kabina CL MP"/>
    <n v="156"/>
    <n v="0"/>
    <n v="156"/>
    <x v="4"/>
    <s v="DP71"/>
    <s v="MP"/>
    <s v="323"/>
    <s v="4.0 UN"/>
    <s v="STANDARD"/>
    <s v="N"/>
    <s v="Y"/>
    <s v="Y"/>
    <s v="T20"/>
    <s v="N"/>
    <s v="N"/>
    <s v="N"/>
    <s v="N"/>
    <s v="A044"/>
    <d v="2016-12-12T00:00:00"/>
    <s v="20"/>
    <s v="TAN"/>
    <s v="OR"/>
    <d v="2016-12-07T00:00:00"/>
    <s v="ID"/>
    <s v="US"/>
    <s v="ZR"/>
    <d v="2016-12-07T00:00:00"/>
  </r>
  <r>
    <x v="0"/>
    <x v="4"/>
    <x v="399"/>
    <x v="8"/>
    <s v="Standard order"/>
    <x v="384"/>
    <x v="384"/>
    <s v="A488"/>
    <s v="CRYSTAL A488NT"/>
    <s v="5002987"/>
    <s v="A488 ACH T20 PB Kabina CL MP"/>
    <n v="56"/>
    <n v="0"/>
    <n v="56"/>
    <x v="4"/>
    <s v="EENE"/>
    <s v="MP"/>
    <s v="323"/>
    <s v="4.0 UN"/>
    <s v="STANDARD"/>
    <s v="N"/>
    <s v="Y"/>
    <s v="Y"/>
    <s v="T20"/>
    <s v="N"/>
    <s v="N"/>
    <s v="N"/>
    <s v="N"/>
    <s v="A044"/>
    <d v="2016-12-12T00:00:00"/>
    <s v="30"/>
    <s v="TAN"/>
    <s v="OR"/>
    <d v="2016-12-07T00:00:00"/>
    <s v="ID"/>
    <s v="US"/>
    <s v="ZR"/>
    <d v="2016-12-07T00:00:00"/>
  </r>
  <r>
    <x v="0"/>
    <x v="6"/>
    <x v="400"/>
    <x v="11"/>
    <s v="Standard order"/>
    <x v="385"/>
    <x v="385"/>
    <s v="S517"/>
    <s v="CRYSTAL S517"/>
    <s v="5003467"/>
    <s v="S517 ACH T20 PB SYSTIVA G100"/>
    <n v="24"/>
    <n v="0"/>
    <n v="24"/>
    <x v="6"/>
    <s v="DVNV"/>
    <s v="GEM 100"/>
    <s v="324"/>
    <s v="4.0 UN"/>
    <s v="STANDARD"/>
    <s v="N"/>
    <s v="Y"/>
    <s v="N"/>
    <s v="T20"/>
    <s v="Y"/>
    <s v="N"/>
    <s v="Y"/>
    <s v="N"/>
    <s v="A038"/>
    <d v="2016-12-12T00:00:00"/>
    <s v="10"/>
    <s v="TAN"/>
    <s v="OR"/>
    <d v="2016-12-06T00:00:00"/>
    <s v="ND"/>
    <s v="US"/>
    <s v="ZR"/>
    <d v="2016-12-07T00:00:00"/>
  </r>
  <r>
    <x v="0"/>
    <x v="6"/>
    <x v="400"/>
    <x v="11"/>
    <s v="Standard order"/>
    <x v="385"/>
    <x v="385"/>
    <s v="S360"/>
    <s v="CRYSTAL S360NT"/>
    <s v="5003413"/>
    <s v="S360 ACH T20 PB SYSTIVA G100"/>
    <n v="52"/>
    <n v="0"/>
    <n v="52"/>
    <x v="6"/>
    <s v="DVNB"/>
    <s v="GEM 100"/>
    <s v="324"/>
    <s v="4.0 UN"/>
    <s v="STANDARD"/>
    <s v="N"/>
    <s v="Y"/>
    <s v="N"/>
    <s v="T20"/>
    <s v="Y"/>
    <s v="N"/>
    <s v="Y"/>
    <s v="N"/>
    <s v="A038"/>
    <d v="2016-12-12T00:00:00"/>
    <s v="20"/>
    <s v="TAN"/>
    <s v="OR"/>
    <d v="2016-12-06T00:00:00"/>
    <s v="ND"/>
    <s v="US"/>
    <s v="ZR"/>
    <d v="2016-12-07T00:00:00"/>
  </r>
  <r>
    <x v="0"/>
    <x v="6"/>
    <x v="400"/>
    <x v="11"/>
    <s v="Standard order"/>
    <x v="385"/>
    <x v="385"/>
    <s v="R052"/>
    <s v="CRYSTAL RR052"/>
    <s v="5003513"/>
    <s v="R052 ACH T20 PB SYSTIVA G100"/>
    <n v="56"/>
    <n v="0"/>
    <n v="56"/>
    <x v="6"/>
    <s v="AP82"/>
    <s v="GEM 100"/>
    <s v="324"/>
    <s v="4.0 UN"/>
    <s v="STANDARD"/>
    <s v="N"/>
    <s v="Y"/>
    <s v="N"/>
    <s v="T20"/>
    <s v="Y"/>
    <s v="N"/>
    <s v="Y"/>
    <s v="N"/>
    <s v="A038"/>
    <d v="2016-12-12T00:00:00"/>
    <s v="30"/>
    <s v="TAN"/>
    <s v="OR"/>
    <d v="2016-12-06T00:00:00"/>
    <s v="ND"/>
    <s v="US"/>
    <s v="ZR"/>
    <d v="2016-12-07T00:00:00"/>
  </r>
  <r>
    <x v="0"/>
    <x v="4"/>
    <x v="401"/>
    <x v="15"/>
    <s v="Standard order"/>
    <x v="386"/>
    <x v="386"/>
    <s v="A399"/>
    <s v="CRYSTAL A399NT"/>
    <s v="5002928"/>
    <s v="A399 ACH PB LRG"/>
    <n v="4"/>
    <n v="0"/>
    <n v="4"/>
    <x v="4"/>
    <s v="DP71"/>
    <s v="LARGE"/>
    <s v="314"/>
    <s v="4.0 UN"/>
    <s v="STANDARD"/>
    <s v="N"/>
    <s v="Y"/>
    <s v="N"/>
    <s v="N"/>
    <s v="N"/>
    <s v="N"/>
    <s v="N"/>
    <s v="N"/>
    <s v="A043"/>
    <d v="2016-12-12T00:00:00"/>
    <s v="10"/>
    <s v="TAN"/>
    <s v="OR"/>
    <d v="2016-12-06T00:00:00"/>
    <s v="ID"/>
    <s v="US"/>
    <s v="ZR"/>
    <d v="2016-12-07T00:00:00"/>
  </r>
  <r>
    <x v="0"/>
    <x v="4"/>
    <x v="402"/>
    <x v="15"/>
    <s v="Standard order"/>
    <x v="387"/>
    <x v="387"/>
    <s v="A501"/>
    <s v="CRYSTAL A501"/>
    <s v="5003305"/>
    <s v="A501 ACH PB LRG"/>
    <n v="4"/>
    <n v="0"/>
    <n v="4"/>
    <x v="4"/>
    <s v="EZPB"/>
    <s v="LARGE"/>
    <s v="314"/>
    <s v="4.0 UN"/>
    <s v="STANDARD"/>
    <s v="N"/>
    <s v="Y"/>
    <s v="N"/>
    <s v="N"/>
    <s v="N"/>
    <s v="N"/>
    <s v="N"/>
    <s v="N"/>
    <s v="A043"/>
    <d v="2016-12-12T00:00:00"/>
    <s v="10"/>
    <s v="TAN"/>
    <s v="OR"/>
    <d v="2016-12-06T00:00:00"/>
    <s v="ID"/>
    <s v="US"/>
    <s v="ZR"/>
    <d v="2016-12-07T00:00:00"/>
  </r>
  <r>
    <x v="0"/>
    <x v="0"/>
    <x v="403"/>
    <x v="2"/>
    <s v="Standard order"/>
    <x v="388"/>
    <x v="388"/>
    <s v="G351"/>
    <s v="CRYSTAL G351NT"/>
    <s v="5003396"/>
    <s v="G351 ACH T20 Kabina ELS"/>
    <n v="152"/>
    <n v="0"/>
    <n v="152"/>
    <x v="0"/>
    <s v="DA73"/>
    <s v="ELS"/>
    <s v="387"/>
    <s v="4.0 UN"/>
    <s v="STANDARD"/>
    <s v="N"/>
    <s v="N"/>
    <s v="Y"/>
    <s v="T20"/>
    <s v="N"/>
    <s v="N"/>
    <s v="N"/>
    <s v="N"/>
    <s v="A034"/>
    <d v="2016-12-12T00:00:00"/>
    <s v="10"/>
    <s v="TAN"/>
    <s v="OR"/>
    <d v="2016-12-07T00:00:00"/>
    <s v="MI"/>
    <s v="US"/>
    <s v="ZR"/>
    <d v="2016-12-07T00:00:00"/>
  </r>
  <r>
    <x v="0"/>
    <x v="4"/>
    <x v="404"/>
    <x v="7"/>
    <s v="Standard order"/>
    <x v="389"/>
    <x v="389"/>
    <s v="R933"/>
    <s v="CRYSTAL RR933"/>
    <s v="5003694"/>
    <s v="R933 ACH T20 PB Kabina MP"/>
    <n v="52"/>
    <n v="0"/>
    <n v="52"/>
    <x v="4"/>
    <s v="3571"/>
    <s v="MP"/>
    <s v="388"/>
    <s v="4.0 UN"/>
    <s v="STANDARD"/>
    <s v="N"/>
    <s v="Y"/>
    <s v="Y"/>
    <s v="T20"/>
    <s v="N"/>
    <s v="N"/>
    <s v="N"/>
    <s v="N"/>
    <s v="A045"/>
    <d v="2016-12-12T00:00:00"/>
    <s v="10"/>
    <s v="TAN"/>
    <s v="OR"/>
    <d v="2016-12-07T00:00:00"/>
    <s v="ID"/>
    <s v="US"/>
    <s v="ZR"/>
    <d v="2016-12-07T00:00:00"/>
  </r>
  <r>
    <x v="0"/>
    <x v="4"/>
    <x v="404"/>
    <x v="7"/>
    <s v="Standard order"/>
    <x v="389"/>
    <x v="389"/>
    <s v="A488"/>
    <s v="CRYSTAL A488NT"/>
    <s v="5002988"/>
    <s v="A488 ACH T20 PB Kabina MP"/>
    <n v="64"/>
    <n v="0"/>
    <n v="64"/>
    <x v="4"/>
    <s v="EENE"/>
    <s v="MP"/>
    <s v="388"/>
    <s v="4.0 UN"/>
    <s v="STANDARD"/>
    <s v="N"/>
    <s v="Y"/>
    <s v="Y"/>
    <s v="T20"/>
    <s v="N"/>
    <s v="N"/>
    <s v="N"/>
    <s v="N"/>
    <s v="A045"/>
    <d v="2016-12-12T00:00:00"/>
    <s v="20"/>
    <s v="TAN"/>
    <s v="OR"/>
    <d v="2016-12-07T00:00:00"/>
    <s v="ID"/>
    <s v="US"/>
    <s v="ZR"/>
    <d v="2016-12-07T00:00:00"/>
  </r>
  <r>
    <x v="0"/>
    <x v="4"/>
    <x v="404"/>
    <x v="7"/>
    <s v="Standard order"/>
    <x v="389"/>
    <x v="389"/>
    <s v="R933"/>
    <s v="CRYSTAL RR933"/>
    <s v="5003688"/>
    <s v="R933 ACH PB MP"/>
    <n v="12"/>
    <n v="0"/>
    <n v="12"/>
    <x v="4"/>
    <s v="3571"/>
    <s v="MP"/>
    <s v="314"/>
    <s v="4.0 UN"/>
    <s v="STANDARD"/>
    <s v="N"/>
    <s v="Y"/>
    <s v="N"/>
    <s v="N"/>
    <s v="N"/>
    <s v="N"/>
    <s v="N"/>
    <s v="N"/>
    <s v="A045"/>
    <d v="2016-12-12T00:00:00"/>
    <s v="30"/>
    <s v="TAN"/>
    <s v="OR"/>
    <d v="2016-12-07T00:00:00"/>
    <s v="ID"/>
    <s v="US"/>
    <s v="ZR"/>
    <d v="2016-12-07T00:00:00"/>
  </r>
  <r>
    <x v="0"/>
    <x v="4"/>
    <x v="405"/>
    <x v="7"/>
    <s v="Standard order"/>
    <x v="390"/>
    <x v="390"/>
    <s v="R933"/>
    <s v="CRYSTAL RR933"/>
    <s v="5003694"/>
    <s v="R933 ACH T20 PB Kabina MP"/>
    <n v="12"/>
    <n v="0"/>
    <n v="12"/>
    <x v="4"/>
    <s v="3571"/>
    <s v="MP"/>
    <s v="388"/>
    <s v="4.0 UN"/>
    <s v="STANDARD"/>
    <s v="N"/>
    <s v="Y"/>
    <s v="Y"/>
    <s v="T20"/>
    <s v="N"/>
    <s v="N"/>
    <s v="N"/>
    <s v="N"/>
    <s v="A045"/>
    <d v="2016-12-12T00:00:00"/>
    <s v="10"/>
    <s v="TAN"/>
    <s v="OR"/>
    <d v="2016-12-07T00:00:00"/>
    <s v="ID"/>
    <s v="US"/>
    <s v="ZR"/>
    <d v="2016-12-07T00:00:00"/>
  </r>
  <r>
    <x v="0"/>
    <x v="5"/>
    <x v="406"/>
    <x v="9"/>
    <s v="Standard order"/>
    <x v="391"/>
    <x v="391"/>
    <s v="R116"/>
    <s v="CRYSTAL RR116"/>
    <s v="5003105"/>
    <s v="R116 ACH T20 PB SYSTIVA RP"/>
    <n v="32"/>
    <n v="0"/>
    <n v="32"/>
    <x v="5"/>
    <s v="AP71"/>
    <s v="RP"/>
    <s v="324"/>
    <s v="4.0 UN"/>
    <s v="STANDARD"/>
    <s v="N"/>
    <s v="Y"/>
    <s v="N"/>
    <s v="T20"/>
    <s v="Y"/>
    <s v="N"/>
    <s v="N"/>
    <s v="N"/>
    <s v="A016"/>
    <d v="2016-12-13T00:00:00"/>
    <s v="10"/>
    <s v="TAN"/>
    <s v="OR"/>
    <d v="2016-12-07T00:00:00"/>
    <s v="WY"/>
    <s v="US"/>
    <s v="ZR"/>
    <d v="2016-12-08T00:00:00"/>
  </r>
  <r>
    <x v="0"/>
    <x v="5"/>
    <x v="407"/>
    <x v="14"/>
    <s v="Standard order"/>
    <x v="392"/>
    <x v="392"/>
    <s v="Y400"/>
    <s v="CRYSTAL Y400NT"/>
    <s v="5003735"/>
    <s v="Y400 ACH T20 PB SYSTIVA RP"/>
    <n v="60"/>
    <n v="0"/>
    <n v="60"/>
    <x v="5"/>
    <s v="4TBP"/>
    <s v="RP"/>
    <s v="324"/>
    <s v="4.0 UN"/>
    <s v="STANDARD"/>
    <s v="N"/>
    <s v="Y"/>
    <s v="N"/>
    <s v="T20"/>
    <s v="Y"/>
    <s v="N"/>
    <s v="N"/>
    <s v="N"/>
    <s v="A017"/>
    <d v="2016-12-13T00:00:00"/>
    <s v="10"/>
    <s v="TAN"/>
    <s v="OR"/>
    <d v="2016-12-07T00:00:00"/>
    <s v="WY"/>
    <s v="US"/>
    <s v="ZR"/>
    <d v="2016-12-08T00:00:00"/>
  </r>
  <r>
    <x v="0"/>
    <x v="5"/>
    <x v="407"/>
    <x v="14"/>
    <s v="Standard order"/>
    <x v="392"/>
    <x v="392"/>
    <s v="Y313"/>
    <s v="CRYSTAL Y313NT"/>
    <s v="5003711"/>
    <s v="Y313 ACH T20 PB SYSTIVA RP"/>
    <n v="464"/>
    <n v="0"/>
    <n v="464"/>
    <x v="5"/>
    <s v="DLNC"/>
    <s v="RP"/>
    <s v="324"/>
    <s v="4.0 UN"/>
    <s v="STANDARD"/>
    <s v="N"/>
    <s v="Y"/>
    <s v="N"/>
    <s v="T20"/>
    <s v="Y"/>
    <s v="N"/>
    <s v="N"/>
    <s v="N"/>
    <s v="A017"/>
    <d v="2016-12-13T00:00:00"/>
    <s v="20"/>
    <s v="TAN"/>
    <s v="OR"/>
    <d v="2016-12-07T00:00:00"/>
    <s v="WY"/>
    <s v="US"/>
    <s v="ZR"/>
    <d v="2016-12-08T00:00:00"/>
  </r>
  <r>
    <x v="0"/>
    <x v="0"/>
    <x v="408"/>
    <x v="4"/>
    <s v="Standard order"/>
    <x v="393"/>
    <x v="393"/>
    <s v="G333"/>
    <s v="CRYSTAL G333NT"/>
    <s v="5003376"/>
    <s v="G333 ACH T20 Kabina ELS"/>
    <n v="24"/>
    <n v="0"/>
    <n v="24"/>
    <x v="0"/>
    <s v="EE73"/>
    <s v="ELS"/>
    <s v="387"/>
    <s v="4.0 UN"/>
    <s v="STANDARD"/>
    <s v="N"/>
    <s v="N"/>
    <s v="Y"/>
    <s v="T20"/>
    <s v="N"/>
    <s v="N"/>
    <s v="N"/>
    <s v="N"/>
    <s v="A035"/>
    <d v="2016-12-13T00:00:00"/>
    <s v="30"/>
    <s v="TAN"/>
    <s v="OR"/>
    <d v="2016-12-07T00:00:00"/>
    <s v="MI"/>
    <s v="US"/>
    <s v="ZR"/>
    <d v="2016-12-08T00:00:00"/>
  </r>
  <r>
    <x v="0"/>
    <x v="6"/>
    <x v="409"/>
    <x v="11"/>
    <s v="Standard order"/>
    <x v="394"/>
    <x v="394"/>
    <s v="S360"/>
    <s v="CRYSTAL S360NT"/>
    <s v="5003414"/>
    <s v="S360 ACH T20 PB SYSTIVA G50"/>
    <n v="36"/>
    <n v="0"/>
    <n v="36"/>
    <x v="6"/>
    <s v="DVNB"/>
    <s v="GEM 50"/>
    <s v="324"/>
    <s v="4.0 UN"/>
    <s v="STANDARD"/>
    <s v="N"/>
    <s v="Y"/>
    <s v="N"/>
    <s v="T20"/>
    <s v="Y"/>
    <s v="N"/>
    <s v="Y"/>
    <s v="N"/>
    <s v="A038"/>
    <d v="2016-12-13T00:00:00"/>
    <s v="10"/>
    <s v="TAN"/>
    <s v="OR"/>
    <d v="2016-12-07T00:00:00"/>
    <s v="MT"/>
    <s v="US"/>
    <s v="ZR"/>
    <d v="2016-12-08T00:00:00"/>
  </r>
  <r>
    <x v="0"/>
    <x v="6"/>
    <x v="410"/>
    <x v="11"/>
    <s v="Standard order"/>
    <x v="395"/>
    <x v="395"/>
    <s v="S517"/>
    <s v="CRYSTAL S517"/>
    <s v="5003467"/>
    <s v="S517 ACH T20 PB SYSTIVA G100"/>
    <n v="24"/>
    <n v="0"/>
    <n v="24"/>
    <x v="6"/>
    <s v="DVNV"/>
    <s v="GEM 100"/>
    <s v="324"/>
    <s v="4.0 UN"/>
    <s v="STANDARD"/>
    <s v="N"/>
    <s v="Y"/>
    <s v="N"/>
    <s v="T20"/>
    <s v="Y"/>
    <s v="N"/>
    <s v="Y"/>
    <s v="N"/>
    <s v="A038"/>
    <d v="2016-12-13T00:00:00"/>
    <s v="10"/>
    <s v="TAN"/>
    <s v="OR"/>
    <d v="2016-12-07T00:00:00"/>
    <s v="MT"/>
    <s v="US"/>
    <s v="ZR"/>
    <d v="2016-12-08T00:00:00"/>
  </r>
  <r>
    <x v="0"/>
    <x v="6"/>
    <x v="410"/>
    <x v="11"/>
    <s v="Standard order"/>
    <x v="395"/>
    <x v="395"/>
    <s v="S360"/>
    <s v="CRYSTAL S360NT"/>
    <s v="5003413"/>
    <s v="S360 ACH T20 PB SYSTIVA G100"/>
    <n v="60"/>
    <n v="0"/>
    <n v="60"/>
    <x v="6"/>
    <s v="DVNB"/>
    <s v="GEM 100"/>
    <s v="324"/>
    <s v="4.0 UN"/>
    <s v="STANDARD"/>
    <s v="N"/>
    <s v="Y"/>
    <s v="N"/>
    <s v="T20"/>
    <s v="Y"/>
    <s v="N"/>
    <s v="Y"/>
    <s v="N"/>
    <s v="A038"/>
    <d v="2016-12-13T00:00:00"/>
    <s v="20"/>
    <s v="TAN"/>
    <s v="OR"/>
    <d v="2016-12-07T00:00:00"/>
    <s v="MT"/>
    <s v="US"/>
    <s v="ZR"/>
    <d v="2016-12-08T00:00:00"/>
  </r>
  <r>
    <x v="0"/>
    <x v="6"/>
    <x v="410"/>
    <x v="11"/>
    <s v="Standard order"/>
    <x v="395"/>
    <x v="395"/>
    <s v="R052"/>
    <s v="CRYSTAL RR052"/>
    <s v="5003501"/>
    <s v="R052 ACH T20 PB CL SYSTIVA G100"/>
    <n v="32"/>
    <n v="0"/>
    <n v="32"/>
    <x v="6"/>
    <s v="AP82"/>
    <s v="GEM 100"/>
    <s v="321"/>
    <s v="4.0 UN"/>
    <s v="STANDARD"/>
    <s v="N"/>
    <s v="N"/>
    <s v="N"/>
    <s v="T20"/>
    <s v="Y"/>
    <s v="N"/>
    <s v="Y"/>
    <s v="N"/>
    <s v="A038"/>
    <d v="2016-12-13T00:00:00"/>
    <s v="30"/>
    <s v="TAN"/>
    <s v="OR"/>
    <d v="2016-12-07T00:00:00"/>
    <s v="MT"/>
    <s v="US"/>
    <s v="ZR"/>
    <d v="2016-12-08T00:00:00"/>
  </r>
  <r>
    <x v="0"/>
    <x v="6"/>
    <x v="410"/>
    <x v="11"/>
    <s v="Standard order"/>
    <x v="395"/>
    <x v="395"/>
    <s v="S498"/>
    <s v="CRYSTAL S498"/>
    <s v="5003419"/>
    <s v="S498 ACH T20 PB CL SYSTIVA G100"/>
    <n v="28"/>
    <n v="0"/>
    <n v="28"/>
    <x v="6"/>
    <s v="FE73"/>
    <s v="GEM 100"/>
    <s v="321"/>
    <s v="4.0 UN"/>
    <s v="STANDARD"/>
    <s v="N"/>
    <s v="N"/>
    <s v="N"/>
    <s v="T20"/>
    <s v="Y"/>
    <s v="N"/>
    <s v="Y"/>
    <s v="N"/>
    <s v="A038"/>
    <d v="2016-12-13T00:00:00"/>
    <s v="40"/>
    <s v="TAN"/>
    <s v="OR"/>
    <d v="2016-12-07T00:00:00"/>
    <s v="MT"/>
    <s v="US"/>
    <s v="ZR"/>
    <d v="2016-12-08T00:00:00"/>
  </r>
  <r>
    <x v="0"/>
    <x v="4"/>
    <x v="411"/>
    <x v="8"/>
    <s v="Standard order"/>
    <x v="396"/>
    <x v="396"/>
    <s v="A399"/>
    <s v="CRYSTAL A399NT"/>
    <s v="5002920"/>
    <s v="A399 ACH LRG"/>
    <n v="40"/>
    <n v="0"/>
    <n v="40"/>
    <x v="4"/>
    <s v="DP71"/>
    <s v="LARGE"/>
    <s v="316"/>
    <s v="4.0 UN"/>
    <s v="STANDARD"/>
    <s v="N"/>
    <s v="N"/>
    <s v="N"/>
    <s v="N"/>
    <s v="N"/>
    <s v="N"/>
    <s v="N"/>
    <s v="N"/>
    <s v="A044"/>
    <d v="2016-12-13T00:00:00"/>
    <s v="10"/>
    <s v="TAN"/>
    <s v="OR"/>
    <d v="2016-12-08T00:00:00"/>
    <s v="ID"/>
    <s v="US"/>
    <s v="ZR"/>
    <d v="2016-12-08T00:00:00"/>
  </r>
  <r>
    <x v="0"/>
    <x v="4"/>
    <x v="412"/>
    <x v="20"/>
    <s v="Standard order"/>
    <x v="397"/>
    <x v="397"/>
    <s v="A399"/>
    <s v="CRYSTAL A399NT"/>
    <s v="5002920"/>
    <s v="A399 ACH LRG"/>
    <n v="28"/>
    <n v="0"/>
    <n v="28"/>
    <x v="4"/>
    <s v="DP71"/>
    <s v="LARGE"/>
    <s v="316"/>
    <s v="4.0 UN"/>
    <s v="STANDARD"/>
    <s v="N"/>
    <s v="N"/>
    <s v="N"/>
    <s v="N"/>
    <s v="N"/>
    <s v="N"/>
    <s v="N"/>
    <s v="N"/>
    <s v="A039"/>
    <d v="2016-12-13T00:00:00"/>
    <s v="10"/>
    <s v="TAN"/>
    <s v="OR"/>
    <d v="2016-12-08T00:00:00"/>
    <s v="ID"/>
    <s v="US"/>
    <s v="ZR"/>
    <d v="2016-12-08T00:00:00"/>
  </r>
  <r>
    <x v="0"/>
    <x v="0"/>
    <x v="413"/>
    <x v="10"/>
    <s v="Standard order"/>
    <x v="398"/>
    <x v="398"/>
    <s v="G333"/>
    <s v="CRYSTAL G333NT"/>
    <s v="5003378"/>
    <s v="G333 ACH T20 Kabina RP"/>
    <n v="12"/>
    <n v="0"/>
    <n v="12"/>
    <x v="0"/>
    <s v="EE73"/>
    <s v="RP"/>
    <s v="387"/>
    <s v="4.0 UN"/>
    <s v="STANDARD"/>
    <s v="N"/>
    <s v="N"/>
    <s v="Y"/>
    <s v="T20"/>
    <s v="N"/>
    <s v="N"/>
    <s v="N"/>
    <s v="N"/>
    <s v="A036"/>
    <d v="2016-12-13T00:00:00"/>
    <s v="10"/>
    <s v="TAN"/>
    <s v="OR"/>
    <d v="2016-12-08T00:00:00"/>
    <s v="MI"/>
    <s v="US"/>
    <s v="ZR"/>
    <d v="2016-12-08T00:00:00"/>
  </r>
  <r>
    <x v="0"/>
    <x v="0"/>
    <x v="414"/>
    <x v="10"/>
    <s v="Standard order"/>
    <x v="399"/>
    <x v="399"/>
    <s v="R059"/>
    <s v="CRYSTAL RR059"/>
    <s v="5003530"/>
    <s v="R059 ACH T20 Kabina RP"/>
    <n v="36"/>
    <n v="0"/>
    <n v="36"/>
    <x v="0"/>
    <s v="AP73"/>
    <s v="RP"/>
    <s v="387"/>
    <s v="4.0 UN"/>
    <s v="STANDARD"/>
    <s v="N"/>
    <s v="N"/>
    <s v="Y"/>
    <s v="T20"/>
    <s v="N"/>
    <s v="N"/>
    <s v="N"/>
    <s v="N"/>
    <s v="A036"/>
    <d v="2016-12-13T00:00:00"/>
    <s v="10"/>
    <s v="TAN"/>
    <s v="OR"/>
    <d v="2016-12-08T00:00:00"/>
    <s v="MI"/>
    <s v="US"/>
    <s v="ZR"/>
    <d v="2016-12-08T00:00:00"/>
  </r>
  <r>
    <x v="0"/>
    <x v="2"/>
    <x v="415"/>
    <x v="22"/>
    <s v="Standard order"/>
    <x v="400"/>
    <x v="400"/>
    <s v="W322"/>
    <s v="CRYSTAL W322NT"/>
    <s v="5003488"/>
    <s v="W322 ACH T20 PB SYSTIVA G100"/>
    <n v="20"/>
    <n v="0"/>
    <n v="20"/>
    <x v="2"/>
    <s v="EE73"/>
    <s v="GEM 100"/>
    <s v="324"/>
    <s v="4.0 UN"/>
    <s v="STANDARD"/>
    <s v="N"/>
    <s v="Y"/>
    <s v="N"/>
    <s v="T20"/>
    <s v="Y"/>
    <s v="N"/>
    <s v="Y"/>
    <s v="N"/>
    <s v="A018"/>
    <d v="2016-12-13T00:00:00"/>
    <s v="10"/>
    <s v="TAN"/>
    <s v="OR"/>
    <d v="2016-12-08T00:00:00"/>
    <s v="CO"/>
    <s v="US"/>
    <s v="ZR"/>
    <d v="2016-12-08T00:00:00"/>
  </r>
  <r>
    <x v="0"/>
    <x v="2"/>
    <x v="415"/>
    <x v="22"/>
    <s v="Standard order"/>
    <x v="400"/>
    <x v="400"/>
    <s v="R014"/>
    <s v="CRYSTAL RR014"/>
    <s v="5003091"/>
    <s v="R014 ACH T20 PB SYSTIVA G100"/>
    <n v="16"/>
    <n v="0"/>
    <n v="16"/>
    <x v="2"/>
    <s v="AP82"/>
    <s v="GEM 100"/>
    <s v="324"/>
    <s v="4.0 UN"/>
    <s v="STANDARD"/>
    <s v="N"/>
    <s v="Y"/>
    <s v="N"/>
    <s v="T20"/>
    <s v="Y"/>
    <s v="N"/>
    <s v="Y"/>
    <s v="N"/>
    <s v="A018"/>
    <d v="2016-12-13T00:00:00"/>
    <s v="20"/>
    <s v="TAN"/>
    <s v="OR"/>
    <d v="2016-12-08T00:00:00"/>
    <s v="CO"/>
    <s v="US"/>
    <s v="ZR"/>
    <d v="2016-12-08T00:00:00"/>
  </r>
  <r>
    <x v="0"/>
    <x v="4"/>
    <x v="416"/>
    <x v="17"/>
    <s v="Standard order"/>
    <x v="401"/>
    <x v="401"/>
    <s v="A488"/>
    <s v="CRYSTAL A488NT"/>
    <s v="5002983"/>
    <s v="A488 ACH PB XL"/>
    <n v="32"/>
    <n v="0"/>
    <n v="32"/>
    <x v="4"/>
    <s v="EENE"/>
    <s v="X-LARGE"/>
    <s v="314"/>
    <s v="4.0 UN"/>
    <s v="STANDARD"/>
    <s v="N"/>
    <s v="Y"/>
    <s v="N"/>
    <s v="N"/>
    <s v="N"/>
    <s v="N"/>
    <s v="N"/>
    <s v="N"/>
    <s v="A040"/>
    <d v="2016-12-13T00:00:00"/>
    <s v="10"/>
    <s v="TAN"/>
    <s v="OR"/>
    <d v="2016-12-08T00:00:00"/>
    <s v="ID"/>
    <s v="US"/>
    <s v="ZR"/>
    <d v="2016-12-08T00:00:00"/>
  </r>
  <r>
    <x v="0"/>
    <x v="4"/>
    <x v="417"/>
    <x v="20"/>
    <s v="Standard order"/>
    <x v="402"/>
    <x v="402"/>
    <s v="A501"/>
    <s v="CRYSTAL A501"/>
    <s v="5003305"/>
    <s v="A501 ACH PB LRG"/>
    <n v="16"/>
    <n v="0"/>
    <n v="16"/>
    <x v="4"/>
    <s v="EZPB"/>
    <s v="LARGE"/>
    <s v="314"/>
    <s v="4.0 UN"/>
    <s v="STANDARD"/>
    <s v="N"/>
    <s v="Y"/>
    <s v="N"/>
    <s v="N"/>
    <s v="N"/>
    <s v="N"/>
    <s v="N"/>
    <s v="N"/>
    <s v="A039"/>
    <d v="2016-12-13T00:00:00"/>
    <s v="10"/>
    <s v="TAN"/>
    <s v="OR"/>
    <d v="2016-12-08T00:00:00"/>
    <s v="ID"/>
    <s v="US"/>
    <s v="ZR"/>
    <d v="2016-12-08T00:00:00"/>
  </r>
  <r>
    <x v="0"/>
    <x v="4"/>
    <x v="417"/>
    <x v="20"/>
    <s v="Standard order"/>
    <x v="402"/>
    <x v="402"/>
    <s v="A399"/>
    <s v="CRYSTAL A399NT"/>
    <s v="5002920"/>
    <s v="A399 ACH LRG"/>
    <n v="60"/>
    <n v="0"/>
    <n v="60"/>
    <x v="4"/>
    <s v="DP71"/>
    <s v="LARGE"/>
    <s v="316"/>
    <s v="4.0 UN"/>
    <s v="STANDARD"/>
    <s v="N"/>
    <s v="N"/>
    <s v="N"/>
    <s v="N"/>
    <s v="N"/>
    <s v="N"/>
    <s v="N"/>
    <s v="N"/>
    <s v="A039"/>
    <d v="2016-12-13T00:00:00"/>
    <s v="20"/>
    <s v="TAN"/>
    <s v="OR"/>
    <d v="2016-12-08T00:00:00"/>
    <s v="ID"/>
    <s v="US"/>
    <s v="ZR"/>
    <d v="2016-12-08T00:00:00"/>
  </r>
  <r>
    <x v="0"/>
    <x v="2"/>
    <x v="418"/>
    <x v="6"/>
    <s v="Standard order"/>
    <x v="403"/>
    <x v="403"/>
    <s v="R014"/>
    <s v="CRYSTAL RR014"/>
    <s v="5003091"/>
    <s v="R014 ACH T20 PB SYSTIVA G100"/>
    <n v="64"/>
    <n v="0"/>
    <n v="64"/>
    <x v="2"/>
    <s v="AP82"/>
    <s v="GEM 100"/>
    <s v="324"/>
    <s v="4.0 UN"/>
    <s v="STANDARD"/>
    <s v="N"/>
    <s v="Y"/>
    <s v="N"/>
    <s v="T20"/>
    <s v="Y"/>
    <s v="N"/>
    <s v="Y"/>
    <s v="N"/>
    <s v="A025"/>
    <d v="2016-12-13T00:00:00"/>
    <s v="10"/>
    <s v="TAN"/>
    <s v="OR"/>
    <d v="2016-12-08T00:00:00"/>
    <s v="NE"/>
    <s v="US"/>
    <s v="ZR"/>
    <d v="2016-12-08T00:00:00"/>
  </r>
  <r>
    <x v="0"/>
    <x v="2"/>
    <x v="419"/>
    <x v="6"/>
    <s v="Standard order"/>
    <x v="404"/>
    <x v="404"/>
    <s v="W322"/>
    <s v="CRYSTAL W322NT"/>
    <s v="5003488"/>
    <s v="W322 ACH T20 PB SYSTIVA G100"/>
    <n v="24"/>
    <n v="0"/>
    <n v="24"/>
    <x v="2"/>
    <s v="EE73"/>
    <s v="GEM 100"/>
    <s v="324"/>
    <s v="4.0 UN"/>
    <s v="STANDARD"/>
    <s v="N"/>
    <s v="Y"/>
    <s v="N"/>
    <s v="T20"/>
    <s v="Y"/>
    <s v="N"/>
    <s v="Y"/>
    <s v="N"/>
    <s v="A025"/>
    <d v="2016-12-13T00:00:00"/>
    <s v="10"/>
    <s v="TAN"/>
    <s v="OR"/>
    <d v="2016-12-08T00:00:00"/>
    <s v="NE"/>
    <s v="US"/>
    <s v="ZR"/>
    <d v="2016-12-08T00:00:00"/>
  </r>
  <r>
    <x v="0"/>
    <x v="4"/>
    <x v="420"/>
    <x v="17"/>
    <s v="Standard order"/>
    <x v="405"/>
    <x v="405"/>
    <s v="A501"/>
    <s v="CRYSTAL A501"/>
    <s v="5003305"/>
    <s v="A501 ACH PB LRG"/>
    <n v="80"/>
    <n v="0"/>
    <n v="80"/>
    <x v="4"/>
    <s v="EZPB"/>
    <s v="LARGE"/>
    <s v="314"/>
    <s v="4.0 UN"/>
    <s v="STANDARD"/>
    <s v="N"/>
    <s v="Y"/>
    <s v="N"/>
    <s v="N"/>
    <s v="N"/>
    <s v="N"/>
    <s v="N"/>
    <s v="N"/>
    <s v="A040"/>
    <d v="2016-12-13T00:00:00"/>
    <s v="10"/>
    <s v="TAN"/>
    <s v="OR"/>
    <d v="2016-12-08T00:00:00"/>
    <s v="ID"/>
    <s v="US"/>
    <s v="ZR"/>
    <d v="2016-12-08T00:00:00"/>
  </r>
  <r>
    <x v="0"/>
    <x v="4"/>
    <x v="420"/>
    <x v="17"/>
    <s v="Standard order"/>
    <x v="405"/>
    <x v="405"/>
    <s v="A404"/>
    <s v="CRYSTAL A404NT"/>
    <s v="5002954"/>
    <s v="A404 ACH PB LRG"/>
    <n v="292"/>
    <n v="0"/>
    <n v="292"/>
    <x v="4"/>
    <s v="DPNE"/>
    <s v="LARGE"/>
    <s v="314"/>
    <s v="4.0 UN"/>
    <s v="STANDARD"/>
    <s v="N"/>
    <s v="Y"/>
    <s v="N"/>
    <s v="N"/>
    <s v="N"/>
    <s v="N"/>
    <s v="N"/>
    <s v="N"/>
    <s v="A040"/>
    <d v="2016-12-13T00:00:00"/>
    <s v="20"/>
    <s v="TAN"/>
    <s v="OR"/>
    <d v="2016-12-08T00:00:00"/>
    <s v="ID"/>
    <s v="US"/>
    <s v="ZR"/>
    <d v="2016-12-08T00:00:00"/>
  </r>
  <r>
    <x v="0"/>
    <x v="4"/>
    <x v="420"/>
    <x v="17"/>
    <s v="Standard order"/>
    <x v="405"/>
    <x v="405"/>
    <s v="A399"/>
    <s v="CRYSTAL A399NT"/>
    <s v="5002920"/>
    <s v="A399 ACH LRG"/>
    <n v="148"/>
    <n v="0"/>
    <n v="148"/>
    <x v="4"/>
    <s v="DP71"/>
    <s v="LARGE"/>
    <s v="316"/>
    <s v="4.0 UN"/>
    <s v="STANDARD"/>
    <s v="N"/>
    <s v="N"/>
    <s v="N"/>
    <s v="N"/>
    <s v="N"/>
    <s v="N"/>
    <s v="N"/>
    <s v="N"/>
    <s v="A040"/>
    <d v="2016-12-13T00:00:00"/>
    <s v="30"/>
    <s v="TAN"/>
    <s v="OR"/>
    <d v="2016-12-08T00:00:00"/>
    <s v="ID"/>
    <s v="US"/>
    <s v="ZR"/>
    <d v="2016-12-08T00:00:00"/>
  </r>
  <r>
    <x v="0"/>
    <x v="4"/>
    <x v="420"/>
    <x v="17"/>
    <s v="Standard order"/>
    <x v="405"/>
    <x v="405"/>
    <s v="A399"/>
    <s v="CRYSTAL A399NT"/>
    <s v="5002928"/>
    <s v="A399 ACH PB LRG"/>
    <n v="144"/>
    <n v="0"/>
    <n v="144"/>
    <x v="4"/>
    <s v="DP71"/>
    <s v="LARGE"/>
    <s v="314"/>
    <s v="4.0 UN"/>
    <s v="STANDARD"/>
    <s v="N"/>
    <s v="Y"/>
    <s v="N"/>
    <s v="N"/>
    <s v="N"/>
    <s v="N"/>
    <s v="N"/>
    <s v="N"/>
    <s v="A040"/>
    <d v="2016-12-13T00:00:00"/>
    <s v="40"/>
    <s v="TAN"/>
    <s v="OR"/>
    <d v="2016-12-08T00:00:00"/>
    <s v="ID"/>
    <s v="US"/>
    <s v="ZR"/>
    <d v="2016-12-08T00:00:00"/>
  </r>
  <r>
    <x v="0"/>
    <x v="4"/>
    <x v="421"/>
    <x v="15"/>
    <s v="Standard order"/>
    <x v="406"/>
    <x v="406"/>
    <s v="A399"/>
    <s v="CRYSTAL A399NT"/>
    <s v="5002936"/>
    <s v="A399 ACH T20 PB Kabina MP"/>
    <n v="8"/>
    <n v="0"/>
    <n v="8"/>
    <x v="4"/>
    <s v="DP71"/>
    <s v="MP"/>
    <s v="388"/>
    <s v="4.0 UN"/>
    <s v="STANDARD"/>
    <s v="N"/>
    <s v="Y"/>
    <s v="Y"/>
    <s v="T20"/>
    <s v="N"/>
    <s v="N"/>
    <s v="N"/>
    <s v="N"/>
    <s v="A043"/>
    <d v="2016-12-13T00:00:00"/>
    <s v="10"/>
    <s v="TAN"/>
    <s v="OR"/>
    <d v="2016-12-08T00:00:00"/>
    <s v="ID"/>
    <s v="US"/>
    <s v="ZR"/>
    <d v="2016-12-08T00:00:00"/>
  </r>
  <r>
    <x v="0"/>
    <x v="4"/>
    <x v="421"/>
    <x v="15"/>
    <s v="Standard order"/>
    <x v="406"/>
    <x v="406"/>
    <s v="A404"/>
    <s v="CRYSTAL A404NT"/>
    <s v="5002962"/>
    <s v="A404 ACH T20 PB Kabina MP"/>
    <n v="8"/>
    <n v="0"/>
    <n v="8"/>
    <x v="4"/>
    <s v="DPNE"/>
    <s v="MP"/>
    <s v="388"/>
    <s v="4.0 UN"/>
    <s v="STANDARD"/>
    <s v="N"/>
    <s v="Y"/>
    <s v="Y"/>
    <s v="T20"/>
    <s v="N"/>
    <s v="N"/>
    <s v="N"/>
    <s v="N"/>
    <s v="A043"/>
    <d v="2016-12-13T00:00:00"/>
    <s v="20"/>
    <s v="TAN"/>
    <s v="OR"/>
    <d v="2016-12-08T00:00:00"/>
    <s v="ID"/>
    <s v="US"/>
    <s v="ZR"/>
    <d v="2016-12-08T00:00:00"/>
  </r>
  <r>
    <x v="0"/>
    <x v="4"/>
    <x v="421"/>
    <x v="15"/>
    <s v="Standard order"/>
    <x v="406"/>
    <x v="406"/>
    <s v="A488"/>
    <s v="CRYSTAL A488NT"/>
    <s v="5002988"/>
    <s v="A488 ACH T20 PB Kabina MP"/>
    <n v="16"/>
    <n v="0"/>
    <n v="16"/>
    <x v="4"/>
    <s v="EENE"/>
    <s v="MP"/>
    <s v="388"/>
    <s v="4.0 UN"/>
    <s v="STANDARD"/>
    <s v="N"/>
    <s v="Y"/>
    <s v="Y"/>
    <s v="T20"/>
    <s v="N"/>
    <s v="N"/>
    <s v="N"/>
    <s v="N"/>
    <s v="A043"/>
    <d v="2016-12-13T00:00:00"/>
    <s v="30"/>
    <s v="TAN"/>
    <s v="OR"/>
    <d v="2016-12-08T00:00:00"/>
    <s v="ID"/>
    <s v="US"/>
    <s v="ZR"/>
    <d v="2016-12-08T00:00:00"/>
  </r>
  <r>
    <x v="0"/>
    <x v="4"/>
    <x v="421"/>
    <x v="15"/>
    <s v="Standard order"/>
    <x v="406"/>
    <x v="406"/>
    <s v="R240"/>
    <s v="CRYSTAL RR240NT"/>
    <s v="5003167"/>
    <s v="R240 ACH T20 PB Kabina MP"/>
    <n v="28"/>
    <n v="0"/>
    <n v="28"/>
    <x v="4"/>
    <s v="BHMP"/>
    <s v="MP"/>
    <s v="388"/>
    <s v="4.0 UN"/>
    <s v="STANDARD"/>
    <s v="N"/>
    <s v="Y"/>
    <s v="Y"/>
    <s v="T20"/>
    <s v="N"/>
    <s v="N"/>
    <s v="N"/>
    <s v="N"/>
    <s v="A043"/>
    <d v="2016-12-13T00:00:00"/>
    <s v="40"/>
    <s v="TAN"/>
    <s v="OR"/>
    <d v="2016-12-08T00:00:00"/>
    <s v="ID"/>
    <s v="US"/>
    <s v="ZR"/>
    <d v="2016-12-08T00:00:00"/>
  </r>
  <r>
    <x v="0"/>
    <x v="0"/>
    <x v="422"/>
    <x v="10"/>
    <s v="Standard order"/>
    <x v="407"/>
    <x v="407"/>
    <s v="R059"/>
    <s v="CRYSTAL RR059"/>
    <s v="5003530"/>
    <s v="R059 ACH T20 Kabina RP"/>
    <n v="32"/>
    <n v="0"/>
    <n v="32"/>
    <x v="0"/>
    <s v="AP73"/>
    <s v="RP"/>
    <s v="387"/>
    <s v="4.0 UN"/>
    <s v="STANDARD"/>
    <s v="N"/>
    <s v="N"/>
    <s v="Y"/>
    <s v="T20"/>
    <s v="N"/>
    <s v="N"/>
    <s v="N"/>
    <s v="N"/>
    <s v="A036"/>
    <d v="2016-12-13T00:00:00"/>
    <s v="10"/>
    <s v="TAN"/>
    <s v="OR"/>
    <d v="2016-12-07T00:00:00"/>
    <s v="MI"/>
    <s v="US"/>
    <s v="ZR"/>
    <d v="2016-12-08T00:00:00"/>
  </r>
  <r>
    <x v="0"/>
    <x v="6"/>
    <x v="423"/>
    <x v="11"/>
    <s v="Standard order"/>
    <x v="408"/>
    <x v="408"/>
    <s v="S517"/>
    <s v="CRYSTAL S517"/>
    <s v="5003471"/>
    <s v="S517 ACH T45 PB SYSTIVA RP"/>
    <n v="24"/>
    <n v="0"/>
    <n v="24"/>
    <x v="6"/>
    <s v="DVNV"/>
    <s v="RP"/>
    <s v="330"/>
    <s v="4.0 UN"/>
    <s v="STANDARD"/>
    <s v="N"/>
    <s v="Y"/>
    <s v="N"/>
    <s v="T45"/>
    <s v="Y"/>
    <s v="N"/>
    <s v="Y"/>
    <s v="N"/>
    <s v="A038"/>
    <d v="2016-12-13T00:00:00"/>
    <s v="10"/>
    <s v="TAN"/>
    <s v="OR"/>
    <d v="2016-12-07T00:00:00"/>
    <s v="MT"/>
    <s v="US"/>
    <s v="ZR"/>
    <d v="2016-12-08T00:00:00"/>
  </r>
  <r>
    <x v="0"/>
    <x v="6"/>
    <x v="423"/>
    <x v="11"/>
    <s v="Standard order"/>
    <x v="408"/>
    <x v="408"/>
    <s v="S360"/>
    <s v="CRYSTAL S360NT"/>
    <s v="5003417"/>
    <s v="S360 ACH T45 PB SYSTIVA RP"/>
    <n v="72"/>
    <n v="0"/>
    <n v="72"/>
    <x v="6"/>
    <s v="DVNB"/>
    <s v="RP"/>
    <s v="330"/>
    <s v="4.0 UN"/>
    <s v="STANDARD"/>
    <s v="N"/>
    <s v="Y"/>
    <s v="N"/>
    <s v="T45"/>
    <s v="Y"/>
    <s v="N"/>
    <s v="Y"/>
    <s v="N"/>
    <s v="A038"/>
    <d v="2016-12-13T00:00:00"/>
    <s v="20"/>
    <s v="TAN"/>
    <s v="OR"/>
    <d v="2016-12-07T00:00:00"/>
    <s v="MT"/>
    <s v="US"/>
    <s v="ZR"/>
    <d v="2016-12-08T00:00:00"/>
  </r>
  <r>
    <x v="0"/>
    <x v="6"/>
    <x v="423"/>
    <x v="11"/>
    <s v="Standard order"/>
    <x v="408"/>
    <x v="408"/>
    <s v="R052"/>
    <s v="CRYSTAL RR052"/>
    <s v="5003517"/>
    <s v="R052 ACH T45 PB SYSTIVA RP"/>
    <n v="72"/>
    <n v="0"/>
    <n v="72"/>
    <x v="6"/>
    <s v="AP82"/>
    <s v="RP"/>
    <s v="330"/>
    <s v="4.0 UN"/>
    <s v="STANDARD"/>
    <s v="N"/>
    <s v="Y"/>
    <s v="N"/>
    <s v="T45"/>
    <s v="Y"/>
    <s v="N"/>
    <s v="Y"/>
    <s v="N"/>
    <s v="A038"/>
    <d v="2016-12-13T00:00:00"/>
    <s v="30"/>
    <s v="TAN"/>
    <s v="OR"/>
    <d v="2016-12-07T00:00:00"/>
    <s v="MT"/>
    <s v="US"/>
    <s v="ZR"/>
    <d v="2016-12-08T00:00:00"/>
  </r>
  <r>
    <x v="0"/>
    <x v="6"/>
    <x v="423"/>
    <x v="11"/>
    <s v="Standard order"/>
    <x v="408"/>
    <x v="408"/>
    <s v="R081"/>
    <s v="CRYSTAL RR081"/>
    <s v="5003579"/>
    <s v="R081 ACH T45 PB SYSTIVA RP SSI"/>
    <n v="72"/>
    <n v="0"/>
    <n v="72"/>
    <x v="6"/>
    <s v="AQ82"/>
    <s v="RP"/>
    <s v="330"/>
    <s v="4.0 UN"/>
    <s v="STANDARD"/>
    <s v="N"/>
    <s v="Y"/>
    <s v="N"/>
    <s v="T45"/>
    <s v="Y"/>
    <s v="N"/>
    <s v="Y"/>
    <s v="N"/>
    <s v="A038"/>
    <d v="2016-12-13T00:00:00"/>
    <s v="40"/>
    <s v="TAN"/>
    <s v="OR"/>
    <d v="2016-12-07T00:00:00"/>
    <s v="MT"/>
    <s v="US"/>
    <s v="ZR"/>
    <d v="2016-12-08T00:00:00"/>
  </r>
  <r>
    <x v="0"/>
    <x v="6"/>
    <x v="423"/>
    <x v="11"/>
    <s v="Standard order"/>
    <x v="408"/>
    <x v="408"/>
    <s v="S498"/>
    <s v="CRYSTAL S498"/>
    <s v="5003435"/>
    <s v="S498 ACH T45 PB SYSTIVA RP"/>
    <n v="24"/>
    <n v="0"/>
    <n v="24"/>
    <x v="6"/>
    <s v="FE73"/>
    <s v="RP"/>
    <s v="330"/>
    <s v="4.0 UN"/>
    <s v="STANDARD"/>
    <s v="N"/>
    <s v="Y"/>
    <s v="N"/>
    <s v="T45"/>
    <s v="Y"/>
    <s v="N"/>
    <s v="Y"/>
    <s v="N"/>
    <s v="A038"/>
    <d v="2016-12-13T00:00:00"/>
    <s v="50"/>
    <s v="TAN"/>
    <s v="OR"/>
    <d v="2016-12-07T00:00:00"/>
    <s v="MT"/>
    <s v="US"/>
    <s v="ZR"/>
    <d v="2016-12-08T00:00:00"/>
  </r>
  <r>
    <x v="0"/>
    <x v="6"/>
    <x v="424"/>
    <x v="11"/>
    <s v="Standard order"/>
    <x v="409"/>
    <x v="409"/>
    <s v="R052"/>
    <s v="CRYSTAL RR052"/>
    <s v="5003513"/>
    <s v="R052 ACH T20 PB SYSTIVA G100"/>
    <n v="16"/>
    <n v="0"/>
    <n v="16"/>
    <x v="6"/>
    <s v="AP82"/>
    <s v="GEM 100"/>
    <s v="324"/>
    <s v="4.0 UN"/>
    <s v="STANDARD"/>
    <s v="N"/>
    <s v="Y"/>
    <s v="N"/>
    <s v="T20"/>
    <s v="Y"/>
    <s v="N"/>
    <s v="Y"/>
    <s v="N"/>
    <s v="A038"/>
    <d v="2016-12-13T00:00:00"/>
    <s v="10"/>
    <s v="TAN"/>
    <s v="OR"/>
    <d v="2016-12-07T00:00:00"/>
    <s v="MT"/>
    <s v="US"/>
    <s v="ZR"/>
    <d v="2016-12-08T00:00:00"/>
  </r>
  <r>
    <x v="0"/>
    <x v="0"/>
    <x v="425"/>
    <x v="10"/>
    <s v="Standard order"/>
    <x v="410"/>
    <x v="410"/>
    <s v="R059"/>
    <s v="CRYSTAL RR059"/>
    <s v="5003528"/>
    <s v="R059 ACH T20 Kabina ELS"/>
    <n v="144"/>
    <n v="0"/>
    <n v="144"/>
    <x v="0"/>
    <s v="AP73"/>
    <s v="ELS"/>
    <s v="387"/>
    <s v="4.0 UN"/>
    <s v="STANDARD"/>
    <s v="N"/>
    <s v="N"/>
    <s v="Y"/>
    <s v="T20"/>
    <s v="N"/>
    <s v="N"/>
    <s v="N"/>
    <s v="N"/>
    <s v="A036"/>
    <d v="2016-12-13T00:00:00"/>
    <s v="10"/>
    <s v="TAN"/>
    <s v="OR"/>
    <d v="2016-12-08T00:00:00"/>
    <s v="MI"/>
    <s v="US"/>
    <s v="ZR"/>
    <d v="2016-12-08T00:00:00"/>
  </r>
  <r>
    <x v="0"/>
    <x v="0"/>
    <x v="425"/>
    <x v="10"/>
    <s v="Standard order"/>
    <x v="410"/>
    <x v="410"/>
    <s v="G333"/>
    <s v="CRYSTAL G333NT"/>
    <s v="5003376"/>
    <s v="G333 ACH T20 Kabina ELS"/>
    <n v="76"/>
    <n v="0"/>
    <n v="76"/>
    <x v="0"/>
    <s v="EE73"/>
    <s v="ELS"/>
    <s v="387"/>
    <s v="4.0 UN"/>
    <s v="STANDARD"/>
    <s v="N"/>
    <s v="N"/>
    <s v="Y"/>
    <s v="T20"/>
    <s v="N"/>
    <s v="N"/>
    <s v="N"/>
    <s v="N"/>
    <s v="A036"/>
    <d v="2016-12-13T00:00:00"/>
    <s v="20"/>
    <s v="TAN"/>
    <s v="OR"/>
    <d v="2016-12-08T00:00:00"/>
    <s v="MI"/>
    <s v="US"/>
    <s v="ZR"/>
    <d v="2016-12-08T00:00:00"/>
  </r>
  <r>
    <x v="0"/>
    <x v="0"/>
    <x v="426"/>
    <x v="10"/>
    <s v="Standard order"/>
    <x v="411"/>
    <x v="411"/>
    <s v="R059"/>
    <s v="CRYSTAL RR059"/>
    <s v="5003530"/>
    <s v="R059 ACH T20 Kabina RP"/>
    <n v="52"/>
    <n v="0"/>
    <n v="52"/>
    <x v="0"/>
    <s v="AP73"/>
    <s v="RP"/>
    <s v="387"/>
    <s v="4.0 UN"/>
    <s v="STANDARD"/>
    <s v="N"/>
    <s v="N"/>
    <s v="Y"/>
    <s v="T20"/>
    <s v="N"/>
    <s v="N"/>
    <s v="N"/>
    <s v="N"/>
    <s v="A036"/>
    <d v="2016-12-13T00:00:00"/>
    <s v="10"/>
    <s v="TAN"/>
    <s v="OR"/>
    <d v="2016-12-08T00:00:00"/>
    <s v="MI"/>
    <s v="US"/>
    <s v="ZR"/>
    <d v="2016-12-08T00:00:00"/>
  </r>
  <r>
    <x v="0"/>
    <x v="0"/>
    <x v="426"/>
    <x v="10"/>
    <s v="Standard order"/>
    <x v="411"/>
    <x v="411"/>
    <s v="G351"/>
    <s v="CRYSTAL G351NT"/>
    <s v="5003398"/>
    <s v="G351 ACH T20 Kabina RP"/>
    <n v="48"/>
    <n v="0"/>
    <n v="48"/>
    <x v="0"/>
    <s v="DA73"/>
    <s v="RP"/>
    <s v="387"/>
    <s v="4.0 UN"/>
    <s v="STANDARD"/>
    <s v="N"/>
    <s v="N"/>
    <s v="Y"/>
    <s v="T20"/>
    <s v="N"/>
    <s v="N"/>
    <s v="N"/>
    <s v="N"/>
    <s v="A036"/>
    <d v="2016-12-13T00:00:00"/>
    <s v="20"/>
    <s v="TAN"/>
    <s v="OR"/>
    <d v="2016-12-08T00:00:00"/>
    <s v="MI"/>
    <s v="US"/>
    <s v="ZR"/>
    <d v="2016-12-08T00:00:00"/>
  </r>
  <r>
    <x v="0"/>
    <x v="2"/>
    <x v="427"/>
    <x v="22"/>
    <s v="Standard order"/>
    <x v="412"/>
    <x v="412"/>
    <s v="W322"/>
    <s v="CRYSTAL W322NT"/>
    <s v="5003488"/>
    <s v="W322 ACH T20 PB SYSTIVA G100"/>
    <n v="32"/>
    <n v="0"/>
    <n v="32"/>
    <x v="2"/>
    <s v="EE73"/>
    <s v="GEM 100"/>
    <s v="324"/>
    <s v="4.0 UN"/>
    <s v="STANDARD"/>
    <s v="N"/>
    <s v="Y"/>
    <s v="N"/>
    <s v="T20"/>
    <s v="Y"/>
    <s v="N"/>
    <s v="Y"/>
    <s v="N"/>
    <s v="A018"/>
    <d v="2016-12-13T00:00:00"/>
    <s v="10"/>
    <s v="TAN"/>
    <s v="OR"/>
    <d v="2016-12-08T00:00:00"/>
    <s v="CO"/>
    <s v="US"/>
    <s v="ZR"/>
    <d v="2016-12-08T00:00:00"/>
  </r>
  <r>
    <x v="0"/>
    <x v="2"/>
    <x v="427"/>
    <x v="22"/>
    <s v="Standard order"/>
    <x v="412"/>
    <x v="412"/>
    <s v="R014"/>
    <s v="CRYSTAL RR014"/>
    <s v="5003091"/>
    <s v="R014 ACH T20 PB SYSTIVA G100"/>
    <n v="32"/>
    <n v="0"/>
    <n v="32"/>
    <x v="2"/>
    <s v="AP82"/>
    <s v="GEM 100"/>
    <s v="324"/>
    <s v="4.0 UN"/>
    <s v="STANDARD"/>
    <s v="N"/>
    <s v="Y"/>
    <s v="N"/>
    <s v="T20"/>
    <s v="Y"/>
    <s v="N"/>
    <s v="Y"/>
    <s v="N"/>
    <s v="A018"/>
    <d v="2016-12-13T00:00:00"/>
    <s v="20"/>
    <s v="TAN"/>
    <s v="OR"/>
    <d v="2016-12-08T00:00:00"/>
    <s v="CO"/>
    <s v="US"/>
    <s v="ZR"/>
    <d v="2016-12-08T00:00:00"/>
  </r>
  <r>
    <x v="0"/>
    <x v="4"/>
    <x v="428"/>
    <x v="18"/>
    <s v="Standard order"/>
    <x v="413"/>
    <x v="413"/>
    <s v="A399"/>
    <s v="CRYSTAL A399NT"/>
    <s v="5002931"/>
    <s v="A399 ACH PB XL"/>
    <n v="116"/>
    <n v="0"/>
    <n v="116"/>
    <x v="4"/>
    <s v="DP71"/>
    <s v="X-LARGE"/>
    <s v="314"/>
    <s v="4.0 UN"/>
    <s v="STANDARD"/>
    <s v="N"/>
    <s v="Y"/>
    <s v="N"/>
    <s v="N"/>
    <s v="N"/>
    <s v="N"/>
    <s v="N"/>
    <s v="N"/>
    <s v="A041"/>
    <d v="2016-12-13T00:00:00"/>
    <s v="10"/>
    <s v="TAN"/>
    <s v="OR"/>
    <d v="2016-12-07T00:00:00"/>
    <s v="ID"/>
    <s v="US"/>
    <s v="ZR"/>
    <d v="2016-12-08T00:00:00"/>
  </r>
  <r>
    <x v="0"/>
    <x v="4"/>
    <x v="428"/>
    <x v="18"/>
    <s v="Standard order"/>
    <x v="413"/>
    <x v="413"/>
    <s v="R081"/>
    <s v="CRYSTAL RR081"/>
    <s v="5003554"/>
    <s v="R081 ACH PB XL IDH"/>
    <n v="72"/>
    <n v="0"/>
    <n v="72"/>
    <x v="4"/>
    <s v="AQ82"/>
    <s v="X-LARGE"/>
    <s v="314"/>
    <s v="4.0 UN"/>
    <s v="STANDARD"/>
    <s v="N"/>
    <s v="Y"/>
    <s v="N"/>
    <s v="N"/>
    <s v="N"/>
    <s v="N"/>
    <s v="N"/>
    <s v="N"/>
    <s v="A041"/>
    <d v="2016-12-13T00:00:00"/>
    <s v="20"/>
    <s v="TAN"/>
    <s v="OR"/>
    <d v="2016-12-07T00:00:00"/>
    <s v="ID"/>
    <s v="US"/>
    <s v="ZR"/>
    <d v="2016-12-08T00:00:00"/>
  </r>
  <r>
    <x v="0"/>
    <x v="4"/>
    <x v="428"/>
    <x v="18"/>
    <s v="Standard order"/>
    <x v="413"/>
    <x v="413"/>
    <s v="A501"/>
    <s v="CRYSTAL A501"/>
    <s v="5003308"/>
    <s v="A501 ACH PB XL"/>
    <n v="104"/>
    <n v="0"/>
    <n v="104"/>
    <x v="4"/>
    <s v="EZPB"/>
    <s v="X-LARGE"/>
    <s v="314"/>
    <s v="4.0 UN"/>
    <s v="STANDARD"/>
    <s v="N"/>
    <s v="Y"/>
    <s v="N"/>
    <s v="N"/>
    <s v="N"/>
    <s v="N"/>
    <s v="N"/>
    <s v="N"/>
    <s v="A041"/>
    <d v="2016-12-13T00:00:00"/>
    <s v="30"/>
    <s v="TAN"/>
    <s v="OR"/>
    <d v="2016-12-07T00:00:00"/>
    <s v="ID"/>
    <s v="US"/>
    <s v="ZR"/>
    <d v="2016-12-08T00:00:00"/>
  </r>
  <r>
    <x v="0"/>
    <x v="4"/>
    <x v="428"/>
    <x v="18"/>
    <s v="Standard order"/>
    <x v="413"/>
    <x v="413"/>
    <s v="A399"/>
    <s v="CRYSTAL A399NT"/>
    <s v="5002931"/>
    <s v="A399 ACH PB XL"/>
    <n v="80"/>
    <n v="0"/>
    <n v="80"/>
    <x v="4"/>
    <s v="DP71"/>
    <s v="X-LARGE"/>
    <s v="314"/>
    <s v="4.0 UN"/>
    <s v="STANDARD"/>
    <s v="N"/>
    <s v="Y"/>
    <s v="N"/>
    <s v="N"/>
    <s v="N"/>
    <s v="N"/>
    <s v="N"/>
    <s v="N"/>
    <s v="A041"/>
    <d v="2016-12-13T00:00:00"/>
    <s v="40"/>
    <s v="TAN"/>
    <s v="OR"/>
    <d v="2016-12-07T00:00:00"/>
    <s v="ID"/>
    <s v="US"/>
    <s v="ZR"/>
    <d v="2016-12-08T00:00:00"/>
  </r>
  <r>
    <x v="0"/>
    <x v="5"/>
    <x v="429"/>
    <x v="14"/>
    <s v="Standard order"/>
    <x v="414"/>
    <x v="414"/>
    <s v="Y400"/>
    <s v="CRYSTAL Y400NT"/>
    <s v="5003735"/>
    <s v="Y400 ACH T20 PB SYSTIVA RP"/>
    <n v="32"/>
    <n v="0"/>
    <n v="32"/>
    <x v="5"/>
    <s v="4TBP"/>
    <s v="RP"/>
    <s v="324"/>
    <s v="4.0 UN"/>
    <s v="STANDARD"/>
    <s v="N"/>
    <s v="Y"/>
    <s v="N"/>
    <s v="T20"/>
    <s v="Y"/>
    <s v="N"/>
    <s v="N"/>
    <s v="N"/>
    <s v="A017"/>
    <d v="2016-12-13T00:00:00"/>
    <s v="10"/>
    <s v="TAN"/>
    <s v="OR"/>
    <d v="2016-12-07T00:00:00"/>
    <s v="WY"/>
    <s v="US"/>
    <s v="ZR"/>
    <d v="2016-12-08T00:00:00"/>
  </r>
  <r>
    <x v="0"/>
    <x v="5"/>
    <x v="430"/>
    <x v="14"/>
    <s v="Standard order"/>
    <x v="415"/>
    <x v="415"/>
    <s v="Y400"/>
    <s v="CRYSTAL Y400NT"/>
    <s v="5003735"/>
    <s v="Y400 ACH T20 PB SYSTIVA RP"/>
    <n v="52"/>
    <n v="0"/>
    <n v="52"/>
    <x v="5"/>
    <s v="4TBP"/>
    <s v="RP"/>
    <s v="324"/>
    <s v="4.0 UN"/>
    <s v="STANDARD"/>
    <s v="N"/>
    <s v="Y"/>
    <s v="N"/>
    <s v="T20"/>
    <s v="Y"/>
    <s v="N"/>
    <s v="N"/>
    <s v="N"/>
    <s v="A017"/>
    <d v="2016-12-13T00:00:00"/>
    <s v="10"/>
    <s v="TAN"/>
    <s v="OR"/>
    <d v="2016-12-07T00:00:00"/>
    <s v="WY"/>
    <s v="US"/>
    <s v="ZR"/>
    <d v="2016-12-08T00:00:00"/>
  </r>
  <r>
    <x v="0"/>
    <x v="5"/>
    <x v="430"/>
    <x v="14"/>
    <s v="Standard order"/>
    <x v="415"/>
    <x v="415"/>
    <s v="Y313"/>
    <s v="CRYSTAL Y313NT"/>
    <s v="5003711"/>
    <s v="Y313 ACH T20 PB SYSTIVA RP"/>
    <n v="80"/>
    <n v="0"/>
    <n v="80"/>
    <x v="5"/>
    <s v="DLNC"/>
    <s v="RP"/>
    <s v="324"/>
    <s v="4.0 UN"/>
    <s v="STANDARD"/>
    <s v="N"/>
    <s v="Y"/>
    <s v="N"/>
    <s v="T20"/>
    <s v="Y"/>
    <s v="N"/>
    <s v="N"/>
    <s v="N"/>
    <s v="A017"/>
    <d v="2016-12-13T00:00:00"/>
    <s v="20"/>
    <s v="TAN"/>
    <s v="OR"/>
    <d v="2016-12-07T00:00:00"/>
    <s v="WY"/>
    <s v="US"/>
    <s v="ZR"/>
    <d v="2016-12-08T00:00:00"/>
  </r>
  <r>
    <x v="0"/>
    <x v="5"/>
    <x v="431"/>
    <x v="14"/>
    <s v="Standard order"/>
    <x v="416"/>
    <x v="416"/>
    <s v="Y400"/>
    <s v="CRYSTAL Y400NT"/>
    <s v="5003733"/>
    <s v="Y400 ACH T20 PB SYSTIVA MP"/>
    <n v="28"/>
    <n v="0"/>
    <n v="28"/>
    <x v="5"/>
    <s v="4TBP"/>
    <s v="MP"/>
    <s v="324"/>
    <s v="4.0 UN"/>
    <s v="STANDARD"/>
    <s v="N"/>
    <s v="Y"/>
    <s v="N"/>
    <s v="T20"/>
    <s v="Y"/>
    <s v="N"/>
    <s v="N"/>
    <s v="N"/>
    <s v="A017"/>
    <d v="2016-12-13T00:00:00"/>
    <s v="10"/>
    <s v="TAN"/>
    <s v="OR"/>
    <d v="2016-12-07T00:00:00"/>
    <s v="WY"/>
    <s v="US"/>
    <s v="ZR"/>
    <d v="2016-12-08T00:00:00"/>
  </r>
  <r>
    <x v="0"/>
    <x v="5"/>
    <x v="431"/>
    <x v="14"/>
    <s v="Standard order"/>
    <x v="416"/>
    <x v="416"/>
    <s v="Y313"/>
    <s v="CRYSTAL Y313NT"/>
    <s v="5003709"/>
    <s v="Y313 ACH T20 PB SYSTIVA MP"/>
    <n v="164"/>
    <n v="0"/>
    <n v="164"/>
    <x v="5"/>
    <s v="DLNC"/>
    <s v="MP"/>
    <s v="324"/>
    <s v="4.0 UN"/>
    <s v="STANDARD"/>
    <s v="N"/>
    <s v="Y"/>
    <s v="N"/>
    <s v="T20"/>
    <s v="Y"/>
    <s v="N"/>
    <s v="N"/>
    <s v="N"/>
    <s v="A017"/>
    <d v="2016-12-13T00:00:00"/>
    <s v="20"/>
    <s v="TAN"/>
    <s v="OR"/>
    <d v="2016-12-07T00:00:00"/>
    <s v="WY"/>
    <s v="US"/>
    <s v="ZR"/>
    <d v="2016-12-08T00:00:00"/>
  </r>
  <r>
    <x v="0"/>
    <x v="2"/>
    <x v="432"/>
    <x v="6"/>
    <s v="Standard order"/>
    <x v="417"/>
    <x v="417"/>
    <s v="R014"/>
    <s v="CRYSTAL RR014"/>
    <s v="5003091"/>
    <s v="R014 ACH T20 PB SYSTIVA G100"/>
    <n v="60"/>
    <n v="0"/>
    <n v="60"/>
    <x v="2"/>
    <s v="AP82"/>
    <s v="GEM 100"/>
    <s v="324"/>
    <s v="4.0 UN"/>
    <s v="STANDARD"/>
    <s v="N"/>
    <s v="Y"/>
    <s v="N"/>
    <s v="T20"/>
    <s v="Y"/>
    <s v="N"/>
    <s v="Y"/>
    <s v="N"/>
    <s v="A025"/>
    <d v="2016-12-13T00:00:00"/>
    <s v="10"/>
    <s v="TAN"/>
    <s v="OR"/>
    <d v="2016-12-08T00:00:00"/>
    <s v="NE"/>
    <s v="US"/>
    <s v="ZR"/>
    <d v="2016-12-08T00:00:00"/>
  </r>
  <r>
    <x v="0"/>
    <x v="0"/>
    <x v="433"/>
    <x v="2"/>
    <s v="Standard order"/>
    <x v="418"/>
    <x v="418"/>
    <s v="R059"/>
    <s v="CRYSTAL RR059"/>
    <s v="5003536"/>
    <s v="R059 ACH T20 SYSTIVA RP"/>
    <n v="64"/>
    <n v="0"/>
    <n v="64"/>
    <x v="0"/>
    <s v="AP73"/>
    <s v="RP"/>
    <s v="328"/>
    <s v="4.0 UN"/>
    <s v="STANDARD"/>
    <s v="N"/>
    <s v="N"/>
    <s v="N"/>
    <s v="T20"/>
    <s v="Y"/>
    <s v="N"/>
    <s v="Y"/>
    <s v="N"/>
    <s v="A034"/>
    <d v="2016-12-13T00:00:00"/>
    <s v="10"/>
    <s v="TAN"/>
    <s v="OR"/>
    <d v="2016-12-07T00:00:00"/>
    <s v="MI"/>
    <s v="US"/>
    <s v="ZR"/>
    <d v="2016-12-08T00:00:00"/>
  </r>
  <r>
    <x v="0"/>
    <x v="0"/>
    <x v="434"/>
    <x v="2"/>
    <s v="Standard order"/>
    <x v="419"/>
    <x v="419"/>
    <s v="R059"/>
    <s v="CRYSTAL RR059"/>
    <s v="5003530"/>
    <s v="R059 ACH T20 Kabina RP"/>
    <n v="144"/>
    <n v="0"/>
    <n v="144"/>
    <x v="0"/>
    <s v="AP73"/>
    <s v="RP"/>
    <s v="387"/>
    <s v="4.0 UN"/>
    <s v="STANDARD"/>
    <s v="N"/>
    <s v="N"/>
    <s v="Y"/>
    <s v="T20"/>
    <s v="N"/>
    <s v="N"/>
    <s v="N"/>
    <s v="N"/>
    <s v="A034"/>
    <d v="2016-12-13T00:00:00"/>
    <s v="10"/>
    <s v="TAN"/>
    <s v="OR"/>
    <d v="2016-12-07T00:00:00"/>
    <s v="MI"/>
    <s v="US"/>
    <s v="ZR"/>
    <d v="2016-12-08T00:00:00"/>
  </r>
  <r>
    <x v="0"/>
    <x v="0"/>
    <x v="434"/>
    <x v="2"/>
    <s v="Standard order"/>
    <x v="419"/>
    <x v="419"/>
    <s v="R202"/>
    <s v="CRYSTAL RR202"/>
    <s v="5003119"/>
    <s v="R202 ACH T20 Kabina RP"/>
    <n v="24"/>
    <n v="0"/>
    <n v="24"/>
    <x v="0"/>
    <s v="4ULM"/>
    <s v="RP"/>
    <s v="387"/>
    <s v="4.0 UN"/>
    <s v="STANDARD"/>
    <s v="N"/>
    <s v="N"/>
    <s v="Y"/>
    <s v="T20"/>
    <s v="N"/>
    <s v="N"/>
    <s v="N"/>
    <s v="N"/>
    <s v="A034"/>
    <d v="2016-12-13T00:00:00"/>
    <s v="20"/>
    <s v="TAN"/>
    <s v="OR"/>
    <d v="2016-12-07T00:00:00"/>
    <s v="MI"/>
    <s v="US"/>
    <s v="ZR"/>
    <d v="2016-12-08T00:00:00"/>
  </r>
  <r>
    <x v="0"/>
    <x v="0"/>
    <x v="435"/>
    <x v="2"/>
    <s v="Standard order"/>
    <x v="420"/>
    <x v="420"/>
    <s v="G333"/>
    <s v="CRYSTAL G333NT"/>
    <s v="5003377"/>
    <s v="G333 ACH T20 Kabina MP"/>
    <n v="44"/>
    <n v="0"/>
    <n v="44"/>
    <x v="0"/>
    <s v="EE73"/>
    <s v="MP"/>
    <s v="387"/>
    <s v="4.0 UN"/>
    <s v="STANDARD"/>
    <s v="N"/>
    <s v="N"/>
    <s v="Y"/>
    <s v="T20"/>
    <s v="N"/>
    <s v="N"/>
    <s v="N"/>
    <s v="N"/>
    <s v="A034"/>
    <d v="2016-12-13T00:00:00"/>
    <s v="10"/>
    <s v="TAN"/>
    <s v="OR"/>
    <d v="2016-12-07T00:00:00"/>
    <s v="MI"/>
    <s v="US"/>
    <s v="ZR"/>
    <d v="2016-12-08T00:00:00"/>
  </r>
  <r>
    <x v="0"/>
    <x v="0"/>
    <x v="436"/>
    <x v="2"/>
    <s v="Standard order"/>
    <x v="421"/>
    <x v="421"/>
    <s v="G351"/>
    <s v="CRYSTAL G351NT"/>
    <s v="5003397"/>
    <s v="G351 ACH T20 Kabina MP"/>
    <n v="20"/>
    <n v="0"/>
    <n v="20"/>
    <x v="0"/>
    <s v="DA73"/>
    <s v="MP"/>
    <s v="387"/>
    <s v="4.0 UN"/>
    <s v="STANDARD"/>
    <s v="N"/>
    <s v="N"/>
    <s v="Y"/>
    <s v="T20"/>
    <s v="N"/>
    <s v="N"/>
    <s v="N"/>
    <s v="N"/>
    <s v="A034"/>
    <d v="2016-12-13T00:00:00"/>
    <s v="10"/>
    <s v="TAN"/>
    <s v="OR"/>
    <d v="2016-12-07T00:00:00"/>
    <s v="MI"/>
    <s v="US"/>
    <s v="ZR"/>
    <d v="2016-12-08T00:00:00"/>
  </r>
  <r>
    <x v="0"/>
    <x v="2"/>
    <x v="437"/>
    <x v="6"/>
    <s v="Standard order"/>
    <x v="422"/>
    <x v="422"/>
    <s v="W322"/>
    <s v="CRYSTAL W322NT"/>
    <s v="5003488"/>
    <s v="W322 ACH T20 PB SYSTIVA G100"/>
    <n v="32"/>
    <n v="0"/>
    <n v="32"/>
    <x v="2"/>
    <s v="EE73"/>
    <s v="GEM 100"/>
    <s v="324"/>
    <s v="4.0 UN"/>
    <s v="STANDARD"/>
    <s v="N"/>
    <s v="Y"/>
    <s v="N"/>
    <s v="T20"/>
    <s v="Y"/>
    <s v="N"/>
    <s v="Y"/>
    <s v="N"/>
    <s v="A025"/>
    <d v="2016-12-13T00:00:00"/>
    <s v="10"/>
    <s v="TAN"/>
    <s v="OR"/>
    <d v="2016-12-08T00:00:00"/>
    <s v="NE"/>
    <s v="US"/>
    <s v="ZR"/>
    <d v="2016-12-08T00:00:00"/>
  </r>
  <r>
    <x v="0"/>
    <x v="4"/>
    <x v="438"/>
    <x v="20"/>
    <s v="Standard order"/>
    <x v="423"/>
    <x v="423"/>
    <s v="A404"/>
    <s v="CRYSTAL A404NT"/>
    <s v="5002954"/>
    <s v="A404 ACH PB LRG"/>
    <n v="1360"/>
    <n v="0"/>
    <n v="1360"/>
    <x v="4"/>
    <s v="DPNE"/>
    <s v="LARGE"/>
    <s v="314"/>
    <s v="4.0 UN"/>
    <s v="STANDARD"/>
    <s v="N"/>
    <s v="Y"/>
    <s v="N"/>
    <s v="N"/>
    <s v="N"/>
    <s v="N"/>
    <s v="N"/>
    <s v="N"/>
    <s v="A039"/>
    <d v="2016-12-13T00:00:00"/>
    <s v="10"/>
    <s v="TAN"/>
    <s v="OR"/>
    <d v="2016-12-08T00:00:00"/>
    <s v="ID"/>
    <s v="US"/>
    <s v="ZR"/>
    <d v="2016-12-08T00:00:00"/>
  </r>
  <r>
    <x v="0"/>
    <x v="4"/>
    <x v="438"/>
    <x v="20"/>
    <s v="Standard order"/>
    <x v="423"/>
    <x v="423"/>
    <s v="A488"/>
    <s v="CRYSTAL A488NT"/>
    <s v="5002980"/>
    <s v="A488 ACH PB LRG"/>
    <n v="356"/>
    <n v="0"/>
    <n v="356"/>
    <x v="4"/>
    <s v="EENE"/>
    <s v="LARGE"/>
    <s v="314"/>
    <s v="4.0 UN"/>
    <s v="STANDARD"/>
    <s v="N"/>
    <s v="Y"/>
    <s v="N"/>
    <s v="N"/>
    <s v="N"/>
    <s v="N"/>
    <s v="N"/>
    <s v="N"/>
    <s v="A039"/>
    <d v="2016-12-13T00:00:00"/>
    <s v="20"/>
    <s v="TAN"/>
    <s v="OR"/>
    <d v="2016-12-08T00:00:00"/>
    <s v="ID"/>
    <s v="US"/>
    <s v="ZR"/>
    <d v="2016-12-08T00:00:00"/>
  </r>
  <r>
    <x v="0"/>
    <x v="4"/>
    <x v="439"/>
    <x v="17"/>
    <s v="Standard order"/>
    <x v="424"/>
    <x v="424"/>
    <s v="A399"/>
    <s v="CRYSTAL A399NT"/>
    <s v="5002931"/>
    <s v="A399 ACH PB XL"/>
    <n v="104"/>
    <n v="0"/>
    <n v="104"/>
    <x v="4"/>
    <s v="DP71"/>
    <s v="X-LARGE"/>
    <s v="314"/>
    <s v="4.0 UN"/>
    <s v="STANDARD"/>
    <s v="N"/>
    <s v="Y"/>
    <s v="N"/>
    <s v="N"/>
    <s v="N"/>
    <s v="N"/>
    <s v="N"/>
    <s v="N"/>
    <s v="A040"/>
    <d v="2016-12-13T00:00:00"/>
    <s v="10"/>
    <s v="TAN"/>
    <s v="OR"/>
    <d v="2016-12-08T00:00:00"/>
    <s v="ID"/>
    <s v="US"/>
    <s v="ZR"/>
    <d v="2016-12-08T00:00:00"/>
  </r>
  <r>
    <x v="0"/>
    <x v="4"/>
    <x v="439"/>
    <x v="17"/>
    <s v="Standard order"/>
    <x v="424"/>
    <x v="424"/>
    <s v="A404"/>
    <s v="CRYSTAL A404NT"/>
    <s v="5002957"/>
    <s v="A404 ACH PB XL"/>
    <n v="152"/>
    <n v="0"/>
    <n v="152"/>
    <x v="4"/>
    <s v="DPNE"/>
    <s v="X-LARGE"/>
    <s v="314"/>
    <s v="4.0 UN"/>
    <s v="STANDARD"/>
    <s v="N"/>
    <s v="Y"/>
    <s v="N"/>
    <s v="N"/>
    <s v="N"/>
    <s v="N"/>
    <s v="N"/>
    <s v="N"/>
    <s v="A040"/>
    <d v="2016-12-13T00:00:00"/>
    <s v="20"/>
    <s v="TAN"/>
    <s v="OR"/>
    <d v="2016-12-08T00:00:00"/>
    <s v="ID"/>
    <s v="US"/>
    <s v="ZR"/>
    <d v="2016-12-08T00:00:00"/>
  </r>
  <r>
    <x v="0"/>
    <x v="4"/>
    <x v="440"/>
    <x v="16"/>
    <s v="Standard order"/>
    <x v="425"/>
    <x v="425"/>
    <s v="A404"/>
    <s v="CRYSTAL A404NT"/>
    <s v="5002957"/>
    <s v="A404 ACH PB XL"/>
    <n v="72"/>
    <n v="0"/>
    <n v="72"/>
    <x v="4"/>
    <s v="DPNE"/>
    <s v="X-LARGE"/>
    <s v="314"/>
    <s v="4.0 UN"/>
    <s v="STANDARD"/>
    <s v="N"/>
    <s v="Y"/>
    <s v="N"/>
    <s v="N"/>
    <s v="N"/>
    <s v="N"/>
    <s v="N"/>
    <s v="N"/>
    <s v="A042"/>
    <d v="2016-12-13T00:00:00"/>
    <s v="10"/>
    <s v="TAN"/>
    <s v="OR"/>
    <d v="2016-12-08T00:00:00"/>
    <s v="ID"/>
    <s v="US"/>
    <s v="ZR"/>
    <d v="2016-12-08T00:00:00"/>
  </r>
  <r>
    <x v="0"/>
    <x v="4"/>
    <x v="440"/>
    <x v="16"/>
    <s v="Standard order"/>
    <x v="425"/>
    <x v="425"/>
    <s v="R240"/>
    <s v="CRYSTAL RR240NT"/>
    <s v="5003162"/>
    <s v="R240 ACH PB XL"/>
    <n v="72"/>
    <n v="0"/>
    <n v="72"/>
    <x v="4"/>
    <s v="BHMP"/>
    <s v="X-LARGE"/>
    <s v="314"/>
    <s v="4.0 UN"/>
    <s v="STANDARD"/>
    <s v="N"/>
    <s v="Y"/>
    <s v="N"/>
    <s v="N"/>
    <s v="N"/>
    <s v="N"/>
    <s v="N"/>
    <s v="N"/>
    <s v="A042"/>
    <d v="2016-12-13T00:00:00"/>
    <s v="20"/>
    <s v="TAN"/>
    <s v="OR"/>
    <d v="2016-12-08T00:00:00"/>
    <s v="ID"/>
    <s v="US"/>
    <s v="ZR"/>
    <d v="2016-12-08T00:00:00"/>
  </r>
  <r>
    <x v="0"/>
    <x v="4"/>
    <x v="441"/>
    <x v="17"/>
    <s v="Standard order"/>
    <x v="426"/>
    <x v="426"/>
    <s v="A399"/>
    <s v="CRYSTAL A399NT"/>
    <s v="5002920"/>
    <s v="A399 ACH LRG"/>
    <n v="84"/>
    <n v="0"/>
    <n v="84"/>
    <x v="4"/>
    <s v="DP71"/>
    <s v="LARGE"/>
    <s v="316"/>
    <s v="4.0 UN"/>
    <s v="STANDARD"/>
    <s v="N"/>
    <s v="N"/>
    <s v="N"/>
    <s v="N"/>
    <s v="N"/>
    <s v="N"/>
    <s v="N"/>
    <s v="N"/>
    <s v="A040"/>
    <d v="2016-12-13T00:00:00"/>
    <s v="10"/>
    <s v="TAN"/>
    <s v="OR"/>
    <d v="2016-12-08T00:00:00"/>
    <s v="ID"/>
    <s v="US"/>
    <s v="ZR"/>
    <d v="2016-12-08T00:00:00"/>
  </r>
  <r>
    <x v="0"/>
    <x v="4"/>
    <x v="441"/>
    <x v="17"/>
    <s v="Standard order"/>
    <x v="426"/>
    <x v="426"/>
    <s v="A404"/>
    <s v="CRYSTAL A404NT"/>
    <s v="5002954"/>
    <s v="A404 ACH PB LRG"/>
    <n v="84"/>
    <n v="0"/>
    <n v="84"/>
    <x v="4"/>
    <s v="DPNE"/>
    <s v="LARGE"/>
    <s v="314"/>
    <s v="4.0 UN"/>
    <s v="STANDARD"/>
    <s v="N"/>
    <s v="Y"/>
    <s v="N"/>
    <s v="N"/>
    <s v="N"/>
    <s v="N"/>
    <s v="N"/>
    <s v="N"/>
    <s v="A040"/>
    <d v="2016-12-13T00:00:00"/>
    <s v="20"/>
    <s v="TAN"/>
    <s v="OR"/>
    <d v="2016-12-08T00:00:00"/>
    <s v="ID"/>
    <s v="US"/>
    <s v="ZR"/>
    <d v="2016-12-08T00:00:00"/>
  </r>
  <r>
    <x v="0"/>
    <x v="0"/>
    <x v="442"/>
    <x v="2"/>
    <s v="Standard order"/>
    <x v="427"/>
    <x v="427"/>
    <s v="G333"/>
    <s v="CRYSTAL G333NT"/>
    <s v="5003378"/>
    <s v="G333 ACH T20 Kabina RP"/>
    <n v="96"/>
    <n v="0"/>
    <n v="96"/>
    <x v="0"/>
    <s v="EE73"/>
    <s v="RP"/>
    <s v="387"/>
    <s v="4.0 UN"/>
    <s v="STANDARD"/>
    <s v="N"/>
    <s v="N"/>
    <s v="Y"/>
    <s v="T20"/>
    <s v="N"/>
    <s v="N"/>
    <s v="N"/>
    <s v="N"/>
    <s v="A034"/>
    <d v="2016-12-13T00:00:00"/>
    <s v="10"/>
    <s v="TAN"/>
    <s v="OR"/>
    <d v="2016-12-08T00:00:00"/>
    <s v="MI"/>
    <s v="US"/>
    <s v="ZR"/>
    <d v="2016-12-08T00:00:00"/>
  </r>
  <r>
    <x v="0"/>
    <x v="4"/>
    <x v="443"/>
    <x v="16"/>
    <s v="Standard order"/>
    <x v="428"/>
    <x v="428"/>
    <s v="R933"/>
    <s v="CRYSTAL RR933"/>
    <s v="5003680"/>
    <s v="R933 ACH MP"/>
    <n v="24"/>
    <n v="0"/>
    <n v="24"/>
    <x v="4"/>
    <s v="3571"/>
    <s v="MP"/>
    <s v="316"/>
    <s v="4.0 UN"/>
    <s v="STANDARD"/>
    <s v="N"/>
    <s v="N"/>
    <s v="N"/>
    <s v="N"/>
    <s v="N"/>
    <s v="N"/>
    <s v="N"/>
    <s v="N"/>
    <s v="A042"/>
    <d v="2016-12-13T00:00:00"/>
    <s v="10"/>
    <s v="TAN"/>
    <s v="OR"/>
    <d v="2016-12-08T00:00:00"/>
    <s v="ID"/>
    <s v="US"/>
    <s v="ZR"/>
    <d v="2016-12-08T00:00:00"/>
  </r>
  <r>
    <x v="0"/>
    <x v="4"/>
    <x v="444"/>
    <x v="7"/>
    <s v="Standard order"/>
    <x v="429"/>
    <x v="429"/>
    <s v="A399"/>
    <s v="CRYSTAL A399NT"/>
    <s v="5002928"/>
    <s v="A399 ACH PB LRG"/>
    <n v="48"/>
    <n v="0"/>
    <n v="48"/>
    <x v="4"/>
    <s v="DP71"/>
    <s v="LARGE"/>
    <s v="314"/>
    <s v="4.0 UN"/>
    <s v="STANDARD"/>
    <s v="N"/>
    <s v="Y"/>
    <s v="N"/>
    <s v="N"/>
    <s v="N"/>
    <s v="N"/>
    <s v="N"/>
    <s v="N"/>
    <s v="A045"/>
    <d v="2016-12-13T00:00:00"/>
    <s v="10"/>
    <s v="TAN"/>
    <s v="OR"/>
    <d v="2016-12-08T00:00:00"/>
    <s v="ID"/>
    <s v="US"/>
    <s v="ZR"/>
    <d v="2016-12-08T00:00:00"/>
  </r>
  <r>
    <x v="0"/>
    <x v="4"/>
    <x v="444"/>
    <x v="7"/>
    <s v="Standard order"/>
    <x v="429"/>
    <x v="429"/>
    <s v="A501"/>
    <s v="CRYSTAL A501"/>
    <s v="5003305"/>
    <s v="A501 ACH PB LRG"/>
    <n v="12"/>
    <n v="0"/>
    <n v="12"/>
    <x v="4"/>
    <s v="EZPB"/>
    <s v="LARGE"/>
    <s v="314"/>
    <s v="4.0 UN"/>
    <s v="STANDARD"/>
    <s v="N"/>
    <s v="Y"/>
    <s v="N"/>
    <s v="N"/>
    <s v="N"/>
    <s v="N"/>
    <s v="N"/>
    <s v="N"/>
    <s v="A045"/>
    <d v="2016-12-13T00:00:00"/>
    <s v="20"/>
    <s v="TAN"/>
    <s v="OR"/>
    <d v="2016-12-08T00:00:00"/>
    <s v="ID"/>
    <s v="US"/>
    <s v="ZR"/>
    <d v="2016-12-08T00:00:00"/>
  </r>
  <r>
    <x v="0"/>
    <x v="0"/>
    <x v="445"/>
    <x v="2"/>
    <s v="Standard order"/>
    <x v="430"/>
    <x v="430"/>
    <s v="G333"/>
    <s v="CRYSTAL G333NT"/>
    <s v="5003378"/>
    <s v="G333 ACH T20 Kabina RP"/>
    <n v="28"/>
    <n v="0"/>
    <n v="28"/>
    <x v="0"/>
    <s v="EE73"/>
    <s v="RP"/>
    <s v="387"/>
    <s v="4.0 UN"/>
    <s v="STANDARD"/>
    <s v="N"/>
    <s v="N"/>
    <s v="Y"/>
    <s v="T20"/>
    <s v="N"/>
    <s v="N"/>
    <s v="N"/>
    <s v="N"/>
    <s v="A034"/>
    <d v="2016-12-13T00:00:00"/>
    <s v="10"/>
    <s v="TAN"/>
    <s v="OR"/>
    <d v="2016-12-08T00:00:00"/>
    <s v="MI"/>
    <s v="US"/>
    <s v="ZR"/>
    <d v="2016-12-08T00:00:00"/>
  </r>
  <r>
    <x v="0"/>
    <x v="0"/>
    <x v="445"/>
    <x v="2"/>
    <s v="Standard order"/>
    <x v="430"/>
    <x v="430"/>
    <s v="G333"/>
    <s v="CRYSTAL G333NT"/>
    <s v="5003384"/>
    <s v="G333 ACH T20 SYSTIVA RP"/>
    <n v="52"/>
    <n v="0"/>
    <n v="52"/>
    <x v="0"/>
    <s v="EE73"/>
    <s v="RP"/>
    <s v="328"/>
    <s v="4.0 UN"/>
    <s v="STANDARD"/>
    <s v="N"/>
    <s v="N"/>
    <s v="N"/>
    <s v="T20"/>
    <s v="Y"/>
    <s v="N"/>
    <s v="Y"/>
    <s v="N"/>
    <s v="A034"/>
    <d v="2016-12-13T00:00:00"/>
    <s v="20"/>
    <s v="TAN"/>
    <s v="OR"/>
    <d v="2016-12-08T00:00:00"/>
    <s v="MI"/>
    <s v="US"/>
    <s v="ZR"/>
    <d v="2016-12-08T00:00:00"/>
  </r>
  <r>
    <x v="0"/>
    <x v="0"/>
    <x v="445"/>
    <x v="2"/>
    <s v="Standard order"/>
    <x v="430"/>
    <x v="430"/>
    <s v="G351"/>
    <s v="CRYSTAL G351NT"/>
    <s v="5003398"/>
    <s v="G351 ACH T20 Kabina RP"/>
    <n v="28"/>
    <n v="0"/>
    <n v="28"/>
    <x v="0"/>
    <s v="DA73"/>
    <s v="RP"/>
    <s v="387"/>
    <s v="4.0 UN"/>
    <s v="STANDARD"/>
    <s v="N"/>
    <s v="N"/>
    <s v="Y"/>
    <s v="T20"/>
    <s v="N"/>
    <s v="N"/>
    <s v="N"/>
    <s v="N"/>
    <s v="A034"/>
    <d v="2016-12-13T00:00:00"/>
    <s v="30"/>
    <s v="TAN"/>
    <s v="OR"/>
    <d v="2016-12-08T00:00:00"/>
    <s v="MI"/>
    <s v="US"/>
    <s v="ZR"/>
    <d v="2016-12-08T00:00:00"/>
  </r>
  <r>
    <x v="0"/>
    <x v="4"/>
    <x v="446"/>
    <x v="8"/>
    <s v="Standard order"/>
    <x v="431"/>
    <x v="431"/>
    <s v="A399"/>
    <s v="CRYSTAL A399NT"/>
    <s v="5002928"/>
    <s v="A399 ACH PB LRG"/>
    <n v="36"/>
    <n v="0"/>
    <n v="36"/>
    <x v="4"/>
    <s v="DP71"/>
    <s v="LARGE"/>
    <s v="314"/>
    <s v="4.0 UN"/>
    <s v="STANDARD"/>
    <s v="N"/>
    <s v="Y"/>
    <s v="N"/>
    <s v="N"/>
    <s v="N"/>
    <s v="N"/>
    <s v="N"/>
    <s v="N"/>
    <s v="A044"/>
    <d v="2016-12-13T00:00:00"/>
    <s v="10"/>
    <s v="TAN"/>
    <s v="OR"/>
    <d v="2016-12-08T00:00:00"/>
    <s v="ID"/>
    <s v="US"/>
    <s v="ZR"/>
    <d v="2016-12-08T00:00:00"/>
  </r>
  <r>
    <x v="0"/>
    <x v="2"/>
    <x v="447"/>
    <x v="22"/>
    <s v="Standard order"/>
    <x v="432"/>
    <x v="432"/>
    <s v="R014"/>
    <s v="CRYSTAL RR014"/>
    <s v="5003091"/>
    <s v="R014 ACH T20 PB SYSTIVA G100"/>
    <n v="24"/>
    <n v="0"/>
    <n v="24"/>
    <x v="2"/>
    <s v="AP82"/>
    <s v="GEM 100"/>
    <s v="324"/>
    <s v="4.0 UN"/>
    <s v="STANDARD"/>
    <s v="N"/>
    <s v="Y"/>
    <s v="N"/>
    <s v="T20"/>
    <s v="Y"/>
    <s v="N"/>
    <s v="Y"/>
    <s v="N"/>
    <s v="A018"/>
    <d v="2016-12-13T00:00:00"/>
    <s v="10"/>
    <s v="TAN"/>
    <s v="OR"/>
    <d v="2016-12-08T00:00:00"/>
    <s v="CO"/>
    <s v="US"/>
    <s v="ZR"/>
    <d v="2016-12-08T00:00:00"/>
  </r>
  <r>
    <x v="0"/>
    <x v="4"/>
    <x v="448"/>
    <x v="7"/>
    <s v="Standard order"/>
    <x v="433"/>
    <x v="433"/>
    <s v="R933"/>
    <s v="CRYSTAL RR933"/>
    <s v="5003686"/>
    <s v="R933 ACH PB LRG"/>
    <n v="52"/>
    <n v="0"/>
    <n v="52"/>
    <x v="4"/>
    <s v="3571"/>
    <s v="LARGE"/>
    <s v="314"/>
    <s v="4.0 UN"/>
    <s v="STANDARD"/>
    <s v="N"/>
    <s v="Y"/>
    <s v="N"/>
    <s v="N"/>
    <s v="N"/>
    <s v="N"/>
    <s v="N"/>
    <s v="N"/>
    <s v="A045"/>
    <d v="2016-12-13T00:00:00"/>
    <s v="10"/>
    <s v="TAN"/>
    <s v="OR"/>
    <d v="2016-12-08T00:00:00"/>
    <s v="ID"/>
    <s v="US"/>
    <s v="ZR"/>
    <d v="2016-12-08T00:00:00"/>
  </r>
  <r>
    <x v="0"/>
    <x v="4"/>
    <x v="448"/>
    <x v="7"/>
    <s v="Standard order"/>
    <x v="433"/>
    <x v="433"/>
    <s v="R240"/>
    <s v="CRYSTAL RR240NT"/>
    <s v="5003159"/>
    <s v="R240 ACH PB LRG"/>
    <n v="52"/>
    <n v="0"/>
    <n v="52"/>
    <x v="4"/>
    <s v="BHMP"/>
    <s v="LARGE"/>
    <s v="314"/>
    <s v="4.0 UN"/>
    <s v="STANDARD"/>
    <s v="N"/>
    <s v="Y"/>
    <s v="N"/>
    <s v="N"/>
    <s v="N"/>
    <s v="N"/>
    <s v="N"/>
    <s v="N"/>
    <s v="A045"/>
    <d v="2016-12-13T00:00:00"/>
    <s v="20"/>
    <s v="TAN"/>
    <s v="OR"/>
    <d v="2016-12-08T00:00:00"/>
    <s v="ID"/>
    <s v="US"/>
    <s v="ZR"/>
    <d v="2016-12-08T00:00:00"/>
  </r>
  <r>
    <x v="0"/>
    <x v="4"/>
    <x v="449"/>
    <x v="17"/>
    <s v="Standard order"/>
    <x v="434"/>
    <x v="434"/>
    <s v="A488"/>
    <s v="CRYSTAL A488NT"/>
    <s v="5002980"/>
    <s v="A488 ACH PB LRG"/>
    <n v="28"/>
    <n v="0"/>
    <n v="28"/>
    <x v="4"/>
    <s v="EENE"/>
    <s v="LARGE"/>
    <s v="314"/>
    <s v="4.0 UN"/>
    <s v="STANDARD"/>
    <s v="N"/>
    <s v="Y"/>
    <s v="N"/>
    <s v="N"/>
    <s v="N"/>
    <s v="N"/>
    <s v="N"/>
    <s v="N"/>
    <s v="A040"/>
    <d v="2016-12-13T00:00:00"/>
    <s v="10"/>
    <s v="TAN"/>
    <s v="OR"/>
    <d v="2016-12-08T00:00:00"/>
    <s v="ID"/>
    <s v="US"/>
    <s v="ZR"/>
    <d v="2016-12-08T00:00:00"/>
  </r>
  <r>
    <x v="0"/>
    <x v="4"/>
    <x v="449"/>
    <x v="17"/>
    <s v="Standard order"/>
    <x v="434"/>
    <x v="434"/>
    <s v="R240"/>
    <s v="CRYSTAL RR240NT"/>
    <s v="5003159"/>
    <s v="R240 ACH PB LRG"/>
    <n v="28"/>
    <n v="0"/>
    <n v="28"/>
    <x v="4"/>
    <s v="BHMP"/>
    <s v="LARGE"/>
    <s v="314"/>
    <s v="4.0 UN"/>
    <s v="STANDARD"/>
    <s v="N"/>
    <s v="Y"/>
    <s v="N"/>
    <s v="N"/>
    <s v="N"/>
    <s v="N"/>
    <s v="N"/>
    <s v="N"/>
    <s v="A040"/>
    <d v="2016-12-13T00:00:00"/>
    <s v="20"/>
    <s v="TAN"/>
    <s v="OR"/>
    <d v="2016-12-08T00:00:00"/>
    <s v="ID"/>
    <s v="US"/>
    <s v="ZR"/>
    <d v="2016-12-08T00:00:00"/>
  </r>
  <r>
    <x v="0"/>
    <x v="4"/>
    <x v="450"/>
    <x v="17"/>
    <s v="Standard order"/>
    <x v="435"/>
    <x v="435"/>
    <s v="A501"/>
    <s v="CRYSTAL A501"/>
    <s v="5003308"/>
    <s v="A501 ACH PB XL"/>
    <n v="36"/>
    <n v="0"/>
    <n v="36"/>
    <x v="4"/>
    <s v="EZPB"/>
    <s v="X-LARGE"/>
    <s v="314"/>
    <s v="4.0 UN"/>
    <s v="STANDARD"/>
    <s v="N"/>
    <s v="Y"/>
    <s v="N"/>
    <s v="N"/>
    <s v="N"/>
    <s v="N"/>
    <s v="N"/>
    <s v="N"/>
    <s v="A040"/>
    <d v="2016-12-13T00:00:00"/>
    <s v="10"/>
    <s v="TAN"/>
    <s v="OR"/>
    <d v="2016-12-08T00:00:00"/>
    <s v="ID"/>
    <s v="US"/>
    <s v="ZR"/>
    <d v="2016-12-08T00:00:00"/>
  </r>
  <r>
    <x v="0"/>
    <x v="4"/>
    <x v="450"/>
    <x v="17"/>
    <s v="Standard order"/>
    <x v="435"/>
    <x v="435"/>
    <s v="A488"/>
    <s v="CRYSTAL A488NT"/>
    <s v="5002983"/>
    <s v="A488 ACH PB XL"/>
    <n v="48"/>
    <n v="0"/>
    <n v="48"/>
    <x v="4"/>
    <s v="EENE"/>
    <s v="X-LARGE"/>
    <s v="314"/>
    <s v="4.0 UN"/>
    <s v="STANDARD"/>
    <s v="N"/>
    <s v="Y"/>
    <s v="N"/>
    <s v="N"/>
    <s v="N"/>
    <s v="N"/>
    <s v="N"/>
    <s v="N"/>
    <s v="A040"/>
    <d v="2016-12-13T00:00:00"/>
    <s v="20"/>
    <s v="TAN"/>
    <s v="OR"/>
    <d v="2016-12-08T00:00:00"/>
    <s v="ID"/>
    <s v="US"/>
    <s v="ZR"/>
    <d v="2016-12-08T00:00:00"/>
  </r>
  <r>
    <x v="0"/>
    <x v="4"/>
    <x v="451"/>
    <x v="16"/>
    <s v="Standard order"/>
    <x v="436"/>
    <x v="436"/>
    <s v="A399"/>
    <s v="CRYSTAL A399NT"/>
    <s v="5002935"/>
    <s v="A399 ACH T20 PB Kabina CL MP"/>
    <n v="32"/>
    <n v="0"/>
    <n v="32"/>
    <x v="4"/>
    <s v="DP71"/>
    <s v="MP"/>
    <s v="323"/>
    <s v="4.0 UN"/>
    <s v="STANDARD"/>
    <s v="N"/>
    <s v="Y"/>
    <s v="Y"/>
    <s v="T20"/>
    <s v="N"/>
    <s v="N"/>
    <s v="N"/>
    <s v="N"/>
    <s v="A042"/>
    <d v="2016-12-13T00:00:00"/>
    <s v="40"/>
    <s v="TAN"/>
    <s v="OR"/>
    <d v="2016-12-08T00:00:00"/>
    <s v="ID"/>
    <s v="US"/>
    <s v="ZR"/>
    <d v="2016-12-08T00:00:00"/>
  </r>
  <r>
    <x v="0"/>
    <x v="4"/>
    <x v="451"/>
    <x v="16"/>
    <s v="Standard order"/>
    <x v="436"/>
    <x v="436"/>
    <s v="A404"/>
    <s v="CRYSTAL A404NT"/>
    <s v="5002961"/>
    <s v="A404 ACH T20 PB Kabina CL MP"/>
    <n v="48"/>
    <n v="0"/>
    <n v="48"/>
    <x v="4"/>
    <s v="DPNE"/>
    <s v="MP"/>
    <s v="323"/>
    <s v="4.0 UN"/>
    <s v="STANDARD"/>
    <s v="N"/>
    <s v="Y"/>
    <s v="Y"/>
    <s v="T20"/>
    <s v="N"/>
    <s v="N"/>
    <s v="N"/>
    <s v="N"/>
    <s v="A042"/>
    <d v="2016-12-13T00:00:00"/>
    <s v="50"/>
    <s v="TAN"/>
    <s v="OR"/>
    <d v="2016-12-08T00:00:00"/>
    <s v="ID"/>
    <s v="US"/>
    <s v="ZR"/>
    <d v="2016-12-08T00:00:00"/>
  </r>
  <r>
    <x v="0"/>
    <x v="4"/>
    <x v="451"/>
    <x v="16"/>
    <s v="Standard order"/>
    <x v="436"/>
    <x v="436"/>
    <s v="A501"/>
    <s v="CRYSTAL A501"/>
    <s v="5003308"/>
    <s v="A501 ACH PB XL"/>
    <n v="28"/>
    <n v="0"/>
    <n v="28"/>
    <x v="4"/>
    <s v="EZPB"/>
    <s v="X-LARGE"/>
    <s v="314"/>
    <s v="4.0 UN"/>
    <s v="STANDARD"/>
    <s v="N"/>
    <s v="Y"/>
    <s v="N"/>
    <s v="N"/>
    <s v="N"/>
    <s v="N"/>
    <s v="N"/>
    <s v="N"/>
    <s v="A042"/>
    <d v="2016-12-13T00:00:00"/>
    <s v="10"/>
    <s v="TAN"/>
    <s v="OR"/>
    <d v="2016-12-08T00:00:00"/>
    <s v="ID"/>
    <s v="US"/>
    <s v="ZR"/>
    <d v="2016-12-08T00:00:00"/>
  </r>
  <r>
    <x v="0"/>
    <x v="2"/>
    <x v="452"/>
    <x v="6"/>
    <s v="Standard order"/>
    <x v="437"/>
    <x v="437"/>
    <s v="R014"/>
    <s v="CRYSTAL RR014"/>
    <s v="5003091"/>
    <s v="R014 ACH T20 PB SYSTIVA G100"/>
    <n v="64"/>
    <n v="0"/>
    <n v="64"/>
    <x v="2"/>
    <s v="AP82"/>
    <s v="GEM 100"/>
    <s v="324"/>
    <s v="4.0 UN"/>
    <s v="STANDARD"/>
    <s v="N"/>
    <s v="Y"/>
    <s v="N"/>
    <s v="T20"/>
    <s v="Y"/>
    <s v="N"/>
    <s v="Y"/>
    <s v="N"/>
    <s v="A025"/>
    <d v="2016-12-13T00:00:00"/>
    <s v="10"/>
    <s v="TAN"/>
    <s v="OR"/>
    <d v="2016-12-08T00:00:00"/>
    <s v="NE"/>
    <s v="US"/>
    <s v="ZR"/>
    <d v="2016-12-08T00:00:00"/>
  </r>
  <r>
    <x v="0"/>
    <x v="4"/>
    <x v="453"/>
    <x v="8"/>
    <s v="Standard order"/>
    <x v="438"/>
    <x v="438"/>
    <s v="A399"/>
    <s v="CRYSTAL A399NT"/>
    <s v="5002931"/>
    <s v="A399 ACH PB XL"/>
    <n v="48"/>
    <n v="0"/>
    <n v="48"/>
    <x v="4"/>
    <s v="DP71"/>
    <s v="X-LARGE"/>
    <s v="314"/>
    <s v="4.0 UN"/>
    <s v="STANDARD"/>
    <s v="N"/>
    <s v="Y"/>
    <s v="N"/>
    <s v="N"/>
    <s v="N"/>
    <s v="N"/>
    <s v="N"/>
    <s v="N"/>
    <s v="A044"/>
    <d v="2016-12-13T00:00:00"/>
    <s v="10"/>
    <s v="TAN"/>
    <s v="OR"/>
    <d v="2016-12-08T00:00:00"/>
    <s v="ID"/>
    <s v="US"/>
    <s v="ZR"/>
    <d v="2016-12-08T00:00:00"/>
  </r>
  <r>
    <x v="0"/>
    <x v="4"/>
    <x v="453"/>
    <x v="8"/>
    <s v="Standard order"/>
    <x v="438"/>
    <x v="438"/>
    <s v="A488"/>
    <s v="CRYSTAL A488NT"/>
    <s v="5002983"/>
    <s v="A488 ACH PB XL"/>
    <n v="16"/>
    <n v="0"/>
    <n v="16"/>
    <x v="4"/>
    <s v="EENE"/>
    <s v="X-LARGE"/>
    <s v="314"/>
    <s v="4.0 UN"/>
    <s v="STANDARD"/>
    <s v="N"/>
    <s v="Y"/>
    <s v="N"/>
    <s v="N"/>
    <s v="N"/>
    <s v="N"/>
    <s v="N"/>
    <s v="N"/>
    <s v="A044"/>
    <d v="2016-12-13T00:00:00"/>
    <s v="20"/>
    <s v="TAN"/>
    <s v="OR"/>
    <d v="2016-12-08T00:00:00"/>
    <s v="ID"/>
    <s v="US"/>
    <s v="ZR"/>
    <d v="2016-12-08T00:00:00"/>
  </r>
  <r>
    <x v="0"/>
    <x v="4"/>
    <x v="454"/>
    <x v="8"/>
    <s v="Standard order"/>
    <x v="439"/>
    <x v="439"/>
    <s v="A399"/>
    <s v="CRYSTAL A399NT"/>
    <s v="5002928"/>
    <s v="A399 ACH PB LRG"/>
    <n v="56"/>
    <n v="0"/>
    <n v="56"/>
    <x v="4"/>
    <s v="DP71"/>
    <s v="LARGE"/>
    <s v="314"/>
    <s v="4.0 UN"/>
    <s v="STANDARD"/>
    <s v="N"/>
    <s v="Y"/>
    <s v="N"/>
    <s v="N"/>
    <s v="N"/>
    <s v="N"/>
    <s v="N"/>
    <s v="N"/>
    <s v="A044"/>
    <d v="2016-12-13T00:00:00"/>
    <s v="10"/>
    <s v="TAN"/>
    <s v="OR"/>
    <d v="2016-12-08T00:00:00"/>
    <s v="ID"/>
    <s v="US"/>
    <s v="ZR"/>
    <d v="2016-12-08T00:00:00"/>
  </r>
  <r>
    <x v="0"/>
    <x v="4"/>
    <x v="455"/>
    <x v="7"/>
    <s v="Standard order"/>
    <x v="440"/>
    <x v="440"/>
    <s v="A399"/>
    <s v="CRYSTAL A399NT"/>
    <s v="5002930"/>
    <s v="A399 ACH PB MP"/>
    <n v="20"/>
    <n v="0"/>
    <n v="20"/>
    <x v="4"/>
    <s v="DP71"/>
    <s v="MP"/>
    <s v="314"/>
    <s v="4.0 UN"/>
    <s v="STANDARD"/>
    <s v="N"/>
    <s v="Y"/>
    <s v="N"/>
    <s v="N"/>
    <s v="N"/>
    <s v="N"/>
    <s v="N"/>
    <s v="N"/>
    <s v="A045"/>
    <d v="2016-12-13T00:00:00"/>
    <s v="10"/>
    <s v="TAN"/>
    <s v="OR"/>
    <d v="2016-12-08T00:00:00"/>
    <s v="OR"/>
    <s v="US"/>
    <s v="ZR"/>
    <d v="2016-12-08T00:00:00"/>
  </r>
  <r>
    <x v="0"/>
    <x v="0"/>
    <x v="456"/>
    <x v="2"/>
    <s v="Standard order"/>
    <x v="441"/>
    <x v="441"/>
    <s v="G333"/>
    <s v="CRYSTAL G333NT"/>
    <s v="5003378"/>
    <s v="G333 ACH T20 Kabina RP"/>
    <n v="48"/>
    <n v="0"/>
    <n v="48"/>
    <x v="0"/>
    <s v="EE73"/>
    <s v="RP"/>
    <s v="387"/>
    <s v="4.0 UN"/>
    <s v="STANDARD"/>
    <s v="N"/>
    <s v="N"/>
    <s v="Y"/>
    <s v="T20"/>
    <s v="N"/>
    <s v="N"/>
    <s v="N"/>
    <s v="N"/>
    <s v="A034"/>
    <d v="2016-12-13T00:00:00"/>
    <s v="10"/>
    <s v="TAN"/>
    <s v="OR"/>
    <d v="2016-12-08T00:00:00"/>
    <s v="MI"/>
    <s v="US"/>
    <s v="ZR"/>
    <d v="2016-12-08T00:00:00"/>
  </r>
  <r>
    <x v="0"/>
    <x v="0"/>
    <x v="456"/>
    <x v="2"/>
    <s v="Standard order"/>
    <x v="441"/>
    <x v="441"/>
    <s v="G351"/>
    <s v="CRYSTAL G351NT"/>
    <s v="5003398"/>
    <s v="G351 ACH T20 Kabina RP"/>
    <n v="44"/>
    <n v="0"/>
    <n v="44"/>
    <x v="0"/>
    <s v="DA73"/>
    <s v="RP"/>
    <s v="387"/>
    <s v="4.0 UN"/>
    <s v="STANDARD"/>
    <s v="N"/>
    <s v="N"/>
    <s v="Y"/>
    <s v="T20"/>
    <s v="N"/>
    <s v="N"/>
    <s v="N"/>
    <s v="N"/>
    <s v="A034"/>
    <d v="2016-12-13T00:00:00"/>
    <s v="20"/>
    <s v="TAN"/>
    <s v="OR"/>
    <d v="2016-12-08T00:00:00"/>
    <s v="MI"/>
    <s v="US"/>
    <s v="ZR"/>
    <d v="2016-12-08T00:00:00"/>
  </r>
  <r>
    <x v="0"/>
    <x v="0"/>
    <x v="457"/>
    <x v="4"/>
    <s v="Standard order"/>
    <x v="442"/>
    <x v="442"/>
    <s v="G351"/>
    <s v="CRYSTAL G351NT"/>
    <s v="5003398"/>
    <s v="G351 ACH T20 Kabina RP"/>
    <n v="32"/>
    <n v="0"/>
    <n v="32"/>
    <x v="0"/>
    <s v="DA73"/>
    <s v="RP"/>
    <s v="387"/>
    <s v="4.0 UN"/>
    <s v="STANDARD"/>
    <s v="N"/>
    <s v="N"/>
    <s v="Y"/>
    <s v="T20"/>
    <s v="N"/>
    <s v="N"/>
    <s v="N"/>
    <s v="N"/>
    <s v="A035"/>
    <d v="2016-12-13T00:00:00"/>
    <s v="10"/>
    <s v="TAN"/>
    <s v="OR"/>
    <d v="2016-12-08T00:00:00"/>
    <s v="MI"/>
    <s v="US"/>
    <s v="ZR"/>
    <d v="2016-12-08T00:00:00"/>
  </r>
  <r>
    <x v="0"/>
    <x v="0"/>
    <x v="457"/>
    <x v="4"/>
    <s v="Standard order"/>
    <x v="442"/>
    <x v="442"/>
    <s v="G333"/>
    <s v="CRYSTAL G333NT"/>
    <s v="5003378"/>
    <s v="G333 ACH T20 Kabina RP"/>
    <n v="28"/>
    <n v="0"/>
    <n v="28"/>
    <x v="0"/>
    <s v="EE73"/>
    <s v="RP"/>
    <s v="387"/>
    <s v="4.0 UN"/>
    <s v="STANDARD"/>
    <s v="N"/>
    <s v="N"/>
    <s v="Y"/>
    <s v="T20"/>
    <s v="N"/>
    <s v="N"/>
    <s v="N"/>
    <s v="N"/>
    <s v="A035"/>
    <d v="2016-12-13T00:00:00"/>
    <s v="20"/>
    <s v="TAN"/>
    <s v="OR"/>
    <d v="2016-12-08T00:00:00"/>
    <s v="MI"/>
    <s v="US"/>
    <s v="ZR"/>
    <d v="2016-12-08T00:00:00"/>
  </r>
  <r>
    <x v="0"/>
    <x v="0"/>
    <x v="457"/>
    <x v="4"/>
    <s v="Standard order"/>
    <x v="442"/>
    <x v="442"/>
    <s v="G515"/>
    <s v="CRYSTAL G515"/>
    <s v="5003019"/>
    <s v="G515 ACH T20 Kabina RP"/>
    <n v="16"/>
    <n v="0"/>
    <n v="16"/>
    <x v="0"/>
    <s v="APND"/>
    <s v="RP"/>
    <s v="387"/>
    <s v="4.0 UN"/>
    <s v="STANDARD"/>
    <s v="N"/>
    <s v="N"/>
    <s v="Y"/>
    <s v="T20"/>
    <s v="N"/>
    <s v="N"/>
    <s v="N"/>
    <s v="N"/>
    <s v="A035"/>
    <d v="2016-12-13T00:00:00"/>
    <s v="30"/>
    <s v="TAN"/>
    <s v="OR"/>
    <d v="2016-12-08T00:00:00"/>
    <s v="MI"/>
    <s v="US"/>
    <s v="ZR"/>
    <d v="2016-12-08T00:00:00"/>
  </r>
  <r>
    <x v="0"/>
    <x v="4"/>
    <x v="458"/>
    <x v="16"/>
    <s v="Standard order"/>
    <x v="443"/>
    <x v="443"/>
    <s v="R933"/>
    <s v="CRYSTAL RR933"/>
    <s v="5003678"/>
    <s v="R933 ACH LRG"/>
    <n v="40"/>
    <n v="0"/>
    <n v="40"/>
    <x v="4"/>
    <s v="3571"/>
    <s v="LARGE"/>
    <s v="316"/>
    <s v="4.0 UN"/>
    <s v="STANDARD"/>
    <s v="N"/>
    <s v="N"/>
    <s v="N"/>
    <s v="N"/>
    <s v="N"/>
    <s v="N"/>
    <s v="N"/>
    <s v="N"/>
    <s v="A042"/>
    <d v="2016-12-13T00:00:00"/>
    <s v="10"/>
    <s v="TAN"/>
    <s v="OR"/>
    <d v="2016-12-08T00:00:00"/>
    <s v="ID"/>
    <s v="US"/>
    <s v="ZR"/>
    <d v="2016-12-08T00:00:00"/>
  </r>
  <r>
    <x v="0"/>
    <x v="6"/>
    <x v="459"/>
    <x v="11"/>
    <s v="Standard order"/>
    <x v="444"/>
    <x v="444"/>
    <s v="S517"/>
    <s v="CRYSTAL S517"/>
    <s v="5003467"/>
    <s v="S517 ACH T20 PB SYSTIVA G100"/>
    <n v="32"/>
    <n v="0"/>
    <n v="32"/>
    <x v="6"/>
    <s v="DVNV"/>
    <s v="GEM 100"/>
    <s v="324"/>
    <s v="4.0 UN"/>
    <s v="STANDARD"/>
    <s v="N"/>
    <s v="Y"/>
    <s v="N"/>
    <s v="T20"/>
    <s v="Y"/>
    <s v="N"/>
    <s v="Y"/>
    <s v="N"/>
    <s v="A038"/>
    <d v="2016-12-13T00:00:00"/>
    <s v="10"/>
    <s v="TAN"/>
    <s v="OR"/>
    <d v="2016-12-07T00:00:00"/>
    <s v="MT"/>
    <s v="US"/>
    <s v="ZR"/>
    <d v="2016-12-08T00:00:00"/>
  </r>
  <r>
    <x v="0"/>
    <x v="6"/>
    <x v="459"/>
    <x v="11"/>
    <s v="Standard order"/>
    <x v="444"/>
    <x v="444"/>
    <s v="R052"/>
    <s v="CRYSTAL RR052"/>
    <s v="5003513"/>
    <s v="R052 ACH T20 PB SYSTIVA G100"/>
    <n v="40"/>
    <n v="0"/>
    <n v="40"/>
    <x v="6"/>
    <s v="AP82"/>
    <s v="GEM 100"/>
    <s v="324"/>
    <s v="4.0 UN"/>
    <s v="STANDARD"/>
    <s v="N"/>
    <s v="Y"/>
    <s v="N"/>
    <s v="T20"/>
    <s v="Y"/>
    <s v="N"/>
    <s v="Y"/>
    <s v="N"/>
    <s v="A038"/>
    <d v="2016-12-13T00:00:00"/>
    <s v="20"/>
    <s v="TAN"/>
    <s v="OR"/>
    <d v="2016-12-07T00:00:00"/>
    <s v="MT"/>
    <s v="US"/>
    <s v="ZR"/>
    <d v="2016-12-08T00:00:00"/>
  </r>
  <r>
    <x v="0"/>
    <x v="6"/>
    <x v="459"/>
    <x v="11"/>
    <s v="Standard order"/>
    <x v="444"/>
    <x v="444"/>
    <s v="S360"/>
    <s v="CRYSTAL S360NT"/>
    <s v="5003413"/>
    <s v="S360 ACH T20 PB SYSTIVA G100"/>
    <n v="52"/>
    <n v="0"/>
    <n v="52"/>
    <x v="6"/>
    <s v="DVNB"/>
    <s v="GEM 100"/>
    <s v="324"/>
    <s v="4.0 UN"/>
    <s v="STANDARD"/>
    <s v="N"/>
    <s v="Y"/>
    <s v="N"/>
    <s v="T20"/>
    <s v="Y"/>
    <s v="N"/>
    <s v="Y"/>
    <s v="N"/>
    <s v="A038"/>
    <d v="2016-12-13T00:00:00"/>
    <s v="30"/>
    <s v="TAN"/>
    <s v="OR"/>
    <d v="2016-12-07T00:00:00"/>
    <s v="MT"/>
    <s v="US"/>
    <s v="ZR"/>
    <d v="2016-12-08T00:00:00"/>
  </r>
  <r>
    <x v="0"/>
    <x v="6"/>
    <x v="460"/>
    <x v="11"/>
    <s v="Standard order"/>
    <x v="445"/>
    <x v="445"/>
    <s v="S498"/>
    <s v="CRYSTAL S498"/>
    <s v="5003420"/>
    <s v="S498 ACH T20 PB CL SYSTIVA G50"/>
    <n v="12"/>
    <n v="0"/>
    <n v="12"/>
    <x v="6"/>
    <s v="FE73"/>
    <s v="GEM 50"/>
    <s v="321"/>
    <s v="4.0 UN"/>
    <s v="STANDARD"/>
    <s v="N"/>
    <s v="N"/>
    <s v="N"/>
    <s v="T20"/>
    <s v="Y"/>
    <s v="N"/>
    <s v="Y"/>
    <s v="N"/>
    <s v="A038"/>
    <d v="2016-12-13T00:00:00"/>
    <s v="10"/>
    <s v="TAN"/>
    <s v="OR"/>
    <d v="2016-12-07T00:00:00"/>
    <s v="MT"/>
    <s v="US"/>
    <s v="ZR"/>
    <d v="2016-12-08T00:00:00"/>
  </r>
  <r>
    <x v="0"/>
    <x v="6"/>
    <x v="460"/>
    <x v="11"/>
    <s v="Standard order"/>
    <x v="445"/>
    <x v="445"/>
    <s v="S498"/>
    <s v="CRYSTAL S498"/>
    <s v="5003432"/>
    <s v="S498 ACH T20 PB SYSTIVA G50"/>
    <n v="36"/>
    <n v="0"/>
    <n v="36"/>
    <x v="6"/>
    <s v="FE73"/>
    <s v="GEM 50"/>
    <s v="324"/>
    <s v="4.0 UN"/>
    <s v="STANDARD"/>
    <s v="N"/>
    <s v="Y"/>
    <s v="N"/>
    <s v="T20"/>
    <s v="Y"/>
    <s v="N"/>
    <s v="Y"/>
    <s v="N"/>
    <s v="A038"/>
    <d v="2016-12-13T00:00:00"/>
    <s v="20"/>
    <s v="TAN"/>
    <s v="OR"/>
    <d v="2016-12-07T00:00:00"/>
    <s v="MT"/>
    <s v="US"/>
    <s v="ZR"/>
    <d v="2016-12-08T00:00:00"/>
  </r>
  <r>
    <x v="0"/>
    <x v="4"/>
    <x v="461"/>
    <x v="20"/>
    <s v="Standard order"/>
    <x v="446"/>
    <x v="446"/>
    <s v="A399"/>
    <s v="CRYSTAL A399NT"/>
    <s v="5002920"/>
    <s v="A399 ACH LRG"/>
    <n v="204"/>
    <n v="0"/>
    <n v="204"/>
    <x v="4"/>
    <s v="DP71"/>
    <s v="LARGE"/>
    <s v="316"/>
    <s v="4.0 UN"/>
    <s v="STANDARD"/>
    <s v="N"/>
    <s v="N"/>
    <s v="N"/>
    <s v="N"/>
    <s v="N"/>
    <s v="N"/>
    <s v="N"/>
    <s v="N"/>
    <s v="A039"/>
    <d v="2016-12-13T00:00:00"/>
    <s v="20"/>
    <s v="TAN"/>
    <s v="OR"/>
    <d v="2016-12-08T00:00:00"/>
    <s v="ID"/>
    <s v="US"/>
    <s v="ZR"/>
    <d v="2016-12-08T00:00:00"/>
  </r>
  <r>
    <x v="0"/>
    <x v="4"/>
    <x v="461"/>
    <x v="20"/>
    <s v="Standard order"/>
    <x v="446"/>
    <x v="446"/>
    <s v="A404"/>
    <s v="CRYSTAL A404NT"/>
    <s v="5002954"/>
    <s v="A404 ACH PB LRG"/>
    <n v="72"/>
    <n v="0"/>
    <n v="72"/>
    <x v="4"/>
    <s v="DPNE"/>
    <s v="LARGE"/>
    <s v="314"/>
    <s v="4.0 UN"/>
    <s v="STANDARD"/>
    <s v="N"/>
    <s v="Y"/>
    <s v="N"/>
    <s v="N"/>
    <s v="N"/>
    <s v="N"/>
    <s v="N"/>
    <s v="N"/>
    <s v="A039"/>
    <d v="2016-12-13T00:00:00"/>
    <s v="30"/>
    <s v="TAN"/>
    <s v="OR"/>
    <d v="2016-12-08T00:00:00"/>
    <s v="ID"/>
    <s v="US"/>
    <s v="ZR"/>
    <d v="2016-12-08T00:00:00"/>
  </r>
  <r>
    <x v="0"/>
    <x v="4"/>
    <x v="461"/>
    <x v="20"/>
    <s v="Standard order"/>
    <x v="446"/>
    <x v="446"/>
    <s v="A501"/>
    <s v="CRYSTAL A501"/>
    <s v="5003305"/>
    <s v="A501 ACH PB LRG"/>
    <n v="40"/>
    <n v="0"/>
    <n v="40"/>
    <x v="4"/>
    <s v="EZPB"/>
    <s v="LARGE"/>
    <s v="314"/>
    <s v="4.0 UN"/>
    <s v="STANDARD"/>
    <s v="N"/>
    <s v="Y"/>
    <s v="N"/>
    <s v="N"/>
    <s v="N"/>
    <s v="N"/>
    <s v="N"/>
    <s v="N"/>
    <s v="A039"/>
    <d v="2016-12-13T00:00:00"/>
    <s v="10"/>
    <s v="TAN"/>
    <s v="OR"/>
    <d v="2016-12-08T00:00:00"/>
    <s v="ID"/>
    <s v="US"/>
    <s v="ZR"/>
    <d v="2016-12-08T00:00:00"/>
  </r>
  <r>
    <x v="0"/>
    <x v="4"/>
    <x v="462"/>
    <x v="18"/>
    <s v="Standard order"/>
    <x v="447"/>
    <x v="447"/>
    <s v="A404"/>
    <s v="CRYSTAL A404NT"/>
    <s v="5002957"/>
    <s v="A404 ACH PB XL"/>
    <n v="160"/>
    <n v="0"/>
    <n v="160"/>
    <x v="4"/>
    <s v="DPNE"/>
    <s v="X-LARGE"/>
    <s v="314"/>
    <s v="4.0 UN"/>
    <s v="STANDARD"/>
    <s v="N"/>
    <s v="Y"/>
    <s v="N"/>
    <s v="N"/>
    <s v="N"/>
    <s v="N"/>
    <s v="N"/>
    <s v="N"/>
    <s v="A041"/>
    <d v="2016-12-13T00:00:00"/>
    <s v="10"/>
    <s v="TAN"/>
    <s v="OR"/>
    <d v="2016-12-07T00:00:00"/>
    <s v="ID"/>
    <s v="US"/>
    <s v="ZR"/>
    <d v="2016-12-08T00:00:00"/>
  </r>
  <r>
    <x v="0"/>
    <x v="4"/>
    <x v="462"/>
    <x v="18"/>
    <s v="Standard order"/>
    <x v="447"/>
    <x v="447"/>
    <s v="R081"/>
    <s v="CRYSTAL RR081"/>
    <s v="5003554"/>
    <s v="R081 ACH PB XL IDH"/>
    <n v="160"/>
    <n v="0"/>
    <n v="160"/>
    <x v="4"/>
    <s v="AQ82"/>
    <s v="X-LARGE"/>
    <s v="314"/>
    <s v="4.0 UN"/>
    <s v="STANDARD"/>
    <s v="N"/>
    <s v="Y"/>
    <s v="N"/>
    <s v="N"/>
    <s v="N"/>
    <s v="N"/>
    <s v="N"/>
    <s v="N"/>
    <s v="A041"/>
    <d v="2016-12-13T00:00:00"/>
    <s v="20"/>
    <s v="TAN"/>
    <s v="OR"/>
    <d v="2016-12-07T00:00:00"/>
    <s v="ID"/>
    <s v="US"/>
    <s v="ZR"/>
    <d v="2016-12-08T00:00:00"/>
  </r>
  <r>
    <x v="0"/>
    <x v="5"/>
    <x v="463"/>
    <x v="13"/>
    <s v="Standard order"/>
    <x v="448"/>
    <x v="448"/>
    <s v="R116"/>
    <s v="CRYSTAL RR116"/>
    <s v="5003103"/>
    <s v="R116 ACH T20 PB SYSTIVA MP"/>
    <n v="24"/>
    <n v="0"/>
    <n v="24"/>
    <x v="5"/>
    <s v="AP71"/>
    <s v="MP"/>
    <s v="324"/>
    <s v="4.0 UN"/>
    <s v="STANDARD"/>
    <s v="N"/>
    <s v="Y"/>
    <s v="N"/>
    <s v="T20"/>
    <s v="Y"/>
    <s v="N"/>
    <s v="N"/>
    <s v="N"/>
    <s v="A015"/>
    <d v="2016-12-13T00:00:00"/>
    <s v="10"/>
    <s v="TAN"/>
    <s v="OR"/>
    <d v="2016-12-07T00:00:00"/>
    <s v="MT"/>
    <s v="US"/>
    <s v="ZR"/>
    <d v="2016-12-08T00:00:00"/>
  </r>
  <r>
    <x v="0"/>
    <x v="4"/>
    <x v="464"/>
    <x v="8"/>
    <s v="Standard order"/>
    <x v="449"/>
    <x v="449"/>
    <s v="A404"/>
    <s v="CRYSTAL A404NT"/>
    <s v="5002954"/>
    <s v="A404 ACH PB LRG"/>
    <n v="12"/>
    <n v="0"/>
    <n v="12"/>
    <x v="4"/>
    <s v="DPNE"/>
    <s v="LARGE"/>
    <s v="314"/>
    <s v="4.0 UN"/>
    <s v="STANDARD"/>
    <s v="N"/>
    <s v="Y"/>
    <s v="N"/>
    <s v="N"/>
    <s v="N"/>
    <s v="N"/>
    <s v="N"/>
    <s v="N"/>
    <s v="A044"/>
    <d v="2016-12-13T00:00:00"/>
    <s v="10"/>
    <s v="TAN"/>
    <s v="OR"/>
    <d v="2016-12-07T00:00:00"/>
    <s v="ID"/>
    <s v="US"/>
    <s v="ZR"/>
    <d v="2016-12-08T00:00:00"/>
  </r>
  <r>
    <x v="0"/>
    <x v="5"/>
    <x v="465"/>
    <x v="9"/>
    <s v="Standard order"/>
    <x v="450"/>
    <x v="450"/>
    <s v="Y313"/>
    <s v="CRYSTAL Y313NT"/>
    <s v="5003707"/>
    <s v="Y313 ACH T20 PB SYSTIVA ELS"/>
    <n v="40"/>
    <n v="0"/>
    <n v="40"/>
    <x v="5"/>
    <s v="DLNC"/>
    <s v="ELS"/>
    <s v="324"/>
    <s v="4.0 UN"/>
    <s v="STANDARD"/>
    <s v="N"/>
    <s v="Y"/>
    <s v="N"/>
    <s v="T20"/>
    <s v="Y"/>
    <s v="N"/>
    <s v="N"/>
    <s v="N"/>
    <s v="A016"/>
    <d v="2016-12-13T00:00:00"/>
    <s v="10"/>
    <s v="TAN"/>
    <s v="OR"/>
    <d v="2016-12-07T00:00:00"/>
    <s v="WY"/>
    <s v="US"/>
    <s v="ZR"/>
    <d v="2016-12-08T00:00:00"/>
  </r>
  <r>
    <x v="0"/>
    <x v="5"/>
    <x v="466"/>
    <x v="9"/>
    <s v="Standard order"/>
    <x v="451"/>
    <x v="451"/>
    <s v="R116"/>
    <s v="CRYSTAL RR116"/>
    <s v="5003101"/>
    <s v="R116 ACH T20 PB SYSTIVA ELS"/>
    <n v="40"/>
    <n v="0"/>
    <n v="40"/>
    <x v="5"/>
    <s v="AP71"/>
    <s v="ELS"/>
    <s v="324"/>
    <s v="4.0 UN"/>
    <s v="STANDARD"/>
    <s v="N"/>
    <s v="Y"/>
    <s v="N"/>
    <s v="T20"/>
    <s v="Y"/>
    <s v="N"/>
    <s v="N"/>
    <s v="N"/>
    <s v="A016"/>
    <d v="2016-12-13T00:00:00"/>
    <s v="10"/>
    <s v="TAN"/>
    <s v="OR"/>
    <d v="2016-12-07T00:00:00"/>
    <s v="WY"/>
    <s v="US"/>
    <s v="ZR"/>
    <d v="2016-12-08T00:00:00"/>
  </r>
  <r>
    <x v="0"/>
    <x v="5"/>
    <x v="466"/>
    <x v="9"/>
    <s v="Standard order"/>
    <x v="451"/>
    <x v="451"/>
    <s v="Y400"/>
    <s v="CRYSTAL Y400NT"/>
    <s v="5003731"/>
    <s v="Y400 ACH T20 PB SYSTIVA ELS"/>
    <n v="40"/>
    <n v="0"/>
    <n v="40"/>
    <x v="5"/>
    <s v="4TBP"/>
    <s v="ELS"/>
    <s v="324"/>
    <s v="4.0 UN"/>
    <s v="STANDARD"/>
    <s v="N"/>
    <s v="Y"/>
    <s v="N"/>
    <s v="T20"/>
    <s v="Y"/>
    <s v="N"/>
    <s v="N"/>
    <s v="N"/>
    <s v="A016"/>
    <d v="2016-12-13T00:00:00"/>
    <s v="20"/>
    <s v="TAN"/>
    <s v="OR"/>
    <d v="2016-12-07T00:00:00"/>
    <s v="WY"/>
    <s v="US"/>
    <s v="ZR"/>
    <d v="2016-12-08T00:00:00"/>
  </r>
  <r>
    <x v="0"/>
    <x v="5"/>
    <x v="467"/>
    <x v="14"/>
    <s v="Standard order"/>
    <x v="452"/>
    <x v="452"/>
    <s v="Y400"/>
    <s v="CRYSTAL Y400NT"/>
    <s v="5003735"/>
    <s v="Y400 ACH T20 PB SYSTIVA RP"/>
    <n v="56"/>
    <n v="0"/>
    <n v="56"/>
    <x v="5"/>
    <s v="4TBP"/>
    <s v="RP"/>
    <s v="324"/>
    <s v="4.0 UN"/>
    <s v="STANDARD"/>
    <s v="N"/>
    <s v="Y"/>
    <s v="N"/>
    <s v="T20"/>
    <s v="Y"/>
    <s v="N"/>
    <s v="N"/>
    <s v="N"/>
    <s v="A017"/>
    <d v="2016-12-13T00:00:00"/>
    <s v="10"/>
    <s v="TAN"/>
    <s v="OR"/>
    <d v="2016-12-07T00:00:00"/>
    <s v="WY"/>
    <s v="US"/>
    <s v="ZR"/>
    <d v="2016-12-08T00:00:00"/>
  </r>
  <r>
    <x v="0"/>
    <x v="5"/>
    <x v="467"/>
    <x v="14"/>
    <s v="Standard order"/>
    <x v="452"/>
    <x v="452"/>
    <s v="Y313"/>
    <s v="CRYSTAL Y313NT"/>
    <s v="5003711"/>
    <s v="Y313 ACH T20 PB SYSTIVA RP"/>
    <n v="48"/>
    <n v="0"/>
    <n v="48"/>
    <x v="5"/>
    <s v="DLNC"/>
    <s v="RP"/>
    <s v="324"/>
    <s v="4.0 UN"/>
    <s v="STANDARD"/>
    <s v="N"/>
    <s v="Y"/>
    <s v="N"/>
    <s v="T20"/>
    <s v="Y"/>
    <s v="N"/>
    <s v="N"/>
    <s v="N"/>
    <s v="A017"/>
    <d v="2016-12-13T00:00:00"/>
    <s v="20"/>
    <s v="TAN"/>
    <s v="OR"/>
    <d v="2016-12-07T00:00:00"/>
    <s v="WY"/>
    <s v="US"/>
    <s v="ZR"/>
    <d v="2016-12-08T00:00:00"/>
  </r>
  <r>
    <x v="0"/>
    <x v="5"/>
    <x v="468"/>
    <x v="21"/>
    <s v="Standard order"/>
    <x v="453"/>
    <x v="453"/>
    <s v="R116"/>
    <s v="CRYSTAL RR116"/>
    <s v="5003105"/>
    <s v="R116 ACH T20 PB SYSTIVA RP"/>
    <n v="8"/>
    <n v="0"/>
    <n v="8"/>
    <x v="5"/>
    <s v="AP71"/>
    <s v="RP"/>
    <s v="324"/>
    <s v="4.0 UN"/>
    <s v="STANDARD"/>
    <s v="N"/>
    <s v="Y"/>
    <s v="N"/>
    <s v="T20"/>
    <s v="Y"/>
    <s v="N"/>
    <s v="N"/>
    <s v="N"/>
    <s v="A013"/>
    <d v="2016-12-13T00:00:00"/>
    <s v="10"/>
    <s v="TAN"/>
    <s v="OR"/>
    <d v="2016-12-08T00:00:00"/>
    <s v="MT"/>
    <s v="US"/>
    <s v="ZR"/>
    <d v="2016-12-08T00:00:00"/>
  </r>
  <r>
    <x v="0"/>
    <x v="4"/>
    <x v="469"/>
    <x v="8"/>
    <s v="Standard order"/>
    <x v="454"/>
    <x v="454"/>
    <s v="A399"/>
    <s v="CRYSTAL A399NT"/>
    <s v="5002935"/>
    <s v="A399 ACH T20 PB Kabina CL MP"/>
    <n v="72"/>
    <n v="0"/>
    <n v="72"/>
    <x v="4"/>
    <s v="DP71"/>
    <s v="MP"/>
    <s v="323"/>
    <s v="4.0 UN"/>
    <s v="STANDARD"/>
    <s v="N"/>
    <s v="Y"/>
    <s v="Y"/>
    <s v="T20"/>
    <s v="N"/>
    <s v="N"/>
    <s v="N"/>
    <s v="N"/>
    <s v="A044"/>
    <d v="2016-12-13T00:00:00"/>
    <s v="10"/>
    <s v="TAN"/>
    <s v="OR"/>
    <d v="2016-12-07T00:00:00"/>
    <s v="ID"/>
    <s v="US"/>
    <s v="ZR"/>
    <d v="2016-12-08T00:00:00"/>
  </r>
  <r>
    <x v="0"/>
    <x v="2"/>
    <x v="470"/>
    <x v="22"/>
    <s v="Standard order"/>
    <x v="455"/>
    <x v="455"/>
    <s v="R014"/>
    <s v="CRYSTAL RR014"/>
    <s v="5003091"/>
    <s v="R014 ACH T20 PB SYSTIVA G100"/>
    <n v="76"/>
    <n v="0"/>
    <n v="76"/>
    <x v="2"/>
    <s v="AP82"/>
    <s v="GEM 100"/>
    <s v="324"/>
    <s v="4.0 UN"/>
    <s v="STANDARD"/>
    <s v="N"/>
    <s v="Y"/>
    <s v="N"/>
    <s v="T20"/>
    <s v="Y"/>
    <s v="N"/>
    <s v="Y"/>
    <s v="N"/>
    <s v="A018"/>
    <d v="2016-12-13T00:00:00"/>
    <s v="10"/>
    <s v="TAN"/>
    <s v="OR"/>
    <d v="2016-12-08T00:00:00"/>
    <s v="CO"/>
    <s v="US"/>
    <s v="ZR"/>
    <d v="2016-12-08T00:00:00"/>
  </r>
  <r>
    <x v="0"/>
    <x v="0"/>
    <x v="471"/>
    <x v="10"/>
    <s v="Standard order"/>
    <x v="456"/>
    <x v="456"/>
    <s v="R059"/>
    <s v="CRYSTAL RR059"/>
    <s v="5003529"/>
    <s v="R059 ACH T20 Kabina MP"/>
    <n v="32"/>
    <n v="0"/>
    <n v="32"/>
    <x v="0"/>
    <s v="AP73"/>
    <s v="MP"/>
    <s v="387"/>
    <s v="4.0 UN"/>
    <s v="STANDARD"/>
    <s v="N"/>
    <s v="N"/>
    <s v="Y"/>
    <s v="T20"/>
    <s v="N"/>
    <s v="N"/>
    <s v="N"/>
    <s v="N"/>
    <s v="A036"/>
    <d v="2016-12-13T00:00:00"/>
    <s v="10"/>
    <s v="TAN"/>
    <s v="OR"/>
    <d v="2016-12-08T00:00:00"/>
    <s v="MI"/>
    <s v="US"/>
    <s v="ZR"/>
    <d v="2016-12-08T00:00:00"/>
  </r>
  <r>
    <x v="0"/>
    <x v="4"/>
    <x v="472"/>
    <x v="16"/>
    <s v="Standard order"/>
    <x v="457"/>
    <x v="457"/>
    <s v="A404"/>
    <s v="CRYSTAL A404NT"/>
    <s v="5002957"/>
    <s v="A404 ACH PB XL"/>
    <n v="36"/>
    <n v="0"/>
    <n v="36"/>
    <x v="4"/>
    <s v="DPNE"/>
    <s v="X-LARGE"/>
    <s v="314"/>
    <s v="4.0 UN"/>
    <s v="STANDARD"/>
    <s v="N"/>
    <s v="Y"/>
    <s v="N"/>
    <s v="N"/>
    <s v="N"/>
    <s v="N"/>
    <s v="N"/>
    <s v="N"/>
    <s v="A042"/>
    <d v="2016-12-13T00:00:00"/>
    <s v="10"/>
    <s v="TAN"/>
    <s v="OR"/>
    <d v="2016-12-08T00:00:00"/>
    <s v="ID"/>
    <s v="US"/>
    <s v="ZR"/>
    <d v="2016-12-08T00:00:00"/>
  </r>
  <r>
    <x v="0"/>
    <x v="4"/>
    <x v="472"/>
    <x v="16"/>
    <s v="Standard order"/>
    <x v="457"/>
    <x v="457"/>
    <s v="A488"/>
    <s v="CRYSTAL A488NT"/>
    <s v="5002983"/>
    <s v="A488 ACH PB XL"/>
    <n v="36"/>
    <n v="0"/>
    <n v="36"/>
    <x v="4"/>
    <s v="EENE"/>
    <s v="X-LARGE"/>
    <s v="314"/>
    <s v="4.0 UN"/>
    <s v="STANDARD"/>
    <s v="N"/>
    <s v="Y"/>
    <s v="N"/>
    <s v="N"/>
    <s v="N"/>
    <s v="N"/>
    <s v="N"/>
    <s v="N"/>
    <s v="A042"/>
    <d v="2016-12-13T00:00:00"/>
    <s v="20"/>
    <s v="TAN"/>
    <s v="OR"/>
    <d v="2016-12-08T00:00:00"/>
    <s v="ID"/>
    <s v="US"/>
    <s v="ZR"/>
    <d v="2016-12-08T00:00:00"/>
  </r>
  <r>
    <x v="0"/>
    <x v="4"/>
    <x v="473"/>
    <x v="15"/>
    <s v="Standard order"/>
    <x v="458"/>
    <x v="458"/>
    <s v="A399"/>
    <s v="CRYSTAL A399NT"/>
    <s v="5002928"/>
    <s v="A399 ACH PB LRG"/>
    <n v="100"/>
    <n v="0"/>
    <n v="100"/>
    <x v="4"/>
    <s v="DP71"/>
    <s v="LARGE"/>
    <s v="314"/>
    <s v="4.0 UN"/>
    <s v="STANDARD"/>
    <s v="N"/>
    <s v="Y"/>
    <s v="N"/>
    <s v="N"/>
    <s v="N"/>
    <s v="N"/>
    <s v="N"/>
    <s v="N"/>
    <s v="A043"/>
    <d v="2016-12-13T00:00:00"/>
    <s v="10"/>
    <s v="TAN"/>
    <s v="OR"/>
    <d v="2016-12-08T00:00:00"/>
    <s v="ID"/>
    <s v="US"/>
    <s v="ZR"/>
    <d v="2016-12-08T00:00:00"/>
  </r>
  <r>
    <x v="0"/>
    <x v="4"/>
    <x v="473"/>
    <x v="15"/>
    <s v="Standard order"/>
    <x v="458"/>
    <x v="458"/>
    <s v="A404"/>
    <s v="CRYSTAL A404NT"/>
    <s v="5002954"/>
    <s v="A404 ACH PB LRG"/>
    <n v="100"/>
    <n v="0"/>
    <n v="100"/>
    <x v="4"/>
    <s v="DPNE"/>
    <s v="LARGE"/>
    <s v="314"/>
    <s v="4.0 UN"/>
    <s v="STANDARD"/>
    <s v="N"/>
    <s v="Y"/>
    <s v="N"/>
    <s v="N"/>
    <s v="N"/>
    <s v="N"/>
    <s v="N"/>
    <s v="N"/>
    <s v="A043"/>
    <d v="2016-12-13T00:00:00"/>
    <s v="20"/>
    <s v="TAN"/>
    <s v="OR"/>
    <d v="2016-12-08T00:00:00"/>
    <s v="ID"/>
    <s v="US"/>
    <s v="ZR"/>
    <d v="2016-12-08T00:00:00"/>
  </r>
  <r>
    <x v="0"/>
    <x v="4"/>
    <x v="474"/>
    <x v="15"/>
    <s v="Standard order"/>
    <x v="459"/>
    <x v="459"/>
    <s v="A399"/>
    <s v="CRYSTAL A399NT"/>
    <s v="5002931"/>
    <s v="A399 ACH PB XL"/>
    <n v="12"/>
    <n v="0"/>
    <n v="12"/>
    <x v="4"/>
    <s v="DP71"/>
    <s v="X-LARGE"/>
    <s v="314"/>
    <s v="4.0 UN"/>
    <s v="STANDARD"/>
    <s v="N"/>
    <s v="Y"/>
    <s v="N"/>
    <s v="N"/>
    <s v="N"/>
    <s v="N"/>
    <s v="N"/>
    <s v="N"/>
    <s v="A043"/>
    <d v="2016-12-13T00:00:00"/>
    <s v="10"/>
    <s v="TAN"/>
    <s v="OR"/>
    <d v="2016-12-08T00:00:00"/>
    <s v="ID"/>
    <s v="US"/>
    <s v="ZR"/>
    <d v="2016-12-08T00:00:00"/>
  </r>
  <r>
    <x v="0"/>
    <x v="4"/>
    <x v="474"/>
    <x v="15"/>
    <s v="Standard order"/>
    <x v="459"/>
    <x v="459"/>
    <s v="R240"/>
    <s v="CRYSTAL RR240NT"/>
    <s v="5003162"/>
    <s v="R240 ACH PB XL"/>
    <n v="8"/>
    <n v="0"/>
    <n v="8"/>
    <x v="4"/>
    <s v="BHMP"/>
    <s v="X-LARGE"/>
    <s v="314"/>
    <s v="4.0 UN"/>
    <s v="STANDARD"/>
    <s v="N"/>
    <s v="Y"/>
    <s v="N"/>
    <s v="N"/>
    <s v="N"/>
    <s v="N"/>
    <s v="N"/>
    <s v="N"/>
    <s v="A043"/>
    <d v="2016-12-13T00:00:00"/>
    <s v="20"/>
    <s v="TAN"/>
    <s v="OR"/>
    <d v="2016-12-08T00:00:00"/>
    <s v="ID"/>
    <s v="US"/>
    <s v="ZR"/>
    <d v="2016-12-08T00:00:00"/>
  </r>
  <r>
    <x v="0"/>
    <x v="4"/>
    <x v="475"/>
    <x v="15"/>
    <s v="Standard order"/>
    <x v="460"/>
    <x v="460"/>
    <s v="A399"/>
    <s v="CRYSTAL A399NT"/>
    <s v="5002928"/>
    <s v="A399 ACH PB LRG"/>
    <n v="60"/>
    <n v="0"/>
    <n v="60"/>
    <x v="4"/>
    <s v="DP71"/>
    <s v="LARGE"/>
    <s v="314"/>
    <s v="4.0 UN"/>
    <s v="STANDARD"/>
    <s v="N"/>
    <s v="Y"/>
    <s v="N"/>
    <s v="N"/>
    <s v="N"/>
    <s v="N"/>
    <s v="N"/>
    <s v="N"/>
    <s v="A043"/>
    <d v="2016-12-13T00:00:00"/>
    <s v="10"/>
    <s v="TAN"/>
    <s v="OR"/>
    <d v="2016-12-08T00:00:00"/>
    <s v="ID"/>
    <s v="US"/>
    <s v="ZR"/>
    <d v="2016-12-08T00:00:00"/>
  </r>
  <r>
    <x v="0"/>
    <x v="4"/>
    <x v="475"/>
    <x v="15"/>
    <s v="Standard order"/>
    <x v="460"/>
    <x v="460"/>
    <s v="R240"/>
    <s v="CRYSTAL RR240NT"/>
    <s v="5003159"/>
    <s v="R240 ACH PB LRG"/>
    <n v="64"/>
    <n v="0"/>
    <n v="64"/>
    <x v="4"/>
    <s v="BHMP"/>
    <s v="LARGE"/>
    <s v="314"/>
    <s v="4.0 UN"/>
    <s v="STANDARD"/>
    <s v="N"/>
    <s v="Y"/>
    <s v="N"/>
    <s v="N"/>
    <s v="N"/>
    <s v="N"/>
    <s v="N"/>
    <s v="N"/>
    <s v="A043"/>
    <d v="2016-12-13T00:00:00"/>
    <s v="20"/>
    <s v="TAN"/>
    <s v="OR"/>
    <d v="2016-12-08T00:00:00"/>
    <s v="ID"/>
    <s v="US"/>
    <s v="ZR"/>
    <d v="2016-12-08T00:00:00"/>
  </r>
  <r>
    <x v="0"/>
    <x v="4"/>
    <x v="476"/>
    <x v="20"/>
    <s v="Standard order"/>
    <x v="461"/>
    <x v="461"/>
    <s v="A399"/>
    <s v="CRYSTAL A399NT"/>
    <s v="5002920"/>
    <s v="A399 ACH LRG"/>
    <n v="32"/>
    <n v="0"/>
    <n v="32"/>
    <x v="4"/>
    <s v="DP71"/>
    <s v="LARGE"/>
    <s v="316"/>
    <s v="4.0 UN"/>
    <s v="STANDARD"/>
    <s v="N"/>
    <s v="N"/>
    <s v="N"/>
    <s v="N"/>
    <s v="N"/>
    <s v="N"/>
    <s v="N"/>
    <s v="N"/>
    <s v="A039"/>
    <d v="2016-12-13T00:00:00"/>
    <s v="10"/>
    <s v="TAN"/>
    <s v="OR"/>
    <d v="2016-12-07T00:00:00"/>
    <s v="ID"/>
    <s v="US"/>
    <s v="ZR"/>
    <d v="2016-12-08T00:00:00"/>
  </r>
  <r>
    <x v="0"/>
    <x v="4"/>
    <x v="476"/>
    <x v="20"/>
    <s v="Standard order"/>
    <x v="461"/>
    <x v="461"/>
    <s v="R933"/>
    <s v="CRYSTAL RR933"/>
    <s v="5003678"/>
    <s v="R933 ACH LRG"/>
    <n v="28"/>
    <n v="0"/>
    <n v="28"/>
    <x v="4"/>
    <s v="3571"/>
    <s v="LARGE"/>
    <s v="316"/>
    <s v="4.0 UN"/>
    <s v="STANDARD"/>
    <s v="N"/>
    <s v="N"/>
    <s v="N"/>
    <s v="N"/>
    <s v="N"/>
    <s v="N"/>
    <s v="N"/>
    <s v="N"/>
    <s v="A039"/>
    <d v="2016-12-13T00:00:00"/>
    <s v="20"/>
    <s v="TAN"/>
    <s v="OR"/>
    <d v="2016-12-07T00:00:00"/>
    <s v="ID"/>
    <s v="US"/>
    <s v="ZR"/>
    <d v="2016-12-08T00:00:00"/>
  </r>
  <r>
    <x v="0"/>
    <x v="4"/>
    <x v="476"/>
    <x v="20"/>
    <s v="Standard order"/>
    <x v="461"/>
    <x v="461"/>
    <s v="R275"/>
    <s v="CRYSTAL RR275"/>
    <s v="5003636"/>
    <s v="R275 ACH LRG"/>
    <n v="28"/>
    <n v="0"/>
    <n v="28"/>
    <x v="4"/>
    <s v="5CAY"/>
    <s v="LARGE"/>
    <s v="316"/>
    <s v="4.0 UN"/>
    <s v="STANDARD"/>
    <s v="N"/>
    <s v="N"/>
    <s v="N"/>
    <s v="N"/>
    <s v="N"/>
    <s v="N"/>
    <s v="N"/>
    <s v="N"/>
    <s v="A039"/>
    <d v="2016-12-13T00:00:00"/>
    <s v="30"/>
    <s v="TAN"/>
    <s v="OR"/>
    <d v="2016-12-07T00:00:00"/>
    <s v="ID"/>
    <s v="US"/>
    <s v="ZR"/>
    <d v="2016-12-08T00:00:00"/>
  </r>
  <r>
    <x v="0"/>
    <x v="5"/>
    <x v="477"/>
    <x v="14"/>
    <s v="Standard order"/>
    <x v="462"/>
    <x v="462"/>
    <s v="Y400"/>
    <s v="CRYSTAL Y400NT"/>
    <s v="5003731"/>
    <s v="Y400 ACH T20 PB SYSTIVA ELS"/>
    <n v="36"/>
    <n v="0"/>
    <n v="36"/>
    <x v="5"/>
    <s v="4TBP"/>
    <s v="ELS"/>
    <s v="324"/>
    <s v="4.0 UN"/>
    <s v="STANDARD"/>
    <s v="N"/>
    <s v="Y"/>
    <s v="N"/>
    <s v="T20"/>
    <s v="Y"/>
    <s v="N"/>
    <s v="N"/>
    <s v="N"/>
    <s v="A017"/>
    <d v="2016-12-13T00:00:00"/>
    <s v="10"/>
    <s v="TAN"/>
    <s v="OR"/>
    <d v="2016-12-07T00:00:00"/>
    <s v="WY"/>
    <s v="US"/>
    <s v="ZR"/>
    <d v="2016-12-08T00:00:00"/>
  </r>
  <r>
    <x v="0"/>
    <x v="5"/>
    <x v="477"/>
    <x v="14"/>
    <s v="Standard order"/>
    <x v="462"/>
    <x v="462"/>
    <s v="Y313"/>
    <s v="CRYSTAL Y313NT"/>
    <s v="5003707"/>
    <s v="Y313 ACH T20 PB SYSTIVA ELS"/>
    <n v="28"/>
    <n v="0"/>
    <n v="28"/>
    <x v="5"/>
    <s v="DLNC"/>
    <s v="ELS"/>
    <s v="324"/>
    <s v="4.0 UN"/>
    <s v="STANDARD"/>
    <s v="N"/>
    <s v="Y"/>
    <s v="N"/>
    <s v="T20"/>
    <s v="Y"/>
    <s v="N"/>
    <s v="N"/>
    <s v="N"/>
    <s v="A017"/>
    <d v="2016-12-13T00:00:00"/>
    <s v="20"/>
    <s v="TAN"/>
    <s v="OR"/>
    <d v="2016-12-07T00:00:00"/>
    <s v="WY"/>
    <s v="US"/>
    <s v="ZR"/>
    <d v="2016-12-08T00:00:00"/>
  </r>
  <r>
    <x v="0"/>
    <x v="5"/>
    <x v="478"/>
    <x v="14"/>
    <s v="Standard order"/>
    <x v="463"/>
    <x v="463"/>
    <s v="Y400"/>
    <s v="CRYSTAL Y400NT"/>
    <s v="5003735"/>
    <s v="Y400 ACH T20 PB SYSTIVA RP"/>
    <n v="16"/>
    <n v="0"/>
    <n v="16"/>
    <x v="5"/>
    <s v="4TBP"/>
    <s v="RP"/>
    <s v="324"/>
    <s v="4.0 UN"/>
    <s v="STANDARD"/>
    <s v="N"/>
    <s v="Y"/>
    <s v="N"/>
    <s v="T20"/>
    <s v="Y"/>
    <s v="N"/>
    <s v="N"/>
    <s v="N"/>
    <s v="A017"/>
    <d v="2016-12-13T00:00:00"/>
    <s v="10"/>
    <s v="TAN"/>
    <s v="OR"/>
    <d v="2016-12-07T00:00:00"/>
    <s v="WY"/>
    <s v="US"/>
    <s v="ZR"/>
    <d v="2016-12-08T00:00:00"/>
  </r>
  <r>
    <x v="0"/>
    <x v="5"/>
    <x v="478"/>
    <x v="14"/>
    <s v="Standard order"/>
    <x v="463"/>
    <x v="463"/>
    <s v="Y313"/>
    <s v="CRYSTAL Y313NT"/>
    <s v="5003711"/>
    <s v="Y313 ACH T20 PB SYSTIVA RP"/>
    <n v="60"/>
    <n v="0"/>
    <n v="60"/>
    <x v="5"/>
    <s v="DLNC"/>
    <s v="RP"/>
    <s v="324"/>
    <s v="4.0 UN"/>
    <s v="STANDARD"/>
    <s v="N"/>
    <s v="Y"/>
    <s v="N"/>
    <s v="T20"/>
    <s v="Y"/>
    <s v="N"/>
    <s v="N"/>
    <s v="N"/>
    <s v="A017"/>
    <d v="2016-12-13T00:00:00"/>
    <s v="20"/>
    <s v="TAN"/>
    <s v="OR"/>
    <d v="2016-12-07T00:00:00"/>
    <s v="WY"/>
    <s v="US"/>
    <s v="ZR"/>
    <d v="2016-12-08T00:00:00"/>
  </r>
  <r>
    <x v="0"/>
    <x v="5"/>
    <x v="479"/>
    <x v="14"/>
    <s v="Standard order"/>
    <x v="464"/>
    <x v="464"/>
    <s v="Y400"/>
    <s v="CRYSTAL Y400NT"/>
    <s v="5003735"/>
    <s v="Y400 ACH T20 PB SYSTIVA RP"/>
    <n v="52"/>
    <n v="0"/>
    <n v="52"/>
    <x v="5"/>
    <s v="4TBP"/>
    <s v="RP"/>
    <s v="324"/>
    <s v="4.0 UN"/>
    <s v="STANDARD"/>
    <s v="N"/>
    <s v="Y"/>
    <s v="N"/>
    <s v="T20"/>
    <s v="Y"/>
    <s v="N"/>
    <s v="N"/>
    <s v="N"/>
    <s v="A017"/>
    <d v="2016-12-13T00:00:00"/>
    <s v="10"/>
    <s v="TAN"/>
    <s v="OR"/>
    <d v="2016-12-07T00:00:00"/>
    <s v="WY"/>
    <s v="US"/>
    <s v="ZR"/>
    <d v="2016-12-08T00:00:00"/>
  </r>
  <r>
    <x v="0"/>
    <x v="5"/>
    <x v="479"/>
    <x v="14"/>
    <s v="Standard order"/>
    <x v="464"/>
    <x v="464"/>
    <s v="Y313"/>
    <s v="CRYSTAL Y313NT"/>
    <s v="5003711"/>
    <s v="Y313 ACH T20 PB SYSTIVA RP"/>
    <n v="248"/>
    <n v="0"/>
    <n v="248"/>
    <x v="5"/>
    <s v="DLNC"/>
    <s v="RP"/>
    <s v="324"/>
    <s v="4.0 UN"/>
    <s v="STANDARD"/>
    <s v="N"/>
    <s v="Y"/>
    <s v="N"/>
    <s v="T20"/>
    <s v="Y"/>
    <s v="N"/>
    <s v="N"/>
    <s v="N"/>
    <s v="A017"/>
    <d v="2016-12-13T00:00:00"/>
    <s v="20"/>
    <s v="TAN"/>
    <s v="OR"/>
    <d v="2016-12-07T00:00:00"/>
    <s v="WY"/>
    <s v="US"/>
    <s v="ZR"/>
    <d v="2016-12-08T00:00:00"/>
  </r>
  <r>
    <x v="0"/>
    <x v="5"/>
    <x v="480"/>
    <x v="9"/>
    <s v="Standard order"/>
    <x v="465"/>
    <x v="465"/>
    <s v="R116"/>
    <s v="CRYSTAL RR116"/>
    <s v="5003105"/>
    <s v="R116 ACH T20 PB SYSTIVA RP"/>
    <n v="52"/>
    <n v="0"/>
    <n v="52"/>
    <x v="5"/>
    <s v="AP71"/>
    <s v="RP"/>
    <s v="324"/>
    <s v="4.0 UN"/>
    <s v="STANDARD"/>
    <s v="N"/>
    <s v="Y"/>
    <s v="N"/>
    <s v="T20"/>
    <s v="Y"/>
    <s v="N"/>
    <s v="N"/>
    <s v="N"/>
    <s v="A016"/>
    <d v="2016-12-13T00:00:00"/>
    <s v="10"/>
    <s v="TAN"/>
    <s v="OR"/>
    <d v="2016-12-07T00:00:00"/>
    <s v="WY"/>
    <s v="US"/>
    <s v="ZR"/>
    <d v="2016-12-08T00:00:00"/>
  </r>
  <r>
    <x v="0"/>
    <x v="5"/>
    <x v="480"/>
    <x v="9"/>
    <s v="Standard order"/>
    <x v="465"/>
    <x v="465"/>
    <s v="Y400"/>
    <s v="CRYSTAL Y400NT"/>
    <s v="5003735"/>
    <s v="Y400 ACH T20 PB SYSTIVA RP"/>
    <n v="40"/>
    <n v="0"/>
    <n v="40"/>
    <x v="5"/>
    <s v="4TBP"/>
    <s v="RP"/>
    <s v="324"/>
    <s v="4.0 UN"/>
    <s v="STANDARD"/>
    <s v="N"/>
    <s v="Y"/>
    <s v="N"/>
    <s v="T20"/>
    <s v="Y"/>
    <s v="N"/>
    <s v="N"/>
    <s v="N"/>
    <s v="A016"/>
    <d v="2016-12-13T00:00:00"/>
    <s v="20"/>
    <s v="TAN"/>
    <s v="OR"/>
    <d v="2016-12-07T00:00:00"/>
    <s v="WY"/>
    <s v="US"/>
    <s v="ZR"/>
    <d v="2016-12-08T00:00:00"/>
  </r>
  <r>
    <x v="0"/>
    <x v="4"/>
    <x v="481"/>
    <x v="15"/>
    <s v="Standard order"/>
    <x v="466"/>
    <x v="466"/>
    <s v="A501"/>
    <s v="CRYSTAL A501"/>
    <s v="5003305"/>
    <s v="A501 ACH PB LRG"/>
    <n v="44"/>
    <n v="0"/>
    <n v="44"/>
    <x v="4"/>
    <s v="EZPB"/>
    <s v="LARGE"/>
    <s v="314"/>
    <s v="4.0 UN"/>
    <s v="STANDARD"/>
    <s v="N"/>
    <s v="Y"/>
    <s v="N"/>
    <s v="N"/>
    <s v="N"/>
    <s v="N"/>
    <s v="N"/>
    <s v="N"/>
    <s v="A043"/>
    <d v="2016-12-13T00:00:00"/>
    <s v="10"/>
    <s v="TAN"/>
    <s v="OR"/>
    <d v="2016-12-07T00:00:00"/>
    <s v="ID"/>
    <s v="US"/>
    <s v="ZR"/>
    <d v="2016-12-08T00:00:00"/>
  </r>
  <r>
    <x v="0"/>
    <x v="4"/>
    <x v="481"/>
    <x v="15"/>
    <s v="Standard order"/>
    <x v="466"/>
    <x v="466"/>
    <s v="R933"/>
    <s v="CRYSTAL RR933"/>
    <s v="5003686"/>
    <s v="R933 ACH PB LRG"/>
    <n v="60"/>
    <n v="0"/>
    <n v="60"/>
    <x v="4"/>
    <s v="3571"/>
    <s v="LARGE"/>
    <s v="314"/>
    <s v="4.0 UN"/>
    <s v="STANDARD"/>
    <s v="N"/>
    <s v="Y"/>
    <s v="N"/>
    <s v="N"/>
    <s v="N"/>
    <s v="N"/>
    <s v="N"/>
    <s v="N"/>
    <s v="A043"/>
    <d v="2016-12-13T00:00:00"/>
    <s v="20"/>
    <s v="TAN"/>
    <s v="OR"/>
    <d v="2016-12-07T00:00:00"/>
    <s v="ID"/>
    <s v="US"/>
    <s v="ZR"/>
    <d v="2016-12-08T00:00:00"/>
  </r>
  <r>
    <x v="0"/>
    <x v="4"/>
    <x v="481"/>
    <x v="15"/>
    <s v="Standard order"/>
    <x v="466"/>
    <x v="466"/>
    <s v="A488"/>
    <s v="CRYSTAL A488NT"/>
    <s v="5002980"/>
    <s v="A488 ACH PB LRG"/>
    <n v="36"/>
    <n v="0"/>
    <n v="36"/>
    <x v="4"/>
    <s v="EENE"/>
    <s v="LARGE"/>
    <s v="314"/>
    <s v="4.0 UN"/>
    <s v="STANDARD"/>
    <s v="N"/>
    <s v="Y"/>
    <s v="N"/>
    <s v="N"/>
    <s v="N"/>
    <s v="N"/>
    <s v="N"/>
    <s v="N"/>
    <s v="A043"/>
    <d v="2016-12-13T00:00:00"/>
    <s v="30"/>
    <s v="TAN"/>
    <s v="OR"/>
    <d v="2016-12-07T00:00:00"/>
    <s v="ID"/>
    <s v="US"/>
    <s v="ZR"/>
    <d v="2016-12-08T00:00:00"/>
  </r>
  <r>
    <x v="0"/>
    <x v="2"/>
    <x v="482"/>
    <x v="6"/>
    <s v="Standard order"/>
    <x v="336"/>
    <x v="336"/>
    <s v="W322"/>
    <s v="CRYSTAL W322NT"/>
    <s v="5003488"/>
    <s v="W322 ACH T20 PB SYSTIVA G100"/>
    <n v="68"/>
    <n v="0"/>
    <n v="68"/>
    <x v="2"/>
    <s v="EE73"/>
    <s v="GEM 100"/>
    <s v="324"/>
    <s v="4.0 UN"/>
    <s v="STANDARD"/>
    <s v="N"/>
    <s v="Y"/>
    <s v="N"/>
    <s v="T20"/>
    <s v="Y"/>
    <s v="N"/>
    <s v="Y"/>
    <s v="N"/>
    <s v="A025"/>
    <d v="2016-12-13T00:00:00"/>
    <s v="10"/>
    <s v="TAN"/>
    <s v="OR"/>
    <d v="2016-12-07T00:00:00"/>
    <s v="CO"/>
    <s v="US"/>
    <s v="ZR"/>
    <d v="2016-12-08T00:00:00"/>
  </r>
  <r>
    <x v="0"/>
    <x v="0"/>
    <x v="483"/>
    <x v="2"/>
    <s v="Standard order"/>
    <x v="467"/>
    <x v="467"/>
    <s v="G515"/>
    <s v="CRYSTAL G515"/>
    <s v="5003019"/>
    <s v="G515 ACH T20 Kabina RP"/>
    <n v="48"/>
    <n v="0"/>
    <n v="48"/>
    <x v="0"/>
    <s v="APND"/>
    <s v="RP"/>
    <s v="387"/>
    <s v="4.0 UN"/>
    <s v="STANDARD"/>
    <s v="N"/>
    <s v="N"/>
    <s v="Y"/>
    <s v="T20"/>
    <s v="N"/>
    <s v="N"/>
    <s v="N"/>
    <s v="N"/>
    <s v="A034"/>
    <d v="2016-12-13T00:00:00"/>
    <s v="30"/>
    <s v="TAN"/>
    <s v="OR"/>
    <d v="2016-12-08T00:00:00"/>
    <s v="MI"/>
    <s v="US"/>
    <s v="ZR"/>
    <d v="2016-12-08T00:00:00"/>
  </r>
  <r>
    <x v="0"/>
    <x v="0"/>
    <x v="483"/>
    <x v="2"/>
    <s v="Standard order"/>
    <x v="467"/>
    <x v="467"/>
    <s v="G333"/>
    <s v="CRYSTAL G333NT"/>
    <s v="5003378"/>
    <s v="G333 ACH T20 Kabina RP"/>
    <n v="80"/>
    <n v="0"/>
    <n v="80"/>
    <x v="0"/>
    <s v="EE73"/>
    <s v="RP"/>
    <s v="387"/>
    <s v="4.0 UN"/>
    <s v="STANDARD"/>
    <s v="N"/>
    <s v="N"/>
    <s v="Y"/>
    <s v="T20"/>
    <s v="N"/>
    <s v="N"/>
    <s v="N"/>
    <s v="N"/>
    <s v="A034"/>
    <d v="2016-12-13T00:00:00"/>
    <s v="10"/>
    <s v="TAN"/>
    <s v="OR"/>
    <d v="2016-12-08T00:00:00"/>
    <s v="MI"/>
    <s v="US"/>
    <s v="ZR"/>
    <d v="2016-12-08T00:00:00"/>
  </r>
  <r>
    <x v="0"/>
    <x v="0"/>
    <x v="483"/>
    <x v="2"/>
    <s v="Standard order"/>
    <x v="467"/>
    <x v="467"/>
    <s v="G351"/>
    <s v="CRYSTAL G351NT"/>
    <s v="5003398"/>
    <s v="G351 ACH T20 Kabina RP"/>
    <n v="76"/>
    <n v="0"/>
    <n v="76"/>
    <x v="0"/>
    <s v="DA73"/>
    <s v="RP"/>
    <s v="387"/>
    <s v="4.0 UN"/>
    <s v="STANDARD"/>
    <s v="N"/>
    <s v="N"/>
    <s v="Y"/>
    <s v="T20"/>
    <s v="N"/>
    <s v="N"/>
    <s v="N"/>
    <s v="N"/>
    <s v="A034"/>
    <d v="2016-12-13T00:00:00"/>
    <s v="20"/>
    <s v="TAN"/>
    <s v="OR"/>
    <d v="2016-12-08T00:00:00"/>
    <s v="MI"/>
    <s v="US"/>
    <s v="ZR"/>
    <d v="2016-12-08T00:00:00"/>
  </r>
  <r>
    <x v="0"/>
    <x v="2"/>
    <x v="484"/>
    <x v="22"/>
    <s v="Standard order"/>
    <x v="468"/>
    <x v="468"/>
    <s v="R014"/>
    <s v="CRYSTAL RR014"/>
    <s v="5003091"/>
    <s v="R014 ACH T20 PB SYSTIVA G100"/>
    <n v="64"/>
    <n v="0"/>
    <n v="64"/>
    <x v="2"/>
    <s v="AP82"/>
    <s v="GEM 100"/>
    <s v="324"/>
    <s v="4.0 UN"/>
    <s v="STANDARD"/>
    <s v="N"/>
    <s v="Y"/>
    <s v="N"/>
    <s v="T20"/>
    <s v="Y"/>
    <s v="N"/>
    <s v="Y"/>
    <s v="N"/>
    <s v="A018"/>
    <d v="2016-12-13T00:00:00"/>
    <s v="10"/>
    <s v="TAN"/>
    <s v="OR"/>
    <d v="2016-12-08T00:00:00"/>
    <s v="CO"/>
    <s v="US"/>
    <s v="ZR"/>
    <d v="2016-12-08T00:00:00"/>
  </r>
  <r>
    <x v="0"/>
    <x v="2"/>
    <x v="485"/>
    <x v="6"/>
    <s v="Standard order"/>
    <x v="469"/>
    <x v="469"/>
    <s v="W322"/>
    <s v="CRYSTAL W322NT"/>
    <s v="5003489"/>
    <s v="W322 ACH T20 PB SYSTIVA G50"/>
    <n v="40"/>
    <n v="0"/>
    <n v="40"/>
    <x v="2"/>
    <s v="EE73"/>
    <s v="GEM 50"/>
    <s v="324"/>
    <s v="4.0 UN"/>
    <s v="STANDARD"/>
    <s v="N"/>
    <s v="Y"/>
    <s v="N"/>
    <s v="T20"/>
    <s v="Y"/>
    <s v="N"/>
    <s v="Y"/>
    <s v="N"/>
    <s v="A025"/>
    <d v="2016-12-13T00:00:00"/>
    <s v="10"/>
    <s v="TAN"/>
    <s v="OR"/>
    <d v="2016-12-08T00:00:00"/>
    <s v="NE"/>
    <s v="US"/>
    <s v="ZR"/>
    <d v="2016-12-08T00:00:00"/>
  </r>
  <r>
    <x v="0"/>
    <x v="5"/>
    <x v="486"/>
    <x v="21"/>
    <s v="Standard order"/>
    <x v="470"/>
    <x v="470"/>
    <s v="Y400"/>
    <s v="CRYSTAL Y400NT"/>
    <s v="5003735"/>
    <s v="Y400 ACH T20 PB SYSTIVA RP"/>
    <n v="12"/>
    <n v="0"/>
    <n v="12"/>
    <x v="5"/>
    <s v="4TBP"/>
    <s v="RP"/>
    <s v="324"/>
    <s v="4.0 UN"/>
    <s v="STANDARD"/>
    <s v="N"/>
    <s v="Y"/>
    <s v="N"/>
    <s v="T20"/>
    <s v="Y"/>
    <s v="N"/>
    <s v="N"/>
    <s v="N"/>
    <s v="A013"/>
    <d v="2016-12-13T00:00:00"/>
    <s v="10"/>
    <s v="TAN"/>
    <s v="OR"/>
    <d v="2016-12-08T00:00:00"/>
    <s v="MT"/>
    <s v="US"/>
    <s v="ZR"/>
    <d v="2016-12-08T00:00:00"/>
  </r>
  <r>
    <x v="0"/>
    <x v="0"/>
    <x v="487"/>
    <x v="4"/>
    <s v="Standard order"/>
    <x v="471"/>
    <x v="471"/>
    <s v="R059"/>
    <s v="CRYSTAL RR059"/>
    <s v="5003529"/>
    <s v="R059 ACH T20 Kabina MP"/>
    <n v="340"/>
    <n v="0"/>
    <n v="340"/>
    <x v="0"/>
    <s v="AP73"/>
    <s v="MP"/>
    <s v="387"/>
    <s v="4.0 UN"/>
    <s v="STANDARD"/>
    <s v="N"/>
    <s v="N"/>
    <s v="Y"/>
    <s v="T20"/>
    <s v="N"/>
    <s v="N"/>
    <s v="N"/>
    <s v="N"/>
    <s v="A035"/>
    <d v="2016-12-13T00:00:00"/>
    <s v="10"/>
    <s v="TAN"/>
    <s v="OR"/>
    <d v="2016-12-08T00:00:00"/>
    <s v="MI"/>
    <s v="US"/>
    <s v="ZR"/>
    <d v="2016-12-08T00:00:00"/>
  </r>
  <r>
    <x v="0"/>
    <x v="0"/>
    <x v="487"/>
    <x v="4"/>
    <s v="Standard order"/>
    <x v="471"/>
    <x v="471"/>
    <s v="G515"/>
    <s v="CRYSTAL G515"/>
    <s v="5003018"/>
    <s v="G515 ACH T20 Kabina MP"/>
    <n v="72"/>
    <n v="0"/>
    <n v="72"/>
    <x v="0"/>
    <s v="APND"/>
    <s v="MP"/>
    <s v="387"/>
    <s v="4.0 UN"/>
    <s v="STANDARD"/>
    <s v="N"/>
    <s v="N"/>
    <s v="Y"/>
    <s v="T20"/>
    <s v="N"/>
    <s v="N"/>
    <s v="N"/>
    <s v="N"/>
    <s v="A035"/>
    <d v="2016-12-13T00:00:00"/>
    <s v="20"/>
    <s v="TAN"/>
    <s v="OR"/>
    <d v="2016-12-08T00:00:00"/>
    <s v="MI"/>
    <s v="US"/>
    <s v="ZR"/>
    <d v="2016-12-08T00:00:00"/>
  </r>
  <r>
    <x v="0"/>
    <x v="0"/>
    <x v="488"/>
    <x v="10"/>
    <s v="Standard order"/>
    <x v="472"/>
    <x v="472"/>
    <s v="R059"/>
    <s v="CRYSTAL RR059"/>
    <s v="5003529"/>
    <s v="R059 ACH T20 Kabina MP"/>
    <n v="180"/>
    <n v="0"/>
    <n v="180"/>
    <x v="0"/>
    <s v="AP73"/>
    <s v="MP"/>
    <s v="387"/>
    <s v="4.0 UN"/>
    <s v="STANDARD"/>
    <s v="N"/>
    <s v="N"/>
    <s v="Y"/>
    <s v="T20"/>
    <s v="N"/>
    <s v="N"/>
    <s v="N"/>
    <s v="N"/>
    <s v="A036"/>
    <d v="2016-12-13T00:00:00"/>
    <s v="10"/>
    <s v="TAN"/>
    <s v="OR"/>
    <d v="2016-12-08T00:00:00"/>
    <s v="MI"/>
    <s v="US"/>
    <s v="ZR"/>
    <d v="2016-12-08T00:00:00"/>
  </r>
  <r>
    <x v="0"/>
    <x v="0"/>
    <x v="489"/>
    <x v="4"/>
    <s v="Standard order"/>
    <x v="473"/>
    <x v="473"/>
    <s v="R059"/>
    <s v="CRYSTAL RR059"/>
    <s v="5003535"/>
    <s v="R059 ACH T20 SYSTIVA MP"/>
    <n v="28"/>
    <n v="0"/>
    <n v="28"/>
    <x v="0"/>
    <s v="AP73"/>
    <s v="MP"/>
    <s v="328"/>
    <s v="4.0 UN"/>
    <s v="STANDARD"/>
    <s v="N"/>
    <s v="N"/>
    <s v="N"/>
    <s v="T20"/>
    <s v="Y"/>
    <s v="N"/>
    <s v="Y"/>
    <s v="N"/>
    <s v="A035"/>
    <d v="2016-12-13T00:00:00"/>
    <s v="10"/>
    <s v="TAN"/>
    <s v="OR"/>
    <d v="2016-12-08T00:00:00"/>
    <s v="MI"/>
    <s v="US"/>
    <s v="ZR"/>
    <d v="2016-12-08T00:00:00"/>
  </r>
  <r>
    <x v="0"/>
    <x v="0"/>
    <x v="489"/>
    <x v="4"/>
    <s v="Standard order"/>
    <x v="473"/>
    <x v="473"/>
    <s v="G351"/>
    <s v="CRYSTAL G351NT"/>
    <s v="5003397"/>
    <s v="G351 ACH T20 Kabina MP"/>
    <n v="8"/>
    <n v="0"/>
    <n v="8"/>
    <x v="0"/>
    <s v="DA73"/>
    <s v="MP"/>
    <s v="387"/>
    <s v="4.0 UN"/>
    <s v="STANDARD"/>
    <s v="N"/>
    <s v="N"/>
    <s v="Y"/>
    <s v="T20"/>
    <s v="N"/>
    <s v="N"/>
    <s v="N"/>
    <s v="N"/>
    <s v="A035"/>
    <d v="2016-12-13T00:00:00"/>
    <s v="20"/>
    <s v="TAN"/>
    <s v="OR"/>
    <d v="2016-12-08T00:00:00"/>
    <s v="MI"/>
    <s v="US"/>
    <s v="ZR"/>
    <d v="2016-12-08T00:00:00"/>
  </r>
  <r>
    <x v="0"/>
    <x v="4"/>
    <x v="490"/>
    <x v="20"/>
    <s v="Standard order"/>
    <x v="474"/>
    <x v="474"/>
    <s v="A501"/>
    <s v="CRYSTAL A501"/>
    <s v="5003305"/>
    <s v="A501 ACH PB LRG"/>
    <n v="76"/>
    <n v="0"/>
    <n v="76"/>
    <x v="4"/>
    <s v="EZPB"/>
    <s v="LARGE"/>
    <s v="314"/>
    <s v="4.0 UN"/>
    <s v="STANDARD"/>
    <s v="N"/>
    <s v="Y"/>
    <s v="N"/>
    <s v="N"/>
    <s v="N"/>
    <s v="N"/>
    <s v="N"/>
    <s v="N"/>
    <s v="A039"/>
    <d v="2016-12-13T00:00:00"/>
    <s v="10"/>
    <s v="TAN"/>
    <s v="OR"/>
    <d v="2016-12-08T00:00:00"/>
    <s v="ID"/>
    <s v="US"/>
    <s v="ZR"/>
    <d v="2016-12-08T00:00:00"/>
  </r>
  <r>
    <x v="0"/>
    <x v="4"/>
    <x v="490"/>
    <x v="20"/>
    <s v="Standard order"/>
    <x v="474"/>
    <x v="474"/>
    <s v="A399"/>
    <s v="CRYSTAL A399NT"/>
    <s v="5002920"/>
    <s v="A399 ACH LRG"/>
    <n v="204"/>
    <n v="0"/>
    <n v="204"/>
    <x v="4"/>
    <s v="DP71"/>
    <s v="LARGE"/>
    <s v="316"/>
    <s v="4.0 UN"/>
    <s v="STANDARD"/>
    <s v="N"/>
    <s v="N"/>
    <s v="N"/>
    <s v="N"/>
    <s v="N"/>
    <s v="N"/>
    <s v="N"/>
    <s v="N"/>
    <s v="A039"/>
    <d v="2016-12-13T00:00:00"/>
    <s v="20"/>
    <s v="TAN"/>
    <s v="OR"/>
    <d v="2016-12-08T00:00:00"/>
    <s v="ID"/>
    <s v="US"/>
    <s v="ZR"/>
    <d v="2016-12-08T00:00:00"/>
  </r>
  <r>
    <x v="0"/>
    <x v="4"/>
    <x v="490"/>
    <x v="20"/>
    <s v="Standard order"/>
    <x v="474"/>
    <x v="474"/>
    <s v="R275"/>
    <s v="CRYSTAL RR275"/>
    <s v="5003644"/>
    <s v="R275 ACH PB LRG"/>
    <n v="196"/>
    <n v="0"/>
    <n v="196"/>
    <x v="4"/>
    <s v="5CAY"/>
    <s v="LARGE"/>
    <s v="314"/>
    <s v="4.0 UN"/>
    <s v="STANDARD"/>
    <s v="N"/>
    <s v="Y"/>
    <s v="N"/>
    <s v="N"/>
    <s v="N"/>
    <s v="N"/>
    <s v="N"/>
    <s v="N"/>
    <s v="A039"/>
    <d v="2016-12-13T00:00:00"/>
    <s v="30"/>
    <s v="TAN"/>
    <s v="OR"/>
    <d v="2016-12-08T00:00:00"/>
    <s v="ID"/>
    <s v="US"/>
    <s v="ZR"/>
    <d v="2016-12-08T00:00:00"/>
  </r>
  <r>
    <x v="0"/>
    <x v="4"/>
    <x v="490"/>
    <x v="20"/>
    <s v="Standard order"/>
    <x v="474"/>
    <x v="474"/>
    <s v="R933"/>
    <s v="CRYSTAL RR933"/>
    <s v="5003678"/>
    <s v="R933 ACH LRG"/>
    <n v="396"/>
    <n v="0"/>
    <n v="396"/>
    <x v="4"/>
    <s v="3571"/>
    <s v="LARGE"/>
    <s v="316"/>
    <s v="4.0 UN"/>
    <s v="STANDARD"/>
    <s v="N"/>
    <s v="N"/>
    <s v="N"/>
    <s v="N"/>
    <s v="N"/>
    <s v="N"/>
    <s v="N"/>
    <s v="N"/>
    <s v="A039"/>
    <d v="2016-12-13T00:00:00"/>
    <s v="40"/>
    <s v="TAN"/>
    <s v="OR"/>
    <d v="2016-12-08T00:00:00"/>
    <s v="ID"/>
    <s v="US"/>
    <s v="ZR"/>
    <d v="2016-12-08T00:00:00"/>
  </r>
  <r>
    <x v="0"/>
    <x v="4"/>
    <x v="490"/>
    <x v="20"/>
    <s v="Standard order"/>
    <x v="474"/>
    <x v="474"/>
    <s v="R933"/>
    <s v="CRYSTAL RR933"/>
    <s v="5003686"/>
    <s v="R933 ACH PB LRG"/>
    <n v="472"/>
    <n v="0"/>
    <n v="472"/>
    <x v="4"/>
    <s v="3571"/>
    <s v="LARGE"/>
    <s v="314"/>
    <s v="4.0 UN"/>
    <s v="STANDARD"/>
    <s v="N"/>
    <s v="Y"/>
    <s v="N"/>
    <s v="N"/>
    <s v="N"/>
    <s v="N"/>
    <s v="N"/>
    <s v="N"/>
    <s v="A039"/>
    <d v="2016-12-13T00:00:00"/>
    <s v="50"/>
    <s v="TAN"/>
    <s v="OR"/>
    <d v="2016-12-08T00:00:00"/>
    <s v="ID"/>
    <s v="US"/>
    <s v="ZR"/>
    <d v="2016-12-08T00:00:00"/>
  </r>
  <r>
    <x v="0"/>
    <x v="4"/>
    <x v="491"/>
    <x v="15"/>
    <s v="Standard order"/>
    <x v="475"/>
    <x v="475"/>
    <s v="R240"/>
    <s v="CRYSTAL RR240NT"/>
    <s v="5003159"/>
    <s v="R240 ACH PB LRG"/>
    <n v="52"/>
    <n v="0"/>
    <n v="52"/>
    <x v="4"/>
    <s v="BHMP"/>
    <s v="LARGE"/>
    <s v="314"/>
    <s v="4.0 UN"/>
    <s v="STANDARD"/>
    <s v="N"/>
    <s v="Y"/>
    <s v="N"/>
    <s v="N"/>
    <s v="N"/>
    <s v="N"/>
    <s v="N"/>
    <s v="N"/>
    <s v="A043"/>
    <d v="2016-12-13T00:00:00"/>
    <s v="20"/>
    <s v="TAN"/>
    <s v="OR"/>
    <d v="2016-12-08T00:00:00"/>
    <s v="ID"/>
    <s v="US"/>
    <s v="ZR"/>
    <d v="2016-12-08T00:00:00"/>
  </r>
  <r>
    <x v="0"/>
    <x v="4"/>
    <x v="491"/>
    <x v="15"/>
    <s v="Standard order"/>
    <x v="475"/>
    <x v="475"/>
    <s v="A399"/>
    <s v="CRYSTAL A399NT"/>
    <s v="5002928"/>
    <s v="A399 ACH PB LRG"/>
    <n v="48"/>
    <n v="0"/>
    <n v="48"/>
    <x v="4"/>
    <s v="DP71"/>
    <s v="LARGE"/>
    <s v="314"/>
    <s v="4.0 UN"/>
    <s v="STANDARD"/>
    <s v="N"/>
    <s v="Y"/>
    <s v="N"/>
    <s v="N"/>
    <s v="N"/>
    <s v="N"/>
    <s v="N"/>
    <s v="N"/>
    <s v="A043"/>
    <d v="2016-12-13T00:00:00"/>
    <s v="10"/>
    <s v="TAN"/>
    <s v="OR"/>
    <d v="2016-12-08T00:00:00"/>
    <s v="ID"/>
    <s v="US"/>
    <s v="ZR"/>
    <d v="2016-12-08T00:00:00"/>
  </r>
  <r>
    <x v="0"/>
    <x v="4"/>
    <x v="492"/>
    <x v="17"/>
    <s v="Standard order"/>
    <x v="476"/>
    <x v="476"/>
    <s v="A404"/>
    <s v="CRYSTAL A404NT"/>
    <s v="5002954"/>
    <s v="A404 ACH PB LRG"/>
    <n v="48"/>
    <n v="0"/>
    <n v="48"/>
    <x v="4"/>
    <s v="DPNE"/>
    <s v="LARGE"/>
    <s v="314"/>
    <s v="4.0 UN"/>
    <s v="STANDARD"/>
    <s v="N"/>
    <s v="Y"/>
    <s v="N"/>
    <s v="N"/>
    <s v="N"/>
    <s v="N"/>
    <s v="N"/>
    <s v="N"/>
    <s v="A040"/>
    <d v="2016-12-13T00:00:00"/>
    <s v="10"/>
    <s v="TAN"/>
    <s v="OR"/>
    <d v="2016-12-08T00:00:00"/>
    <s v="ID"/>
    <s v="US"/>
    <s v="ZR"/>
    <d v="2016-12-08T00:00:00"/>
  </r>
  <r>
    <x v="0"/>
    <x v="0"/>
    <x v="493"/>
    <x v="2"/>
    <s v="Standard order"/>
    <x v="477"/>
    <x v="477"/>
    <s v="G333"/>
    <s v="CRYSTAL G333NT"/>
    <s v="5003378"/>
    <s v="G333 ACH T20 Kabina RP"/>
    <n v="48"/>
    <n v="0"/>
    <n v="48"/>
    <x v="0"/>
    <s v="EE73"/>
    <s v="RP"/>
    <s v="387"/>
    <s v="4.0 UN"/>
    <s v="STANDARD"/>
    <s v="N"/>
    <s v="N"/>
    <s v="Y"/>
    <s v="T20"/>
    <s v="N"/>
    <s v="N"/>
    <s v="N"/>
    <s v="N"/>
    <s v="A034"/>
    <d v="2016-12-13T00:00:00"/>
    <s v="10"/>
    <s v="TAN"/>
    <s v="OR"/>
    <d v="2016-12-08T00:00:00"/>
    <s v="MI"/>
    <s v="US"/>
    <s v="ZR"/>
    <d v="2016-12-08T00:00:00"/>
  </r>
  <r>
    <x v="0"/>
    <x v="0"/>
    <x v="493"/>
    <x v="2"/>
    <s v="Standard order"/>
    <x v="477"/>
    <x v="477"/>
    <s v="G351"/>
    <s v="CRYSTAL G351NT"/>
    <s v="5003398"/>
    <s v="G351 ACH T20 Kabina RP"/>
    <n v="32"/>
    <n v="0"/>
    <n v="32"/>
    <x v="0"/>
    <s v="DA73"/>
    <s v="RP"/>
    <s v="387"/>
    <s v="4.0 UN"/>
    <s v="STANDARD"/>
    <s v="N"/>
    <s v="N"/>
    <s v="Y"/>
    <s v="T20"/>
    <s v="N"/>
    <s v="N"/>
    <s v="N"/>
    <s v="N"/>
    <s v="A034"/>
    <d v="2016-12-13T00:00:00"/>
    <s v="20"/>
    <s v="TAN"/>
    <s v="OR"/>
    <d v="2016-12-08T00:00:00"/>
    <s v="MI"/>
    <s v="US"/>
    <s v="ZR"/>
    <d v="2016-12-08T00:00:00"/>
  </r>
  <r>
    <x v="0"/>
    <x v="4"/>
    <x v="494"/>
    <x v="7"/>
    <s v="Standard order"/>
    <x v="478"/>
    <x v="478"/>
    <s v="A501"/>
    <s v="CRYSTAL A501"/>
    <s v="5003307"/>
    <s v="A501 ACH PB MP"/>
    <n v="16"/>
    <n v="0"/>
    <n v="16"/>
    <x v="4"/>
    <s v="EZPB"/>
    <s v="MP"/>
    <s v="314"/>
    <s v="4.0 UN"/>
    <s v="STANDARD"/>
    <s v="N"/>
    <s v="Y"/>
    <s v="N"/>
    <s v="N"/>
    <s v="N"/>
    <s v="N"/>
    <s v="N"/>
    <s v="N"/>
    <s v="A045"/>
    <d v="2016-12-13T00:00:00"/>
    <s v="10"/>
    <s v="TAN"/>
    <s v="OR"/>
    <d v="2016-12-08T00:00:00"/>
    <s v="OR"/>
    <s v="US"/>
    <s v="ZR"/>
    <d v="2016-12-08T00:00:00"/>
  </r>
  <r>
    <x v="0"/>
    <x v="4"/>
    <x v="494"/>
    <x v="7"/>
    <s v="Standard order"/>
    <x v="478"/>
    <x v="478"/>
    <s v="R933"/>
    <s v="CRYSTAL RR933"/>
    <s v="5003688"/>
    <s v="R933 ACH PB MP"/>
    <n v="16"/>
    <n v="0"/>
    <n v="16"/>
    <x v="4"/>
    <s v="3571"/>
    <s v="MP"/>
    <s v="314"/>
    <s v="4.0 UN"/>
    <s v="STANDARD"/>
    <s v="N"/>
    <s v="Y"/>
    <s v="N"/>
    <s v="N"/>
    <s v="N"/>
    <s v="N"/>
    <s v="N"/>
    <s v="N"/>
    <s v="A045"/>
    <d v="2016-12-13T00:00:00"/>
    <s v="20"/>
    <s v="TAN"/>
    <s v="OR"/>
    <d v="2016-12-08T00:00:00"/>
    <s v="OR"/>
    <s v="US"/>
    <s v="ZR"/>
    <d v="2016-12-08T00:00:00"/>
  </r>
  <r>
    <x v="0"/>
    <x v="5"/>
    <x v="495"/>
    <x v="13"/>
    <s v="Standard order"/>
    <x v="479"/>
    <x v="479"/>
    <s v="R116"/>
    <s v="CRYSTAL RR116"/>
    <s v="5003103"/>
    <s v="R116 ACH T20 PB SYSTIVA MP"/>
    <n v="24"/>
    <n v="0"/>
    <n v="24"/>
    <x v="5"/>
    <s v="AP71"/>
    <s v="MP"/>
    <s v="324"/>
    <s v="4.0 UN"/>
    <s v="STANDARD"/>
    <s v="N"/>
    <s v="Y"/>
    <s v="N"/>
    <s v="T20"/>
    <s v="Y"/>
    <s v="N"/>
    <s v="N"/>
    <s v="N"/>
    <s v="A015"/>
    <d v="2016-12-13T00:00:00"/>
    <s v="10"/>
    <s v="TAN"/>
    <s v="OR"/>
    <d v="2016-12-07T00:00:00"/>
    <s v="MT"/>
    <s v="US"/>
    <s v="ZR"/>
    <d v="2016-12-08T00:00:00"/>
  </r>
  <r>
    <x v="0"/>
    <x v="4"/>
    <x v="496"/>
    <x v="15"/>
    <s v="Standard order"/>
    <x v="480"/>
    <x v="480"/>
    <s v="A488"/>
    <s v="CRYSTAL A488NT"/>
    <s v="5002980"/>
    <s v="A488 ACH PB LRG"/>
    <n v="28"/>
    <n v="0"/>
    <n v="28"/>
    <x v="4"/>
    <s v="EENE"/>
    <s v="LARGE"/>
    <s v="314"/>
    <s v="4.0 UN"/>
    <s v="STANDARD"/>
    <s v="N"/>
    <s v="Y"/>
    <s v="N"/>
    <s v="N"/>
    <s v="N"/>
    <s v="N"/>
    <s v="N"/>
    <s v="N"/>
    <s v="A043"/>
    <d v="2016-12-13T00:00:00"/>
    <s v="10"/>
    <s v="TAN"/>
    <s v="OR"/>
    <d v="2016-12-07T00:00:00"/>
    <s v="ID"/>
    <s v="US"/>
    <s v="ZR"/>
    <d v="2016-12-08T00:00:00"/>
  </r>
  <r>
    <x v="0"/>
    <x v="4"/>
    <x v="497"/>
    <x v="15"/>
    <s v="Standard order"/>
    <x v="481"/>
    <x v="481"/>
    <s v="A399"/>
    <s v="CRYSTAL A399NT"/>
    <s v="5002931"/>
    <s v="A399 ACH PB XL"/>
    <n v="124"/>
    <n v="0"/>
    <n v="124"/>
    <x v="4"/>
    <s v="DP71"/>
    <s v="X-LARGE"/>
    <s v="314"/>
    <s v="4.0 UN"/>
    <s v="STANDARD"/>
    <s v="N"/>
    <s v="Y"/>
    <s v="N"/>
    <s v="N"/>
    <s v="N"/>
    <s v="N"/>
    <s v="N"/>
    <s v="N"/>
    <s v="A043"/>
    <d v="2016-12-13T00:00:00"/>
    <s v="10"/>
    <s v="TAN"/>
    <s v="OR"/>
    <d v="2016-12-07T00:00:00"/>
    <s v="ID"/>
    <s v="US"/>
    <s v="ZR"/>
    <d v="2016-12-08T00:00:00"/>
  </r>
  <r>
    <x v="0"/>
    <x v="4"/>
    <x v="498"/>
    <x v="15"/>
    <s v="Standard order"/>
    <x v="482"/>
    <x v="482"/>
    <s v="R240"/>
    <s v="CRYSTAL RR240NT"/>
    <s v="5003166"/>
    <s v="R240 ACH T20 PB Kabina CL MP"/>
    <n v="28"/>
    <n v="0"/>
    <n v="28"/>
    <x v="4"/>
    <s v="BHMP"/>
    <s v="MP"/>
    <s v="323"/>
    <s v="4.0 UN"/>
    <s v="STANDARD"/>
    <s v="N"/>
    <s v="Y"/>
    <s v="Y"/>
    <s v="T20"/>
    <s v="N"/>
    <s v="N"/>
    <s v="N"/>
    <s v="N"/>
    <s v="A043"/>
    <d v="2016-12-13T00:00:00"/>
    <s v="10"/>
    <s v="TAN"/>
    <s v="OR"/>
    <d v="2016-12-07T00:00:00"/>
    <s v="ID"/>
    <s v="US"/>
    <s v="ZR"/>
    <d v="2016-12-08T00:00:00"/>
  </r>
  <r>
    <x v="0"/>
    <x v="4"/>
    <x v="499"/>
    <x v="15"/>
    <s v="Standard order"/>
    <x v="483"/>
    <x v="483"/>
    <s v="A399"/>
    <s v="CRYSTAL A399NT"/>
    <s v="5002935"/>
    <s v="A399 ACH T20 PB Kabina CL MP"/>
    <n v="120"/>
    <n v="0"/>
    <n v="120"/>
    <x v="4"/>
    <s v="DP71"/>
    <s v="MP"/>
    <s v="323"/>
    <s v="4.0 UN"/>
    <s v="STANDARD"/>
    <s v="N"/>
    <s v="Y"/>
    <s v="Y"/>
    <s v="T20"/>
    <s v="N"/>
    <s v="N"/>
    <s v="N"/>
    <s v="N"/>
    <s v="A043"/>
    <d v="2016-12-13T00:00:00"/>
    <s v="10"/>
    <s v="TAN"/>
    <s v="OR"/>
    <d v="2016-12-07T00:00:00"/>
    <s v="ID"/>
    <s v="US"/>
    <s v="ZR"/>
    <d v="2016-12-08T00:00:00"/>
  </r>
  <r>
    <x v="0"/>
    <x v="4"/>
    <x v="499"/>
    <x v="15"/>
    <s v="Standard order"/>
    <x v="483"/>
    <x v="483"/>
    <s v="R240"/>
    <s v="CRYSTAL RR240NT"/>
    <s v="5003166"/>
    <s v="R240 ACH T20 PB Kabina CL MP"/>
    <n v="28"/>
    <n v="0"/>
    <n v="28"/>
    <x v="4"/>
    <s v="BHMP"/>
    <s v="MP"/>
    <s v="323"/>
    <s v="4.0 UN"/>
    <s v="STANDARD"/>
    <s v="N"/>
    <s v="Y"/>
    <s v="Y"/>
    <s v="T20"/>
    <s v="N"/>
    <s v="N"/>
    <s v="N"/>
    <s v="N"/>
    <s v="A043"/>
    <d v="2016-12-13T00:00:00"/>
    <s v="20"/>
    <s v="TAN"/>
    <s v="OR"/>
    <d v="2016-12-07T00:00:00"/>
    <s v="ID"/>
    <s v="US"/>
    <s v="ZR"/>
    <d v="2016-12-08T00:00:00"/>
  </r>
  <r>
    <x v="0"/>
    <x v="4"/>
    <x v="499"/>
    <x v="15"/>
    <s v="Standard order"/>
    <x v="483"/>
    <x v="483"/>
    <s v="A404"/>
    <s v="CRYSTAL A404NT"/>
    <s v="5002961"/>
    <s v="A404 ACH T20 PB Kabina CL MP"/>
    <n v="24"/>
    <n v="0"/>
    <n v="24"/>
    <x v="4"/>
    <s v="DPNE"/>
    <s v="MP"/>
    <s v="323"/>
    <s v="4.0 UN"/>
    <s v="STANDARD"/>
    <s v="N"/>
    <s v="Y"/>
    <s v="Y"/>
    <s v="T20"/>
    <s v="N"/>
    <s v="N"/>
    <s v="N"/>
    <s v="N"/>
    <s v="A043"/>
    <d v="2016-12-13T00:00:00"/>
    <s v="30"/>
    <s v="TAN"/>
    <s v="OR"/>
    <d v="2016-12-07T00:00:00"/>
    <s v="ID"/>
    <s v="US"/>
    <s v="ZR"/>
    <d v="2016-12-08T00:00:00"/>
  </r>
  <r>
    <x v="0"/>
    <x v="0"/>
    <x v="500"/>
    <x v="10"/>
    <s v="Standard order"/>
    <x v="484"/>
    <x v="484"/>
    <s v="R059"/>
    <s v="CRYSTAL RR059"/>
    <s v="5003528"/>
    <s v="R059 ACH T20 Kabina ELS"/>
    <n v="48"/>
    <n v="0"/>
    <n v="48"/>
    <x v="0"/>
    <s v="AP73"/>
    <s v="ELS"/>
    <s v="387"/>
    <s v="4.0 UN"/>
    <s v="STANDARD"/>
    <s v="N"/>
    <s v="N"/>
    <s v="Y"/>
    <s v="T20"/>
    <s v="N"/>
    <s v="N"/>
    <s v="N"/>
    <s v="N"/>
    <s v="A036"/>
    <d v="2016-12-13T00:00:00"/>
    <s v="10"/>
    <s v="TAN"/>
    <s v="OR"/>
    <d v="2016-12-07T00:00:00"/>
    <s v="MI"/>
    <s v="US"/>
    <s v="ZR"/>
    <d v="2016-12-08T00:00:00"/>
  </r>
  <r>
    <x v="0"/>
    <x v="4"/>
    <x v="501"/>
    <x v="7"/>
    <s v="Standard order"/>
    <x v="485"/>
    <x v="485"/>
    <s v="A399"/>
    <s v="CRYSTAL A399NT"/>
    <s v="5002936"/>
    <s v="A399 ACH T20 PB Kabina MP"/>
    <n v="20"/>
    <n v="0"/>
    <n v="20"/>
    <x v="4"/>
    <s v="DP71"/>
    <s v="MP"/>
    <s v="388"/>
    <s v="4.0 UN"/>
    <s v="STANDARD"/>
    <s v="N"/>
    <s v="Y"/>
    <s v="Y"/>
    <s v="T20"/>
    <s v="N"/>
    <s v="N"/>
    <s v="N"/>
    <s v="N"/>
    <s v="A045"/>
    <d v="2016-12-13T00:00:00"/>
    <s v="10"/>
    <s v="TAN"/>
    <s v="OR"/>
    <d v="2016-12-07T00:00:00"/>
    <s v="ID"/>
    <s v="US"/>
    <s v="ZR"/>
    <d v="2016-12-08T00:00:00"/>
  </r>
  <r>
    <x v="0"/>
    <x v="2"/>
    <x v="502"/>
    <x v="22"/>
    <s v="Standard order"/>
    <x v="486"/>
    <x v="486"/>
    <s v="W322"/>
    <s v="CRYSTAL W322NT"/>
    <s v="5003488"/>
    <s v="W322 ACH T20 PB SYSTIVA G100"/>
    <n v="12"/>
    <n v="0"/>
    <n v="12"/>
    <x v="2"/>
    <s v="EE73"/>
    <s v="GEM 100"/>
    <s v="324"/>
    <s v="4.0 UN"/>
    <s v="STANDARD"/>
    <s v="N"/>
    <s v="Y"/>
    <s v="N"/>
    <s v="T20"/>
    <s v="Y"/>
    <s v="N"/>
    <s v="Y"/>
    <s v="N"/>
    <s v="A018"/>
    <d v="2016-12-13T00:00:00"/>
    <s v="10"/>
    <s v="TAN"/>
    <s v="OR"/>
    <d v="2016-12-07T00:00:00"/>
    <s v="CO"/>
    <s v="US"/>
    <s v="ZR"/>
    <d v="2016-12-08T00:00:00"/>
  </r>
  <r>
    <x v="0"/>
    <x v="6"/>
    <x v="503"/>
    <x v="11"/>
    <s v="Standard order"/>
    <x v="487"/>
    <x v="487"/>
    <s v="S517"/>
    <s v="CRYSTAL S517"/>
    <s v="5003467"/>
    <s v="S517 ACH T20 PB SYSTIVA G100"/>
    <n v="24"/>
    <n v="0"/>
    <n v="24"/>
    <x v="6"/>
    <s v="DVNV"/>
    <s v="GEM 100"/>
    <s v="324"/>
    <s v="4.0 UN"/>
    <s v="STANDARD"/>
    <s v="N"/>
    <s v="Y"/>
    <s v="N"/>
    <s v="T20"/>
    <s v="Y"/>
    <s v="N"/>
    <s v="Y"/>
    <s v="N"/>
    <s v="A038"/>
    <d v="2016-12-13T00:00:00"/>
    <s v="10"/>
    <s v="TAN"/>
    <s v="OR"/>
    <d v="2016-12-07T00:00:00"/>
    <s v="MT"/>
    <s v="US"/>
    <s v="ZR"/>
    <d v="2016-12-08T00:00:00"/>
  </r>
  <r>
    <x v="0"/>
    <x v="6"/>
    <x v="503"/>
    <x v="11"/>
    <s v="Standard order"/>
    <x v="487"/>
    <x v="487"/>
    <s v="S360"/>
    <s v="CRYSTAL S360NT"/>
    <s v="5003413"/>
    <s v="S360 ACH T20 PB SYSTIVA G100"/>
    <n v="24"/>
    <n v="0"/>
    <n v="24"/>
    <x v="6"/>
    <s v="DVNB"/>
    <s v="GEM 100"/>
    <s v="324"/>
    <s v="4.0 UN"/>
    <s v="STANDARD"/>
    <s v="N"/>
    <s v="Y"/>
    <s v="N"/>
    <s v="T20"/>
    <s v="Y"/>
    <s v="N"/>
    <s v="Y"/>
    <s v="N"/>
    <s v="A038"/>
    <d v="2016-12-13T00:00:00"/>
    <s v="20"/>
    <s v="TAN"/>
    <s v="OR"/>
    <d v="2016-12-07T00:00:00"/>
    <s v="MT"/>
    <s v="US"/>
    <s v="ZR"/>
    <d v="2016-12-08T00:00:00"/>
  </r>
  <r>
    <x v="0"/>
    <x v="6"/>
    <x v="503"/>
    <x v="11"/>
    <s v="Standard order"/>
    <x v="487"/>
    <x v="487"/>
    <s v="R052"/>
    <s v="CRYSTAL RR052"/>
    <s v="5003513"/>
    <s v="R052 ACH T20 PB SYSTIVA G100"/>
    <n v="40"/>
    <n v="0"/>
    <n v="40"/>
    <x v="6"/>
    <s v="AP82"/>
    <s v="GEM 100"/>
    <s v="324"/>
    <s v="4.0 UN"/>
    <s v="STANDARD"/>
    <s v="N"/>
    <s v="Y"/>
    <s v="N"/>
    <s v="T20"/>
    <s v="Y"/>
    <s v="N"/>
    <s v="Y"/>
    <s v="N"/>
    <s v="A038"/>
    <d v="2016-12-13T00:00:00"/>
    <s v="30"/>
    <s v="TAN"/>
    <s v="OR"/>
    <d v="2016-12-07T00:00:00"/>
    <s v="MT"/>
    <s v="US"/>
    <s v="ZR"/>
    <d v="2016-12-08T00:00:00"/>
  </r>
  <r>
    <x v="0"/>
    <x v="4"/>
    <x v="504"/>
    <x v="15"/>
    <s v="Standard order"/>
    <x v="488"/>
    <x v="488"/>
    <s v="A399"/>
    <s v="CRYSTAL A399NT"/>
    <s v="5002928"/>
    <s v="A399 ACH PB LRG"/>
    <n v="300"/>
    <n v="0"/>
    <n v="300"/>
    <x v="4"/>
    <s v="DP71"/>
    <s v="LARGE"/>
    <s v="314"/>
    <s v="4.0 UN"/>
    <s v="STANDARD"/>
    <s v="N"/>
    <s v="Y"/>
    <s v="N"/>
    <s v="N"/>
    <s v="N"/>
    <s v="N"/>
    <s v="N"/>
    <s v="N"/>
    <s v="A043"/>
    <d v="2016-12-14T00:00:00"/>
    <s v="10"/>
    <s v="TAN"/>
    <s v="OR"/>
    <d v="2016-12-08T00:00:00"/>
    <s v="WA"/>
    <s v="US"/>
    <s v="ZR"/>
    <d v="2016-12-09T00:00:00"/>
  </r>
  <r>
    <x v="0"/>
    <x v="4"/>
    <x v="504"/>
    <x v="15"/>
    <s v="Standard order"/>
    <x v="488"/>
    <x v="488"/>
    <s v="A404"/>
    <s v="CRYSTAL A404NT"/>
    <s v="5002954"/>
    <s v="A404 ACH PB LRG"/>
    <n v="200"/>
    <n v="0"/>
    <n v="200"/>
    <x v="4"/>
    <s v="DPNE"/>
    <s v="LARGE"/>
    <s v="314"/>
    <s v="4.0 UN"/>
    <s v="STANDARD"/>
    <s v="N"/>
    <s v="Y"/>
    <s v="N"/>
    <s v="N"/>
    <s v="N"/>
    <s v="N"/>
    <s v="N"/>
    <s v="N"/>
    <s v="A043"/>
    <d v="2016-12-14T00:00:00"/>
    <s v="20"/>
    <s v="TAN"/>
    <s v="OR"/>
    <d v="2016-12-08T00:00:00"/>
    <s v="WA"/>
    <s v="US"/>
    <s v="ZR"/>
    <d v="2016-12-09T00:00:00"/>
  </r>
  <r>
    <x v="0"/>
    <x v="4"/>
    <x v="504"/>
    <x v="15"/>
    <s v="Standard order"/>
    <x v="488"/>
    <x v="488"/>
    <s v="A488"/>
    <s v="CRYSTAL A488NT"/>
    <s v="5002980"/>
    <s v="A488 ACH PB LRG"/>
    <n v="204"/>
    <n v="0"/>
    <n v="204"/>
    <x v="4"/>
    <s v="EENE"/>
    <s v="LARGE"/>
    <s v="314"/>
    <s v="4.0 UN"/>
    <s v="STANDARD"/>
    <s v="N"/>
    <s v="Y"/>
    <s v="N"/>
    <s v="N"/>
    <s v="N"/>
    <s v="N"/>
    <s v="N"/>
    <s v="N"/>
    <s v="A043"/>
    <d v="2016-12-14T00:00:00"/>
    <s v="40"/>
    <s v="TAN"/>
    <s v="OR"/>
    <d v="2016-12-08T00:00:00"/>
    <s v="WA"/>
    <s v="US"/>
    <s v="ZR"/>
    <d v="2016-12-09T00:00:00"/>
  </r>
  <r>
    <x v="0"/>
    <x v="0"/>
    <x v="505"/>
    <x v="10"/>
    <s v="Standard order"/>
    <x v="489"/>
    <x v="489"/>
    <s v="R059"/>
    <s v="CRYSTAL RR059"/>
    <s v="5003530"/>
    <s v="R059 ACH T20 Kabina RP"/>
    <n v="68"/>
    <n v="0"/>
    <n v="68"/>
    <x v="0"/>
    <s v="AP73"/>
    <s v="RP"/>
    <s v="387"/>
    <s v="4.0 UN"/>
    <s v="STANDARD"/>
    <s v="N"/>
    <s v="N"/>
    <s v="Y"/>
    <s v="T20"/>
    <s v="N"/>
    <s v="N"/>
    <s v="N"/>
    <s v="N"/>
    <s v="A036"/>
    <d v="2016-12-14T00:00:00"/>
    <s v="10"/>
    <s v="TAN"/>
    <s v="OR"/>
    <d v="2016-12-08T00:00:00"/>
    <s v="MI"/>
    <s v="US"/>
    <s v="ZR"/>
    <d v="2016-12-09T00:00:00"/>
  </r>
  <r>
    <x v="0"/>
    <x v="0"/>
    <x v="505"/>
    <x v="10"/>
    <s v="Standard order"/>
    <x v="489"/>
    <x v="489"/>
    <s v="G515"/>
    <s v="CRYSTAL G515"/>
    <s v="5003019"/>
    <s v="G515 ACH T20 Kabina RP"/>
    <n v="56"/>
    <n v="0"/>
    <n v="56"/>
    <x v="0"/>
    <s v="APND"/>
    <s v="RP"/>
    <s v="387"/>
    <s v="4.0 UN"/>
    <s v="STANDARD"/>
    <s v="N"/>
    <s v="N"/>
    <s v="Y"/>
    <s v="T20"/>
    <s v="N"/>
    <s v="N"/>
    <s v="N"/>
    <s v="N"/>
    <s v="A036"/>
    <d v="2016-12-14T00:00:00"/>
    <s v="20"/>
    <s v="TAN"/>
    <s v="OR"/>
    <d v="2016-12-08T00:00:00"/>
    <s v="MI"/>
    <s v="US"/>
    <s v="ZR"/>
    <d v="2016-12-09T00:00:00"/>
  </r>
  <r>
    <x v="0"/>
    <x v="0"/>
    <x v="506"/>
    <x v="10"/>
    <s v="Standard order"/>
    <x v="490"/>
    <x v="490"/>
    <s v="R059"/>
    <s v="CRYSTAL RR059"/>
    <s v="5003529"/>
    <s v="R059 ACH T20 Kabina MP"/>
    <n v="40"/>
    <n v="0"/>
    <n v="40"/>
    <x v="0"/>
    <s v="AP73"/>
    <s v="MP"/>
    <s v="387"/>
    <s v="4.0 UN"/>
    <s v="STANDARD"/>
    <s v="N"/>
    <s v="N"/>
    <s v="Y"/>
    <s v="T20"/>
    <s v="N"/>
    <s v="N"/>
    <s v="N"/>
    <s v="N"/>
    <s v="A036"/>
    <d v="2016-12-14T00:00:00"/>
    <s v="10"/>
    <s v="TAN"/>
    <s v="OR"/>
    <d v="2016-12-08T00:00:00"/>
    <s v="MI"/>
    <s v="US"/>
    <s v="ZR"/>
    <d v="2016-12-09T00:00:00"/>
  </r>
  <r>
    <x v="0"/>
    <x v="6"/>
    <x v="507"/>
    <x v="11"/>
    <s v="Standard order"/>
    <x v="491"/>
    <x v="491"/>
    <s v="S517"/>
    <s v="CRYSTAL S517"/>
    <s v="5003467"/>
    <s v="S517 ACH T20 PB SYSTIVA G100"/>
    <n v="20"/>
    <n v="0"/>
    <n v="20"/>
    <x v="6"/>
    <s v="DVNV"/>
    <s v="GEM 100"/>
    <s v="324"/>
    <s v="4.0 UN"/>
    <s v="STANDARD"/>
    <s v="N"/>
    <s v="Y"/>
    <s v="N"/>
    <s v="T20"/>
    <s v="Y"/>
    <s v="N"/>
    <s v="Y"/>
    <s v="N"/>
    <s v="A038"/>
    <d v="2016-12-14T00:00:00"/>
    <s v="10"/>
    <s v="TAN"/>
    <s v="OR"/>
    <d v="2016-12-08T00:00:00"/>
    <s v="MT"/>
    <s v="US"/>
    <s v="ZR"/>
    <d v="2016-12-09T00:00:00"/>
  </r>
  <r>
    <x v="0"/>
    <x v="6"/>
    <x v="507"/>
    <x v="11"/>
    <s v="Standard order"/>
    <x v="491"/>
    <x v="491"/>
    <s v="S498"/>
    <s v="CRYSTAL S498"/>
    <s v="5003419"/>
    <s v="S498 ACH T20 PB CL SYSTIVA G100"/>
    <n v="116"/>
    <n v="0"/>
    <n v="116"/>
    <x v="6"/>
    <s v="FE73"/>
    <s v="GEM 100"/>
    <s v="321"/>
    <s v="4.0 UN"/>
    <s v="STANDARD"/>
    <s v="N"/>
    <s v="N"/>
    <s v="N"/>
    <s v="T20"/>
    <s v="Y"/>
    <s v="N"/>
    <s v="Y"/>
    <s v="N"/>
    <s v="A038"/>
    <d v="2016-12-14T00:00:00"/>
    <s v="20"/>
    <s v="TAN"/>
    <s v="OR"/>
    <d v="2016-12-08T00:00:00"/>
    <s v="MT"/>
    <s v="US"/>
    <s v="ZR"/>
    <d v="2016-12-09T00:00:00"/>
  </r>
  <r>
    <x v="0"/>
    <x v="6"/>
    <x v="508"/>
    <x v="11"/>
    <s v="Standard order"/>
    <x v="492"/>
    <x v="492"/>
    <s v="S517"/>
    <s v="CRYSTAL S517"/>
    <s v="5003467"/>
    <s v="S517 ACH T20 PB SYSTIVA G100"/>
    <n v="24"/>
    <n v="0"/>
    <n v="24"/>
    <x v="6"/>
    <s v="DVNV"/>
    <s v="GEM 100"/>
    <s v="324"/>
    <s v="4.0 UN"/>
    <s v="STANDARD"/>
    <s v="N"/>
    <s v="Y"/>
    <s v="N"/>
    <s v="T20"/>
    <s v="Y"/>
    <s v="N"/>
    <s v="Y"/>
    <s v="N"/>
    <s v="A038"/>
    <d v="2016-12-14T00:00:00"/>
    <s v="10"/>
    <s v="TAN"/>
    <s v="OR"/>
    <d v="2016-12-08T00:00:00"/>
    <s v="MT"/>
    <s v="US"/>
    <s v="ZR"/>
    <d v="2016-12-09T00:00:00"/>
  </r>
  <r>
    <x v="0"/>
    <x v="6"/>
    <x v="508"/>
    <x v="11"/>
    <s v="Standard order"/>
    <x v="492"/>
    <x v="492"/>
    <s v="S360"/>
    <s v="CRYSTAL S360NT"/>
    <s v="5003413"/>
    <s v="S360 ACH T20 PB SYSTIVA G100"/>
    <n v="32"/>
    <n v="0"/>
    <n v="32"/>
    <x v="6"/>
    <s v="DVNB"/>
    <s v="GEM 100"/>
    <s v="324"/>
    <s v="4.0 UN"/>
    <s v="STANDARD"/>
    <s v="N"/>
    <s v="Y"/>
    <s v="N"/>
    <s v="T20"/>
    <s v="Y"/>
    <s v="N"/>
    <s v="Y"/>
    <s v="N"/>
    <s v="A038"/>
    <d v="2016-12-14T00:00:00"/>
    <s v="20"/>
    <s v="TAN"/>
    <s v="OR"/>
    <d v="2016-12-08T00:00:00"/>
    <s v="MT"/>
    <s v="US"/>
    <s v="ZR"/>
    <d v="2016-12-09T00:00:00"/>
  </r>
  <r>
    <x v="0"/>
    <x v="6"/>
    <x v="509"/>
    <x v="11"/>
    <s v="Standard order"/>
    <x v="493"/>
    <x v="493"/>
    <s v="S517"/>
    <s v="CRYSTAL S517"/>
    <s v="5003467"/>
    <s v="S517 ACH T20 PB SYSTIVA G100"/>
    <n v="24"/>
    <n v="0"/>
    <n v="24"/>
    <x v="6"/>
    <s v="DVNV"/>
    <s v="GEM 100"/>
    <s v="324"/>
    <s v="4.0 UN"/>
    <s v="STANDARD"/>
    <s v="N"/>
    <s v="Y"/>
    <s v="N"/>
    <s v="T20"/>
    <s v="Y"/>
    <s v="N"/>
    <s v="Y"/>
    <s v="N"/>
    <s v="A038"/>
    <d v="2016-12-14T00:00:00"/>
    <s v="10"/>
    <s v="TAN"/>
    <s v="OR"/>
    <d v="2016-12-08T00:00:00"/>
    <s v="MT"/>
    <s v="US"/>
    <s v="ZR"/>
    <d v="2016-12-09T00:00:00"/>
  </r>
  <r>
    <x v="0"/>
    <x v="6"/>
    <x v="509"/>
    <x v="11"/>
    <s v="Standard order"/>
    <x v="493"/>
    <x v="493"/>
    <s v="R052"/>
    <s v="CRYSTAL RR052"/>
    <s v="5003513"/>
    <s v="R052 ACH T20 PB SYSTIVA G100"/>
    <n v="48"/>
    <n v="0"/>
    <n v="48"/>
    <x v="6"/>
    <s v="AP82"/>
    <s v="GEM 100"/>
    <s v="324"/>
    <s v="4.0 UN"/>
    <s v="STANDARD"/>
    <s v="N"/>
    <s v="Y"/>
    <s v="N"/>
    <s v="T20"/>
    <s v="Y"/>
    <s v="N"/>
    <s v="Y"/>
    <s v="N"/>
    <s v="A038"/>
    <d v="2016-12-14T00:00:00"/>
    <s v="20"/>
    <s v="TAN"/>
    <s v="OR"/>
    <d v="2016-12-08T00:00:00"/>
    <s v="MT"/>
    <s v="US"/>
    <s v="ZR"/>
    <d v="2016-12-09T00:00:00"/>
  </r>
  <r>
    <x v="0"/>
    <x v="6"/>
    <x v="509"/>
    <x v="11"/>
    <s v="Standard order"/>
    <x v="493"/>
    <x v="493"/>
    <s v="S360"/>
    <s v="CRYSTAL S360NT"/>
    <s v="5003413"/>
    <s v="S360 ACH T20 PB SYSTIVA G100"/>
    <n v="24"/>
    <n v="0"/>
    <n v="24"/>
    <x v="6"/>
    <s v="DVNB"/>
    <s v="GEM 100"/>
    <s v="324"/>
    <s v="4.0 UN"/>
    <s v="STANDARD"/>
    <s v="N"/>
    <s v="Y"/>
    <s v="N"/>
    <s v="T20"/>
    <s v="Y"/>
    <s v="N"/>
    <s v="Y"/>
    <s v="N"/>
    <s v="A038"/>
    <d v="2016-12-14T00:00:00"/>
    <s v="30"/>
    <s v="TAN"/>
    <s v="OR"/>
    <d v="2016-12-08T00:00:00"/>
    <s v="MT"/>
    <s v="US"/>
    <s v="ZR"/>
    <d v="2016-12-09T00:00:00"/>
  </r>
  <r>
    <x v="0"/>
    <x v="6"/>
    <x v="510"/>
    <x v="11"/>
    <s v="Standard order"/>
    <x v="494"/>
    <x v="494"/>
    <s v="S517"/>
    <s v="CRYSTAL S517"/>
    <s v="5003467"/>
    <s v="S517 ACH T20 PB SYSTIVA G100"/>
    <n v="28"/>
    <n v="0"/>
    <n v="28"/>
    <x v="6"/>
    <s v="DVNV"/>
    <s v="GEM 100"/>
    <s v="324"/>
    <s v="4.0 UN"/>
    <s v="STANDARD"/>
    <s v="N"/>
    <s v="Y"/>
    <s v="N"/>
    <s v="T20"/>
    <s v="Y"/>
    <s v="N"/>
    <s v="Y"/>
    <s v="N"/>
    <s v="A038"/>
    <d v="2016-12-14T00:00:00"/>
    <s v="10"/>
    <s v="TAN"/>
    <s v="OR"/>
    <d v="2016-12-08T00:00:00"/>
    <s v="MT"/>
    <s v="US"/>
    <s v="ZR"/>
    <d v="2016-12-09T00:00:00"/>
  </r>
  <r>
    <x v="0"/>
    <x v="6"/>
    <x v="510"/>
    <x v="11"/>
    <s v="Standard order"/>
    <x v="494"/>
    <x v="494"/>
    <s v="S360"/>
    <s v="CRYSTAL S360NT"/>
    <s v="5003413"/>
    <s v="S360 ACH T20 PB SYSTIVA G100"/>
    <n v="96"/>
    <n v="0"/>
    <n v="96"/>
    <x v="6"/>
    <s v="DVNB"/>
    <s v="GEM 100"/>
    <s v="324"/>
    <s v="4.0 UN"/>
    <s v="STANDARD"/>
    <s v="N"/>
    <s v="Y"/>
    <s v="N"/>
    <s v="T20"/>
    <s v="Y"/>
    <s v="N"/>
    <s v="Y"/>
    <s v="N"/>
    <s v="A038"/>
    <d v="2016-12-14T00:00:00"/>
    <s v="20"/>
    <s v="TAN"/>
    <s v="OR"/>
    <d v="2016-12-08T00:00:00"/>
    <s v="MT"/>
    <s v="US"/>
    <s v="ZR"/>
    <d v="2016-12-09T00:00:00"/>
  </r>
  <r>
    <x v="0"/>
    <x v="6"/>
    <x v="510"/>
    <x v="11"/>
    <s v="Standard order"/>
    <x v="494"/>
    <x v="494"/>
    <s v="S498"/>
    <s v="CRYSTAL S498"/>
    <s v="5003431"/>
    <s v="S498 ACH T20 PB SYSTIVA G100"/>
    <n v="36"/>
    <n v="0"/>
    <n v="36"/>
    <x v="6"/>
    <s v="FE73"/>
    <s v="GEM 100"/>
    <s v="324"/>
    <s v="4.0 UN"/>
    <s v="STANDARD"/>
    <s v="N"/>
    <s v="Y"/>
    <s v="N"/>
    <s v="T20"/>
    <s v="Y"/>
    <s v="N"/>
    <s v="Y"/>
    <s v="N"/>
    <s v="A038"/>
    <d v="2016-12-14T00:00:00"/>
    <s v="30"/>
    <s v="TAN"/>
    <s v="OR"/>
    <d v="2016-12-08T00:00:00"/>
    <s v="MT"/>
    <s v="US"/>
    <s v="ZR"/>
    <d v="2016-12-09T00:00:00"/>
  </r>
  <r>
    <x v="0"/>
    <x v="6"/>
    <x v="510"/>
    <x v="11"/>
    <s v="Standard order"/>
    <x v="494"/>
    <x v="494"/>
    <s v="R052"/>
    <s v="CRYSTAL RR052"/>
    <s v="5003513"/>
    <s v="R052 ACH T20 PB SYSTIVA G100"/>
    <n v="32"/>
    <n v="0"/>
    <n v="32"/>
    <x v="6"/>
    <s v="AP82"/>
    <s v="GEM 100"/>
    <s v="324"/>
    <s v="4.0 UN"/>
    <s v="STANDARD"/>
    <s v="N"/>
    <s v="Y"/>
    <s v="N"/>
    <s v="T20"/>
    <s v="Y"/>
    <s v="N"/>
    <s v="Y"/>
    <s v="N"/>
    <s v="A038"/>
    <d v="2016-12-14T00:00:00"/>
    <s v="40"/>
    <s v="TAN"/>
    <s v="OR"/>
    <d v="2016-12-08T00:00:00"/>
    <s v="MT"/>
    <s v="US"/>
    <s v="ZR"/>
    <d v="2016-12-09T00:00:00"/>
  </r>
  <r>
    <x v="0"/>
    <x v="6"/>
    <x v="511"/>
    <x v="11"/>
    <s v="Standard order"/>
    <x v="495"/>
    <x v="495"/>
    <s v="S517"/>
    <s v="CRYSTAL S517"/>
    <s v="5003467"/>
    <s v="S517 ACH T20 PB SYSTIVA G100"/>
    <n v="28"/>
    <n v="0"/>
    <n v="28"/>
    <x v="6"/>
    <s v="DVNV"/>
    <s v="GEM 100"/>
    <s v="324"/>
    <s v="4.0 UN"/>
    <s v="STANDARD"/>
    <s v="N"/>
    <s v="Y"/>
    <s v="N"/>
    <s v="T20"/>
    <s v="Y"/>
    <s v="N"/>
    <s v="Y"/>
    <s v="N"/>
    <s v="A038"/>
    <d v="2016-12-14T00:00:00"/>
    <s v="10"/>
    <s v="TAN"/>
    <s v="OR"/>
    <d v="2016-12-08T00:00:00"/>
    <s v="MT"/>
    <s v="US"/>
    <s v="ZR"/>
    <d v="2016-12-09T00:00:00"/>
  </r>
  <r>
    <x v="0"/>
    <x v="6"/>
    <x v="511"/>
    <x v="11"/>
    <s v="Standard order"/>
    <x v="495"/>
    <x v="495"/>
    <s v="S360"/>
    <s v="CRYSTAL S360NT"/>
    <s v="5003413"/>
    <s v="S360 ACH T20 PB SYSTIVA G100"/>
    <n v="96"/>
    <n v="0"/>
    <n v="96"/>
    <x v="6"/>
    <s v="DVNB"/>
    <s v="GEM 100"/>
    <s v="324"/>
    <s v="4.0 UN"/>
    <s v="STANDARD"/>
    <s v="N"/>
    <s v="Y"/>
    <s v="N"/>
    <s v="T20"/>
    <s v="Y"/>
    <s v="N"/>
    <s v="Y"/>
    <s v="N"/>
    <s v="A038"/>
    <d v="2016-12-14T00:00:00"/>
    <s v="20"/>
    <s v="TAN"/>
    <s v="OR"/>
    <d v="2016-12-08T00:00:00"/>
    <s v="MT"/>
    <s v="US"/>
    <s v="ZR"/>
    <d v="2016-12-09T00:00:00"/>
  </r>
  <r>
    <x v="0"/>
    <x v="6"/>
    <x v="511"/>
    <x v="11"/>
    <s v="Standard order"/>
    <x v="495"/>
    <x v="495"/>
    <s v="S498"/>
    <s v="CRYSTAL S498"/>
    <s v="5003431"/>
    <s v="S498 ACH T20 PB SYSTIVA G100"/>
    <n v="36"/>
    <n v="0"/>
    <n v="36"/>
    <x v="6"/>
    <s v="FE73"/>
    <s v="GEM 100"/>
    <s v="324"/>
    <s v="4.0 UN"/>
    <s v="STANDARD"/>
    <s v="N"/>
    <s v="Y"/>
    <s v="N"/>
    <s v="T20"/>
    <s v="Y"/>
    <s v="N"/>
    <s v="Y"/>
    <s v="N"/>
    <s v="A038"/>
    <d v="2016-12-14T00:00:00"/>
    <s v="30"/>
    <s v="TAN"/>
    <s v="OR"/>
    <d v="2016-12-08T00:00:00"/>
    <s v="MT"/>
    <s v="US"/>
    <s v="ZR"/>
    <d v="2016-12-09T00:00:00"/>
  </r>
  <r>
    <x v="0"/>
    <x v="6"/>
    <x v="511"/>
    <x v="11"/>
    <s v="Standard order"/>
    <x v="495"/>
    <x v="495"/>
    <s v="R052"/>
    <s v="CRYSTAL RR052"/>
    <s v="5003513"/>
    <s v="R052 ACH T20 PB SYSTIVA G100"/>
    <n v="32"/>
    <n v="0"/>
    <n v="32"/>
    <x v="6"/>
    <s v="AP82"/>
    <s v="GEM 100"/>
    <s v="324"/>
    <s v="4.0 UN"/>
    <s v="STANDARD"/>
    <s v="N"/>
    <s v="Y"/>
    <s v="N"/>
    <s v="T20"/>
    <s v="Y"/>
    <s v="N"/>
    <s v="Y"/>
    <s v="N"/>
    <s v="A038"/>
    <d v="2016-12-14T00:00:00"/>
    <s v="40"/>
    <s v="TAN"/>
    <s v="OR"/>
    <d v="2016-12-08T00:00:00"/>
    <s v="MT"/>
    <s v="US"/>
    <s v="ZR"/>
    <d v="2016-12-09T00:00:00"/>
  </r>
  <r>
    <x v="0"/>
    <x v="0"/>
    <x v="512"/>
    <x v="2"/>
    <s v="Standard order"/>
    <x v="496"/>
    <x v="496"/>
    <s v="R059"/>
    <s v="CRYSTAL RR059"/>
    <s v="5003530"/>
    <s v="R059 ACH T20 Kabina RP"/>
    <n v="80"/>
    <n v="0"/>
    <n v="80"/>
    <x v="0"/>
    <s v="AP73"/>
    <s v="RP"/>
    <s v="387"/>
    <s v="4.0 UN"/>
    <s v="STANDARD"/>
    <s v="N"/>
    <s v="N"/>
    <s v="Y"/>
    <s v="T20"/>
    <s v="N"/>
    <s v="N"/>
    <s v="N"/>
    <s v="N"/>
    <s v="A034"/>
    <d v="2016-12-14T00:00:00"/>
    <s v="10"/>
    <s v="TAN"/>
    <s v="OR"/>
    <d v="2016-12-09T00:00:00"/>
    <s v="MI"/>
    <s v="US"/>
    <s v="ZR"/>
    <d v="2016-12-09T00:00:00"/>
  </r>
  <r>
    <x v="0"/>
    <x v="5"/>
    <x v="513"/>
    <x v="12"/>
    <s v="Standard order"/>
    <x v="497"/>
    <x v="497"/>
    <s v="Y400"/>
    <s v="CRYSTAL Y400NT"/>
    <s v="5003735"/>
    <s v="Y400 ACH T20 PB SYSTIVA RP"/>
    <n v="20"/>
    <n v="0"/>
    <n v="20"/>
    <x v="5"/>
    <s v="4TBP"/>
    <s v="RP"/>
    <s v="324"/>
    <s v="4.0 UN"/>
    <s v="STANDARD"/>
    <s v="N"/>
    <s v="Y"/>
    <s v="N"/>
    <s v="T20"/>
    <s v="Y"/>
    <s v="N"/>
    <s v="N"/>
    <s v="N"/>
    <s v="A014"/>
    <d v="2016-12-14T00:00:00"/>
    <s v="10"/>
    <s v="TAN"/>
    <s v="OR"/>
    <d v="2016-12-09T00:00:00"/>
    <s v="MT"/>
    <s v="US"/>
    <s v="ZR"/>
    <d v="2016-12-09T00:00:00"/>
  </r>
  <r>
    <x v="0"/>
    <x v="5"/>
    <x v="513"/>
    <x v="12"/>
    <s v="Standard order"/>
    <x v="497"/>
    <x v="497"/>
    <s v="R116"/>
    <s v="CRYSTAL RR116"/>
    <s v="5003105"/>
    <s v="R116 ACH T20 PB SYSTIVA RP"/>
    <n v="36"/>
    <n v="0"/>
    <n v="36"/>
    <x v="5"/>
    <s v="AP71"/>
    <s v="RP"/>
    <s v="324"/>
    <s v="4.0 UN"/>
    <s v="STANDARD"/>
    <s v="N"/>
    <s v="Y"/>
    <s v="N"/>
    <s v="T20"/>
    <s v="Y"/>
    <s v="N"/>
    <s v="N"/>
    <s v="N"/>
    <s v="A014"/>
    <d v="2016-12-14T00:00:00"/>
    <s v="20"/>
    <s v="TAN"/>
    <s v="OR"/>
    <d v="2016-12-09T00:00:00"/>
    <s v="MT"/>
    <s v="US"/>
    <s v="ZR"/>
    <d v="2016-12-09T00:00:00"/>
  </r>
  <r>
    <x v="0"/>
    <x v="4"/>
    <x v="514"/>
    <x v="17"/>
    <s v="Standard order"/>
    <x v="498"/>
    <x v="498"/>
    <s v="A399"/>
    <s v="CRYSTAL A399NT"/>
    <s v="5002935"/>
    <s v="A399 ACH T20 PB Kabina CL MP"/>
    <n v="116"/>
    <n v="0"/>
    <n v="116"/>
    <x v="4"/>
    <s v="DP71"/>
    <s v="MP"/>
    <s v="323"/>
    <s v="4.0 UN"/>
    <s v="STANDARD"/>
    <s v="N"/>
    <s v="Y"/>
    <s v="Y"/>
    <s v="T20"/>
    <s v="N"/>
    <s v="N"/>
    <s v="N"/>
    <s v="N"/>
    <s v="A040"/>
    <d v="2016-12-14T00:00:00"/>
    <s v="10"/>
    <s v="TAN"/>
    <s v="OR"/>
    <d v="2016-12-09T00:00:00"/>
    <s v="ID"/>
    <s v="US"/>
    <s v="ZR"/>
    <d v="2016-12-09T00:00:00"/>
  </r>
  <r>
    <x v="0"/>
    <x v="4"/>
    <x v="515"/>
    <x v="7"/>
    <s v="Standard order"/>
    <x v="499"/>
    <x v="499"/>
    <s v="A399"/>
    <s v="CRYSTAL A399NT"/>
    <s v="5002936"/>
    <s v="A399 ACH T20 PB Kabina MP"/>
    <n v="20"/>
    <n v="0"/>
    <n v="20"/>
    <x v="4"/>
    <s v="DP71"/>
    <s v="MP"/>
    <s v="388"/>
    <s v="4.0 UN"/>
    <s v="STANDARD"/>
    <s v="N"/>
    <s v="Y"/>
    <s v="Y"/>
    <s v="T20"/>
    <s v="N"/>
    <s v="N"/>
    <s v="N"/>
    <s v="N"/>
    <s v="A045"/>
    <d v="2016-12-14T00:00:00"/>
    <s v="10"/>
    <s v="TAN"/>
    <s v="OR"/>
    <d v="2016-12-09T00:00:00"/>
    <s v="ID"/>
    <s v="US"/>
    <s v="ZR"/>
    <d v="2016-12-09T00:00:00"/>
  </r>
  <r>
    <x v="0"/>
    <x v="5"/>
    <x v="516"/>
    <x v="12"/>
    <s v="Standard order"/>
    <x v="500"/>
    <x v="500"/>
    <s v="Y400"/>
    <s v="CRYSTAL Y400NT"/>
    <s v="5003731"/>
    <s v="Y400 ACH T20 PB SYSTIVA ELS"/>
    <n v="8"/>
    <n v="0"/>
    <n v="8"/>
    <x v="5"/>
    <s v="4TBP"/>
    <s v="ELS"/>
    <s v="324"/>
    <s v="4.0 UN"/>
    <s v="STANDARD"/>
    <s v="N"/>
    <s v="Y"/>
    <s v="N"/>
    <s v="T20"/>
    <s v="Y"/>
    <s v="N"/>
    <s v="N"/>
    <s v="N"/>
    <s v="A014"/>
    <d v="2016-12-14T00:00:00"/>
    <s v="10"/>
    <s v="TAN"/>
    <s v="OR"/>
    <d v="2016-12-09T00:00:00"/>
    <s v="MT"/>
    <s v="US"/>
    <s v="ZR"/>
    <d v="2016-12-09T00:00:00"/>
  </r>
  <r>
    <x v="0"/>
    <x v="5"/>
    <x v="517"/>
    <x v="21"/>
    <s v="Standard order"/>
    <x v="501"/>
    <x v="501"/>
    <s v="Y400"/>
    <s v="CRYSTAL Y400NT"/>
    <s v="5003735"/>
    <s v="Y400 ACH T20 PB SYSTIVA RP"/>
    <n v="16"/>
    <n v="0"/>
    <n v="16"/>
    <x v="5"/>
    <s v="4TBP"/>
    <s v="RP"/>
    <s v="324"/>
    <s v="4.0 UN"/>
    <s v="STANDARD"/>
    <s v="N"/>
    <s v="Y"/>
    <s v="N"/>
    <s v="T20"/>
    <s v="Y"/>
    <s v="N"/>
    <s v="N"/>
    <s v="N"/>
    <s v="A013"/>
    <d v="2016-12-14T00:00:00"/>
    <s v="10"/>
    <s v="TAN"/>
    <s v="OR"/>
    <d v="2016-12-09T00:00:00"/>
    <s v="MT"/>
    <s v="US"/>
    <s v="ZR"/>
    <d v="2016-12-09T00:00:00"/>
  </r>
  <r>
    <x v="0"/>
    <x v="5"/>
    <x v="517"/>
    <x v="21"/>
    <s v="Standard order"/>
    <x v="501"/>
    <x v="501"/>
    <s v="R116"/>
    <s v="CRYSTAL RR116"/>
    <s v="5003105"/>
    <s v="R116 ACH T20 PB SYSTIVA RP"/>
    <n v="32"/>
    <n v="0"/>
    <n v="32"/>
    <x v="5"/>
    <s v="AP71"/>
    <s v="RP"/>
    <s v="324"/>
    <s v="4.0 UN"/>
    <s v="STANDARD"/>
    <s v="N"/>
    <s v="Y"/>
    <s v="N"/>
    <s v="T20"/>
    <s v="Y"/>
    <s v="N"/>
    <s v="N"/>
    <s v="N"/>
    <s v="A013"/>
    <d v="2016-12-14T00:00:00"/>
    <s v="20"/>
    <s v="TAN"/>
    <s v="OR"/>
    <d v="2016-12-09T00:00:00"/>
    <s v="MT"/>
    <s v="US"/>
    <s v="ZR"/>
    <d v="2016-12-09T00:00:00"/>
  </r>
  <r>
    <x v="0"/>
    <x v="5"/>
    <x v="518"/>
    <x v="12"/>
    <s v="Standard order"/>
    <x v="502"/>
    <x v="502"/>
    <s v="R116"/>
    <s v="CRYSTAL RR116"/>
    <s v="5003103"/>
    <s v="R116 ACH T20 PB SYSTIVA MP"/>
    <n v="40"/>
    <n v="0"/>
    <n v="40"/>
    <x v="5"/>
    <s v="AP71"/>
    <s v="MP"/>
    <s v="324"/>
    <s v="4.0 UN"/>
    <s v="STANDARD"/>
    <s v="N"/>
    <s v="Y"/>
    <s v="N"/>
    <s v="T20"/>
    <s v="Y"/>
    <s v="N"/>
    <s v="N"/>
    <s v="N"/>
    <s v="A014"/>
    <d v="2016-12-14T00:00:00"/>
    <s v="10"/>
    <s v="TAN"/>
    <s v="OR"/>
    <d v="2016-12-09T00:00:00"/>
    <s v="MT"/>
    <s v="US"/>
    <s v="ZR"/>
    <d v="2016-12-09T00:00:00"/>
  </r>
  <r>
    <x v="0"/>
    <x v="5"/>
    <x v="518"/>
    <x v="12"/>
    <s v="Standard order"/>
    <x v="502"/>
    <x v="502"/>
    <s v="Y400"/>
    <s v="CRYSTAL Y400NT"/>
    <s v="5003733"/>
    <s v="Y400 ACH T20 PB SYSTIVA MP"/>
    <n v="8"/>
    <n v="0"/>
    <n v="8"/>
    <x v="5"/>
    <s v="4TBP"/>
    <s v="MP"/>
    <s v="324"/>
    <s v="4.0 UN"/>
    <s v="STANDARD"/>
    <s v="N"/>
    <s v="Y"/>
    <s v="N"/>
    <s v="T20"/>
    <s v="Y"/>
    <s v="N"/>
    <s v="N"/>
    <s v="N"/>
    <s v="A014"/>
    <d v="2016-12-14T00:00:00"/>
    <s v="20"/>
    <s v="TAN"/>
    <s v="OR"/>
    <d v="2016-12-09T00:00:00"/>
    <s v="MT"/>
    <s v="US"/>
    <s v="ZR"/>
    <d v="2016-12-09T00:00:00"/>
  </r>
  <r>
    <x v="0"/>
    <x v="4"/>
    <x v="519"/>
    <x v="15"/>
    <s v="Standard order"/>
    <x v="503"/>
    <x v="503"/>
    <s v="A404"/>
    <s v="CRYSTAL A404NT"/>
    <s v="5002961"/>
    <s v="A404 ACH T20 PB Kabina CL MP"/>
    <n v="56"/>
    <n v="0"/>
    <n v="56"/>
    <x v="4"/>
    <s v="DPNE"/>
    <s v="MP"/>
    <s v="323"/>
    <s v="4.0 UN"/>
    <s v="STANDARD"/>
    <s v="N"/>
    <s v="Y"/>
    <s v="Y"/>
    <s v="T20"/>
    <s v="N"/>
    <s v="N"/>
    <s v="N"/>
    <s v="N"/>
    <s v="A043"/>
    <d v="2016-12-14T00:00:00"/>
    <s v="10"/>
    <s v="TAN"/>
    <s v="OR"/>
    <d v="2016-12-09T00:00:00"/>
    <s v="ID"/>
    <s v="US"/>
    <s v="ZR"/>
    <d v="2016-12-09T00:00:00"/>
  </r>
  <r>
    <x v="0"/>
    <x v="4"/>
    <x v="520"/>
    <x v="19"/>
    <s v="Standard order"/>
    <x v="504"/>
    <x v="504"/>
    <s v="A399"/>
    <s v="CRYSTAL A399NT"/>
    <s v="5002931"/>
    <s v="A399 ACH PB XL"/>
    <n v="64"/>
    <n v="0"/>
    <n v="64"/>
    <x v="4"/>
    <s v="DP71"/>
    <s v="X-LARGE"/>
    <s v="314"/>
    <s v="4.0 UN"/>
    <s v="STANDARD"/>
    <s v="N"/>
    <s v="Y"/>
    <s v="N"/>
    <s v="N"/>
    <s v="N"/>
    <s v="N"/>
    <s v="N"/>
    <s v="N"/>
    <s v="A046"/>
    <d v="2016-12-14T00:00:00"/>
    <s v="10"/>
    <s v="TAN"/>
    <s v="OR"/>
    <d v="2016-12-09T00:00:00"/>
    <s v="ID"/>
    <s v="US"/>
    <s v="ZR"/>
    <d v="2016-12-09T00:00:00"/>
  </r>
  <r>
    <x v="0"/>
    <x v="4"/>
    <x v="520"/>
    <x v="19"/>
    <s v="Standard order"/>
    <x v="504"/>
    <x v="504"/>
    <s v="A488"/>
    <s v="CRYSTAL A488NT"/>
    <s v="5002983"/>
    <s v="A488 ACH PB XL"/>
    <n v="36"/>
    <n v="0"/>
    <n v="36"/>
    <x v="4"/>
    <s v="EENE"/>
    <s v="X-LARGE"/>
    <s v="314"/>
    <s v="4.0 UN"/>
    <s v="STANDARD"/>
    <s v="N"/>
    <s v="Y"/>
    <s v="N"/>
    <s v="N"/>
    <s v="N"/>
    <s v="N"/>
    <s v="N"/>
    <s v="N"/>
    <s v="A046"/>
    <d v="2016-12-14T00:00:00"/>
    <s v="20"/>
    <s v="TAN"/>
    <s v="OR"/>
    <d v="2016-12-09T00:00:00"/>
    <s v="ID"/>
    <s v="US"/>
    <s v="ZR"/>
    <d v="2016-12-09T00:00:00"/>
  </r>
  <r>
    <x v="0"/>
    <x v="5"/>
    <x v="521"/>
    <x v="9"/>
    <s v="Standard order"/>
    <x v="505"/>
    <x v="505"/>
    <s v="R116"/>
    <s v="CRYSTAL RR116"/>
    <s v="5003105"/>
    <s v="R116 ACH T20 PB SYSTIVA RP"/>
    <n v="100"/>
    <n v="0"/>
    <n v="100"/>
    <x v="5"/>
    <s v="AP71"/>
    <s v="RP"/>
    <s v="324"/>
    <s v="4.0 UN"/>
    <s v="STANDARD"/>
    <s v="N"/>
    <s v="Y"/>
    <s v="N"/>
    <s v="T20"/>
    <s v="Y"/>
    <s v="N"/>
    <s v="N"/>
    <s v="N"/>
    <s v="A016"/>
    <d v="2016-12-14T00:00:00"/>
    <s v="10"/>
    <s v="TAN"/>
    <s v="OR"/>
    <d v="2016-12-09T00:00:00"/>
    <s v="WY"/>
    <s v="US"/>
    <s v="ZR"/>
    <d v="2016-12-09T00:00:00"/>
  </r>
  <r>
    <x v="0"/>
    <x v="5"/>
    <x v="522"/>
    <x v="9"/>
    <s v="Standard order"/>
    <x v="506"/>
    <x v="506"/>
    <s v="R116"/>
    <s v="CRYSTAL RR116"/>
    <s v="5003105"/>
    <s v="R116 ACH T20 PB SYSTIVA RP"/>
    <n v="48"/>
    <n v="0"/>
    <n v="48"/>
    <x v="5"/>
    <s v="AP71"/>
    <s v="RP"/>
    <s v="324"/>
    <s v="4.0 UN"/>
    <s v="STANDARD"/>
    <s v="N"/>
    <s v="Y"/>
    <s v="N"/>
    <s v="T20"/>
    <s v="Y"/>
    <s v="N"/>
    <s v="N"/>
    <s v="N"/>
    <s v="A016"/>
    <d v="2016-12-14T00:00:00"/>
    <s v="10"/>
    <s v="TAN"/>
    <s v="OR"/>
    <d v="2016-12-09T00:00:00"/>
    <s v="WY"/>
    <s v="US"/>
    <s v="ZR"/>
    <d v="2016-12-09T00:00:00"/>
  </r>
  <r>
    <x v="0"/>
    <x v="4"/>
    <x v="523"/>
    <x v="15"/>
    <s v="Standard order"/>
    <x v="507"/>
    <x v="507"/>
    <s v="A399"/>
    <s v="CRYSTAL A399NT"/>
    <s v="5002929"/>
    <s v="A399 ACH PB MED"/>
    <n v="8"/>
    <n v="0"/>
    <n v="8"/>
    <x v="4"/>
    <s v="DP71"/>
    <s v="MEDIUM"/>
    <s v="314"/>
    <s v="4.0 UN"/>
    <s v="STANDARD"/>
    <s v="N"/>
    <s v="Y"/>
    <s v="N"/>
    <s v="N"/>
    <s v="N"/>
    <s v="N"/>
    <s v="N"/>
    <s v="N"/>
    <s v="A043"/>
    <d v="2016-12-14T00:00:00"/>
    <s v="10"/>
    <s v="TAN"/>
    <s v="OR"/>
    <d v="2016-12-09T00:00:00"/>
    <s v="ID"/>
    <s v="US"/>
    <s v="ZR"/>
    <d v="2016-12-09T00:00:00"/>
  </r>
  <r>
    <x v="0"/>
    <x v="4"/>
    <x v="523"/>
    <x v="15"/>
    <s v="Standard order"/>
    <x v="507"/>
    <x v="507"/>
    <s v="A404"/>
    <s v="CRYSTAL A404NT"/>
    <s v="5002955"/>
    <s v="A404 ACH PB MED"/>
    <n v="4"/>
    <n v="0"/>
    <n v="4"/>
    <x v="4"/>
    <s v="DPNE"/>
    <s v="MEDIUM"/>
    <s v="314"/>
    <s v="4.0 UN"/>
    <s v="STANDARD"/>
    <s v="N"/>
    <s v="Y"/>
    <s v="N"/>
    <s v="N"/>
    <s v="N"/>
    <s v="N"/>
    <s v="N"/>
    <s v="N"/>
    <s v="A043"/>
    <d v="2016-12-14T00:00:00"/>
    <s v="20"/>
    <s v="TAN"/>
    <s v="OR"/>
    <d v="2016-12-09T00:00:00"/>
    <s v="ID"/>
    <s v="US"/>
    <s v="ZR"/>
    <d v="2016-12-09T00:00:00"/>
  </r>
  <r>
    <x v="0"/>
    <x v="5"/>
    <x v="524"/>
    <x v="12"/>
    <s v="Standard order"/>
    <x v="508"/>
    <x v="508"/>
    <s v="R116"/>
    <s v="CRYSTAL RR116"/>
    <s v="5003101"/>
    <s v="R116 ACH T20 PB SYSTIVA ELS"/>
    <n v="24"/>
    <n v="0"/>
    <n v="24"/>
    <x v="5"/>
    <s v="AP71"/>
    <s v="ELS"/>
    <s v="324"/>
    <s v="4.0 UN"/>
    <s v="STANDARD"/>
    <s v="N"/>
    <s v="Y"/>
    <s v="N"/>
    <s v="T20"/>
    <s v="Y"/>
    <s v="N"/>
    <s v="N"/>
    <s v="N"/>
    <s v="A014"/>
    <d v="2016-12-14T00:00:00"/>
    <s v="10"/>
    <s v="TAN"/>
    <s v="OR"/>
    <d v="2016-12-09T00:00:00"/>
    <s v="MT"/>
    <s v="US"/>
    <s v="ZR"/>
    <d v="2016-12-09T00:00:00"/>
  </r>
  <r>
    <x v="0"/>
    <x v="4"/>
    <x v="525"/>
    <x v="15"/>
    <s v="Standard order"/>
    <x v="509"/>
    <x v="509"/>
    <s v="A399"/>
    <s v="CRYSTAL A399NT"/>
    <s v="5002931"/>
    <s v="A399 ACH PB XL"/>
    <n v="8"/>
    <n v="0"/>
    <n v="8"/>
    <x v="4"/>
    <s v="DP71"/>
    <s v="X-LARGE"/>
    <s v="314"/>
    <s v="4.0 UN"/>
    <s v="STANDARD"/>
    <s v="N"/>
    <s v="Y"/>
    <s v="N"/>
    <s v="N"/>
    <s v="N"/>
    <s v="N"/>
    <s v="N"/>
    <s v="N"/>
    <s v="A043"/>
    <d v="2016-12-14T00:00:00"/>
    <s v="10"/>
    <s v="TAN"/>
    <s v="OR"/>
    <d v="2016-12-09T00:00:00"/>
    <s v="ID"/>
    <s v="US"/>
    <s v="ZR"/>
    <d v="2016-12-09T00:00:00"/>
  </r>
  <r>
    <x v="0"/>
    <x v="0"/>
    <x v="526"/>
    <x v="2"/>
    <s v="Standard order"/>
    <x v="510"/>
    <x v="510"/>
    <s v="G333"/>
    <s v="CRYSTAL G333NT"/>
    <s v="5003376"/>
    <s v="G333 ACH T20 Kabina ELS"/>
    <n v="24"/>
    <n v="0"/>
    <n v="24"/>
    <x v="0"/>
    <s v="EE73"/>
    <s v="ELS"/>
    <s v="387"/>
    <s v="4.0 UN"/>
    <s v="STANDARD"/>
    <s v="N"/>
    <s v="N"/>
    <s v="Y"/>
    <s v="T20"/>
    <s v="N"/>
    <s v="N"/>
    <s v="N"/>
    <s v="N"/>
    <s v="A034"/>
    <d v="2016-12-14T00:00:00"/>
    <s v="10"/>
    <s v="TAN"/>
    <s v="OR"/>
    <d v="2016-12-09T00:00:00"/>
    <s v="MI"/>
    <s v="US"/>
    <s v="ZR"/>
    <d v="2016-12-09T00:00:00"/>
  </r>
  <r>
    <x v="0"/>
    <x v="0"/>
    <x v="526"/>
    <x v="2"/>
    <s v="Standard order"/>
    <x v="510"/>
    <x v="510"/>
    <s v="G351"/>
    <s v="CRYSTAL G351NT"/>
    <s v="5003396"/>
    <s v="G351 ACH T20 Kabina ELS"/>
    <n v="24"/>
    <n v="0"/>
    <n v="24"/>
    <x v="0"/>
    <s v="DA73"/>
    <s v="ELS"/>
    <s v="387"/>
    <s v="4.0 UN"/>
    <s v="STANDARD"/>
    <s v="N"/>
    <s v="N"/>
    <s v="Y"/>
    <s v="T20"/>
    <s v="N"/>
    <s v="N"/>
    <s v="N"/>
    <s v="N"/>
    <s v="A034"/>
    <d v="2016-12-14T00:00:00"/>
    <s v="20"/>
    <s v="TAN"/>
    <s v="OR"/>
    <d v="2016-12-09T00:00:00"/>
    <s v="MI"/>
    <s v="US"/>
    <s v="ZR"/>
    <d v="2016-12-09T00:00:00"/>
  </r>
  <r>
    <x v="0"/>
    <x v="0"/>
    <x v="526"/>
    <x v="2"/>
    <s v="Standard order"/>
    <x v="510"/>
    <x v="510"/>
    <s v="R059"/>
    <s v="CRYSTAL RR059"/>
    <s v="5003528"/>
    <s v="R059 ACH T20 Kabina ELS"/>
    <n v="96"/>
    <n v="0"/>
    <n v="96"/>
    <x v="0"/>
    <s v="AP73"/>
    <s v="ELS"/>
    <s v="387"/>
    <s v="4.0 UN"/>
    <s v="STANDARD"/>
    <s v="N"/>
    <s v="N"/>
    <s v="Y"/>
    <s v="T20"/>
    <s v="N"/>
    <s v="N"/>
    <s v="N"/>
    <s v="N"/>
    <s v="A034"/>
    <d v="2016-12-14T00:00:00"/>
    <s v="30"/>
    <s v="TAN"/>
    <s v="OR"/>
    <d v="2016-12-09T00:00:00"/>
    <s v="MI"/>
    <s v="US"/>
    <s v="ZR"/>
    <d v="2016-12-09T00:00:00"/>
  </r>
  <r>
    <x v="0"/>
    <x v="4"/>
    <x v="527"/>
    <x v="15"/>
    <s v="Standard order"/>
    <x v="511"/>
    <x v="511"/>
    <s v="A404"/>
    <s v="CRYSTAL A404NT"/>
    <s v="5002961"/>
    <s v="A404 ACH T20 PB Kabina CL MP"/>
    <n v="28"/>
    <n v="0"/>
    <n v="28"/>
    <x v="4"/>
    <s v="DPNE"/>
    <s v="MP"/>
    <s v="323"/>
    <s v="4.0 UN"/>
    <s v="STANDARD"/>
    <s v="N"/>
    <s v="Y"/>
    <s v="Y"/>
    <s v="T20"/>
    <s v="N"/>
    <s v="N"/>
    <s v="N"/>
    <s v="N"/>
    <s v="A043"/>
    <d v="2016-12-14T00:00:00"/>
    <s v="10"/>
    <s v="TAN"/>
    <s v="OR"/>
    <d v="2016-12-09T00:00:00"/>
    <s v="ID"/>
    <s v="US"/>
    <s v="ZR"/>
    <d v="2016-12-09T00:00:00"/>
  </r>
  <r>
    <x v="0"/>
    <x v="4"/>
    <x v="527"/>
    <x v="15"/>
    <s v="Standard order"/>
    <x v="511"/>
    <x v="511"/>
    <s v="R240"/>
    <s v="CRYSTAL RR240NT"/>
    <s v="5003166"/>
    <s v="R240 ACH T20 PB Kabina CL MP"/>
    <n v="80"/>
    <n v="0"/>
    <n v="80"/>
    <x v="4"/>
    <s v="BHMP"/>
    <s v="MP"/>
    <s v="323"/>
    <s v="4.0 UN"/>
    <s v="STANDARD"/>
    <s v="N"/>
    <s v="Y"/>
    <s v="Y"/>
    <s v="T20"/>
    <s v="N"/>
    <s v="N"/>
    <s v="N"/>
    <s v="N"/>
    <s v="A043"/>
    <d v="2016-12-14T00:00:00"/>
    <s v="20"/>
    <s v="TAN"/>
    <s v="OR"/>
    <d v="2016-12-09T00:00:00"/>
    <s v="ID"/>
    <s v="US"/>
    <s v="ZR"/>
    <d v="2016-12-09T00:00:00"/>
  </r>
  <r>
    <x v="0"/>
    <x v="4"/>
    <x v="527"/>
    <x v="15"/>
    <s v="Standard order"/>
    <x v="511"/>
    <x v="511"/>
    <s v="A399"/>
    <s v="CRYSTAL A399NT"/>
    <s v="5002935"/>
    <s v="A399 ACH T20 PB Kabina CL MP"/>
    <n v="40"/>
    <n v="0"/>
    <n v="40"/>
    <x v="4"/>
    <s v="DP71"/>
    <s v="MP"/>
    <s v="323"/>
    <s v="4.0 UN"/>
    <s v="STANDARD"/>
    <s v="N"/>
    <s v="Y"/>
    <s v="Y"/>
    <s v="T20"/>
    <s v="N"/>
    <s v="N"/>
    <s v="N"/>
    <s v="N"/>
    <s v="A043"/>
    <d v="2016-12-14T00:00:00"/>
    <s v="30"/>
    <s v="TAN"/>
    <s v="OR"/>
    <d v="2016-12-09T00:00:00"/>
    <s v="ID"/>
    <s v="US"/>
    <s v="ZR"/>
    <d v="2016-12-09T00:00:00"/>
  </r>
  <r>
    <x v="0"/>
    <x v="4"/>
    <x v="528"/>
    <x v="19"/>
    <s v="Standard order"/>
    <x v="512"/>
    <x v="512"/>
    <s v="A399"/>
    <s v="CRYSTAL A399NT"/>
    <s v="5002928"/>
    <s v="A399 ACH PB LRG"/>
    <n v="80"/>
    <n v="0"/>
    <n v="80"/>
    <x v="4"/>
    <s v="DP71"/>
    <s v="LARGE"/>
    <s v="314"/>
    <s v="4.0 UN"/>
    <s v="STANDARD"/>
    <s v="N"/>
    <s v="Y"/>
    <s v="N"/>
    <s v="N"/>
    <s v="N"/>
    <s v="N"/>
    <s v="N"/>
    <s v="N"/>
    <s v="A046"/>
    <d v="2016-12-14T00:00:00"/>
    <s v="10"/>
    <s v="TAN"/>
    <s v="OR"/>
    <d v="2016-12-08T00:00:00"/>
    <s v="ID"/>
    <s v="US"/>
    <s v="ZR"/>
    <d v="2016-12-09T00:00:00"/>
  </r>
  <r>
    <x v="0"/>
    <x v="6"/>
    <x v="529"/>
    <x v="11"/>
    <s v="Standard order"/>
    <x v="513"/>
    <x v="513"/>
    <s v="S517"/>
    <s v="CRYSTAL S517"/>
    <s v="5003467"/>
    <s v="S517 ACH T20 PB SYSTIVA G100"/>
    <n v="16"/>
    <n v="0"/>
    <n v="16"/>
    <x v="6"/>
    <s v="DVNV"/>
    <s v="GEM 100"/>
    <s v="324"/>
    <s v="4.0 UN"/>
    <s v="STANDARD"/>
    <s v="N"/>
    <s v="Y"/>
    <s v="N"/>
    <s v="T20"/>
    <s v="Y"/>
    <s v="N"/>
    <s v="Y"/>
    <s v="N"/>
    <s v="A038"/>
    <d v="2016-12-14T00:00:00"/>
    <s v="10"/>
    <s v="TAN"/>
    <s v="OR"/>
    <d v="2016-12-08T00:00:00"/>
    <s v="MT"/>
    <s v="US"/>
    <s v="ZR"/>
    <d v="2016-12-09T00:00:00"/>
  </r>
  <r>
    <x v="0"/>
    <x v="6"/>
    <x v="529"/>
    <x v="11"/>
    <s v="Standard order"/>
    <x v="513"/>
    <x v="513"/>
    <s v="S498"/>
    <s v="CRYSTAL S498"/>
    <s v="5003431"/>
    <s v="S498 ACH T20 PB SYSTIVA G100"/>
    <n v="76"/>
    <n v="0"/>
    <n v="76"/>
    <x v="6"/>
    <s v="FE73"/>
    <s v="GEM 100"/>
    <s v="324"/>
    <s v="4.0 UN"/>
    <s v="STANDARD"/>
    <s v="N"/>
    <s v="Y"/>
    <s v="N"/>
    <s v="T20"/>
    <s v="Y"/>
    <s v="N"/>
    <s v="Y"/>
    <s v="N"/>
    <s v="A038"/>
    <d v="2016-12-14T00:00:00"/>
    <s v="20"/>
    <s v="TAN"/>
    <s v="OR"/>
    <d v="2016-12-08T00:00:00"/>
    <s v="MT"/>
    <s v="US"/>
    <s v="ZR"/>
    <d v="2016-12-09T00:00:00"/>
  </r>
  <r>
    <x v="0"/>
    <x v="6"/>
    <x v="529"/>
    <x v="11"/>
    <s v="Standard order"/>
    <x v="513"/>
    <x v="513"/>
    <s v="S360"/>
    <s v="CRYSTAL S360NT"/>
    <s v="5003413"/>
    <s v="S360 ACH T20 PB SYSTIVA G100"/>
    <n v="44"/>
    <n v="0"/>
    <n v="44"/>
    <x v="6"/>
    <s v="DVNB"/>
    <s v="GEM 100"/>
    <s v="324"/>
    <s v="4.0 UN"/>
    <s v="STANDARD"/>
    <s v="N"/>
    <s v="Y"/>
    <s v="N"/>
    <s v="T20"/>
    <s v="Y"/>
    <s v="N"/>
    <s v="Y"/>
    <s v="N"/>
    <s v="A038"/>
    <d v="2016-12-14T00:00:00"/>
    <s v="30"/>
    <s v="TAN"/>
    <s v="OR"/>
    <d v="2016-12-08T00:00:00"/>
    <s v="MT"/>
    <s v="US"/>
    <s v="ZR"/>
    <d v="2016-12-09T00:00:00"/>
  </r>
  <r>
    <x v="0"/>
    <x v="6"/>
    <x v="529"/>
    <x v="11"/>
    <s v="Standard order"/>
    <x v="513"/>
    <x v="513"/>
    <s v="R052"/>
    <s v="CRYSTAL RR052"/>
    <s v="5003513"/>
    <s v="R052 ACH T20 PB SYSTIVA G100"/>
    <n v="60"/>
    <n v="0"/>
    <n v="60"/>
    <x v="6"/>
    <s v="AP82"/>
    <s v="GEM 100"/>
    <s v="324"/>
    <s v="4.0 UN"/>
    <s v="STANDARD"/>
    <s v="N"/>
    <s v="Y"/>
    <s v="N"/>
    <s v="T20"/>
    <s v="Y"/>
    <s v="N"/>
    <s v="Y"/>
    <s v="N"/>
    <s v="A038"/>
    <d v="2016-12-14T00:00:00"/>
    <s v="40"/>
    <s v="TAN"/>
    <s v="OR"/>
    <d v="2016-12-08T00:00:00"/>
    <s v="MT"/>
    <s v="US"/>
    <s v="ZR"/>
    <d v="2016-12-09T00:00:00"/>
  </r>
  <r>
    <x v="0"/>
    <x v="6"/>
    <x v="530"/>
    <x v="11"/>
    <s v="Standard order"/>
    <x v="514"/>
    <x v="514"/>
    <s v="S517"/>
    <s v="CRYSTAL S517"/>
    <s v="5003467"/>
    <s v="S517 ACH T20 PB SYSTIVA G100"/>
    <n v="24"/>
    <n v="0"/>
    <n v="24"/>
    <x v="6"/>
    <s v="DVNV"/>
    <s v="GEM 100"/>
    <s v="324"/>
    <s v="4.0 UN"/>
    <s v="STANDARD"/>
    <s v="N"/>
    <s v="Y"/>
    <s v="N"/>
    <s v="T20"/>
    <s v="Y"/>
    <s v="N"/>
    <s v="Y"/>
    <s v="N"/>
    <s v="A038"/>
    <d v="2016-12-14T00:00:00"/>
    <s v="10"/>
    <s v="TAN"/>
    <s v="OR"/>
    <d v="2016-12-08T00:00:00"/>
    <s v="MT"/>
    <s v="US"/>
    <s v="ZR"/>
    <d v="2016-12-09T00:00:00"/>
  </r>
  <r>
    <x v="0"/>
    <x v="6"/>
    <x v="530"/>
    <x v="11"/>
    <s v="Standard order"/>
    <x v="514"/>
    <x v="514"/>
    <s v="R052"/>
    <s v="CRYSTAL RR052"/>
    <s v="5003501"/>
    <s v="R052 ACH T20 PB CL SYSTIVA G100"/>
    <n v="12"/>
    <n v="0"/>
    <n v="12"/>
    <x v="6"/>
    <s v="AP82"/>
    <s v="GEM 100"/>
    <s v="321"/>
    <s v="4.0 UN"/>
    <s v="STANDARD"/>
    <s v="N"/>
    <s v="N"/>
    <s v="N"/>
    <s v="T20"/>
    <s v="Y"/>
    <s v="N"/>
    <s v="Y"/>
    <s v="N"/>
    <s v="A038"/>
    <d v="2016-12-14T00:00:00"/>
    <s v="20"/>
    <s v="TAN"/>
    <s v="OR"/>
    <d v="2016-12-08T00:00:00"/>
    <s v="MT"/>
    <s v="US"/>
    <s v="ZR"/>
    <d v="2016-12-09T00:00:00"/>
  </r>
  <r>
    <x v="0"/>
    <x v="6"/>
    <x v="530"/>
    <x v="11"/>
    <s v="Standard order"/>
    <x v="514"/>
    <x v="514"/>
    <s v="S498"/>
    <s v="CRYSTAL S498"/>
    <s v="5003419"/>
    <s v="S498 ACH T20 PB CL SYSTIVA G100"/>
    <n v="92"/>
    <n v="0"/>
    <n v="92"/>
    <x v="6"/>
    <s v="FE73"/>
    <s v="GEM 100"/>
    <s v="321"/>
    <s v="4.0 UN"/>
    <s v="STANDARD"/>
    <s v="N"/>
    <s v="N"/>
    <s v="N"/>
    <s v="T20"/>
    <s v="Y"/>
    <s v="N"/>
    <s v="Y"/>
    <s v="N"/>
    <s v="A038"/>
    <d v="2016-12-14T00:00:00"/>
    <s v="30"/>
    <s v="TAN"/>
    <s v="OR"/>
    <d v="2016-12-08T00:00:00"/>
    <s v="MT"/>
    <s v="US"/>
    <s v="ZR"/>
    <d v="2016-12-09T00:00:00"/>
  </r>
  <r>
    <x v="0"/>
    <x v="4"/>
    <x v="531"/>
    <x v="19"/>
    <s v="Standard order"/>
    <x v="515"/>
    <x v="515"/>
    <s v="A404"/>
    <s v="CRYSTAL A404NT"/>
    <s v="5002957"/>
    <s v="A404 ACH PB XL"/>
    <n v="68"/>
    <n v="0"/>
    <n v="68"/>
    <x v="4"/>
    <s v="DPNE"/>
    <s v="X-LARGE"/>
    <s v="314"/>
    <s v="4.0 UN"/>
    <s v="STANDARD"/>
    <s v="N"/>
    <s v="Y"/>
    <s v="N"/>
    <s v="N"/>
    <s v="N"/>
    <s v="N"/>
    <s v="N"/>
    <s v="N"/>
    <s v="A046"/>
    <d v="2016-12-14T00:00:00"/>
    <s v="10"/>
    <s v="TAN"/>
    <s v="OR"/>
    <d v="2016-12-08T00:00:00"/>
    <s v="ID"/>
    <s v="US"/>
    <s v="ZR"/>
    <d v="2016-12-09T00:00:00"/>
  </r>
  <r>
    <x v="0"/>
    <x v="4"/>
    <x v="531"/>
    <x v="19"/>
    <s v="Standard order"/>
    <x v="515"/>
    <x v="515"/>
    <s v="A399"/>
    <s v="CRYSTAL A399NT"/>
    <s v="5002931"/>
    <s v="A399 ACH PB XL"/>
    <n v="156"/>
    <n v="0"/>
    <n v="156"/>
    <x v="4"/>
    <s v="DP71"/>
    <s v="X-LARGE"/>
    <s v="314"/>
    <s v="4.0 UN"/>
    <s v="STANDARD"/>
    <s v="N"/>
    <s v="Y"/>
    <s v="N"/>
    <s v="N"/>
    <s v="N"/>
    <s v="N"/>
    <s v="N"/>
    <s v="N"/>
    <s v="A046"/>
    <d v="2016-12-14T00:00:00"/>
    <s v="20"/>
    <s v="TAN"/>
    <s v="OR"/>
    <d v="2016-12-08T00:00:00"/>
    <s v="ID"/>
    <s v="US"/>
    <s v="ZR"/>
    <d v="2016-12-09T00:00:00"/>
  </r>
  <r>
    <x v="0"/>
    <x v="4"/>
    <x v="531"/>
    <x v="19"/>
    <s v="Standard order"/>
    <x v="515"/>
    <x v="515"/>
    <s v="R240"/>
    <s v="CRYSTAL RR240NT"/>
    <s v="5003162"/>
    <s v="R240 ACH PB XL"/>
    <n v="68"/>
    <n v="0"/>
    <n v="68"/>
    <x v="4"/>
    <s v="BHMP"/>
    <s v="X-LARGE"/>
    <s v="314"/>
    <s v="4.0 UN"/>
    <s v="STANDARD"/>
    <s v="N"/>
    <s v="Y"/>
    <s v="N"/>
    <s v="N"/>
    <s v="N"/>
    <s v="N"/>
    <s v="N"/>
    <s v="N"/>
    <s v="A046"/>
    <d v="2016-12-14T00:00:00"/>
    <s v="30"/>
    <s v="TAN"/>
    <s v="OR"/>
    <d v="2016-12-08T00:00:00"/>
    <s v="ID"/>
    <s v="US"/>
    <s v="ZR"/>
    <d v="2016-12-09T00:00:00"/>
  </r>
  <r>
    <x v="0"/>
    <x v="4"/>
    <x v="532"/>
    <x v="19"/>
    <s v="Standard order"/>
    <x v="516"/>
    <x v="516"/>
    <s v="A501"/>
    <s v="CRYSTAL A501"/>
    <s v="5003305"/>
    <s v="A501 ACH PB LRG"/>
    <n v="20"/>
    <n v="0"/>
    <n v="20"/>
    <x v="4"/>
    <s v="EZPB"/>
    <s v="LARGE"/>
    <s v="314"/>
    <s v="4.0 UN"/>
    <s v="STANDARD"/>
    <s v="N"/>
    <s v="Y"/>
    <s v="N"/>
    <s v="N"/>
    <s v="N"/>
    <s v="N"/>
    <s v="N"/>
    <s v="N"/>
    <s v="A046"/>
    <d v="2016-12-14T00:00:00"/>
    <s v="10"/>
    <s v="TAN"/>
    <s v="OR"/>
    <d v="2016-12-08T00:00:00"/>
    <s v="ID"/>
    <s v="US"/>
    <s v="ZR"/>
    <d v="2016-12-09T00:00:00"/>
  </r>
  <r>
    <x v="0"/>
    <x v="4"/>
    <x v="532"/>
    <x v="19"/>
    <s v="Standard order"/>
    <x v="516"/>
    <x v="516"/>
    <s v="A399"/>
    <s v="CRYSTAL A399NT"/>
    <s v="5002928"/>
    <s v="A399 ACH PB LRG"/>
    <n v="332"/>
    <n v="0"/>
    <n v="332"/>
    <x v="4"/>
    <s v="DP71"/>
    <s v="LARGE"/>
    <s v="314"/>
    <s v="4.0 UN"/>
    <s v="STANDARD"/>
    <s v="N"/>
    <s v="Y"/>
    <s v="N"/>
    <s v="N"/>
    <s v="N"/>
    <s v="N"/>
    <s v="N"/>
    <s v="N"/>
    <s v="A046"/>
    <d v="2016-12-14T00:00:00"/>
    <s v="20"/>
    <s v="TAN"/>
    <s v="OR"/>
    <d v="2016-12-08T00:00:00"/>
    <s v="ID"/>
    <s v="US"/>
    <s v="ZR"/>
    <d v="2016-12-09T00:00:00"/>
  </r>
  <r>
    <x v="0"/>
    <x v="5"/>
    <x v="533"/>
    <x v="12"/>
    <s v="Standard order"/>
    <x v="517"/>
    <x v="517"/>
    <s v="Y400"/>
    <s v="CRYSTAL Y400NT"/>
    <s v="5003731"/>
    <s v="Y400 ACH T20 PB SYSTIVA ELS"/>
    <n v="16"/>
    <n v="0"/>
    <n v="16"/>
    <x v="5"/>
    <s v="4TBP"/>
    <s v="ELS"/>
    <s v="324"/>
    <s v="4.0 UN"/>
    <s v="STANDARD"/>
    <s v="N"/>
    <s v="Y"/>
    <s v="N"/>
    <s v="T20"/>
    <s v="Y"/>
    <s v="N"/>
    <s v="N"/>
    <s v="N"/>
    <s v="A014"/>
    <d v="2016-12-14T00:00:00"/>
    <s v="10"/>
    <s v="TAN"/>
    <s v="OR"/>
    <d v="2016-12-08T00:00:00"/>
    <s v="MT"/>
    <s v="US"/>
    <s v="ZR"/>
    <d v="2016-12-09T00:00:00"/>
  </r>
  <r>
    <x v="0"/>
    <x v="4"/>
    <x v="534"/>
    <x v="19"/>
    <s v="Standard order"/>
    <x v="518"/>
    <x v="518"/>
    <s v="A404"/>
    <s v="CRYSTAL A404NT"/>
    <s v="5002957"/>
    <s v="A404 ACH PB XL"/>
    <n v="100"/>
    <n v="0"/>
    <n v="100"/>
    <x v="4"/>
    <s v="DPNE"/>
    <s v="X-LARGE"/>
    <s v="314"/>
    <s v="4.0 UN"/>
    <s v="STANDARD"/>
    <s v="N"/>
    <s v="Y"/>
    <s v="N"/>
    <s v="N"/>
    <s v="N"/>
    <s v="N"/>
    <s v="N"/>
    <s v="N"/>
    <s v="A046"/>
    <d v="2016-12-14T00:00:00"/>
    <s v="10"/>
    <s v="TAN"/>
    <s v="OR"/>
    <d v="2016-12-08T00:00:00"/>
    <s v="ID"/>
    <s v="US"/>
    <s v="ZR"/>
    <d v="2016-12-09T00:00:00"/>
  </r>
  <r>
    <x v="0"/>
    <x v="4"/>
    <x v="534"/>
    <x v="19"/>
    <s v="Standard order"/>
    <x v="518"/>
    <x v="518"/>
    <s v="A399"/>
    <s v="CRYSTAL A399NT"/>
    <s v="5002931"/>
    <s v="A399 ACH PB XL"/>
    <n v="40"/>
    <n v="0"/>
    <n v="40"/>
    <x v="4"/>
    <s v="DP71"/>
    <s v="X-LARGE"/>
    <s v="314"/>
    <s v="4.0 UN"/>
    <s v="STANDARD"/>
    <s v="N"/>
    <s v="Y"/>
    <s v="N"/>
    <s v="N"/>
    <s v="N"/>
    <s v="N"/>
    <s v="N"/>
    <s v="N"/>
    <s v="A046"/>
    <d v="2016-12-14T00:00:00"/>
    <s v="20"/>
    <s v="TAN"/>
    <s v="OR"/>
    <d v="2016-12-08T00:00:00"/>
    <s v="ID"/>
    <s v="US"/>
    <s v="ZR"/>
    <d v="2016-12-09T00:00:00"/>
  </r>
  <r>
    <x v="0"/>
    <x v="0"/>
    <x v="535"/>
    <x v="4"/>
    <s v="Standard order"/>
    <x v="519"/>
    <x v="519"/>
    <s v="G333"/>
    <s v="CRYSTAL G333NT"/>
    <s v="5003376"/>
    <s v="G333 ACH T20 Kabina ELS"/>
    <n v="24"/>
    <n v="0"/>
    <n v="24"/>
    <x v="0"/>
    <s v="EE73"/>
    <s v="ELS"/>
    <s v="387"/>
    <s v="4.0 UN"/>
    <s v="STANDARD"/>
    <s v="N"/>
    <s v="N"/>
    <s v="Y"/>
    <s v="T20"/>
    <s v="N"/>
    <s v="N"/>
    <s v="N"/>
    <s v="N"/>
    <s v="A035"/>
    <d v="2016-12-14T00:00:00"/>
    <s v="10"/>
    <s v="TAN"/>
    <s v="OR"/>
    <d v="2016-12-08T00:00:00"/>
    <s v="MI"/>
    <s v="US"/>
    <s v="ZR"/>
    <d v="2016-12-09T00:00:00"/>
  </r>
  <r>
    <x v="0"/>
    <x v="0"/>
    <x v="535"/>
    <x v="4"/>
    <s v="Standard order"/>
    <x v="519"/>
    <x v="519"/>
    <s v="R059"/>
    <s v="CRYSTAL RR059"/>
    <s v="5003528"/>
    <s v="R059 ACH T20 Kabina ELS"/>
    <n v="12"/>
    <n v="0"/>
    <n v="12"/>
    <x v="0"/>
    <s v="AP73"/>
    <s v="ELS"/>
    <s v="387"/>
    <s v="4.0 UN"/>
    <s v="STANDARD"/>
    <s v="N"/>
    <s v="N"/>
    <s v="Y"/>
    <s v="T20"/>
    <s v="N"/>
    <s v="N"/>
    <s v="N"/>
    <s v="N"/>
    <s v="A035"/>
    <d v="2016-12-14T00:00:00"/>
    <s v="20"/>
    <s v="TAN"/>
    <s v="OR"/>
    <d v="2016-12-08T00:00:00"/>
    <s v="MI"/>
    <s v="US"/>
    <s v="ZR"/>
    <d v="2016-12-09T00:00:00"/>
  </r>
  <r>
    <x v="0"/>
    <x v="4"/>
    <x v="536"/>
    <x v="16"/>
    <s v="Standard order"/>
    <x v="520"/>
    <x v="520"/>
    <s v="A399"/>
    <s v="CRYSTAL A399NT"/>
    <s v="5002939"/>
    <s v="A399 ACH XL"/>
    <n v="44"/>
    <n v="0"/>
    <n v="44"/>
    <x v="4"/>
    <s v="DP71"/>
    <s v="X-LARGE"/>
    <s v="316"/>
    <s v="4.0 UN"/>
    <s v="STANDARD"/>
    <s v="N"/>
    <s v="N"/>
    <s v="N"/>
    <s v="N"/>
    <s v="N"/>
    <s v="N"/>
    <s v="N"/>
    <s v="N"/>
    <s v="A042"/>
    <d v="2016-12-14T00:00:00"/>
    <s v="10"/>
    <s v="TAN"/>
    <s v="OR"/>
    <d v="2016-12-08T00:00:00"/>
    <s v="ID"/>
    <s v="US"/>
    <s v="ZR"/>
    <d v="2016-12-09T00:00:00"/>
  </r>
  <r>
    <x v="0"/>
    <x v="4"/>
    <x v="536"/>
    <x v="16"/>
    <s v="Standard order"/>
    <x v="520"/>
    <x v="520"/>
    <s v="A501"/>
    <s v="CRYSTAL A501"/>
    <s v="5003308"/>
    <s v="A501 ACH PB XL"/>
    <n v="8"/>
    <n v="0"/>
    <n v="8"/>
    <x v="4"/>
    <s v="EZPB"/>
    <s v="X-LARGE"/>
    <s v="314"/>
    <s v="4.0 UN"/>
    <s v="STANDARD"/>
    <s v="N"/>
    <s v="Y"/>
    <s v="N"/>
    <s v="N"/>
    <s v="N"/>
    <s v="N"/>
    <s v="N"/>
    <s v="N"/>
    <s v="A042"/>
    <d v="2016-12-14T00:00:00"/>
    <s v="20"/>
    <s v="TAN"/>
    <s v="OR"/>
    <d v="2016-12-08T00:00:00"/>
    <s v="ID"/>
    <s v="US"/>
    <s v="ZR"/>
    <d v="2016-12-09T00:00:00"/>
  </r>
  <r>
    <x v="0"/>
    <x v="0"/>
    <x v="537"/>
    <x v="2"/>
    <s v="Standard order"/>
    <x v="521"/>
    <x v="521"/>
    <s v="R059"/>
    <s v="CRYSTAL RR059"/>
    <s v="5003530"/>
    <s v="R059 ACH T20 Kabina RP"/>
    <n v="36"/>
    <n v="0"/>
    <n v="36"/>
    <x v="0"/>
    <s v="AP73"/>
    <s v="RP"/>
    <s v="387"/>
    <s v="4.0 UN"/>
    <s v="STANDARD"/>
    <s v="N"/>
    <s v="N"/>
    <s v="Y"/>
    <s v="T20"/>
    <s v="N"/>
    <s v="N"/>
    <s v="N"/>
    <s v="N"/>
    <s v="A034"/>
    <d v="2016-12-14T00:00:00"/>
    <s v="10"/>
    <s v="TAN"/>
    <s v="OR"/>
    <d v="2016-12-09T00:00:00"/>
    <s v="MI"/>
    <s v="US"/>
    <s v="ZR"/>
    <d v="2016-12-09T00:00:00"/>
  </r>
  <r>
    <x v="0"/>
    <x v="5"/>
    <x v="538"/>
    <x v="12"/>
    <s v="Standard order"/>
    <x v="522"/>
    <x v="522"/>
    <s v="Y400"/>
    <s v="CRYSTAL Y400NT"/>
    <s v="5003735"/>
    <s v="Y400 ACH T20 PB SYSTIVA RP"/>
    <n v="12"/>
    <n v="0"/>
    <n v="12"/>
    <x v="5"/>
    <s v="4TBP"/>
    <s v="RP"/>
    <s v="324"/>
    <s v="4.0 UN"/>
    <s v="STANDARD"/>
    <s v="N"/>
    <s v="Y"/>
    <s v="N"/>
    <s v="T20"/>
    <s v="Y"/>
    <s v="N"/>
    <s v="N"/>
    <s v="N"/>
    <s v="A014"/>
    <d v="2016-12-14T00:00:00"/>
    <s v="10"/>
    <s v="TAN"/>
    <s v="OR"/>
    <d v="2016-12-09T00:00:00"/>
    <s v="MT"/>
    <s v="US"/>
    <s v="ZR"/>
    <d v="2016-12-09T00:00:00"/>
  </r>
  <r>
    <x v="0"/>
    <x v="0"/>
    <x v="539"/>
    <x v="4"/>
    <s v="Standard order"/>
    <x v="523"/>
    <x v="523"/>
    <s v="R059"/>
    <s v="CRYSTAL RR059"/>
    <s v="5003530"/>
    <s v="R059 ACH T20 Kabina RP"/>
    <n v="20"/>
    <n v="0"/>
    <n v="20"/>
    <x v="0"/>
    <s v="AP73"/>
    <s v="RP"/>
    <s v="387"/>
    <s v="4.0 UN"/>
    <s v="STANDARD"/>
    <s v="N"/>
    <s v="N"/>
    <s v="Y"/>
    <s v="T20"/>
    <s v="N"/>
    <s v="N"/>
    <s v="N"/>
    <s v="N"/>
    <s v="A035"/>
    <d v="2016-12-14T00:00:00"/>
    <s v="10"/>
    <s v="TAN"/>
    <s v="OR"/>
    <d v="2016-12-09T00:00:00"/>
    <s v="MI"/>
    <s v="US"/>
    <s v="ZR"/>
    <d v="2016-12-09T00:00:00"/>
  </r>
  <r>
    <x v="0"/>
    <x v="0"/>
    <x v="539"/>
    <x v="4"/>
    <s v="Standard order"/>
    <x v="523"/>
    <x v="523"/>
    <s v="G333"/>
    <s v="CRYSTAL G333NT"/>
    <s v="5003378"/>
    <s v="G333 ACH T20 Kabina RP"/>
    <n v="20"/>
    <n v="0"/>
    <n v="20"/>
    <x v="0"/>
    <s v="EE73"/>
    <s v="RP"/>
    <s v="387"/>
    <s v="4.0 UN"/>
    <s v="STANDARD"/>
    <s v="N"/>
    <s v="N"/>
    <s v="Y"/>
    <s v="T20"/>
    <s v="N"/>
    <s v="N"/>
    <s v="N"/>
    <s v="N"/>
    <s v="A035"/>
    <d v="2016-12-14T00:00:00"/>
    <s v="20"/>
    <s v="TAN"/>
    <s v="OR"/>
    <d v="2016-12-09T00:00:00"/>
    <s v="MI"/>
    <s v="US"/>
    <s v="ZR"/>
    <d v="2016-12-09T00:00:00"/>
  </r>
  <r>
    <x v="0"/>
    <x v="4"/>
    <x v="540"/>
    <x v="17"/>
    <s v="Standard order"/>
    <x v="524"/>
    <x v="524"/>
    <s v="R933"/>
    <s v="CRYSTAL RR933"/>
    <s v="5003679"/>
    <s v="R933 ACH MED"/>
    <n v="304"/>
    <n v="0"/>
    <n v="304"/>
    <x v="4"/>
    <s v="3571"/>
    <s v="MEDIUM"/>
    <s v="316"/>
    <s v="4.0 UN"/>
    <s v="STANDARD"/>
    <s v="N"/>
    <s v="N"/>
    <s v="N"/>
    <s v="N"/>
    <s v="N"/>
    <s v="N"/>
    <s v="N"/>
    <s v="N"/>
    <s v="A040"/>
    <d v="2016-12-14T00:00:00"/>
    <s v="10"/>
    <s v="TAN"/>
    <s v="OR"/>
    <d v="2016-12-09T00:00:00"/>
    <s v="ID"/>
    <s v="US"/>
    <s v="ZR"/>
    <d v="2016-12-09T00:00:00"/>
  </r>
  <r>
    <x v="0"/>
    <x v="4"/>
    <x v="540"/>
    <x v="17"/>
    <s v="Standard order"/>
    <x v="524"/>
    <x v="524"/>
    <s v="A501"/>
    <s v="CRYSTAL A501"/>
    <s v="5003306"/>
    <s v="A501 ACH PB MED"/>
    <n v="96"/>
    <n v="0"/>
    <n v="96"/>
    <x v="4"/>
    <s v="EZPB"/>
    <s v="MEDIUM"/>
    <s v="314"/>
    <s v="4.0 UN"/>
    <s v="STANDARD"/>
    <s v="N"/>
    <s v="Y"/>
    <s v="N"/>
    <s v="N"/>
    <s v="N"/>
    <s v="N"/>
    <s v="N"/>
    <s v="N"/>
    <s v="A040"/>
    <d v="2016-12-14T00:00:00"/>
    <s v="20"/>
    <s v="TAN"/>
    <s v="OR"/>
    <d v="2016-12-09T00:00:00"/>
    <s v="ID"/>
    <s v="US"/>
    <s v="ZR"/>
    <d v="2016-12-09T00:00:00"/>
  </r>
  <r>
    <x v="0"/>
    <x v="4"/>
    <x v="540"/>
    <x v="17"/>
    <s v="Standard order"/>
    <x v="524"/>
    <x v="524"/>
    <s v="A399"/>
    <s v="CRYSTAL A399NT"/>
    <s v="5002921"/>
    <s v="A399 ACH MED"/>
    <n v="484"/>
    <n v="0"/>
    <n v="484"/>
    <x v="4"/>
    <s v="DP71"/>
    <s v="MEDIUM"/>
    <s v="316"/>
    <s v="4.0 UN"/>
    <s v="STANDARD"/>
    <s v="N"/>
    <s v="N"/>
    <s v="N"/>
    <s v="N"/>
    <s v="N"/>
    <s v="N"/>
    <s v="N"/>
    <s v="N"/>
    <s v="A040"/>
    <d v="2016-12-14T00:00:00"/>
    <s v="30"/>
    <s v="TAN"/>
    <s v="OR"/>
    <d v="2016-12-09T00:00:00"/>
    <s v="ID"/>
    <s v="US"/>
    <s v="ZR"/>
    <d v="2016-12-09T00:00:00"/>
  </r>
  <r>
    <x v="0"/>
    <x v="4"/>
    <x v="541"/>
    <x v="19"/>
    <s v="Standard order"/>
    <x v="525"/>
    <x v="525"/>
    <s v="A488"/>
    <s v="CRYSTAL A488NT"/>
    <s v="5002980"/>
    <s v="A488 ACH PB LRG"/>
    <n v="52"/>
    <n v="0"/>
    <n v="52"/>
    <x v="4"/>
    <s v="EENE"/>
    <s v="LARGE"/>
    <s v="314"/>
    <s v="4.0 UN"/>
    <s v="STANDARD"/>
    <s v="N"/>
    <s v="Y"/>
    <s v="N"/>
    <s v="N"/>
    <s v="N"/>
    <s v="N"/>
    <s v="N"/>
    <s v="N"/>
    <s v="A046"/>
    <d v="2016-12-14T00:00:00"/>
    <s v="10"/>
    <s v="TAN"/>
    <s v="OR"/>
    <d v="2016-12-08T00:00:00"/>
    <s v="ID"/>
    <s v="US"/>
    <s v="ZR"/>
    <d v="2016-12-09T00:00:00"/>
  </r>
  <r>
    <x v="0"/>
    <x v="4"/>
    <x v="541"/>
    <x v="19"/>
    <s v="Standard order"/>
    <x v="525"/>
    <x v="525"/>
    <s v="A399"/>
    <s v="CRYSTAL A399NT"/>
    <s v="5002928"/>
    <s v="A399 ACH PB LRG"/>
    <n v="16"/>
    <n v="0"/>
    <n v="16"/>
    <x v="4"/>
    <s v="DP71"/>
    <s v="LARGE"/>
    <s v="314"/>
    <s v="4.0 UN"/>
    <s v="STANDARD"/>
    <s v="N"/>
    <s v="Y"/>
    <s v="N"/>
    <s v="N"/>
    <s v="N"/>
    <s v="N"/>
    <s v="N"/>
    <s v="N"/>
    <s v="A046"/>
    <d v="2016-12-14T00:00:00"/>
    <s v="20"/>
    <s v="TAN"/>
    <s v="OR"/>
    <d v="2016-12-08T00:00:00"/>
    <s v="ID"/>
    <s v="US"/>
    <s v="ZR"/>
    <d v="2016-12-09T00:00:00"/>
  </r>
  <r>
    <x v="0"/>
    <x v="5"/>
    <x v="542"/>
    <x v="9"/>
    <s v="Standard order"/>
    <x v="526"/>
    <x v="526"/>
    <s v="R116"/>
    <s v="CRYSTAL RR116"/>
    <s v="5003105"/>
    <s v="R116 ACH T20 PB SYSTIVA RP"/>
    <n v="8"/>
    <n v="0"/>
    <n v="8"/>
    <x v="5"/>
    <s v="AP71"/>
    <s v="RP"/>
    <s v="324"/>
    <s v="4.0 UN"/>
    <s v="STANDARD"/>
    <s v="N"/>
    <s v="Y"/>
    <s v="N"/>
    <s v="T20"/>
    <s v="Y"/>
    <s v="N"/>
    <s v="N"/>
    <s v="N"/>
    <s v="A016"/>
    <d v="2016-12-14T00:00:00"/>
    <s v="10"/>
    <s v="TAN"/>
    <s v="OR"/>
    <d v="2016-12-09T00:00:00"/>
    <s v="WY"/>
    <s v="US"/>
    <s v="ZR"/>
    <d v="2016-12-09T00:00:00"/>
  </r>
  <r>
    <x v="0"/>
    <x v="4"/>
    <x v="543"/>
    <x v="16"/>
    <s v="Standard order"/>
    <x v="527"/>
    <x v="527"/>
    <s v="A404"/>
    <s v="CRYSTAL A404NT"/>
    <s v="5002955"/>
    <s v="A404 ACH PB MED"/>
    <n v="32"/>
    <n v="0"/>
    <n v="32"/>
    <x v="4"/>
    <s v="DPNE"/>
    <s v="MEDIUM"/>
    <s v="314"/>
    <s v="4.0 UN"/>
    <s v="STANDARD"/>
    <s v="N"/>
    <s v="Y"/>
    <s v="N"/>
    <s v="N"/>
    <s v="N"/>
    <s v="N"/>
    <s v="N"/>
    <s v="N"/>
    <s v="A042"/>
    <d v="2016-12-14T00:00:00"/>
    <s v="10"/>
    <s v="TAN"/>
    <s v="OR"/>
    <d v="2016-12-09T00:00:00"/>
    <s v="ID"/>
    <s v="US"/>
    <s v="ZR"/>
    <d v="2016-12-09T00:00:00"/>
  </r>
  <r>
    <x v="0"/>
    <x v="4"/>
    <x v="544"/>
    <x v="16"/>
    <s v="Standard order"/>
    <x v="528"/>
    <x v="528"/>
    <s v="A404"/>
    <s v="CRYSTAL A404NT"/>
    <s v="5002955"/>
    <s v="A404 ACH PB MED"/>
    <n v="48"/>
    <n v="0"/>
    <n v="48"/>
    <x v="4"/>
    <s v="DPNE"/>
    <s v="MEDIUM"/>
    <s v="314"/>
    <s v="4.0 UN"/>
    <s v="STANDARD"/>
    <s v="N"/>
    <s v="Y"/>
    <s v="N"/>
    <s v="N"/>
    <s v="N"/>
    <s v="N"/>
    <s v="N"/>
    <s v="N"/>
    <s v="A042"/>
    <d v="2016-12-14T00:00:00"/>
    <s v="10"/>
    <s v="TAN"/>
    <s v="OR"/>
    <d v="2016-12-09T00:00:00"/>
    <s v="ID"/>
    <s v="US"/>
    <s v="ZR"/>
    <d v="2016-12-09T00:00:00"/>
  </r>
  <r>
    <x v="0"/>
    <x v="5"/>
    <x v="545"/>
    <x v="21"/>
    <s v="Standard order"/>
    <x v="529"/>
    <x v="529"/>
    <s v="Y400"/>
    <s v="CRYSTAL Y400NT"/>
    <s v="5003735"/>
    <s v="Y400 ACH T20 PB SYSTIVA RP"/>
    <n v="8"/>
    <n v="0"/>
    <n v="8"/>
    <x v="5"/>
    <s v="4TBP"/>
    <s v="RP"/>
    <s v="324"/>
    <s v="4.0 UN"/>
    <s v="STANDARD"/>
    <s v="N"/>
    <s v="Y"/>
    <s v="N"/>
    <s v="T20"/>
    <s v="Y"/>
    <s v="N"/>
    <s v="N"/>
    <s v="N"/>
    <s v="A013"/>
    <d v="2016-12-14T00:00:00"/>
    <s v="10"/>
    <s v="TAN"/>
    <s v="OR"/>
    <d v="2016-12-09T00:00:00"/>
    <s v="MT"/>
    <s v="US"/>
    <s v="ZR"/>
    <d v="2016-12-09T00:00:00"/>
  </r>
  <r>
    <x v="0"/>
    <x v="0"/>
    <x v="546"/>
    <x v="4"/>
    <s v="Standard order"/>
    <x v="530"/>
    <x v="530"/>
    <s v="G515"/>
    <s v="CRYSTAL G515"/>
    <s v="5003018"/>
    <s v="G515 ACH T20 Kabina MP"/>
    <n v="12"/>
    <n v="0"/>
    <n v="12"/>
    <x v="0"/>
    <s v="APND"/>
    <s v="MP"/>
    <s v="387"/>
    <s v="4.0 UN"/>
    <s v="STANDARD"/>
    <s v="N"/>
    <s v="N"/>
    <s v="Y"/>
    <s v="T20"/>
    <s v="N"/>
    <s v="N"/>
    <s v="N"/>
    <s v="N"/>
    <s v="A035"/>
    <d v="2016-12-14T00:00:00"/>
    <s v="10"/>
    <s v="TAN"/>
    <s v="OR"/>
    <d v="2016-12-09T00:00:00"/>
    <s v="MI"/>
    <s v="US"/>
    <s v="ZR"/>
    <d v="2016-12-09T00:00:00"/>
  </r>
  <r>
    <x v="0"/>
    <x v="0"/>
    <x v="546"/>
    <x v="4"/>
    <s v="Standard order"/>
    <x v="530"/>
    <x v="530"/>
    <s v="G333"/>
    <s v="CRYSTAL G333NT"/>
    <s v="5003377"/>
    <s v="G333 ACH T20 Kabina MP"/>
    <n v="12"/>
    <n v="0"/>
    <n v="12"/>
    <x v="0"/>
    <s v="EE73"/>
    <s v="MP"/>
    <s v="387"/>
    <s v="4.0 UN"/>
    <s v="STANDARD"/>
    <s v="N"/>
    <s v="N"/>
    <s v="Y"/>
    <s v="T20"/>
    <s v="N"/>
    <s v="N"/>
    <s v="N"/>
    <s v="N"/>
    <s v="A035"/>
    <d v="2016-12-14T00:00:00"/>
    <s v="20"/>
    <s v="TAN"/>
    <s v="OR"/>
    <d v="2016-12-09T00:00:00"/>
    <s v="MI"/>
    <s v="US"/>
    <s v="ZR"/>
    <d v="2016-12-09T00:00:00"/>
  </r>
  <r>
    <x v="0"/>
    <x v="0"/>
    <x v="546"/>
    <x v="4"/>
    <s v="Standard order"/>
    <x v="530"/>
    <x v="530"/>
    <s v="R059"/>
    <s v="CRYSTAL RR059"/>
    <s v="5003535"/>
    <s v="R059 ACH T20 SYSTIVA MP"/>
    <n v="24"/>
    <n v="0"/>
    <n v="24"/>
    <x v="0"/>
    <s v="AP73"/>
    <s v="MP"/>
    <s v="328"/>
    <s v="4.0 UN"/>
    <s v="STANDARD"/>
    <s v="N"/>
    <s v="N"/>
    <s v="N"/>
    <s v="T20"/>
    <s v="Y"/>
    <s v="N"/>
    <s v="Y"/>
    <s v="N"/>
    <s v="A035"/>
    <d v="2016-12-14T00:00:00"/>
    <s v="30"/>
    <s v="TAN"/>
    <s v="OR"/>
    <d v="2016-12-09T00:00:00"/>
    <s v="MI"/>
    <s v="US"/>
    <s v="ZR"/>
    <d v="2016-12-09T00:00:00"/>
  </r>
  <r>
    <x v="0"/>
    <x v="0"/>
    <x v="546"/>
    <x v="4"/>
    <s v="Standard order"/>
    <x v="530"/>
    <x v="530"/>
    <s v="R059"/>
    <s v="CRYSTAL RR059"/>
    <s v="5003529"/>
    <s v="R059 ACH T20 Kabina MP"/>
    <n v="24"/>
    <n v="0"/>
    <n v="24"/>
    <x v="0"/>
    <s v="AP73"/>
    <s v="MP"/>
    <s v="387"/>
    <s v="4.0 UN"/>
    <s v="STANDARD"/>
    <s v="N"/>
    <s v="N"/>
    <s v="Y"/>
    <s v="T20"/>
    <s v="N"/>
    <s v="N"/>
    <s v="N"/>
    <s v="N"/>
    <s v="A035"/>
    <d v="2016-12-14T00:00:00"/>
    <s v="40"/>
    <s v="TAN"/>
    <s v="OR"/>
    <d v="2016-12-09T00:00:00"/>
    <s v="MI"/>
    <s v="US"/>
    <s v="ZR"/>
    <d v="2016-12-09T00:00:00"/>
  </r>
  <r>
    <x v="0"/>
    <x v="5"/>
    <x v="547"/>
    <x v="9"/>
    <s v="Standard order"/>
    <x v="531"/>
    <x v="531"/>
    <s v="Y400"/>
    <s v="CRYSTAL Y400NT"/>
    <s v="5003735"/>
    <s v="Y400 ACH T20 PB SYSTIVA RP"/>
    <n v="8"/>
    <n v="0"/>
    <n v="8"/>
    <x v="5"/>
    <s v="4TBP"/>
    <s v="RP"/>
    <s v="324"/>
    <s v="4.0 UN"/>
    <s v="STANDARD"/>
    <s v="N"/>
    <s v="Y"/>
    <s v="N"/>
    <s v="T20"/>
    <s v="Y"/>
    <s v="N"/>
    <s v="N"/>
    <s v="N"/>
    <s v="A016"/>
    <d v="2016-12-14T00:00:00"/>
    <s v="10"/>
    <s v="TAN"/>
    <s v="OR"/>
    <d v="2016-12-09T00:00:00"/>
    <s v="WY"/>
    <s v="US"/>
    <s v="ZR"/>
    <d v="2016-12-09T00:00:00"/>
  </r>
  <r>
    <x v="0"/>
    <x v="5"/>
    <x v="548"/>
    <x v="9"/>
    <s v="Standard order"/>
    <x v="532"/>
    <x v="532"/>
    <s v="R116"/>
    <s v="CRYSTAL RR116"/>
    <s v="5003105"/>
    <s v="R116 ACH T20 PB SYSTIVA RP"/>
    <n v="72"/>
    <n v="0"/>
    <n v="72"/>
    <x v="5"/>
    <s v="AP71"/>
    <s v="RP"/>
    <s v="324"/>
    <s v="4.0 UN"/>
    <s v="STANDARD"/>
    <s v="N"/>
    <s v="Y"/>
    <s v="N"/>
    <s v="T20"/>
    <s v="Y"/>
    <s v="N"/>
    <s v="N"/>
    <s v="N"/>
    <s v="A016"/>
    <d v="2016-12-14T00:00:00"/>
    <s v="10"/>
    <s v="TAN"/>
    <s v="OR"/>
    <d v="2016-12-09T00:00:00"/>
    <s v="WY"/>
    <s v="US"/>
    <s v="ZR"/>
    <d v="2016-12-09T00:00:00"/>
  </r>
  <r>
    <x v="0"/>
    <x v="0"/>
    <x v="549"/>
    <x v="2"/>
    <s v="Standard order"/>
    <x v="533"/>
    <x v="533"/>
    <s v="R059"/>
    <s v="CRYSTAL RR059"/>
    <s v="5003530"/>
    <s v="R059 ACH T20 Kabina RP"/>
    <n v="12"/>
    <n v="0"/>
    <n v="12"/>
    <x v="0"/>
    <s v="AP73"/>
    <s v="RP"/>
    <s v="387"/>
    <s v="4.0 UN"/>
    <s v="STANDARD"/>
    <s v="N"/>
    <s v="N"/>
    <s v="Y"/>
    <s v="T20"/>
    <s v="N"/>
    <s v="N"/>
    <s v="N"/>
    <s v="N"/>
    <s v="A034"/>
    <d v="2016-12-14T00:00:00"/>
    <s v="10"/>
    <s v="TAN"/>
    <s v="OR"/>
    <d v="2016-12-09T00:00:00"/>
    <s v="MI"/>
    <s v="US"/>
    <s v="ZR"/>
    <d v="2016-12-09T00:00:00"/>
  </r>
  <r>
    <x v="0"/>
    <x v="0"/>
    <x v="550"/>
    <x v="2"/>
    <s v="Standard order"/>
    <x v="534"/>
    <x v="534"/>
    <s v="G351"/>
    <s v="CRYSTAL G351NT"/>
    <s v="5003398"/>
    <s v="G351 ACH T20 Kabina RP"/>
    <n v="32"/>
    <n v="0"/>
    <n v="32"/>
    <x v="0"/>
    <s v="DA73"/>
    <s v="RP"/>
    <s v="387"/>
    <s v="4.0 UN"/>
    <s v="STANDARD"/>
    <s v="N"/>
    <s v="N"/>
    <s v="Y"/>
    <s v="T20"/>
    <s v="N"/>
    <s v="N"/>
    <s v="N"/>
    <s v="N"/>
    <s v="A034"/>
    <d v="2016-12-14T00:00:00"/>
    <s v="10"/>
    <s v="TAN"/>
    <s v="OR"/>
    <d v="2016-12-09T00:00:00"/>
    <s v="MI"/>
    <s v="US"/>
    <s v="ZR"/>
    <d v="2016-12-09T00:00:00"/>
  </r>
  <r>
    <x v="0"/>
    <x v="0"/>
    <x v="550"/>
    <x v="2"/>
    <s v="Standard order"/>
    <x v="534"/>
    <x v="534"/>
    <s v="G333"/>
    <s v="CRYSTAL G333NT"/>
    <s v="5003377"/>
    <s v="G333 ACH T20 Kabina MP"/>
    <n v="36"/>
    <n v="0"/>
    <n v="36"/>
    <x v="0"/>
    <s v="EE73"/>
    <s v="MP"/>
    <s v="387"/>
    <s v="4.0 UN"/>
    <s v="STANDARD"/>
    <s v="N"/>
    <s v="N"/>
    <s v="Y"/>
    <s v="T20"/>
    <s v="N"/>
    <s v="N"/>
    <s v="N"/>
    <s v="N"/>
    <s v="A034"/>
    <d v="2016-12-14T00:00:00"/>
    <s v="20"/>
    <s v="TAN"/>
    <s v="OR"/>
    <d v="2016-12-09T00:00:00"/>
    <s v="MI"/>
    <s v="US"/>
    <s v="ZR"/>
    <d v="2016-12-09T00:00:00"/>
  </r>
  <r>
    <x v="0"/>
    <x v="0"/>
    <x v="550"/>
    <x v="2"/>
    <s v="Standard order"/>
    <x v="534"/>
    <x v="534"/>
    <s v="R059"/>
    <s v="CRYSTAL RR059"/>
    <s v="5003529"/>
    <s v="R059 ACH T20 Kabina MP"/>
    <n v="152"/>
    <n v="0"/>
    <n v="152"/>
    <x v="0"/>
    <s v="AP73"/>
    <s v="MP"/>
    <s v="387"/>
    <s v="4.0 UN"/>
    <s v="STANDARD"/>
    <s v="N"/>
    <s v="N"/>
    <s v="Y"/>
    <s v="T20"/>
    <s v="N"/>
    <s v="N"/>
    <s v="N"/>
    <s v="N"/>
    <s v="A034"/>
    <d v="2016-12-14T00:00:00"/>
    <s v="30"/>
    <s v="TAN"/>
    <s v="OR"/>
    <d v="2016-12-09T00:00:00"/>
    <s v="MI"/>
    <s v="US"/>
    <s v="ZR"/>
    <d v="2016-12-09T00:00:00"/>
  </r>
  <r>
    <x v="0"/>
    <x v="5"/>
    <x v="551"/>
    <x v="9"/>
    <s v="Standard order"/>
    <x v="535"/>
    <x v="535"/>
    <s v="R116"/>
    <s v="CRYSTAL RR116"/>
    <s v="5003105"/>
    <s v="R116 ACH T20 PB SYSTIVA RP"/>
    <n v="52"/>
    <n v="0"/>
    <n v="52"/>
    <x v="5"/>
    <s v="AP71"/>
    <s v="RP"/>
    <s v="324"/>
    <s v="4.0 UN"/>
    <s v="STANDARD"/>
    <s v="N"/>
    <s v="Y"/>
    <s v="N"/>
    <s v="T20"/>
    <s v="Y"/>
    <s v="N"/>
    <s v="N"/>
    <s v="N"/>
    <s v="A016"/>
    <d v="2016-12-14T00:00:00"/>
    <s v="10"/>
    <s v="TAN"/>
    <s v="OR"/>
    <d v="2016-12-09T00:00:00"/>
    <s v="WY"/>
    <s v="US"/>
    <s v="ZR"/>
    <d v="2016-12-09T00:00:00"/>
  </r>
  <r>
    <x v="0"/>
    <x v="5"/>
    <x v="552"/>
    <x v="9"/>
    <s v="Standard order"/>
    <x v="536"/>
    <x v="536"/>
    <s v="R116"/>
    <s v="CRYSTAL RR116"/>
    <s v="5003105"/>
    <s v="R116 ACH T20 PB SYSTIVA RP"/>
    <n v="48"/>
    <n v="0"/>
    <n v="48"/>
    <x v="5"/>
    <s v="AP71"/>
    <s v="RP"/>
    <s v="324"/>
    <s v="4.0 UN"/>
    <s v="STANDARD"/>
    <s v="N"/>
    <s v="Y"/>
    <s v="N"/>
    <s v="T20"/>
    <s v="Y"/>
    <s v="N"/>
    <s v="N"/>
    <s v="N"/>
    <s v="A016"/>
    <d v="2016-12-14T00:00:00"/>
    <s v="10"/>
    <s v="TAN"/>
    <s v="OR"/>
    <d v="2016-12-09T00:00:00"/>
    <s v="WY"/>
    <s v="US"/>
    <s v="ZR"/>
    <d v="2016-12-09T00:00:00"/>
  </r>
  <r>
    <x v="0"/>
    <x v="2"/>
    <x v="553"/>
    <x v="6"/>
    <s v="Standard order"/>
    <x v="537"/>
    <x v="537"/>
    <s v="R014"/>
    <s v="CRYSTAL RR014"/>
    <s v="5003092"/>
    <s v="R014 ACH T20 PB SYSTIVA G50"/>
    <n v="68"/>
    <n v="0"/>
    <n v="68"/>
    <x v="2"/>
    <s v="AP82"/>
    <s v="GEM 50"/>
    <s v="324"/>
    <s v="4.0 UN"/>
    <s v="STANDARD"/>
    <s v="N"/>
    <s v="Y"/>
    <s v="N"/>
    <s v="T20"/>
    <s v="Y"/>
    <s v="N"/>
    <s v="Y"/>
    <s v="N"/>
    <s v="A025"/>
    <d v="2016-12-14T00:00:00"/>
    <s v="10"/>
    <s v="TAN"/>
    <s v="OR"/>
    <d v="2016-12-09T00:00:00"/>
    <s v="NE"/>
    <s v="US"/>
    <s v="ZR"/>
    <d v="2016-12-09T00:00:00"/>
  </r>
  <r>
    <x v="0"/>
    <x v="4"/>
    <x v="554"/>
    <x v="15"/>
    <s v="Standard order"/>
    <x v="538"/>
    <x v="538"/>
    <s v="A404"/>
    <s v="CRYSTAL A404NT"/>
    <s v="5002961"/>
    <s v="A404 ACH T20 PB Kabina CL MP"/>
    <n v="28"/>
    <n v="0"/>
    <n v="28"/>
    <x v="4"/>
    <s v="DPNE"/>
    <s v="MP"/>
    <s v="323"/>
    <s v="4.0 UN"/>
    <s v="STANDARD"/>
    <s v="N"/>
    <s v="Y"/>
    <s v="Y"/>
    <s v="T20"/>
    <s v="N"/>
    <s v="N"/>
    <s v="N"/>
    <s v="N"/>
    <s v="A043"/>
    <d v="2016-12-14T00:00:00"/>
    <s v="10"/>
    <s v="TAN"/>
    <s v="OR"/>
    <d v="2016-12-09T00:00:00"/>
    <s v="ID"/>
    <s v="US"/>
    <s v="ZR"/>
    <d v="2016-12-09T00:00:00"/>
  </r>
  <r>
    <x v="0"/>
    <x v="0"/>
    <x v="555"/>
    <x v="2"/>
    <s v="Standard order"/>
    <x v="539"/>
    <x v="539"/>
    <s v="R059"/>
    <s v="CRYSTAL RR059"/>
    <s v="5003530"/>
    <s v="R059 ACH T20 Kabina RP"/>
    <n v="28"/>
    <n v="0"/>
    <n v="28"/>
    <x v="0"/>
    <s v="AP73"/>
    <s v="RP"/>
    <s v="387"/>
    <s v="4.0 UN"/>
    <s v="STANDARD"/>
    <s v="N"/>
    <s v="N"/>
    <s v="Y"/>
    <s v="T20"/>
    <s v="N"/>
    <s v="N"/>
    <s v="N"/>
    <s v="N"/>
    <s v="A034"/>
    <d v="2016-12-14T00:00:00"/>
    <s v="20"/>
    <s v="TAN"/>
    <s v="OR"/>
    <d v="2016-12-09T00:00:00"/>
    <s v="MI"/>
    <s v="US"/>
    <s v="ZR"/>
    <d v="2016-12-09T00:00:00"/>
  </r>
  <r>
    <x v="0"/>
    <x v="0"/>
    <x v="555"/>
    <x v="2"/>
    <s v="Standard order"/>
    <x v="539"/>
    <x v="539"/>
    <s v="G333"/>
    <s v="CRYSTAL G333NT"/>
    <s v="5003378"/>
    <s v="G333 ACH T20 Kabina RP"/>
    <n v="4"/>
    <n v="0"/>
    <n v="4"/>
    <x v="0"/>
    <s v="EE73"/>
    <s v="RP"/>
    <s v="387"/>
    <s v="4.0 UN"/>
    <s v="STANDARD"/>
    <s v="N"/>
    <s v="N"/>
    <s v="Y"/>
    <s v="T20"/>
    <s v="N"/>
    <s v="N"/>
    <s v="N"/>
    <s v="N"/>
    <s v="A034"/>
    <d v="2016-12-14T00:00:00"/>
    <s v="40"/>
    <s v="TAN"/>
    <s v="OR"/>
    <d v="2016-12-09T00:00:00"/>
    <s v="MI"/>
    <s v="US"/>
    <s v="ZR"/>
    <d v="2016-12-09T00:00:00"/>
  </r>
  <r>
    <x v="0"/>
    <x v="2"/>
    <x v="556"/>
    <x v="6"/>
    <s v="Standard order"/>
    <x v="540"/>
    <x v="540"/>
    <s v="W322"/>
    <s v="CRYSTAL W322NT"/>
    <s v="5003488"/>
    <s v="W322 ACH T20 PB SYSTIVA G100"/>
    <n v="20"/>
    <n v="0"/>
    <n v="20"/>
    <x v="2"/>
    <s v="EE73"/>
    <s v="GEM 100"/>
    <s v="324"/>
    <s v="4.0 UN"/>
    <s v="STANDARD"/>
    <s v="N"/>
    <s v="Y"/>
    <s v="N"/>
    <s v="T20"/>
    <s v="Y"/>
    <s v="N"/>
    <s v="Y"/>
    <s v="N"/>
    <s v="A025"/>
    <d v="2016-12-14T00:00:00"/>
    <s v="10"/>
    <s v="TAN"/>
    <s v="OR"/>
    <d v="2016-12-08T00:00:00"/>
    <s v="NE"/>
    <s v="US"/>
    <s v="ZR"/>
    <d v="2016-12-09T00:00:00"/>
  </r>
  <r>
    <x v="0"/>
    <x v="4"/>
    <x v="557"/>
    <x v="7"/>
    <s v="Standard order"/>
    <x v="541"/>
    <x v="541"/>
    <s v="A399"/>
    <s v="CRYSTAL A399NT"/>
    <s v="5002936"/>
    <s v="A399 ACH T20 PB Kabina MP"/>
    <n v="32"/>
    <n v="0"/>
    <n v="32"/>
    <x v="4"/>
    <s v="DP71"/>
    <s v="MP"/>
    <s v="388"/>
    <s v="4.0 UN"/>
    <s v="STANDARD"/>
    <s v="N"/>
    <s v="Y"/>
    <s v="Y"/>
    <s v="T20"/>
    <s v="N"/>
    <s v="N"/>
    <s v="N"/>
    <s v="N"/>
    <s v="A045"/>
    <d v="2016-12-14T00:00:00"/>
    <s v="10"/>
    <s v="TAN"/>
    <s v="OR"/>
    <d v="2016-12-09T00:00:00"/>
    <s v="ID"/>
    <s v="US"/>
    <s v="ZR"/>
    <d v="2016-12-09T00:00:00"/>
  </r>
  <r>
    <x v="0"/>
    <x v="0"/>
    <x v="558"/>
    <x v="2"/>
    <s v="Standard order"/>
    <x v="542"/>
    <x v="542"/>
    <s v="R059"/>
    <s v="CRYSTAL RR059"/>
    <s v="5003537"/>
    <s v="R059 ACH Vibrance RP"/>
    <n v="32"/>
    <n v="0"/>
    <n v="32"/>
    <x v="0"/>
    <s v="AP73"/>
    <s v="RP"/>
    <s v="392"/>
    <s v="4.0 UN"/>
    <s v="STANDARD"/>
    <s v="N"/>
    <s v="N"/>
    <s v="N"/>
    <s v="N"/>
    <s v="N"/>
    <s v="N"/>
    <s v="N"/>
    <s v="Y"/>
    <s v="A034"/>
    <d v="2016-12-14T00:00:00"/>
    <s v="10"/>
    <s v="TAN"/>
    <s v="OR"/>
    <d v="2016-12-09T00:00:00"/>
    <s v="MI"/>
    <s v="US"/>
    <s v="ZR"/>
    <d v="2016-12-09T00:00:00"/>
  </r>
  <r>
    <x v="0"/>
    <x v="0"/>
    <x v="558"/>
    <x v="2"/>
    <s v="Standard order"/>
    <x v="542"/>
    <x v="542"/>
    <s v="G515"/>
    <s v="CRYSTAL G515"/>
    <s v="5003026"/>
    <s v="G515 ACH Vibrance RP"/>
    <n v="4"/>
    <n v="0"/>
    <n v="4"/>
    <x v="0"/>
    <s v="APND"/>
    <s v="RP"/>
    <s v="392"/>
    <s v="4.0 UN"/>
    <s v="STANDARD"/>
    <s v="N"/>
    <s v="N"/>
    <s v="N"/>
    <s v="N"/>
    <s v="N"/>
    <s v="N"/>
    <s v="N"/>
    <s v="Y"/>
    <s v="A034"/>
    <d v="2016-12-14T00:00:00"/>
    <s v="20"/>
    <s v="TAN"/>
    <s v="OR"/>
    <d v="2016-12-09T00:00:00"/>
    <s v="MI"/>
    <s v="US"/>
    <s v="ZR"/>
    <d v="2016-12-09T00:00:00"/>
  </r>
  <r>
    <x v="0"/>
    <x v="2"/>
    <x v="559"/>
    <x v="23"/>
    <s v="Standard order"/>
    <x v="543"/>
    <x v="543"/>
    <s v="W322"/>
    <s v="CRYSTAL W322NT"/>
    <s v="5003488"/>
    <s v="W322 ACH T20 PB SYSTIVA G100"/>
    <n v="16"/>
    <n v="0"/>
    <n v="16"/>
    <x v="2"/>
    <s v="EE73"/>
    <s v="GEM 100"/>
    <s v="324"/>
    <s v="4.0 UN"/>
    <s v="STANDARD"/>
    <s v="N"/>
    <s v="Y"/>
    <s v="N"/>
    <s v="T20"/>
    <s v="Y"/>
    <s v="N"/>
    <s v="Y"/>
    <s v="N"/>
    <s v="A055"/>
    <d v="2016-12-14T00:00:00"/>
    <s v="10"/>
    <s v="TAN"/>
    <s v="OR"/>
    <d v="2016-12-09T00:00:00"/>
    <s v="WY"/>
    <s v="US"/>
    <s v="ZR"/>
    <d v="2016-12-09T00:00:00"/>
  </r>
  <r>
    <x v="0"/>
    <x v="2"/>
    <x v="559"/>
    <x v="23"/>
    <s v="Standard order"/>
    <x v="543"/>
    <x v="543"/>
    <s v="R014"/>
    <s v="CRYSTAL RR014"/>
    <s v="5003091"/>
    <s v="R014 ACH T20 PB SYSTIVA G100"/>
    <n v="24"/>
    <n v="0"/>
    <n v="24"/>
    <x v="2"/>
    <s v="AP82"/>
    <s v="GEM 100"/>
    <s v="324"/>
    <s v="4.0 UN"/>
    <s v="STANDARD"/>
    <s v="N"/>
    <s v="Y"/>
    <s v="N"/>
    <s v="T20"/>
    <s v="Y"/>
    <s v="N"/>
    <s v="Y"/>
    <s v="N"/>
    <s v="A055"/>
    <d v="2016-12-14T00:00:00"/>
    <s v="20"/>
    <s v="TAN"/>
    <s v="OR"/>
    <d v="2016-12-09T00:00:00"/>
    <s v="WY"/>
    <s v="US"/>
    <s v="ZR"/>
    <d v="2016-12-09T00:00:00"/>
  </r>
  <r>
    <x v="0"/>
    <x v="4"/>
    <x v="560"/>
    <x v="7"/>
    <s v="Standard order"/>
    <x v="544"/>
    <x v="544"/>
    <s v="A399"/>
    <s v="CRYSTAL A399NT"/>
    <s v="5002936"/>
    <s v="A399 ACH T20 PB Kabina MP"/>
    <n v="64"/>
    <n v="0"/>
    <n v="64"/>
    <x v="4"/>
    <s v="DP71"/>
    <s v="MP"/>
    <s v="388"/>
    <s v="4.0 UN"/>
    <s v="STANDARD"/>
    <s v="N"/>
    <s v="Y"/>
    <s v="Y"/>
    <s v="T20"/>
    <s v="N"/>
    <s v="N"/>
    <s v="N"/>
    <s v="N"/>
    <s v="A045"/>
    <d v="2016-12-14T00:00:00"/>
    <s v="10"/>
    <s v="TAN"/>
    <s v="OR"/>
    <d v="2016-12-09T00:00:00"/>
    <s v="OR"/>
    <s v="US"/>
    <s v="ZR"/>
    <d v="2016-12-09T00:00:00"/>
  </r>
  <r>
    <x v="0"/>
    <x v="0"/>
    <x v="561"/>
    <x v="4"/>
    <s v="Standard order"/>
    <x v="545"/>
    <x v="545"/>
    <s v="R059"/>
    <s v="CRYSTAL RR059"/>
    <s v="5003535"/>
    <s v="R059 ACH T20 SYSTIVA MP"/>
    <n v="196"/>
    <n v="0"/>
    <n v="196"/>
    <x v="0"/>
    <s v="AP73"/>
    <s v="MP"/>
    <s v="328"/>
    <s v="4.0 UN"/>
    <s v="STANDARD"/>
    <s v="N"/>
    <s v="N"/>
    <s v="N"/>
    <s v="T20"/>
    <s v="Y"/>
    <s v="N"/>
    <s v="Y"/>
    <s v="N"/>
    <s v="A035"/>
    <d v="2016-12-14T00:00:00"/>
    <s v="10"/>
    <s v="TAN"/>
    <s v="OR"/>
    <d v="2016-12-09T00:00:00"/>
    <s v="MI"/>
    <s v="US"/>
    <s v="ZR"/>
    <d v="2016-12-09T00:00:00"/>
  </r>
  <r>
    <x v="0"/>
    <x v="0"/>
    <x v="561"/>
    <x v="4"/>
    <s v="Standard order"/>
    <x v="545"/>
    <x v="545"/>
    <s v="G515"/>
    <s v="CRYSTAL G515"/>
    <s v="5003018"/>
    <s v="G515 ACH T20 Kabina MP"/>
    <n v="24"/>
    <n v="0"/>
    <n v="24"/>
    <x v="0"/>
    <s v="APND"/>
    <s v="MP"/>
    <s v="387"/>
    <s v="4.0 UN"/>
    <s v="STANDARD"/>
    <s v="N"/>
    <s v="N"/>
    <s v="Y"/>
    <s v="T20"/>
    <s v="N"/>
    <s v="N"/>
    <s v="N"/>
    <s v="N"/>
    <s v="A035"/>
    <d v="2016-12-14T00:00:00"/>
    <s v="20"/>
    <s v="TAN"/>
    <s v="OR"/>
    <d v="2016-12-09T00:00:00"/>
    <s v="MI"/>
    <s v="US"/>
    <s v="ZR"/>
    <d v="2016-12-09T00:00:00"/>
  </r>
  <r>
    <x v="0"/>
    <x v="0"/>
    <x v="561"/>
    <x v="4"/>
    <s v="Standard order"/>
    <x v="545"/>
    <x v="545"/>
    <s v="G333"/>
    <s v="CRYSTAL G333NT"/>
    <s v="5003383"/>
    <s v="G333 ACH T20 SYSTIVA MP"/>
    <n v="24"/>
    <n v="0"/>
    <n v="24"/>
    <x v="0"/>
    <s v="EE73"/>
    <s v="MP"/>
    <s v="328"/>
    <s v="4.0 UN"/>
    <s v="STANDARD"/>
    <s v="N"/>
    <s v="N"/>
    <s v="N"/>
    <s v="T20"/>
    <s v="Y"/>
    <s v="N"/>
    <s v="Y"/>
    <s v="N"/>
    <s v="A035"/>
    <d v="2016-12-14T00:00:00"/>
    <s v="30"/>
    <s v="TAN"/>
    <s v="OR"/>
    <d v="2016-12-09T00:00:00"/>
    <s v="MI"/>
    <s v="US"/>
    <s v="ZR"/>
    <d v="2016-12-09T00:00:00"/>
  </r>
  <r>
    <x v="0"/>
    <x v="4"/>
    <x v="562"/>
    <x v="16"/>
    <s v="Standard order"/>
    <x v="546"/>
    <x v="546"/>
    <s v="A399"/>
    <s v="CRYSTAL A399NT"/>
    <s v="5002939"/>
    <s v="A399 ACH XL"/>
    <n v="60"/>
    <n v="0"/>
    <n v="60"/>
    <x v="4"/>
    <s v="DP71"/>
    <s v="X-LARGE"/>
    <s v="316"/>
    <s v="4.0 UN"/>
    <s v="STANDARD"/>
    <s v="N"/>
    <s v="N"/>
    <s v="N"/>
    <s v="N"/>
    <s v="N"/>
    <s v="N"/>
    <s v="N"/>
    <s v="N"/>
    <s v="A042"/>
    <d v="2016-12-14T00:00:00"/>
    <s v="10"/>
    <s v="TAN"/>
    <s v="OR"/>
    <d v="2016-12-08T00:00:00"/>
    <s v="ID"/>
    <s v="US"/>
    <s v="ZR"/>
    <d v="2016-12-09T00:00:00"/>
  </r>
  <r>
    <x v="0"/>
    <x v="4"/>
    <x v="562"/>
    <x v="16"/>
    <s v="Standard order"/>
    <x v="546"/>
    <x v="546"/>
    <s v="A501"/>
    <s v="CRYSTAL A501"/>
    <s v="5003308"/>
    <s v="A501 ACH PB XL"/>
    <n v="12"/>
    <n v="0"/>
    <n v="12"/>
    <x v="4"/>
    <s v="EZPB"/>
    <s v="X-LARGE"/>
    <s v="314"/>
    <s v="4.0 UN"/>
    <s v="STANDARD"/>
    <s v="N"/>
    <s v="Y"/>
    <s v="N"/>
    <s v="N"/>
    <s v="N"/>
    <s v="N"/>
    <s v="N"/>
    <s v="N"/>
    <s v="A042"/>
    <d v="2016-12-14T00:00:00"/>
    <s v="20"/>
    <s v="TAN"/>
    <s v="OR"/>
    <d v="2016-12-08T00:00:00"/>
    <s v="ID"/>
    <s v="US"/>
    <s v="ZR"/>
    <d v="2016-12-09T00:00:00"/>
  </r>
  <r>
    <x v="0"/>
    <x v="4"/>
    <x v="563"/>
    <x v="20"/>
    <s v="Standard order"/>
    <x v="547"/>
    <x v="547"/>
    <s v="A501"/>
    <s v="CRYSTAL A501"/>
    <s v="5003305"/>
    <s v="A501 ACH PB LRG"/>
    <n v="76"/>
    <n v="0"/>
    <n v="76"/>
    <x v="4"/>
    <s v="EZPB"/>
    <s v="LARGE"/>
    <s v="314"/>
    <s v="4.0 UN"/>
    <s v="STANDARD"/>
    <s v="N"/>
    <s v="Y"/>
    <s v="N"/>
    <s v="N"/>
    <s v="N"/>
    <s v="N"/>
    <s v="N"/>
    <s v="N"/>
    <s v="A039"/>
    <d v="2016-12-14T00:00:00"/>
    <s v="10"/>
    <s v="TAN"/>
    <s v="OR"/>
    <d v="2016-12-09T00:00:00"/>
    <s v="ID"/>
    <s v="US"/>
    <s v="ZR"/>
    <d v="2016-12-09T00:00:00"/>
  </r>
  <r>
    <x v="0"/>
    <x v="4"/>
    <x v="563"/>
    <x v="20"/>
    <s v="Standard order"/>
    <x v="547"/>
    <x v="547"/>
    <s v="A399"/>
    <s v="CRYSTAL A399NT"/>
    <s v="5002928"/>
    <s v="A399 ACH PB LRG"/>
    <n v="280"/>
    <n v="0"/>
    <n v="280"/>
    <x v="4"/>
    <s v="DP71"/>
    <s v="LARGE"/>
    <s v="314"/>
    <s v="4.0 UN"/>
    <s v="STANDARD"/>
    <s v="N"/>
    <s v="Y"/>
    <s v="N"/>
    <s v="N"/>
    <s v="N"/>
    <s v="N"/>
    <s v="N"/>
    <s v="N"/>
    <s v="A039"/>
    <d v="2016-12-14T00:00:00"/>
    <s v="20"/>
    <s v="TAN"/>
    <s v="OR"/>
    <d v="2016-12-09T00:00:00"/>
    <s v="ID"/>
    <s v="US"/>
    <s v="ZR"/>
    <d v="2016-12-09T00:00:00"/>
  </r>
  <r>
    <x v="0"/>
    <x v="4"/>
    <x v="564"/>
    <x v="8"/>
    <s v="Standard order"/>
    <x v="548"/>
    <x v="548"/>
    <s v="A399"/>
    <s v="CRYSTAL A399NT"/>
    <s v="5002931"/>
    <s v="A399 ACH PB XL"/>
    <n v="48"/>
    <n v="0"/>
    <n v="48"/>
    <x v="4"/>
    <s v="DP71"/>
    <s v="X-LARGE"/>
    <s v="314"/>
    <s v="4.0 UN"/>
    <s v="STANDARD"/>
    <s v="N"/>
    <s v="Y"/>
    <s v="N"/>
    <s v="N"/>
    <s v="N"/>
    <s v="N"/>
    <s v="N"/>
    <s v="N"/>
    <s v="A044"/>
    <d v="2016-12-14T00:00:00"/>
    <s v="10"/>
    <s v="TAN"/>
    <s v="OR"/>
    <d v="2016-12-08T00:00:00"/>
    <s v="ID"/>
    <s v="US"/>
    <s v="ZR"/>
    <d v="2016-12-09T00:00:00"/>
  </r>
  <r>
    <x v="0"/>
    <x v="4"/>
    <x v="565"/>
    <x v="8"/>
    <s v="Standard order"/>
    <x v="549"/>
    <x v="549"/>
    <s v="A399"/>
    <s v="CRYSTAL A399NT"/>
    <s v="5002928"/>
    <s v="A399 ACH PB LRG"/>
    <n v="68"/>
    <n v="0"/>
    <n v="68"/>
    <x v="4"/>
    <s v="DP71"/>
    <s v="LARGE"/>
    <s v="314"/>
    <s v="4.0 UN"/>
    <s v="STANDARD"/>
    <s v="N"/>
    <s v="Y"/>
    <s v="N"/>
    <s v="N"/>
    <s v="N"/>
    <s v="N"/>
    <s v="N"/>
    <s v="N"/>
    <s v="A044"/>
    <d v="2016-12-14T00:00:00"/>
    <s v="10"/>
    <s v="TAN"/>
    <s v="OR"/>
    <d v="2016-12-09T00:00:00"/>
    <s v="ID"/>
    <s v="US"/>
    <s v="ZR"/>
    <d v="2016-12-09T00:00:00"/>
  </r>
  <r>
    <x v="0"/>
    <x v="2"/>
    <x v="566"/>
    <x v="23"/>
    <s v="Standard order"/>
    <x v="550"/>
    <x v="550"/>
    <s v="W322"/>
    <s v="CRYSTAL W322NT"/>
    <s v="5003488"/>
    <s v="W322 ACH T20 PB SYSTIVA G100"/>
    <n v="28"/>
    <n v="0"/>
    <n v="28"/>
    <x v="2"/>
    <s v="EE73"/>
    <s v="GEM 100"/>
    <s v="324"/>
    <s v="4.0 UN"/>
    <s v="STANDARD"/>
    <s v="N"/>
    <s v="Y"/>
    <s v="N"/>
    <s v="T20"/>
    <s v="Y"/>
    <s v="N"/>
    <s v="Y"/>
    <s v="N"/>
    <s v="A055"/>
    <d v="2016-12-14T00:00:00"/>
    <s v="30"/>
    <s v="TAN"/>
    <s v="OR"/>
    <d v="2016-12-09T00:00:00"/>
    <s v="WY"/>
    <s v="US"/>
    <s v="ZR"/>
    <d v="2016-12-09T00:00:00"/>
  </r>
  <r>
    <x v="0"/>
    <x v="2"/>
    <x v="566"/>
    <x v="23"/>
    <s v="Standard order"/>
    <x v="550"/>
    <x v="550"/>
    <s v="R014"/>
    <s v="CRYSTAL RR014"/>
    <s v="5003091"/>
    <s v="R014 ACH T20 PB SYSTIVA G100"/>
    <n v="56"/>
    <n v="0"/>
    <n v="56"/>
    <x v="2"/>
    <s v="AP82"/>
    <s v="GEM 100"/>
    <s v="324"/>
    <s v="4.0 UN"/>
    <s v="STANDARD"/>
    <s v="N"/>
    <s v="Y"/>
    <s v="N"/>
    <s v="T20"/>
    <s v="Y"/>
    <s v="N"/>
    <s v="Y"/>
    <s v="N"/>
    <s v="A055"/>
    <d v="2016-12-14T00:00:00"/>
    <s v="10"/>
    <s v="TAN"/>
    <s v="OR"/>
    <d v="2016-12-09T00:00:00"/>
    <s v="WY"/>
    <s v="US"/>
    <s v="ZR"/>
    <d v="2016-12-09T00:00:00"/>
  </r>
  <r>
    <x v="0"/>
    <x v="2"/>
    <x v="566"/>
    <x v="23"/>
    <s v="Standard order"/>
    <x v="550"/>
    <x v="550"/>
    <s v="R272"/>
    <s v="CRYSTAL RR272"/>
    <s v="5003629"/>
    <s v="R272 ACH T20 PB SYSTIVA G100"/>
    <n v="28"/>
    <n v="0"/>
    <n v="28"/>
    <x v="2"/>
    <s v="DG73"/>
    <s v="GEM 100"/>
    <s v="324"/>
    <s v="4.0 UN"/>
    <s v="STANDARD"/>
    <s v="N"/>
    <s v="Y"/>
    <s v="N"/>
    <s v="T20"/>
    <s v="Y"/>
    <s v="N"/>
    <s v="Y"/>
    <s v="N"/>
    <s v="A055"/>
    <d v="2016-12-14T00:00:00"/>
    <s v="20"/>
    <s v="TAN"/>
    <s v="OR"/>
    <d v="2016-12-09T00:00:00"/>
    <s v="WY"/>
    <s v="US"/>
    <s v="ZR"/>
    <d v="2016-12-09T00:00:00"/>
  </r>
  <r>
    <x v="0"/>
    <x v="5"/>
    <x v="567"/>
    <x v="9"/>
    <s v="Standard order"/>
    <x v="551"/>
    <x v="551"/>
    <s v="Y400"/>
    <s v="CRYSTAL Y400NT"/>
    <s v="5003735"/>
    <s v="Y400 ACH T20 PB SYSTIVA RP"/>
    <n v="12"/>
    <n v="0"/>
    <n v="12"/>
    <x v="5"/>
    <s v="4TBP"/>
    <s v="RP"/>
    <s v="324"/>
    <s v="4.0 UN"/>
    <s v="STANDARD"/>
    <s v="N"/>
    <s v="Y"/>
    <s v="N"/>
    <s v="T20"/>
    <s v="Y"/>
    <s v="N"/>
    <s v="N"/>
    <s v="N"/>
    <s v="A016"/>
    <d v="2016-12-14T00:00:00"/>
    <s v="10"/>
    <s v="TAN"/>
    <s v="OR"/>
    <d v="2016-12-09T00:00:00"/>
    <s v="WY"/>
    <s v="US"/>
    <s v="ZR"/>
    <d v="2016-12-09T00:00:00"/>
  </r>
  <r>
    <x v="0"/>
    <x v="5"/>
    <x v="567"/>
    <x v="9"/>
    <s v="Standard order"/>
    <x v="551"/>
    <x v="551"/>
    <s v="R116"/>
    <s v="CRYSTAL RR116"/>
    <s v="5003105"/>
    <s v="R116 ACH T20 PB SYSTIVA RP"/>
    <n v="28"/>
    <n v="0"/>
    <n v="28"/>
    <x v="5"/>
    <s v="AP71"/>
    <s v="RP"/>
    <s v="324"/>
    <s v="4.0 UN"/>
    <s v="STANDARD"/>
    <s v="N"/>
    <s v="Y"/>
    <s v="N"/>
    <s v="T20"/>
    <s v="Y"/>
    <s v="N"/>
    <s v="N"/>
    <s v="N"/>
    <s v="A016"/>
    <d v="2016-12-14T00:00:00"/>
    <s v="20"/>
    <s v="TAN"/>
    <s v="OR"/>
    <d v="2016-12-09T00:00:00"/>
    <s v="WY"/>
    <s v="US"/>
    <s v="ZR"/>
    <d v="2016-12-09T00:00:00"/>
  </r>
  <r>
    <x v="0"/>
    <x v="2"/>
    <x v="568"/>
    <x v="24"/>
    <s v="Standard order"/>
    <x v="552"/>
    <x v="552"/>
    <s v="R014"/>
    <s v="CRYSTAL RR014"/>
    <s v="5003092"/>
    <s v="R014 ACH T20 PB SYSTIVA G50"/>
    <n v="60"/>
    <n v="0"/>
    <n v="60"/>
    <x v="2"/>
    <s v="AP82"/>
    <s v="GEM 50"/>
    <s v="324"/>
    <s v="4.0 UN"/>
    <s v="STANDARD"/>
    <s v="N"/>
    <s v="Y"/>
    <s v="N"/>
    <s v="T20"/>
    <s v="Y"/>
    <s v="N"/>
    <s v="Y"/>
    <s v="N"/>
    <s v="A022"/>
    <d v="2016-12-14T00:00:00"/>
    <s v="10"/>
    <s v="TAN"/>
    <s v="OR"/>
    <d v="2016-12-09T00:00:00"/>
    <s v="CO"/>
    <s v="US"/>
    <s v="ZR"/>
    <d v="2016-12-10T00:00:00"/>
  </r>
  <r>
    <x v="0"/>
    <x v="6"/>
    <x v="569"/>
    <x v="11"/>
    <s v="Standard order"/>
    <x v="553"/>
    <x v="553"/>
    <s v="S517"/>
    <s v="CRYSTAL S517"/>
    <s v="5003467"/>
    <s v="S517 ACH T20 PB SYSTIVA G100"/>
    <n v="24"/>
    <n v="0"/>
    <n v="24"/>
    <x v="6"/>
    <s v="DVNV"/>
    <s v="GEM 100"/>
    <s v="324"/>
    <s v="4.0 UN"/>
    <s v="STANDARD"/>
    <s v="N"/>
    <s v="Y"/>
    <s v="N"/>
    <s v="T20"/>
    <s v="Y"/>
    <s v="N"/>
    <s v="Y"/>
    <s v="N"/>
    <s v="A038"/>
    <d v="2016-12-14T00:00:00"/>
    <s v="10"/>
    <s v="TAN"/>
    <s v="OR"/>
    <d v="2016-12-10T00:00:00"/>
    <s v="MT"/>
    <s v="US"/>
    <s v="ZR"/>
    <d v="2016-12-10T00:00:00"/>
  </r>
  <r>
    <x v="0"/>
    <x v="6"/>
    <x v="569"/>
    <x v="11"/>
    <s v="Standard order"/>
    <x v="553"/>
    <x v="553"/>
    <s v="R052"/>
    <s v="CRYSTAL RR052"/>
    <s v="5003501"/>
    <s v="R052 ACH T20 PB CL SYSTIVA G100"/>
    <n v="28"/>
    <n v="0"/>
    <n v="28"/>
    <x v="6"/>
    <s v="AP82"/>
    <s v="GEM 100"/>
    <s v="321"/>
    <s v="4.0 UN"/>
    <s v="STANDARD"/>
    <s v="N"/>
    <s v="N"/>
    <s v="N"/>
    <s v="T20"/>
    <s v="Y"/>
    <s v="N"/>
    <s v="Y"/>
    <s v="N"/>
    <s v="A038"/>
    <d v="2016-12-14T00:00:00"/>
    <s v="20"/>
    <s v="TAN"/>
    <s v="OR"/>
    <d v="2016-12-10T00:00:00"/>
    <s v="MT"/>
    <s v="US"/>
    <s v="ZR"/>
    <d v="2016-12-10T00:00:00"/>
  </r>
  <r>
    <x v="0"/>
    <x v="6"/>
    <x v="569"/>
    <x v="11"/>
    <s v="Standard order"/>
    <x v="553"/>
    <x v="553"/>
    <s v="S498"/>
    <s v="CRYSTAL S498"/>
    <s v="5003419"/>
    <s v="S498 ACH T20 PB CL SYSTIVA G100"/>
    <n v="12"/>
    <n v="0"/>
    <n v="12"/>
    <x v="6"/>
    <s v="FE73"/>
    <s v="GEM 100"/>
    <s v="321"/>
    <s v="4.0 UN"/>
    <s v="STANDARD"/>
    <s v="N"/>
    <s v="N"/>
    <s v="N"/>
    <s v="T20"/>
    <s v="Y"/>
    <s v="N"/>
    <s v="Y"/>
    <s v="N"/>
    <s v="A038"/>
    <d v="2016-12-14T00:00:00"/>
    <s v="30"/>
    <s v="TAN"/>
    <s v="OR"/>
    <d v="2016-12-10T00:00:00"/>
    <s v="MT"/>
    <s v="US"/>
    <s v="ZR"/>
    <d v="2016-12-10T00:00:00"/>
  </r>
  <r>
    <x v="0"/>
    <x v="6"/>
    <x v="570"/>
    <x v="11"/>
    <s v="Standard order"/>
    <x v="554"/>
    <x v="554"/>
    <s v="S517"/>
    <s v="CRYSTAL S517"/>
    <s v="5003467"/>
    <s v="S517 ACH T20 PB SYSTIVA G100"/>
    <n v="24"/>
    <n v="0"/>
    <n v="24"/>
    <x v="6"/>
    <s v="DVNV"/>
    <s v="GEM 100"/>
    <s v="324"/>
    <s v="4.0 UN"/>
    <s v="STANDARD"/>
    <s v="N"/>
    <s v="Y"/>
    <s v="N"/>
    <s v="T20"/>
    <s v="Y"/>
    <s v="N"/>
    <s v="Y"/>
    <s v="N"/>
    <s v="A038"/>
    <d v="2016-12-14T00:00:00"/>
    <s v="10"/>
    <s v="TAN"/>
    <s v="OR"/>
    <d v="2016-12-10T00:00:00"/>
    <s v="MT"/>
    <s v="US"/>
    <s v="ZR"/>
    <d v="2016-12-10T00:00:00"/>
  </r>
  <r>
    <x v="0"/>
    <x v="6"/>
    <x v="570"/>
    <x v="11"/>
    <s v="Standard order"/>
    <x v="554"/>
    <x v="554"/>
    <s v="S360"/>
    <s v="CRYSTAL S360NT"/>
    <s v="5003413"/>
    <s v="S360 ACH T20 PB SYSTIVA G100"/>
    <n v="12"/>
    <n v="0"/>
    <n v="12"/>
    <x v="6"/>
    <s v="DVNB"/>
    <s v="GEM 100"/>
    <s v="324"/>
    <s v="4.0 UN"/>
    <s v="STANDARD"/>
    <s v="N"/>
    <s v="Y"/>
    <s v="N"/>
    <s v="T20"/>
    <s v="Y"/>
    <s v="N"/>
    <s v="Y"/>
    <s v="N"/>
    <s v="A038"/>
    <d v="2016-12-14T00:00:00"/>
    <s v="20"/>
    <s v="TAN"/>
    <s v="OR"/>
    <d v="2016-12-10T00:00:00"/>
    <s v="MT"/>
    <s v="US"/>
    <s v="ZR"/>
    <d v="2016-12-10T00:00:00"/>
  </r>
  <r>
    <x v="0"/>
    <x v="6"/>
    <x v="570"/>
    <x v="11"/>
    <s v="Standard order"/>
    <x v="554"/>
    <x v="554"/>
    <s v="S498"/>
    <s v="CRYSTAL S498"/>
    <s v="5003419"/>
    <s v="S498 ACH T20 PB CL SYSTIVA G100"/>
    <n v="20"/>
    <n v="0"/>
    <n v="20"/>
    <x v="6"/>
    <s v="FE73"/>
    <s v="GEM 100"/>
    <s v="321"/>
    <s v="4.0 UN"/>
    <s v="STANDARD"/>
    <s v="N"/>
    <s v="N"/>
    <s v="N"/>
    <s v="T20"/>
    <s v="Y"/>
    <s v="N"/>
    <s v="Y"/>
    <s v="N"/>
    <s v="A038"/>
    <d v="2016-12-14T00:00:00"/>
    <s v="30"/>
    <s v="TAN"/>
    <s v="OR"/>
    <d v="2016-12-10T00:00:00"/>
    <s v="MT"/>
    <s v="US"/>
    <s v="ZR"/>
    <d v="2016-12-10T00:00:00"/>
  </r>
  <r>
    <x v="0"/>
    <x v="6"/>
    <x v="570"/>
    <x v="11"/>
    <s v="Standard order"/>
    <x v="554"/>
    <x v="554"/>
    <s v="R052"/>
    <s v="CRYSTAL RR052"/>
    <s v="5003501"/>
    <s v="R052 ACH T20 PB CL SYSTIVA G100"/>
    <n v="20"/>
    <n v="0"/>
    <n v="20"/>
    <x v="6"/>
    <s v="AP82"/>
    <s v="GEM 100"/>
    <s v="321"/>
    <s v="4.0 UN"/>
    <s v="STANDARD"/>
    <s v="N"/>
    <s v="N"/>
    <s v="N"/>
    <s v="T20"/>
    <s v="Y"/>
    <s v="N"/>
    <s v="Y"/>
    <s v="N"/>
    <s v="A038"/>
    <d v="2016-12-14T00:00:00"/>
    <s v="40"/>
    <s v="TAN"/>
    <s v="OR"/>
    <d v="2016-12-10T00:00:00"/>
    <s v="MT"/>
    <s v="US"/>
    <s v="ZR"/>
    <d v="2016-12-10T00:00:00"/>
  </r>
  <r>
    <x v="0"/>
    <x v="2"/>
    <x v="571"/>
    <x v="6"/>
    <s v="Standard order"/>
    <x v="555"/>
    <x v="555"/>
    <s v="R014"/>
    <s v="CRYSTAL RR014"/>
    <s v="5003091"/>
    <s v="R014 ACH T20 PB SYSTIVA G100"/>
    <n v="112"/>
    <n v="0"/>
    <n v="112"/>
    <x v="2"/>
    <s v="AP82"/>
    <s v="GEM 100"/>
    <s v="324"/>
    <s v="4.0 UN"/>
    <s v="STANDARD"/>
    <s v="N"/>
    <s v="Y"/>
    <s v="N"/>
    <s v="T20"/>
    <s v="Y"/>
    <s v="N"/>
    <s v="Y"/>
    <s v="N"/>
    <s v="A025"/>
    <d v="2016-12-14T00:00:00"/>
    <s v="10"/>
    <s v="TAN"/>
    <s v="OR"/>
    <d v="2016-12-10T00:00:00"/>
    <s v="NE"/>
    <s v="US"/>
    <s v="ZR"/>
    <d v="2016-12-10T00:00:00"/>
  </r>
  <r>
    <x v="0"/>
    <x v="2"/>
    <x v="571"/>
    <x v="6"/>
    <s v="Standard order"/>
    <x v="555"/>
    <x v="555"/>
    <s v="W322"/>
    <s v="CRYSTAL W322NT"/>
    <s v="5003488"/>
    <s v="W322 ACH T20 PB SYSTIVA G100"/>
    <n v="112"/>
    <n v="0"/>
    <n v="112"/>
    <x v="2"/>
    <s v="EE73"/>
    <s v="GEM 100"/>
    <s v="324"/>
    <s v="4.0 UN"/>
    <s v="STANDARD"/>
    <s v="N"/>
    <s v="Y"/>
    <s v="N"/>
    <s v="T20"/>
    <s v="Y"/>
    <s v="N"/>
    <s v="Y"/>
    <s v="N"/>
    <s v="A025"/>
    <d v="2016-12-14T00:00:00"/>
    <s v="20"/>
    <s v="TAN"/>
    <s v="OR"/>
    <d v="2016-12-10T00:00:00"/>
    <s v="NE"/>
    <s v="US"/>
    <s v="ZR"/>
    <d v="2016-12-10T00:00:00"/>
  </r>
  <r>
    <x v="0"/>
    <x v="2"/>
    <x v="572"/>
    <x v="6"/>
    <s v="Standard order"/>
    <x v="556"/>
    <x v="556"/>
    <s v="R014"/>
    <s v="CRYSTAL RR014"/>
    <s v="5003091"/>
    <s v="R014 ACH T20 PB SYSTIVA G100"/>
    <n v="112"/>
    <n v="0"/>
    <n v="112"/>
    <x v="2"/>
    <s v="AP82"/>
    <s v="GEM 100"/>
    <s v="324"/>
    <s v="4.0 UN"/>
    <s v="STANDARD"/>
    <s v="N"/>
    <s v="Y"/>
    <s v="N"/>
    <s v="T20"/>
    <s v="Y"/>
    <s v="N"/>
    <s v="Y"/>
    <s v="N"/>
    <s v="A025"/>
    <d v="2016-12-14T00:00:00"/>
    <s v="10"/>
    <s v="TAN"/>
    <s v="OR"/>
    <d v="2016-12-10T00:00:00"/>
    <s v="NE"/>
    <s v="US"/>
    <s v="ZR"/>
    <d v="2016-12-10T00:00:00"/>
  </r>
  <r>
    <x v="0"/>
    <x v="2"/>
    <x v="572"/>
    <x v="6"/>
    <s v="Standard order"/>
    <x v="556"/>
    <x v="556"/>
    <s v="W322"/>
    <s v="CRYSTAL W322NT"/>
    <s v="5003488"/>
    <s v="W322 ACH T20 PB SYSTIVA G100"/>
    <n v="112"/>
    <n v="0"/>
    <n v="112"/>
    <x v="2"/>
    <s v="EE73"/>
    <s v="GEM 100"/>
    <s v="324"/>
    <s v="4.0 UN"/>
    <s v="STANDARD"/>
    <s v="N"/>
    <s v="Y"/>
    <s v="N"/>
    <s v="T20"/>
    <s v="Y"/>
    <s v="N"/>
    <s v="Y"/>
    <s v="N"/>
    <s v="A025"/>
    <d v="2016-12-14T00:00:00"/>
    <s v="20"/>
    <s v="TAN"/>
    <s v="OR"/>
    <d v="2016-12-10T00:00:00"/>
    <s v="NE"/>
    <s v="US"/>
    <s v="ZR"/>
    <d v="2016-12-10T00:00:00"/>
  </r>
  <r>
    <x v="0"/>
    <x v="2"/>
    <x v="573"/>
    <x v="6"/>
    <s v="Standard order"/>
    <x v="557"/>
    <x v="557"/>
    <s v="R014"/>
    <s v="CRYSTAL RR014"/>
    <s v="5003091"/>
    <s v="R014 ACH T20 PB SYSTIVA G100"/>
    <n v="112"/>
    <n v="0"/>
    <n v="112"/>
    <x v="2"/>
    <s v="AP82"/>
    <s v="GEM 100"/>
    <s v="324"/>
    <s v="4.0 UN"/>
    <s v="STANDARD"/>
    <s v="N"/>
    <s v="Y"/>
    <s v="N"/>
    <s v="T20"/>
    <s v="Y"/>
    <s v="N"/>
    <s v="Y"/>
    <s v="N"/>
    <s v="A025"/>
    <d v="2016-12-14T00:00:00"/>
    <s v="10"/>
    <s v="TAN"/>
    <s v="OR"/>
    <d v="2016-12-10T00:00:00"/>
    <s v="NE"/>
    <s v="US"/>
    <s v="ZR"/>
    <d v="2016-12-10T00:00:00"/>
  </r>
  <r>
    <x v="0"/>
    <x v="2"/>
    <x v="573"/>
    <x v="6"/>
    <s v="Standard order"/>
    <x v="557"/>
    <x v="557"/>
    <s v="W322"/>
    <s v="CRYSTAL W322NT"/>
    <s v="5003488"/>
    <s v="W322 ACH T20 PB SYSTIVA G100"/>
    <n v="112"/>
    <n v="0"/>
    <n v="112"/>
    <x v="2"/>
    <s v="EE73"/>
    <s v="GEM 100"/>
    <s v="324"/>
    <s v="4.0 UN"/>
    <s v="STANDARD"/>
    <s v="N"/>
    <s v="Y"/>
    <s v="N"/>
    <s v="T20"/>
    <s v="Y"/>
    <s v="N"/>
    <s v="Y"/>
    <s v="N"/>
    <s v="A025"/>
    <d v="2016-12-14T00:00:00"/>
    <s v="20"/>
    <s v="TAN"/>
    <s v="OR"/>
    <d v="2016-12-10T00:00:00"/>
    <s v="NE"/>
    <s v="US"/>
    <s v="ZR"/>
    <d v="2016-12-10T00:00:00"/>
  </r>
  <r>
    <x v="0"/>
    <x v="2"/>
    <x v="574"/>
    <x v="22"/>
    <s v="Standard order"/>
    <x v="558"/>
    <x v="558"/>
    <s v="W322"/>
    <s v="CRYSTAL W322NT"/>
    <s v="5003489"/>
    <s v="W322 ACH T20 PB SYSTIVA G50"/>
    <n v="16"/>
    <n v="0"/>
    <n v="16"/>
    <x v="2"/>
    <s v="EE73"/>
    <s v="GEM 50"/>
    <s v="324"/>
    <s v="4.0 UN"/>
    <s v="STANDARD"/>
    <s v="N"/>
    <s v="Y"/>
    <s v="N"/>
    <s v="T20"/>
    <s v="Y"/>
    <s v="N"/>
    <s v="Y"/>
    <s v="N"/>
    <s v="A018"/>
    <d v="2016-12-14T00:00:00"/>
    <s v="10"/>
    <s v="TAN"/>
    <s v="OR"/>
    <d v="2016-12-09T00:00:00"/>
    <s v="CO"/>
    <s v="US"/>
    <s v="ZR"/>
    <d v="2016-12-10T00:00:00"/>
  </r>
  <r>
    <x v="0"/>
    <x v="2"/>
    <x v="574"/>
    <x v="22"/>
    <s v="Standard order"/>
    <x v="558"/>
    <x v="558"/>
    <s v="R014"/>
    <s v="CRYSTAL RR014"/>
    <s v="5003092"/>
    <s v="R014 ACH T20 PB SYSTIVA G50"/>
    <n v="4"/>
    <n v="0"/>
    <n v="4"/>
    <x v="2"/>
    <s v="AP82"/>
    <s v="GEM 50"/>
    <s v="324"/>
    <s v="4.0 UN"/>
    <s v="STANDARD"/>
    <s v="N"/>
    <s v="Y"/>
    <s v="N"/>
    <s v="T20"/>
    <s v="Y"/>
    <s v="N"/>
    <s v="Y"/>
    <s v="N"/>
    <s v="A018"/>
    <d v="2016-12-14T00:00:00"/>
    <s v="20"/>
    <s v="TAN"/>
    <s v="OR"/>
    <d v="2016-12-09T00:00:00"/>
    <s v="CO"/>
    <s v="US"/>
    <s v="ZR"/>
    <d v="2016-12-10T00:00:00"/>
  </r>
  <r>
    <x v="0"/>
    <x v="2"/>
    <x v="575"/>
    <x v="5"/>
    <s v="Standard order"/>
    <x v="559"/>
    <x v="559"/>
    <s v="R014"/>
    <s v="CRYSTAL RR014"/>
    <s v="5003090"/>
    <s v="R014 ACH T20 PB SYSTIVA ELS"/>
    <n v="16"/>
    <n v="0"/>
    <n v="16"/>
    <x v="2"/>
    <s v="AP82"/>
    <s v="ELS"/>
    <s v="324"/>
    <s v="4.0 UN"/>
    <s v="STANDARD"/>
    <s v="N"/>
    <s v="Y"/>
    <s v="N"/>
    <s v="T20"/>
    <s v="Y"/>
    <s v="N"/>
    <s v="Y"/>
    <s v="N"/>
    <s v="A020"/>
    <d v="2016-12-14T00:00:00"/>
    <s v="10"/>
    <s v="TAN"/>
    <s v="OR"/>
    <d v="2016-12-09T00:00:00"/>
    <s v="CO"/>
    <s v="US"/>
    <s v="ZR"/>
    <d v="2016-12-10T00:00:00"/>
  </r>
  <r>
    <x v="0"/>
    <x v="0"/>
    <x v="576"/>
    <x v="10"/>
    <s v="Standard order"/>
    <x v="560"/>
    <x v="560"/>
    <s v="G515"/>
    <s v="CRYSTAL G515"/>
    <s v="5003019"/>
    <s v="G515 ACH T20 Kabina RP"/>
    <n v="24"/>
    <n v="0"/>
    <n v="24"/>
    <x v="0"/>
    <s v="APND"/>
    <s v="RP"/>
    <s v="387"/>
    <s v="4.0 UN"/>
    <s v="STANDARD"/>
    <s v="N"/>
    <s v="N"/>
    <s v="Y"/>
    <s v="T20"/>
    <s v="N"/>
    <s v="N"/>
    <s v="N"/>
    <s v="N"/>
    <s v="A036"/>
    <d v="2016-12-14T00:00:00"/>
    <s v="10"/>
    <s v="TAN"/>
    <s v="OR"/>
    <d v="2016-12-09T00:00:00"/>
    <s v="MI"/>
    <s v="US"/>
    <s v="ZR"/>
    <d v="2016-12-10T00:00:00"/>
  </r>
  <r>
    <x v="0"/>
    <x v="0"/>
    <x v="576"/>
    <x v="10"/>
    <s v="Standard order"/>
    <x v="560"/>
    <x v="560"/>
    <s v="R059"/>
    <s v="CRYSTAL RR059"/>
    <s v="5003530"/>
    <s v="R059 ACH T20 Kabina RP"/>
    <n v="12"/>
    <n v="0"/>
    <n v="12"/>
    <x v="0"/>
    <s v="AP73"/>
    <s v="RP"/>
    <s v="387"/>
    <s v="4.0 UN"/>
    <s v="STANDARD"/>
    <s v="N"/>
    <s v="N"/>
    <s v="Y"/>
    <s v="T20"/>
    <s v="N"/>
    <s v="N"/>
    <s v="N"/>
    <s v="N"/>
    <s v="A036"/>
    <d v="2016-12-14T00:00:00"/>
    <s v="20"/>
    <s v="TAN"/>
    <s v="OR"/>
    <d v="2016-12-09T00:00:00"/>
    <s v="MI"/>
    <s v="US"/>
    <s v="ZR"/>
    <d v="2016-12-10T00:00:00"/>
  </r>
  <r>
    <x v="0"/>
    <x v="0"/>
    <x v="577"/>
    <x v="10"/>
    <s v="Standard order"/>
    <x v="561"/>
    <x v="561"/>
    <s v="R059"/>
    <s v="CRYSTAL RR059"/>
    <s v="5003530"/>
    <s v="R059 ACH T20 Kabina RP"/>
    <n v="36"/>
    <n v="0"/>
    <n v="36"/>
    <x v="0"/>
    <s v="AP73"/>
    <s v="RP"/>
    <s v="387"/>
    <s v="4.0 UN"/>
    <s v="STANDARD"/>
    <s v="N"/>
    <s v="N"/>
    <s v="Y"/>
    <s v="T20"/>
    <s v="N"/>
    <s v="N"/>
    <s v="N"/>
    <s v="N"/>
    <s v="A036"/>
    <d v="2016-12-14T00:00:00"/>
    <s v="10"/>
    <s v="TAN"/>
    <s v="OR"/>
    <d v="2016-12-09T00:00:00"/>
    <s v="MI"/>
    <s v="US"/>
    <s v="ZR"/>
    <d v="2016-12-10T00:00:00"/>
  </r>
  <r>
    <x v="0"/>
    <x v="0"/>
    <x v="578"/>
    <x v="10"/>
    <s v="Standard order"/>
    <x v="562"/>
    <x v="562"/>
    <s v="R059"/>
    <s v="CRYSTAL RR059"/>
    <s v="5003536"/>
    <s v="R059 ACH T20 SYSTIVA RP"/>
    <n v="8"/>
    <n v="0"/>
    <n v="8"/>
    <x v="0"/>
    <s v="AP73"/>
    <s v="RP"/>
    <s v="328"/>
    <s v="4.0 UN"/>
    <s v="STANDARD"/>
    <s v="N"/>
    <s v="N"/>
    <s v="N"/>
    <s v="T20"/>
    <s v="Y"/>
    <s v="N"/>
    <s v="Y"/>
    <s v="N"/>
    <s v="A036"/>
    <d v="2016-12-14T00:00:00"/>
    <s v="10"/>
    <s v="TAN"/>
    <s v="OR"/>
    <d v="2016-12-09T00:00:00"/>
    <s v="MI"/>
    <s v="US"/>
    <s v="ZR"/>
    <d v="2016-12-10T00:00:00"/>
  </r>
  <r>
    <x v="0"/>
    <x v="0"/>
    <x v="578"/>
    <x v="10"/>
    <s v="Standard order"/>
    <x v="562"/>
    <x v="562"/>
    <s v="G515"/>
    <s v="CRYSTAL G515"/>
    <s v="5003019"/>
    <s v="G515 ACH T20 Kabina RP"/>
    <n v="8"/>
    <n v="0"/>
    <n v="8"/>
    <x v="0"/>
    <s v="APND"/>
    <s v="RP"/>
    <s v="387"/>
    <s v="4.0 UN"/>
    <s v="STANDARD"/>
    <s v="N"/>
    <s v="N"/>
    <s v="Y"/>
    <s v="T20"/>
    <s v="N"/>
    <s v="N"/>
    <s v="N"/>
    <s v="N"/>
    <s v="A036"/>
    <d v="2016-12-14T00:00:00"/>
    <s v="20"/>
    <s v="TAN"/>
    <s v="OR"/>
    <d v="2016-12-09T00:00:00"/>
    <s v="MI"/>
    <s v="US"/>
    <s v="ZR"/>
    <d v="2016-12-10T00:00:00"/>
  </r>
  <r>
    <x v="0"/>
    <x v="5"/>
    <x v="579"/>
    <x v="9"/>
    <s v="Standard order"/>
    <x v="563"/>
    <x v="563"/>
    <s v="Y400"/>
    <s v="CRYSTAL Y400NT"/>
    <s v="5003735"/>
    <s v="Y400 ACH T20 PB SYSTIVA RP"/>
    <n v="12"/>
    <n v="0"/>
    <n v="12"/>
    <x v="5"/>
    <s v="4TBP"/>
    <s v="RP"/>
    <s v="324"/>
    <s v="4.0 UN"/>
    <s v="STANDARD"/>
    <s v="N"/>
    <s v="Y"/>
    <s v="N"/>
    <s v="T20"/>
    <s v="Y"/>
    <s v="N"/>
    <s v="N"/>
    <s v="N"/>
    <s v="A016"/>
    <d v="2016-12-14T00:00:00"/>
    <s v="20"/>
    <s v="TAN"/>
    <s v="OR"/>
    <d v="2016-12-09T00:00:00"/>
    <s v="WY"/>
    <s v="US"/>
    <s v="ZR"/>
    <d v="2016-12-10T00:00:00"/>
  </r>
  <r>
    <x v="0"/>
    <x v="5"/>
    <x v="579"/>
    <x v="9"/>
    <s v="Standard order"/>
    <x v="563"/>
    <x v="563"/>
    <s v="R116"/>
    <s v="CRYSTAL RR116"/>
    <s v="5003105"/>
    <s v="R116 ACH T20 PB SYSTIVA RP"/>
    <n v="36"/>
    <n v="0"/>
    <n v="36"/>
    <x v="5"/>
    <s v="AP71"/>
    <s v="RP"/>
    <s v="324"/>
    <s v="4.0 UN"/>
    <s v="STANDARD"/>
    <s v="N"/>
    <s v="Y"/>
    <s v="N"/>
    <s v="T20"/>
    <s v="Y"/>
    <s v="N"/>
    <s v="N"/>
    <s v="N"/>
    <s v="A016"/>
    <d v="2016-12-14T00:00:00"/>
    <s v="10"/>
    <s v="TAN"/>
    <s v="OR"/>
    <d v="2016-12-09T00:00:00"/>
    <s v="WY"/>
    <s v="US"/>
    <s v="ZR"/>
    <d v="2016-12-10T00:00:00"/>
  </r>
  <r>
    <x v="0"/>
    <x v="0"/>
    <x v="580"/>
    <x v="10"/>
    <s v="Standard order"/>
    <x v="564"/>
    <x v="564"/>
    <s v="G333"/>
    <s v="CRYSTAL G333NT"/>
    <s v="5003384"/>
    <s v="G333 ACH T20 SYSTIVA RP"/>
    <n v="16"/>
    <n v="0"/>
    <n v="16"/>
    <x v="0"/>
    <s v="EE73"/>
    <s v="RP"/>
    <s v="328"/>
    <s v="4.0 UN"/>
    <s v="STANDARD"/>
    <s v="N"/>
    <s v="N"/>
    <s v="N"/>
    <s v="T20"/>
    <s v="Y"/>
    <s v="N"/>
    <s v="Y"/>
    <s v="N"/>
    <s v="A036"/>
    <d v="2016-12-14T00:00:00"/>
    <s v="10"/>
    <s v="TAN"/>
    <s v="OR"/>
    <d v="2016-12-10T00:00:00"/>
    <s v="MI"/>
    <s v="US"/>
    <s v="ZR"/>
    <d v="2016-12-10T00:00:00"/>
  </r>
  <r>
    <x v="0"/>
    <x v="0"/>
    <x v="581"/>
    <x v="10"/>
    <s v="Standard order"/>
    <x v="565"/>
    <x v="565"/>
    <s v="G333"/>
    <s v="CRYSTAL G333NT"/>
    <s v="5003377"/>
    <s v="G333 ACH T20 Kabina MP"/>
    <n v="80"/>
    <n v="0"/>
    <n v="80"/>
    <x v="0"/>
    <s v="EE73"/>
    <s v="MP"/>
    <s v="387"/>
    <s v="4.0 UN"/>
    <s v="STANDARD"/>
    <s v="N"/>
    <s v="N"/>
    <s v="Y"/>
    <s v="T20"/>
    <s v="N"/>
    <s v="N"/>
    <s v="N"/>
    <s v="N"/>
    <s v="A036"/>
    <d v="2016-12-14T00:00:00"/>
    <s v="10"/>
    <s v="TAN"/>
    <s v="OR"/>
    <d v="2016-12-09T00:00:00"/>
    <s v="MI"/>
    <s v="US"/>
    <s v="ZR"/>
    <d v="2016-12-10T00:00:00"/>
  </r>
  <r>
    <x v="0"/>
    <x v="0"/>
    <x v="581"/>
    <x v="10"/>
    <s v="Standard order"/>
    <x v="565"/>
    <x v="565"/>
    <s v="R059"/>
    <s v="CRYSTAL RR059"/>
    <s v="5003529"/>
    <s v="R059 ACH T20 Kabina MP"/>
    <n v="68"/>
    <n v="0"/>
    <n v="68"/>
    <x v="0"/>
    <s v="AP73"/>
    <s v="MP"/>
    <s v="387"/>
    <s v="4.0 UN"/>
    <s v="STANDARD"/>
    <s v="N"/>
    <s v="N"/>
    <s v="Y"/>
    <s v="T20"/>
    <s v="N"/>
    <s v="N"/>
    <s v="N"/>
    <s v="N"/>
    <s v="A036"/>
    <d v="2016-12-14T00:00:00"/>
    <s v="20"/>
    <s v="TAN"/>
    <s v="OR"/>
    <d v="2016-12-09T00:00:00"/>
    <s v="MI"/>
    <s v="US"/>
    <s v="ZR"/>
    <d v="2016-12-10T00:00:00"/>
  </r>
  <r>
    <x v="0"/>
    <x v="0"/>
    <x v="582"/>
    <x v="10"/>
    <s v="Standard order"/>
    <x v="566"/>
    <x v="566"/>
    <s v="R059"/>
    <s v="CRYSTAL RR059"/>
    <s v="5003536"/>
    <s v="R059 ACH T20 SYSTIVA RP"/>
    <n v="8"/>
    <n v="0"/>
    <n v="8"/>
    <x v="0"/>
    <s v="AP73"/>
    <s v="RP"/>
    <s v="328"/>
    <s v="4.0 UN"/>
    <s v="STANDARD"/>
    <s v="N"/>
    <s v="N"/>
    <s v="N"/>
    <s v="T20"/>
    <s v="Y"/>
    <s v="N"/>
    <s v="Y"/>
    <s v="N"/>
    <s v="A036"/>
    <d v="2016-12-14T00:00:00"/>
    <s v="10"/>
    <s v="TAN"/>
    <s v="OR"/>
    <d v="2016-12-09T00:00:00"/>
    <s v="MI"/>
    <s v="US"/>
    <s v="ZR"/>
    <d v="2016-12-10T00:00:00"/>
  </r>
  <r>
    <x v="0"/>
    <x v="0"/>
    <x v="582"/>
    <x v="10"/>
    <s v="Standard order"/>
    <x v="566"/>
    <x v="566"/>
    <s v="G515"/>
    <s v="CRYSTAL G515"/>
    <s v="5003019"/>
    <s v="G515 ACH T20 Kabina RP"/>
    <n v="8"/>
    <n v="0"/>
    <n v="8"/>
    <x v="0"/>
    <s v="APND"/>
    <s v="RP"/>
    <s v="387"/>
    <s v="4.0 UN"/>
    <s v="STANDARD"/>
    <s v="N"/>
    <s v="N"/>
    <s v="Y"/>
    <s v="T20"/>
    <s v="N"/>
    <s v="N"/>
    <s v="N"/>
    <s v="N"/>
    <s v="A036"/>
    <d v="2016-12-14T00:00:00"/>
    <s v="20"/>
    <s v="TAN"/>
    <s v="OR"/>
    <d v="2016-12-09T00:00:00"/>
    <s v="MI"/>
    <s v="US"/>
    <s v="ZR"/>
    <d v="2016-12-10T00:00:00"/>
  </r>
  <r>
    <x v="0"/>
    <x v="2"/>
    <x v="583"/>
    <x v="24"/>
    <s v="Standard order"/>
    <x v="567"/>
    <x v="567"/>
    <s v="R014"/>
    <s v="CRYSTAL RR014"/>
    <s v="5003092"/>
    <s v="R014 ACH T20 PB SYSTIVA G50"/>
    <n v="72"/>
    <n v="0"/>
    <n v="72"/>
    <x v="2"/>
    <s v="AP82"/>
    <s v="GEM 50"/>
    <s v="324"/>
    <s v="4.0 UN"/>
    <s v="STANDARD"/>
    <s v="N"/>
    <s v="Y"/>
    <s v="N"/>
    <s v="T20"/>
    <s v="Y"/>
    <s v="N"/>
    <s v="Y"/>
    <s v="N"/>
    <s v="A022"/>
    <d v="2016-12-14T00:00:00"/>
    <s v="10"/>
    <s v="TAN"/>
    <s v="OR"/>
    <d v="2016-12-09T00:00:00"/>
    <s v="CO"/>
    <s v="US"/>
    <s v="ZR"/>
    <d v="2016-12-10T00:00:00"/>
  </r>
  <r>
    <x v="0"/>
    <x v="0"/>
    <x v="584"/>
    <x v="10"/>
    <s v="Standard order"/>
    <x v="568"/>
    <x v="568"/>
    <s v="R059"/>
    <s v="CRYSTAL RR059"/>
    <s v="5003530"/>
    <s v="R059 ACH T20 Kabina RP"/>
    <n v="36"/>
    <n v="0"/>
    <n v="36"/>
    <x v="0"/>
    <s v="AP73"/>
    <s v="RP"/>
    <s v="387"/>
    <s v="4.0 UN"/>
    <s v="STANDARD"/>
    <s v="N"/>
    <s v="N"/>
    <s v="Y"/>
    <s v="T20"/>
    <s v="N"/>
    <s v="N"/>
    <s v="N"/>
    <s v="N"/>
    <s v="A036"/>
    <d v="2016-12-14T00:00:00"/>
    <s v="10"/>
    <s v="TAN"/>
    <s v="OR"/>
    <d v="2016-12-10T00:00:00"/>
    <s v="MI"/>
    <s v="US"/>
    <s v="ZR"/>
    <d v="2016-12-10T00:00:00"/>
  </r>
  <r>
    <x v="0"/>
    <x v="6"/>
    <x v="585"/>
    <x v="11"/>
    <s v="Standard order"/>
    <x v="569"/>
    <x v="569"/>
    <s v="S498"/>
    <s v="CRYSTAL S498"/>
    <s v="5003418"/>
    <s v="S498 ACH T20 PB CL SYSTIVA ELS"/>
    <n v="28"/>
    <n v="0"/>
    <n v="28"/>
    <x v="6"/>
    <s v="FE73"/>
    <s v="ELS"/>
    <s v="321"/>
    <s v="4.0 UN"/>
    <s v="STANDARD"/>
    <s v="N"/>
    <s v="N"/>
    <s v="N"/>
    <s v="T20"/>
    <s v="Y"/>
    <s v="N"/>
    <s v="Y"/>
    <s v="N"/>
    <s v="A038"/>
    <d v="2016-12-14T00:00:00"/>
    <s v="10"/>
    <s v="TAN"/>
    <s v="OR"/>
    <d v="2016-12-10T00:00:00"/>
    <s v="ND"/>
    <s v="US"/>
    <s v="ZR"/>
    <d v="2016-12-10T00:00:00"/>
  </r>
  <r>
    <x v="0"/>
    <x v="6"/>
    <x v="585"/>
    <x v="11"/>
    <s v="Standard order"/>
    <x v="569"/>
    <x v="569"/>
    <s v="S498"/>
    <s v="CRYSTAL S498"/>
    <s v="5003430"/>
    <s v="S498 ACH T20 PB SYSTIVA ELS"/>
    <n v="68"/>
    <n v="0"/>
    <n v="68"/>
    <x v="6"/>
    <s v="FE73"/>
    <s v="ELS"/>
    <s v="324"/>
    <s v="4.0 UN"/>
    <s v="STANDARD"/>
    <s v="N"/>
    <s v="Y"/>
    <s v="N"/>
    <s v="T20"/>
    <s v="Y"/>
    <s v="N"/>
    <s v="Y"/>
    <s v="N"/>
    <s v="A038"/>
    <d v="2016-12-14T00:00:00"/>
    <s v="20"/>
    <s v="TAN"/>
    <s v="OR"/>
    <d v="2016-12-10T00:00:00"/>
    <s v="ND"/>
    <s v="US"/>
    <s v="ZR"/>
    <d v="2016-12-10T00:00:00"/>
  </r>
  <r>
    <x v="0"/>
    <x v="6"/>
    <x v="585"/>
    <x v="11"/>
    <s v="Standard order"/>
    <x v="569"/>
    <x v="569"/>
    <s v="R081"/>
    <s v="CRYSTAL RR081"/>
    <s v="5003573"/>
    <s v="R081 ACH T20 PB SYSTIVA ELS SSI"/>
    <n v="160"/>
    <n v="0"/>
    <n v="160"/>
    <x v="6"/>
    <s v="AQ82"/>
    <s v="ELS"/>
    <s v="324"/>
    <s v="4.0 UN"/>
    <s v="STANDARD"/>
    <s v="N"/>
    <s v="Y"/>
    <s v="N"/>
    <s v="T20"/>
    <s v="Y"/>
    <s v="N"/>
    <s v="Y"/>
    <s v="N"/>
    <s v="A038"/>
    <d v="2016-12-14T00:00:00"/>
    <s v="30"/>
    <s v="TAN"/>
    <s v="OR"/>
    <d v="2016-12-10T00:00:00"/>
    <s v="ND"/>
    <s v="US"/>
    <s v="ZR"/>
    <d v="2016-12-10T00:00:00"/>
  </r>
  <r>
    <x v="0"/>
    <x v="6"/>
    <x v="585"/>
    <x v="11"/>
    <s v="Standard order"/>
    <x v="569"/>
    <x v="569"/>
    <s v="R052"/>
    <s v="CRYSTAL RR052"/>
    <s v="5003512"/>
    <s v="R052 ACH T20 PB SYSTIVA ELS"/>
    <n v="84"/>
    <n v="0"/>
    <n v="84"/>
    <x v="6"/>
    <s v="AP82"/>
    <s v="ELS"/>
    <s v="324"/>
    <s v="4.0 UN"/>
    <s v="STANDARD"/>
    <s v="N"/>
    <s v="Y"/>
    <s v="N"/>
    <s v="T20"/>
    <s v="Y"/>
    <s v="N"/>
    <s v="Y"/>
    <s v="N"/>
    <s v="A038"/>
    <d v="2016-12-14T00:00:00"/>
    <s v="40"/>
    <s v="TAN"/>
    <s v="OR"/>
    <d v="2016-12-10T00:00:00"/>
    <s v="ND"/>
    <s v="US"/>
    <s v="ZR"/>
    <d v="2016-12-10T00:00:00"/>
  </r>
  <r>
    <x v="0"/>
    <x v="2"/>
    <x v="586"/>
    <x v="24"/>
    <s v="Standard order"/>
    <x v="570"/>
    <x v="570"/>
    <s v="R272"/>
    <s v="CRYSTAL RR272"/>
    <s v="5003629"/>
    <s v="R272 ACH T20 PB SYSTIVA G100"/>
    <n v="120"/>
    <n v="0"/>
    <n v="120"/>
    <x v="2"/>
    <s v="DG73"/>
    <s v="GEM 100"/>
    <s v="324"/>
    <s v="4.0 UN"/>
    <s v="STANDARD"/>
    <s v="N"/>
    <s v="Y"/>
    <s v="N"/>
    <s v="T20"/>
    <s v="Y"/>
    <s v="N"/>
    <s v="Y"/>
    <s v="N"/>
    <s v="A022"/>
    <d v="2016-12-14T00:00:00"/>
    <s v="10"/>
    <s v="TAN"/>
    <s v="OR"/>
    <d v="2016-12-09T00:00:00"/>
    <s v="CO"/>
    <s v="US"/>
    <s v="ZR"/>
    <d v="2016-12-10T00:00:00"/>
  </r>
  <r>
    <x v="0"/>
    <x v="2"/>
    <x v="586"/>
    <x v="24"/>
    <s v="Standard order"/>
    <x v="570"/>
    <x v="570"/>
    <s v="W322"/>
    <s v="CRYSTAL W322NT"/>
    <s v="5003488"/>
    <s v="W322 ACH T20 PB SYSTIVA G100"/>
    <n v="64"/>
    <n v="0"/>
    <n v="64"/>
    <x v="2"/>
    <s v="EE73"/>
    <s v="GEM 100"/>
    <s v="324"/>
    <s v="4.0 UN"/>
    <s v="STANDARD"/>
    <s v="N"/>
    <s v="Y"/>
    <s v="N"/>
    <s v="T20"/>
    <s v="Y"/>
    <s v="N"/>
    <s v="Y"/>
    <s v="N"/>
    <s v="A022"/>
    <d v="2016-12-14T00:00:00"/>
    <s v="20"/>
    <s v="TAN"/>
    <s v="OR"/>
    <d v="2016-12-09T00:00:00"/>
    <s v="CO"/>
    <s v="US"/>
    <s v="ZR"/>
    <d v="2016-12-10T00:00:00"/>
  </r>
  <r>
    <x v="0"/>
    <x v="2"/>
    <x v="586"/>
    <x v="24"/>
    <s v="Standard order"/>
    <x v="570"/>
    <x v="570"/>
    <s v="R014"/>
    <s v="CRYSTAL RR014"/>
    <s v="5003091"/>
    <s v="R014 ACH T20 PB SYSTIVA G100"/>
    <n v="192"/>
    <n v="0"/>
    <n v="192"/>
    <x v="2"/>
    <s v="AP82"/>
    <s v="GEM 100"/>
    <s v="324"/>
    <s v="4.0 UN"/>
    <s v="STANDARD"/>
    <s v="N"/>
    <s v="Y"/>
    <s v="N"/>
    <s v="T20"/>
    <s v="Y"/>
    <s v="N"/>
    <s v="Y"/>
    <s v="N"/>
    <s v="A022"/>
    <d v="2016-12-14T00:00:00"/>
    <s v="30"/>
    <s v="TAN"/>
    <s v="OR"/>
    <d v="2016-12-09T00:00:00"/>
    <s v="CO"/>
    <s v="US"/>
    <s v="ZR"/>
    <d v="2016-12-10T00:00:00"/>
  </r>
  <r>
    <x v="0"/>
    <x v="2"/>
    <x v="587"/>
    <x v="24"/>
    <s v="Standard order"/>
    <x v="571"/>
    <x v="571"/>
    <s v="R014"/>
    <s v="CRYSTAL RR014"/>
    <s v="5003092"/>
    <s v="R014 ACH T20 PB SYSTIVA G50"/>
    <n v="40"/>
    <n v="0"/>
    <n v="40"/>
    <x v="2"/>
    <s v="AP82"/>
    <s v="GEM 50"/>
    <s v="324"/>
    <s v="4.0 UN"/>
    <s v="STANDARD"/>
    <s v="N"/>
    <s v="Y"/>
    <s v="N"/>
    <s v="T20"/>
    <s v="Y"/>
    <s v="N"/>
    <s v="Y"/>
    <s v="N"/>
    <s v="A022"/>
    <d v="2016-12-14T00:00:00"/>
    <s v="20"/>
    <s v="TAN"/>
    <s v="OR"/>
    <d v="2016-12-09T00:00:00"/>
    <s v="CO"/>
    <s v="US"/>
    <s v="ZR"/>
    <d v="2016-12-10T00:00:00"/>
  </r>
  <r>
    <x v="0"/>
    <x v="2"/>
    <x v="588"/>
    <x v="24"/>
    <s v="Standard order"/>
    <x v="572"/>
    <x v="572"/>
    <s v="R014"/>
    <s v="CRYSTAL RR014"/>
    <s v="5003092"/>
    <s v="R014 ACH T20 PB SYSTIVA G50"/>
    <n v="44"/>
    <n v="0"/>
    <n v="44"/>
    <x v="2"/>
    <s v="AP82"/>
    <s v="GEM 50"/>
    <s v="324"/>
    <s v="4.0 UN"/>
    <s v="STANDARD"/>
    <s v="N"/>
    <s v="Y"/>
    <s v="N"/>
    <s v="T20"/>
    <s v="Y"/>
    <s v="N"/>
    <s v="Y"/>
    <s v="N"/>
    <s v="A022"/>
    <d v="2016-12-14T00:00:00"/>
    <s v="10"/>
    <s v="TAN"/>
    <s v="OR"/>
    <d v="2016-12-09T00:00:00"/>
    <s v="CO"/>
    <s v="US"/>
    <s v="ZR"/>
    <d v="2016-12-10T00:00:00"/>
  </r>
  <r>
    <x v="0"/>
    <x v="2"/>
    <x v="589"/>
    <x v="6"/>
    <s v="Standard order"/>
    <x v="573"/>
    <x v="573"/>
    <s v="R014"/>
    <s v="CRYSTAL RR014"/>
    <s v="5003091"/>
    <s v="R014 ACH T20 PB SYSTIVA G100"/>
    <n v="28"/>
    <n v="0"/>
    <n v="28"/>
    <x v="2"/>
    <s v="AP82"/>
    <s v="GEM 100"/>
    <s v="324"/>
    <s v="4.0 UN"/>
    <s v="STANDARD"/>
    <s v="N"/>
    <s v="Y"/>
    <s v="N"/>
    <s v="T20"/>
    <s v="Y"/>
    <s v="N"/>
    <s v="Y"/>
    <s v="N"/>
    <s v="A025"/>
    <d v="2016-12-14T00:00:00"/>
    <s v="10"/>
    <s v="TAN"/>
    <s v="OR"/>
    <d v="2016-12-10T00:00:00"/>
    <s v="WY"/>
    <s v="US"/>
    <s v="ZR"/>
    <d v="2016-12-10T00:00:00"/>
  </r>
  <r>
    <x v="0"/>
    <x v="4"/>
    <x v="590"/>
    <x v="18"/>
    <s v="Standard order"/>
    <x v="574"/>
    <x v="574"/>
    <s v="A399"/>
    <s v="CRYSTAL A399NT"/>
    <s v="5002931"/>
    <s v="A399 ACH PB XL"/>
    <n v="60"/>
    <n v="0"/>
    <n v="60"/>
    <x v="4"/>
    <s v="DP71"/>
    <s v="X-LARGE"/>
    <s v="314"/>
    <s v="4.0 UN"/>
    <s v="STANDARD"/>
    <s v="N"/>
    <s v="Y"/>
    <s v="N"/>
    <s v="N"/>
    <s v="N"/>
    <s v="N"/>
    <s v="N"/>
    <s v="N"/>
    <s v="A041"/>
    <d v="2016-12-14T00:00:00"/>
    <s v="10"/>
    <s v="TAN"/>
    <s v="OR"/>
    <d v="2016-12-09T00:00:00"/>
    <s v="ID"/>
    <s v="US"/>
    <s v="ZR"/>
    <d v="2016-12-10T00:00:00"/>
  </r>
  <r>
    <x v="0"/>
    <x v="2"/>
    <x v="591"/>
    <x v="22"/>
    <s v="Standard order"/>
    <x v="575"/>
    <x v="575"/>
    <s v="W322"/>
    <s v="CRYSTAL W322NT"/>
    <s v="5003489"/>
    <s v="W322 ACH T20 PB SYSTIVA G50"/>
    <n v="4"/>
    <n v="0"/>
    <n v="4"/>
    <x v="2"/>
    <s v="EE73"/>
    <s v="GEM 50"/>
    <s v="324"/>
    <s v="4.0 UN"/>
    <s v="STANDARD"/>
    <s v="N"/>
    <s v="Y"/>
    <s v="N"/>
    <s v="T20"/>
    <s v="Y"/>
    <s v="N"/>
    <s v="Y"/>
    <s v="N"/>
    <s v="A018"/>
    <d v="2016-12-14T00:00:00"/>
    <s v="10"/>
    <s v="TAN"/>
    <s v="OR"/>
    <d v="2016-12-09T00:00:00"/>
    <s v="FL"/>
    <s v="US"/>
    <s v="ZR"/>
    <d v="2016-12-10T00:00:00"/>
  </r>
  <r>
    <x v="0"/>
    <x v="0"/>
    <x v="592"/>
    <x v="10"/>
    <s v="Standard order"/>
    <x v="576"/>
    <x v="576"/>
    <s v="G515"/>
    <s v="CRYSTAL G515"/>
    <s v="5003019"/>
    <s v="G515 ACH T20 Kabina RP"/>
    <n v="24"/>
    <n v="0"/>
    <n v="24"/>
    <x v="0"/>
    <s v="APND"/>
    <s v="RP"/>
    <s v="387"/>
    <s v="4.0 UN"/>
    <s v="STANDARD"/>
    <s v="N"/>
    <s v="N"/>
    <s v="Y"/>
    <s v="T20"/>
    <s v="N"/>
    <s v="N"/>
    <s v="N"/>
    <s v="N"/>
    <s v="A036"/>
    <d v="2016-12-14T00:00:00"/>
    <s v="10"/>
    <s v="TAN"/>
    <s v="OR"/>
    <d v="2016-12-09T00:00:00"/>
    <s v="MI"/>
    <s v="US"/>
    <s v="ZR"/>
    <d v="2016-12-10T00:00:00"/>
  </r>
  <r>
    <x v="0"/>
    <x v="0"/>
    <x v="592"/>
    <x v="10"/>
    <s v="Standard order"/>
    <x v="576"/>
    <x v="576"/>
    <s v="R059"/>
    <s v="CRYSTAL RR059"/>
    <s v="5003530"/>
    <s v="R059 ACH T20 Kabina RP"/>
    <n v="20"/>
    <n v="0"/>
    <n v="20"/>
    <x v="0"/>
    <s v="AP73"/>
    <s v="RP"/>
    <s v="387"/>
    <s v="4.0 UN"/>
    <s v="STANDARD"/>
    <s v="N"/>
    <s v="N"/>
    <s v="Y"/>
    <s v="T20"/>
    <s v="N"/>
    <s v="N"/>
    <s v="N"/>
    <s v="N"/>
    <s v="A036"/>
    <d v="2016-12-14T00:00:00"/>
    <s v="20"/>
    <s v="TAN"/>
    <s v="OR"/>
    <d v="2016-12-09T00:00:00"/>
    <s v="MI"/>
    <s v="US"/>
    <s v="ZR"/>
    <d v="2016-12-10T00:00:00"/>
  </r>
  <r>
    <x v="0"/>
    <x v="0"/>
    <x v="592"/>
    <x v="10"/>
    <s v="Standard order"/>
    <x v="576"/>
    <x v="576"/>
    <s v="R059"/>
    <s v="CRYSTAL RR059"/>
    <s v="5003536"/>
    <s v="R059 ACH T20 SYSTIVA RP"/>
    <n v="20"/>
    <n v="0"/>
    <n v="20"/>
    <x v="0"/>
    <s v="AP73"/>
    <s v="RP"/>
    <s v="328"/>
    <s v="4.0 UN"/>
    <s v="STANDARD"/>
    <s v="N"/>
    <s v="N"/>
    <s v="N"/>
    <s v="T20"/>
    <s v="Y"/>
    <s v="N"/>
    <s v="Y"/>
    <s v="N"/>
    <s v="A036"/>
    <d v="2016-12-14T00:00:00"/>
    <s v="30"/>
    <s v="TAN"/>
    <s v="OR"/>
    <d v="2016-12-09T00:00:00"/>
    <s v="MI"/>
    <s v="US"/>
    <s v="ZR"/>
    <d v="2016-12-10T00:00:00"/>
  </r>
  <r>
    <x v="0"/>
    <x v="0"/>
    <x v="593"/>
    <x v="10"/>
    <s v="Standard order"/>
    <x v="577"/>
    <x v="577"/>
    <s v="G515"/>
    <s v="CRYSTAL G515"/>
    <s v="5003019"/>
    <s v="G515 ACH T20 Kabina RP"/>
    <n v="12"/>
    <n v="0"/>
    <n v="12"/>
    <x v="0"/>
    <s v="APND"/>
    <s v="RP"/>
    <s v="387"/>
    <s v="4.0 UN"/>
    <s v="STANDARD"/>
    <s v="N"/>
    <s v="N"/>
    <s v="Y"/>
    <s v="T20"/>
    <s v="N"/>
    <s v="N"/>
    <s v="N"/>
    <s v="N"/>
    <s v="A036"/>
    <d v="2016-12-14T00:00:00"/>
    <s v="20"/>
    <s v="TAN"/>
    <s v="OR"/>
    <d v="2016-12-09T00:00:00"/>
    <s v="MI"/>
    <s v="US"/>
    <s v="ZR"/>
    <d v="2016-12-10T00:00:00"/>
  </r>
  <r>
    <x v="0"/>
    <x v="0"/>
    <x v="593"/>
    <x v="10"/>
    <s v="Standard order"/>
    <x v="577"/>
    <x v="577"/>
    <s v="R059"/>
    <s v="CRYSTAL RR059"/>
    <s v="5003530"/>
    <s v="R059 ACH T20 Kabina RP"/>
    <n v="52"/>
    <n v="0"/>
    <n v="52"/>
    <x v="0"/>
    <s v="AP73"/>
    <s v="RP"/>
    <s v="387"/>
    <s v="4.0 UN"/>
    <s v="STANDARD"/>
    <s v="N"/>
    <s v="N"/>
    <s v="Y"/>
    <s v="T20"/>
    <s v="N"/>
    <s v="N"/>
    <s v="N"/>
    <s v="N"/>
    <s v="A036"/>
    <d v="2016-12-14T00:00:00"/>
    <s v="10"/>
    <s v="TAN"/>
    <s v="OR"/>
    <d v="2016-12-09T00:00:00"/>
    <s v="MI"/>
    <s v="US"/>
    <s v="ZR"/>
    <d v="2016-12-10T00:00:00"/>
  </r>
  <r>
    <x v="0"/>
    <x v="0"/>
    <x v="594"/>
    <x v="4"/>
    <s v="Standard order"/>
    <x v="578"/>
    <x v="578"/>
    <s v="R059"/>
    <s v="CRYSTAL RR059"/>
    <s v="5003530"/>
    <s v="R059 ACH T20 Kabina RP"/>
    <n v="112"/>
    <n v="0"/>
    <n v="112"/>
    <x v="0"/>
    <s v="AP73"/>
    <s v="RP"/>
    <s v="387"/>
    <s v="4.0 UN"/>
    <s v="STANDARD"/>
    <s v="N"/>
    <s v="N"/>
    <s v="Y"/>
    <s v="T20"/>
    <s v="N"/>
    <s v="N"/>
    <s v="N"/>
    <s v="N"/>
    <s v="A035"/>
    <d v="2016-12-14T00:00:00"/>
    <s v="10"/>
    <s v="TAN"/>
    <s v="OR"/>
    <d v="2016-12-10T00:00:00"/>
    <s v="MI"/>
    <s v="US"/>
    <s v="ZR"/>
    <d v="2016-12-10T00:00:00"/>
  </r>
  <r>
    <x v="0"/>
    <x v="0"/>
    <x v="594"/>
    <x v="4"/>
    <s v="Standard order"/>
    <x v="578"/>
    <x v="578"/>
    <s v="G515"/>
    <s v="CRYSTAL G515"/>
    <s v="5003019"/>
    <s v="G515 ACH T20 Kabina RP"/>
    <n v="16"/>
    <n v="0"/>
    <n v="16"/>
    <x v="0"/>
    <s v="APND"/>
    <s v="RP"/>
    <s v="387"/>
    <s v="4.0 UN"/>
    <s v="STANDARD"/>
    <s v="N"/>
    <s v="N"/>
    <s v="Y"/>
    <s v="T20"/>
    <s v="N"/>
    <s v="N"/>
    <s v="N"/>
    <s v="N"/>
    <s v="A035"/>
    <d v="2016-12-14T00:00:00"/>
    <s v="20"/>
    <s v="TAN"/>
    <s v="OR"/>
    <d v="2016-12-10T00:00:00"/>
    <s v="MI"/>
    <s v="US"/>
    <s v="ZR"/>
    <d v="2016-12-10T00:00:00"/>
  </r>
  <r>
    <x v="0"/>
    <x v="0"/>
    <x v="595"/>
    <x v="10"/>
    <s v="Standard order"/>
    <x v="579"/>
    <x v="579"/>
    <s v="R059"/>
    <s v="CRYSTAL RR059"/>
    <s v="5003534"/>
    <s v="R059 ACH T20 SYSTIVA ELS"/>
    <n v="28"/>
    <n v="0"/>
    <n v="28"/>
    <x v="0"/>
    <s v="AP73"/>
    <s v="ELS"/>
    <s v="328"/>
    <s v="4.0 UN"/>
    <s v="STANDARD"/>
    <s v="N"/>
    <s v="N"/>
    <s v="N"/>
    <s v="T20"/>
    <s v="Y"/>
    <s v="N"/>
    <s v="Y"/>
    <s v="N"/>
    <s v="A036"/>
    <d v="2016-12-14T00:00:00"/>
    <s v="10"/>
    <s v="TAN"/>
    <s v="OR"/>
    <d v="2016-12-10T00:00:00"/>
    <s v="MI"/>
    <s v="US"/>
    <s v="ZR"/>
    <d v="2016-12-10T00:00:00"/>
  </r>
  <r>
    <x v="0"/>
    <x v="0"/>
    <x v="595"/>
    <x v="10"/>
    <s v="Standard order"/>
    <x v="579"/>
    <x v="579"/>
    <s v="R059"/>
    <s v="CRYSTAL RR059"/>
    <s v="5003528"/>
    <s v="R059 ACH T20 Kabina ELS"/>
    <n v="32"/>
    <n v="0"/>
    <n v="32"/>
    <x v="0"/>
    <s v="AP73"/>
    <s v="ELS"/>
    <s v="387"/>
    <s v="4.0 UN"/>
    <s v="STANDARD"/>
    <s v="N"/>
    <s v="N"/>
    <s v="Y"/>
    <s v="T20"/>
    <s v="N"/>
    <s v="N"/>
    <s v="N"/>
    <s v="N"/>
    <s v="A036"/>
    <d v="2016-12-14T00:00:00"/>
    <s v="20"/>
    <s v="TAN"/>
    <s v="OR"/>
    <d v="2016-12-10T00:00:00"/>
    <s v="MI"/>
    <s v="US"/>
    <s v="ZR"/>
    <d v="2016-12-10T00:00:00"/>
  </r>
  <r>
    <x v="0"/>
    <x v="0"/>
    <x v="596"/>
    <x v="10"/>
    <s v="Standard order"/>
    <x v="580"/>
    <x v="580"/>
    <s v="G333"/>
    <s v="CRYSTAL G333NT"/>
    <s v="5003384"/>
    <s v="G333 ACH T20 SYSTIVA RP"/>
    <n v="48"/>
    <n v="0"/>
    <n v="48"/>
    <x v="0"/>
    <s v="EE73"/>
    <s v="RP"/>
    <s v="328"/>
    <s v="4.0 UN"/>
    <s v="STANDARD"/>
    <s v="N"/>
    <s v="N"/>
    <s v="N"/>
    <s v="T20"/>
    <s v="Y"/>
    <s v="N"/>
    <s v="Y"/>
    <s v="N"/>
    <s v="A036"/>
    <d v="2016-12-14T00:00:00"/>
    <s v="10"/>
    <s v="TAN"/>
    <s v="OR"/>
    <d v="2016-12-10T00:00:00"/>
    <s v="MI"/>
    <s v="US"/>
    <s v="ZR"/>
    <d v="2016-12-10T00:00:00"/>
  </r>
  <r>
    <x v="0"/>
    <x v="2"/>
    <x v="597"/>
    <x v="6"/>
    <s v="Standard order"/>
    <x v="581"/>
    <x v="581"/>
    <s v="W322"/>
    <s v="CRYSTAL W322NT"/>
    <s v="5003488"/>
    <s v="W322 ACH T20 PB SYSTIVA G100"/>
    <n v="288"/>
    <n v="0"/>
    <n v="288"/>
    <x v="2"/>
    <s v="EE73"/>
    <s v="GEM 100"/>
    <s v="324"/>
    <s v="4.0 UN"/>
    <s v="STANDARD"/>
    <s v="N"/>
    <s v="Y"/>
    <s v="N"/>
    <s v="T20"/>
    <s v="Y"/>
    <s v="N"/>
    <s v="Y"/>
    <s v="N"/>
    <s v="A025"/>
    <d v="2016-12-14T00:00:00"/>
    <s v="10"/>
    <s v="TAN"/>
    <s v="OR"/>
    <d v="2016-12-10T00:00:00"/>
    <s v="NE"/>
    <s v="US"/>
    <s v="ZR"/>
    <d v="2016-12-10T00:00:00"/>
  </r>
  <r>
    <x v="0"/>
    <x v="2"/>
    <x v="597"/>
    <x v="6"/>
    <s v="Standard order"/>
    <x v="581"/>
    <x v="581"/>
    <s v="R014"/>
    <s v="CRYSTAL RR014"/>
    <s v="5003091"/>
    <s v="R014 ACH T20 PB SYSTIVA G100"/>
    <n v="176"/>
    <n v="0"/>
    <n v="176"/>
    <x v="2"/>
    <s v="AP82"/>
    <s v="GEM 100"/>
    <s v="324"/>
    <s v="4.0 UN"/>
    <s v="STANDARD"/>
    <s v="N"/>
    <s v="Y"/>
    <s v="N"/>
    <s v="T20"/>
    <s v="Y"/>
    <s v="N"/>
    <s v="Y"/>
    <s v="N"/>
    <s v="A025"/>
    <d v="2016-12-14T00:00:00"/>
    <s v="20"/>
    <s v="TAN"/>
    <s v="OR"/>
    <d v="2016-12-10T00:00:00"/>
    <s v="NE"/>
    <s v="US"/>
    <s v="ZR"/>
    <d v="2016-12-10T00:00:00"/>
  </r>
  <r>
    <x v="0"/>
    <x v="0"/>
    <x v="598"/>
    <x v="10"/>
    <s v="Standard order"/>
    <x v="582"/>
    <x v="582"/>
    <s v="R059"/>
    <s v="CRYSTAL RR059"/>
    <s v="5003528"/>
    <s v="R059 ACH T20 Kabina ELS"/>
    <n v="12"/>
    <n v="0"/>
    <n v="12"/>
    <x v="0"/>
    <s v="AP73"/>
    <s v="ELS"/>
    <s v="387"/>
    <s v="4.0 UN"/>
    <s v="STANDARD"/>
    <s v="N"/>
    <s v="N"/>
    <s v="Y"/>
    <s v="T20"/>
    <s v="N"/>
    <s v="N"/>
    <s v="N"/>
    <s v="N"/>
    <s v="A036"/>
    <d v="2016-12-14T00:00:00"/>
    <s v="10"/>
    <s v="TAN"/>
    <s v="OR"/>
    <d v="2016-12-09T00:00:00"/>
    <s v="MI"/>
    <s v="US"/>
    <s v="ZR"/>
    <d v="2016-12-10T00:00:00"/>
  </r>
  <r>
    <x v="0"/>
    <x v="0"/>
    <x v="598"/>
    <x v="10"/>
    <s v="Standard order"/>
    <x v="582"/>
    <x v="582"/>
    <s v="G515"/>
    <s v="CRYSTAL G515"/>
    <s v="5003017"/>
    <s v="G515 ACH T20 Kabina ELS"/>
    <n v="12"/>
    <n v="0"/>
    <n v="12"/>
    <x v="0"/>
    <s v="APND"/>
    <s v="ELS"/>
    <s v="387"/>
    <s v="4.0 UN"/>
    <s v="STANDARD"/>
    <s v="N"/>
    <s v="N"/>
    <s v="Y"/>
    <s v="T20"/>
    <s v="N"/>
    <s v="N"/>
    <s v="N"/>
    <s v="N"/>
    <s v="A036"/>
    <d v="2016-12-14T00:00:00"/>
    <s v="20"/>
    <s v="TAN"/>
    <s v="OR"/>
    <d v="2016-12-09T00:00:00"/>
    <s v="MI"/>
    <s v="US"/>
    <s v="ZR"/>
    <d v="2016-12-10T00:00:00"/>
  </r>
  <r>
    <x v="0"/>
    <x v="0"/>
    <x v="599"/>
    <x v="4"/>
    <s v="Standard order"/>
    <x v="583"/>
    <x v="583"/>
    <s v="R059"/>
    <s v="CRYSTAL RR059"/>
    <s v="5003528"/>
    <s v="R059 ACH T20 Kabina ELS"/>
    <n v="184"/>
    <n v="0"/>
    <n v="184"/>
    <x v="0"/>
    <s v="AP73"/>
    <s v="ELS"/>
    <s v="387"/>
    <s v="4.0 UN"/>
    <s v="STANDARD"/>
    <s v="N"/>
    <s v="N"/>
    <s v="Y"/>
    <s v="T20"/>
    <s v="N"/>
    <s v="N"/>
    <s v="N"/>
    <s v="N"/>
    <s v="A035"/>
    <d v="2016-12-14T00:00:00"/>
    <s v="10"/>
    <s v="TAN"/>
    <s v="OR"/>
    <d v="2016-12-10T00:00:00"/>
    <s v="MI"/>
    <s v="US"/>
    <s v="ZR"/>
    <d v="2016-12-11T00:00:00"/>
  </r>
  <r>
    <x v="0"/>
    <x v="0"/>
    <x v="599"/>
    <x v="4"/>
    <s v="Standard order"/>
    <x v="583"/>
    <x v="583"/>
    <s v="G333"/>
    <s v="CRYSTAL G333NT"/>
    <s v="5003376"/>
    <s v="G333 ACH T20 Kabina ELS"/>
    <n v="24"/>
    <n v="0"/>
    <n v="24"/>
    <x v="0"/>
    <s v="EE73"/>
    <s v="ELS"/>
    <s v="387"/>
    <s v="4.0 UN"/>
    <s v="STANDARD"/>
    <s v="N"/>
    <s v="N"/>
    <s v="Y"/>
    <s v="T20"/>
    <s v="N"/>
    <s v="N"/>
    <s v="N"/>
    <s v="N"/>
    <s v="A035"/>
    <d v="2016-12-14T00:00:00"/>
    <s v="20"/>
    <s v="TAN"/>
    <s v="OR"/>
    <d v="2016-12-10T00:00:00"/>
    <s v="MI"/>
    <s v="US"/>
    <s v="ZR"/>
    <d v="2016-12-11T00:00:00"/>
  </r>
  <r>
    <x v="0"/>
    <x v="2"/>
    <x v="600"/>
    <x v="22"/>
    <s v="Standard order"/>
    <x v="584"/>
    <x v="584"/>
    <s v="R014"/>
    <s v="CRYSTAL RR014"/>
    <s v="5003091"/>
    <s v="R014 ACH T20 PB SYSTIVA G100"/>
    <n v="12"/>
    <n v="0"/>
    <n v="12"/>
    <x v="2"/>
    <s v="AP82"/>
    <s v="GEM 100"/>
    <s v="324"/>
    <s v="4.0 UN"/>
    <s v="STANDARD"/>
    <s v="N"/>
    <s v="Y"/>
    <s v="N"/>
    <s v="T20"/>
    <s v="Y"/>
    <s v="N"/>
    <s v="Y"/>
    <s v="N"/>
    <s v="A018"/>
    <d v="2016-12-14T00:00:00"/>
    <s v="10"/>
    <s v="TAN"/>
    <s v="OR"/>
    <d v="2016-12-10T00:00:00"/>
    <s v="CO"/>
    <s v="US"/>
    <s v="ZR"/>
    <d v="2016-12-11T00:00:00"/>
  </r>
  <r>
    <x v="0"/>
    <x v="2"/>
    <x v="600"/>
    <x v="22"/>
    <s v="Standard order"/>
    <x v="584"/>
    <x v="584"/>
    <s v="W322"/>
    <s v="CRYSTAL W322NT"/>
    <s v="5003488"/>
    <s v="W322 ACH T20 PB SYSTIVA G100"/>
    <n v="16"/>
    <n v="0"/>
    <n v="16"/>
    <x v="2"/>
    <s v="EE73"/>
    <s v="GEM 100"/>
    <s v="324"/>
    <s v="4.0 UN"/>
    <s v="STANDARD"/>
    <s v="N"/>
    <s v="Y"/>
    <s v="N"/>
    <s v="T20"/>
    <s v="Y"/>
    <s v="N"/>
    <s v="Y"/>
    <s v="N"/>
    <s v="A018"/>
    <d v="2016-12-14T00:00:00"/>
    <s v="20"/>
    <s v="TAN"/>
    <s v="OR"/>
    <d v="2016-12-10T00:00:00"/>
    <s v="CO"/>
    <s v="US"/>
    <s v="ZR"/>
    <d v="2016-12-11T00:00:00"/>
  </r>
  <r>
    <x v="0"/>
    <x v="2"/>
    <x v="601"/>
    <x v="3"/>
    <s v="Standard order"/>
    <x v="585"/>
    <x v="585"/>
    <s v="R014"/>
    <s v="CRYSTAL RR014"/>
    <s v="5003091"/>
    <s v="R014 ACH T20 PB SYSTIVA G100"/>
    <n v="64"/>
    <n v="0"/>
    <n v="64"/>
    <x v="2"/>
    <s v="AP82"/>
    <s v="GEM 100"/>
    <s v="324"/>
    <s v="4.0 UN"/>
    <s v="STANDARD"/>
    <s v="N"/>
    <s v="Y"/>
    <s v="N"/>
    <s v="T20"/>
    <s v="Y"/>
    <s v="N"/>
    <s v="Y"/>
    <s v="N"/>
    <s v="A024"/>
    <d v="2016-12-15T00:00:00"/>
    <s v="10"/>
    <s v="TAN"/>
    <s v="OR"/>
    <d v="2016-12-12T00:00:00"/>
    <s v="NE"/>
    <s v="US"/>
    <s v="ZR"/>
    <d v="2016-12-12T00:00:00"/>
  </r>
  <r>
    <x v="0"/>
    <x v="0"/>
    <x v="602"/>
    <x v="10"/>
    <s v="Standard order"/>
    <x v="586"/>
    <x v="586"/>
    <s v="G515"/>
    <s v="CRYSTAL G515"/>
    <s v="5003017"/>
    <s v="G515 ACH T20 Kabina ELS"/>
    <n v="12"/>
    <n v="0"/>
    <n v="12"/>
    <x v="0"/>
    <s v="APND"/>
    <s v="ELS"/>
    <s v="387"/>
    <s v="4.0 UN"/>
    <s v="STANDARD"/>
    <s v="N"/>
    <s v="N"/>
    <s v="Y"/>
    <s v="T20"/>
    <s v="N"/>
    <s v="N"/>
    <s v="N"/>
    <s v="N"/>
    <s v="A036"/>
    <d v="2016-12-15T00:00:00"/>
    <s v="10"/>
    <s v="TAN"/>
    <s v="OR"/>
    <d v="2016-12-12T00:00:00"/>
    <s v="MI"/>
    <s v="US"/>
    <s v="ZR"/>
    <d v="2016-12-12T00:00:00"/>
  </r>
  <r>
    <x v="0"/>
    <x v="0"/>
    <x v="602"/>
    <x v="10"/>
    <s v="Standard order"/>
    <x v="586"/>
    <x v="586"/>
    <s v="R059"/>
    <s v="CRYSTAL RR059"/>
    <s v="5003528"/>
    <s v="R059 ACH T20 Kabina ELS"/>
    <n v="48"/>
    <n v="0"/>
    <n v="48"/>
    <x v="0"/>
    <s v="AP73"/>
    <s v="ELS"/>
    <s v="387"/>
    <s v="4.0 UN"/>
    <s v="STANDARD"/>
    <s v="N"/>
    <s v="N"/>
    <s v="Y"/>
    <s v="T20"/>
    <s v="N"/>
    <s v="N"/>
    <s v="N"/>
    <s v="N"/>
    <s v="A036"/>
    <d v="2016-12-15T00:00:00"/>
    <s v="20"/>
    <s v="TAN"/>
    <s v="OR"/>
    <d v="2016-12-12T00:00:00"/>
    <s v="MI"/>
    <s v="US"/>
    <s v="ZR"/>
    <d v="2016-12-12T00:00:00"/>
  </r>
  <r>
    <x v="0"/>
    <x v="4"/>
    <x v="603"/>
    <x v="7"/>
    <s v="Standard order"/>
    <x v="587"/>
    <x v="587"/>
    <s v="A399"/>
    <s v="CRYSTAL A399NT"/>
    <s v="5002936"/>
    <s v="A399 ACH T20 PB Kabina MP"/>
    <n v="40"/>
    <n v="0"/>
    <n v="40"/>
    <x v="4"/>
    <s v="DP71"/>
    <s v="MP"/>
    <s v="388"/>
    <s v="4.0 UN"/>
    <s v="STANDARD"/>
    <s v="N"/>
    <s v="Y"/>
    <s v="Y"/>
    <s v="T20"/>
    <s v="N"/>
    <s v="N"/>
    <s v="N"/>
    <s v="N"/>
    <s v="A045"/>
    <d v="2016-12-15T00:00:00"/>
    <s v="10"/>
    <s v="TAN"/>
    <s v="OR"/>
    <d v="2016-12-12T00:00:00"/>
    <s v="ID"/>
    <s v="US"/>
    <s v="ZR"/>
    <d v="2016-12-12T00:00:00"/>
  </r>
  <r>
    <x v="0"/>
    <x v="4"/>
    <x v="603"/>
    <x v="7"/>
    <s v="Standard order"/>
    <x v="587"/>
    <x v="587"/>
    <s v="A404"/>
    <s v="CRYSTAL A404NT"/>
    <s v="5002962"/>
    <s v="A404 ACH T20 PB Kabina MP"/>
    <n v="24"/>
    <n v="0"/>
    <n v="24"/>
    <x v="4"/>
    <s v="DPNE"/>
    <s v="MP"/>
    <s v="388"/>
    <s v="4.0 UN"/>
    <s v="STANDARD"/>
    <s v="N"/>
    <s v="Y"/>
    <s v="Y"/>
    <s v="T20"/>
    <s v="N"/>
    <s v="N"/>
    <s v="N"/>
    <s v="N"/>
    <s v="A045"/>
    <d v="2016-12-15T00:00:00"/>
    <s v="20"/>
    <s v="TAN"/>
    <s v="OR"/>
    <d v="2016-12-12T00:00:00"/>
    <s v="ID"/>
    <s v="US"/>
    <s v="ZR"/>
    <d v="2016-12-12T00:00:00"/>
  </r>
  <r>
    <x v="0"/>
    <x v="2"/>
    <x v="604"/>
    <x v="3"/>
    <s v="Standard order"/>
    <x v="588"/>
    <x v="588"/>
    <s v="W322"/>
    <s v="CRYSTAL W322NT"/>
    <s v="5003488"/>
    <s v="W322 ACH T20 PB SYSTIVA G100"/>
    <n v="16"/>
    <n v="0"/>
    <n v="16"/>
    <x v="2"/>
    <s v="EE73"/>
    <s v="GEM 100"/>
    <s v="324"/>
    <s v="4.0 UN"/>
    <s v="STANDARD"/>
    <s v="N"/>
    <s v="Y"/>
    <s v="N"/>
    <s v="T20"/>
    <s v="Y"/>
    <s v="N"/>
    <s v="Y"/>
    <s v="N"/>
    <s v="A024"/>
    <d v="2016-12-15T00:00:00"/>
    <s v="10"/>
    <s v="TAN"/>
    <s v="OR"/>
    <d v="2016-12-12T00:00:00"/>
    <s v="NE"/>
    <s v="US"/>
    <s v="ZR"/>
    <d v="2016-12-12T00:00:00"/>
  </r>
  <r>
    <x v="0"/>
    <x v="0"/>
    <x v="605"/>
    <x v="10"/>
    <s v="Standard order"/>
    <x v="589"/>
    <x v="589"/>
    <s v="G515"/>
    <s v="CRYSTAL G515"/>
    <s v="5003017"/>
    <s v="G515 ACH T20 Kabina ELS"/>
    <n v="40"/>
    <n v="0"/>
    <n v="40"/>
    <x v="0"/>
    <s v="APND"/>
    <s v="ELS"/>
    <s v="387"/>
    <s v="4.0 UN"/>
    <s v="STANDARD"/>
    <s v="N"/>
    <s v="N"/>
    <s v="Y"/>
    <s v="T20"/>
    <s v="N"/>
    <s v="N"/>
    <s v="N"/>
    <s v="N"/>
    <s v="A036"/>
    <d v="2016-12-15T00:00:00"/>
    <s v="10"/>
    <s v="TAN"/>
    <s v="OR"/>
    <d v="2016-12-12T00:00:00"/>
    <s v="MI"/>
    <s v="US"/>
    <s v="ZR"/>
    <d v="2016-12-12T00:00:00"/>
  </r>
  <r>
    <x v="0"/>
    <x v="0"/>
    <x v="605"/>
    <x v="10"/>
    <s v="Standard order"/>
    <x v="589"/>
    <x v="589"/>
    <s v="G333"/>
    <s v="CRYSTAL G333NT"/>
    <s v="5003376"/>
    <s v="G333 ACH T20 Kabina ELS"/>
    <n v="68"/>
    <n v="0"/>
    <n v="68"/>
    <x v="0"/>
    <s v="EE73"/>
    <s v="ELS"/>
    <s v="387"/>
    <s v="4.0 UN"/>
    <s v="STANDARD"/>
    <s v="N"/>
    <s v="N"/>
    <s v="Y"/>
    <s v="T20"/>
    <s v="N"/>
    <s v="N"/>
    <s v="N"/>
    <s v="N"/>
    <s v="A036"/>
    <d v="2016-12-15T00:00:00"/>
    <s v="20"/>
    <s v="TAN"/>
    <s v="OR"/>
    <d v="2016-12-12T00:00:00"/>
    <s v="MI"/>
    <s v="US"/>
    <s v="ZR"/>
    <d v="2016-12-12T00:00:00"/>
  </r>
  <r>
    <x v="0"/>
    <x v="4"/>
    <x v="606"/>
    <x v="20"/>
    <s v="Standard order"/>
    <x v="590"/>
    <x v="590"/>
    <s v="A399"/>
    <s v="CRYSTAL A399NT"/>
    <s v="5002920"/>
    <s v="A399 ACH LRG"/>
    <n v="240"/>
    <n v="0"/>
    <n v="240"/>
    <x v="4"/>
    <s v="DP71"/>
    <s v="LARGE"/>
    <s v="316"/>
    <s v="4.0 UN"/>
    <s v="STANDARD"/>
    <s v="N"/>
    <s v="N"/>
    <s v="N"/>
    <s v="N"/>
    <s v="N"/>
    <s v="N"/>
    <s v="N"/>
    <s v="N"/>
    <s v="A039"/>
    <d v="2016-12-15T00:00:00"/>
    <s v="10"/>
    <s v="TAN"/>
    <s v="OR"/>
    <d v="2016-12-12T00:00:00"/>
    <s v="ID"/>
    <s v="US"/>
    <s v="ZR"/>
    <d v="2016-12-12T00:00:00"/>
  </r>
  <r>
    <x v="0"/>
    <x v="4"/>
    <x v="606"/>
    <x v="20"/>
    <s v="Standard order"/>
    <x v="590"/>
    <x v="590"/>
    <s v="A404"/>
    <s v="CRYSTAL A404NT"/>
    <s v="5002954"/>
    <s v="A404 ACH PB LRG"/>
    <n v="16"/>
    <n v="0"/>
    <n v="16"/>
    <x v="4"/>
    <s v="DPNE"/>
    <s v="LARGE"/>
    <s v="314"/>
    <s v="4.0 UN"/>
    <s v="STANDARD"/>
    <s v="N"/>
    <s v="Y"/>
    <s v="N"/>
    <s v="N"/>
    <s v="N"/>
    <s v="N"/>
    <s v="N"/>
    <s v="N"/>
    <s v="A039"/>
    <d v="2016-12-15T00:00:00"/>
    <s v="20"/>
    <s v="TAN"/>
    <s v="OR"/>
    <d v="2016-12-12T00:00:00"/>
    <s v="ID"/>
    <s v="US"/>
    <s v="ZR"/>
    <d v="2016-12-12T00:00:00"/>
  </r>
  <r>
    <x v="0"/>
    <x v="4"/>
    <x v="607"/>
    <x v="20"/>
    <s v="Standard order"/>
    <x v="591"/>
    <x v="591"/>
    <s v="A501"/>
    <s v="CRYSTAL A501"/>
    <s v="5003308"/>
    <s v="A501 ACH PB XL"/>
    <n v="24"/>
    <n v="0"/>
    <n v="24"/>
    <x v="4"/>
    <s v="EZPB"/>
    <s v="X-LARGE"/>
    <s v="314"/>
    <s v="4.0 UN"/>
    <s v="STANDARD"/>
    <s v="N"/>
    <s v="Y"/>
    <s v="N"/>
    <s v="N"/>
    <s v="N"/>
    <s v="N"/>
    <s v="N"/>
    <s v="N"/>
    <s v="A039"/>
    <d v="2016-12-15T00:00:00"/>
    <s v="10"/>
    <s v="TAN"/>
    <s v="OR"/>
    <d v="2016-12-12T00:00:00"/>
    <s v="ID"/>
    <s v="US"/>
    <s v="ZR"/>
    <d v="2016-12-12T00:00:00"/>
  </r>
  <r>
    <x v="0"/>
    <x v="4"/>
    <x v="607"/>
    <x v="20"/>
    <s v="Standard order"/>
    <x v="591"/>
    <x v="591"/>
    <s v="A399"/>
    <s v="CRYSTAL A399NT"/>
    <s v="5002939"/>
    <s v="A399 ACH XL"/>
    <n v="20"/>
    <n v="0"/>
    <n v="20"/>
    <x v="4"/>
    <s v="DP71"/>
    <s v="X-LARGE"/>
    <s v="316"/>
    <s v="4.0 UN"/>
    <s v="STANDARD"/>
    <s v="N"/>
    <s v="N"/>
    <s v="N"/>
    <s v="N"/>
    <s v="N"/>
    <s v="N"/>
    <s v="N"/>
    <s v="N"/>
    <s v="A039"/>
    <d v="2016-12-15T00:00:00"/>
    <s v="20"/>
    <s v="TAN"/>
    <s v="OR"/>
    <d v="2016-12-12T00:00:00"/>
    <s v="ID"/>
    <s v="US"/>
    <s v="ZR"/>
    <d v="2016-12-12T00:00:00"/>
  </r>
  <r>
    <x v="0"/>
    <x v="4"/>
    <x v="607"/>
    <x v="20"/>
    <s v="Standard order"/>
    <x v="591"/>
    <x v="591"/>
    <s v="R933"/>
    <s v="CRYSTAL RR933"/>
    <s v="5003697"/>
    <s v="R933 ACH XL"/>
    <n v="20"/>
    <n v="0"/>
    <n v="20"/>
    <x v="4"/>
    <s v="3571"/>
    <s v="X-LARGE"/>
    <s v="316"/>
    <s v="4.0 UN"/>
    <s v="STANDARD"/>
    <s v="N"/>
    <s v="N"/>
    <s v="N"/>
    <s v="N"/>
    <s v="N"/>
    <s v="N"/>
    <s v="N"/>
    <s v="N"/>
    <s v="A039"/>
    <d v="2016-12-15T00:00:00"/>
    <s v="30"/>
    <s v="TAN"/>
    <s v="OR"/>
    <d v="2016-12-12T00:00:00"/>
    <s v="ID"/>
    <s v="US"/>
    <s v="ZR"/>
    <d v="2016-12-12T00:00:00"/>
  </r>
  <r>
    <x v="0"/>
    <x v="5"/>
    <x v="608"/>
    <x v="21"/>
    <s v="Standard order"/>
    <x v="592"/>
    <x v="592"/>
    <s v="Y400"/>
    <s v="CRYSTAL Y400NT"/>
    <s v="5003735"/>
    <s v="Y400 ACH T20 PB SYSTIVA RP"/>
    <n v="16"/>
    <n v="0"/>
    <n v="16"/>
    <x v="5"/>
    <s v="4TBP"/>
    <s v="RP"/>
    <s v="324"/>
    <s v="4.0 UN"/>
    <s v="STANDARD"/>
    <s v="N"/>
    <s v="Y"/>
    <s v="N"/>
    <s v="T20"/>
    <s v="Y"/>
    <s v="N"/>
    <s v="N"/>
    <s v="N"/>
    <s v="A013"/>
    <d v="2016-12-15T00:00:00"/>
    <s v="10"/>
    <s v="TAN"/>
    <s v="OR"/>
    <d v="2016-12-12T00:00:00"/>
    <s v="MT"/>
    <s v="US"/>
    <s v="ZR"/>
    <d v="2016-12-12T00:00:00"/>
  </r>
  <r>
    <x v="0"/>
    <x v="4"/>
    <x v="609"/>
    <x v="16"/>
    <s v="Standard order"/>
    <x v="593"/>
    <x v="593"/>
    <s v="A404"/>
    <s v="CRYSTAL A404NT"/>
    <s v="5002954"/>
    <s v="A404 ACH PB LRG"/>
    <n v="32"/>
    <n v="0"/>
    <n v="32"/>
    <x v="4"/>
    <s v="DPNE"/>
    <s v="LARGE"/>
    <s v="314"/>
    <s v="4.0 UN"/>
    <s v="STANDARD"/>
    <s v="N"/>
    <s v="Y"/>
    <s v="N"/>
    <s v="N"/>
    <s v="N"/>
    <s v="N"/>
    <s v="N"/>
    <s v="N"/>
    <s v="A042"/>
    <d v="2016-12-15T00:00:00"/>
    <s v="10"/>
    <s v="TAN"/>
    <s v="OR"/>
    <d v="2016-12-12T00:00:00"/>
    <s v="ID"/>
    <s v="US"/>
    <s v="ZR"/>
    <d v="2016-12-12T00:00:00"/>
  </r>
  <r>
    <x v="0"/>
    <x v="4"/>
    <x v="610"/>
    <x v="8"/>
    <s v="Standard order"/>
    <x v="594"/>
    <x v="594"/>
    <s v="A399"/>
    <s v="CRYSTAL A399NT"/>
    <s v="5002931"/>
    <s v="A399 ACH PB XL"/>
    <n v="40"/>
    <n v="0"/>
    <n v="40"/>
    <x v="4"/>
    <s v="DP71"/>
    <s v="X-LARGE"/>
    <s v="314"/>
    <s v="4.0 UN"/>
    <s v="STANDARD"/>
    <s v="N"/>
    <s v="Y"/>
    <s v="N"/>
    <s v="N"/>
    <s v="N"/>
    <s v="N"/>
    <s v="N"/>
    <s v="N"/>
    <s v="A044"/>
    <d v="2016-12-15T00:00:00"/>
    <s v="10"/>
    <s v="TAN"/>
    <s v="OR"/>
    <d v="2016-12-12T00:00:00"/>
    <s v="ID"/>
    <s v="US"/>
    <s v="ZR"/>
    <d v="2016-12-12T00:00:00"/>
  </r>
  <r>
    <x v="0"/>
    <x v="4"/>
    <x v="611"/>
    <x v="8"/>
    <s v="Standard order"/>
    <x v="595"/>
    <x v="595"/>
    <s v="A488"/>
    <s v="CRYSTAL A488NT"/>
    <s v="5002983"/>
    <s v="A488 ACH PB XL"/>
    <n v="20"/>
    <n v="0"/>
    <n v="20"/>
    <x v="4"/>
    <s v="EENE"/>
    <s v="X-LARGE"/>
    <s v="314"/>
    <s v="4.0 UN"/>
    <s v="STANDARD"/>
    <s v="N"/>
    <s v="Y"/>
    <s v="N"/>
    <s v="N"/>
    <s v="N"/>
    <s v="N"/>
    <s v="N"/>
    <s v="N"/>
    <s v="A044"/>
    <d v="2016-12-15T00:00:00"/>
    <s v="10"/>
    <s v="TAN"/>
    <s v="OR"/>
    <d v="2016-12-12T00:00:00"/>
    <s v=""/>
    <s v="US"/>
    <s v="ZR"/>
    <d v="2016-12-12T00:00:00"/>
  </r>
  <r>
    <x v="0"/>
    <x v="4"/>
    <x v="612"/>
    <x v="8"/>
    <s v="Standard order"/>
    <x v="596"/>
    <x v="596"/>
    <s v="A399"/>
    <s v="CRYSTAL A399NT"/>
    <s v="5002931"/>
    <s v="A399 ACH PB XL"/>
    <n v="48"/>
    <n v="0"/>
    <n v="48"/>
    <x v="4"/>
    <s v="DP71"/>
    <s v="X-LARGE"/>
    <s v="314"/>
    <s v="4.0 UN"/>
    <s v="STANDARD"/>
    <s v="N"/>
    <s v="Y"/>
    <s v="N"/>
    <s v="N"/>
    <s v="N"/>
    <s v="N"/>
    <s v="N"/>
    <s v="N"/>
    <s v="A044"/>
    <d v="2016-12-15T00:00:00"/>
    <s v="10"/>
    <s v="TAN"/>
    <s v="OR"/>
    <d v="2016-12-12T00:00:00"/>
    <s v="ID"/>
    <s v="US"/>
    <s v="ZR"/>
    <d v="2016-12-12T00:00:00"/>
  </r>
  <r>
    <x v="0"/>
    <x v="4"/>
    <x v="613"/>
    <x v="8"/>
    <s v="Standard order"/>
    <x v="597"/>
    <x v="597"/>
    <s v="A399"/>
    <s v="CRYSTAL A399NT"/>
    <s v="5002931"/>
    <s v="A399 ACH PB XL"/>
    <n v="64"/>
    <n v="0"/>
    <n v="64"/>
    <x v="4"/>
    <s v="DP71"/>
    <s v="X-LARGE"/>
    <s v="314"/>
    <s v="4.0 UN"/>
    <s v="STANDARD"/>
    <s v="N"/>
    <s v="Y"/>
    <s v="N"/>
    <s v="N"/>
    <s v="N"/>
    <s v="N"/>
    <s v="N"/>
    <s v="N"/>
    <s v="A044"/>
    <d v="2016-12-15T00:00:00"/>
    <s v="10"/>
    <s v="TAN"/>
    <s v="OR"/>
    <d v="2016-12-12T00:00:00"/>
    <s v="ID"/>
    <s v="US"/>
    <s v="ZR"/>
    <d v="2016-12-12T00:00:00"/>
  </r>
  <r>
    <x v="0"/>
    <x v="0"/>
    <x v="614"/>
    <x v="2"/>
    <s v="Standard order"/>
    <x v="598"/>
    <x v="598"/>
    <s v="R059"/>
    <s v="CRYSTAL RR059"/>
    <s v="5003528"/>
    <s v="R059 ACH T20 Kabina ELS"/>
    <n v="60"/>
    <n v="0"/>
    <n v="60"/>
    <x v="0"/>
    <s v="AP73"/>
    <s v="ELS"/>
    <s v="387"/>
    <s v="4.0 UN"/>
    <s v="STANDARD"/>
    <s v="N"/>
    <s v="N"/>
    <s v="Y"/>
    <s v="T20"/>
    <s v="N"/>
    <s v="N"/>
    <s v="N"/>
    <s v="N"/>
    <s v="A034"/>
    <d v="2016-12-15T00:00:00"/>
    <s v="10"/>
    <s v="TAN"/>
    <s v="OR"/>
    <d v="2016-12-12T00:00:00"/>
    <s v="MI"/>
    <s v="US"/>
    <s v="ZR"/>
    <d v="2016-12-12T00:00:00"/>
  </r>
  <r>
    <x v="0"/>
    <x v="0"/>
    <x v="615"/>
    <x v="10"/>
    <s v="Standard order"/>
    <x v="599"/>
    <x v="599"/>
    <s v="R059"/>
    <s v="CRYSTAL RR059"/>
    <s v="5003528"/>
    <s v="R059 ACH T20 Kabina ELS"/>
    <n v="8"/>
    <n v="0"/>
    <n v="8"/>
    <x v="0"/>
    <s v="AP73"/>
    <s v="ELS"/>
    <s v="387"/>
    <s v="4.0 UN"/>
    <s v="STANDARD"/>
    <s v="N"/>
    <s v="N"/>
    <s v="Y"/>
    <s v="T20"/>
    <s v="N"/>
    <s v="N"/>
    <s v="N"/>
    <s v="N"/>
    <s v="A036"/>
    <d v="2016-12-15T00:00:00"/>
    <s v="10"/>
    <s v="TAN"/>
    <s v="OR"/>
    <d v="2016-12-12T00:00:00"/>
    <s v="MI"/>
    <s v="US"/>
    <s v="ZR"/>
    <d v="2016-12-12T00:00:00"/>
  </r>
  <r>
    <x v="0"/>
    <x v="2"/>
    <x v="616"/>
    <x v="5"/>
    <s v="Standard order"/>
    <x v="600"/>
    <x v="600"/>
    <s v="W322"/>
    <s v="CRYSTAL W322NT"/>
    <s v="5003487"/>
    <s v="W322 ACH T20 PB SYSTIVA ELS"/>
    <n v="24"/>
    <n v="0"/>
    <n v="24"/>
    <x v="2"/>
    <s v="EE73"/>
    <s v="ELS"/>
    <s v="324"/>
    <s v="4.0 UN"/>
    <s v="STANDARD"/>
    <s v="N"/>
    <s v="Y"/>
    <s v="N"/>
    <s v="T20"/>
    <s v="Y"/>
    <s v="N"/>
    <s v="Y"/>
    <s v="N"/>
    <s v="A020"/>
    <d v="2016-12-15T00:00:00"/>
    <s v="10"/>
    <s v="TAN"/>
    <s v="OR"/>
    <d v="2016-12-12T00:00:00"/>
    <s v="CO"/>
    <s v="US"/>
    <s v="ZR"/>
    <d v="2016-12-12T00:00:00"/>
  </r>
  <r>
    <x v="0"/>
    <x v="4"/>
    <x v="617"/>
    <x v="7"/>
    <s v="Standard order"/>
    <x v="601"/>
    <x v="601"/>
    <s v="R933"/>
    <s v="CRYSTAL RR933"/>
    <s v="5003686"/>
    <s v="R933 ACH PB LRG"/>
    <n v="16"/>
    <n v="0"/>
    <n v="16"/>
    <x v="4"/>
    <s v="3571"/>
    <s v="LARGE"/>
    <s v="314"/>
    <s v="4.0 UN"/>
    <s v="STANDARD"/>
    <s v="N"/>
    <s v="Y"/>
    <s v="N"/>
    <s v="N"/>
    <s v="N"/>
    <s v="N"/>
    <s v="N"/>
    <s v="N"/>
    <s v="A045"/>
    <d v="2016-12-15T00:00:00"/>
    <s v="10"/>
    <s v="TAN"/>
    <s v="OR"/>
    <d v="2016-12-12T00:00:00"/>
    <s v="OR"/>
    <s v="US"/>
    <s v="ZR"/>
    <d v="2016-12-12T00:00:00"/>
  </r>
  <r>
    <x v="0"/>
    <x v="4"/>
    <x v="618"/>
    <x v="20"/>
    <s v="Standard order"/>
    <x v="602"/>
    <x v="602"/>
    <s v="A399"/>
    <s v="CRYSTAL A399NT"/>
    <s v="5002928"/>
    <s v="A399 ACH PB LRG"/>
    <n v="12"/>
    <n v="0"/>
    <n v="12"/>
    <x v="4"/>
    <s v="DP71"/>
    <s v="LARGE"/>
    <s v="314"/>
    <s v="4.0 UN"/>
    <s v="STANDARD"/>
    <s v="N"/>
    <s v="Y"/>
    <s v="N"/>
    <s v="N"/>
    <s v="N"/>
    <s v="N"/>
    <s v="N"/>
    <s v="N"/>
    <s v="A039"/>
    <d v="2016-12-15T00:00:00"/>
    <s v="10"/>
    <s v="TAN"/>
    <s v="OR"/>
    <d v="2016-12-12T00:00:00"/>
    <s v="ID"/>
    <s v="US"/>
    <s v="ZR"/>
    <d v="2016-12-12T00:00:00"/>
  </r>
  <r>
    <x v="0"/>
    <x v="4"/>
    <x v="618"/>
    <x v="20"/>
    <s v="Standard order"/>
    <x v="602"/>
    <x v="602"/>
    <s v="A488"/>
    <s v="CRYSTAL A488NT"/>
    <s v="5002980"/>
    <s v="A488 ACH PB LRG"/>
    <n v="36"/>
    <n v="0"/>
    <n v="36"/>
    <x v="4"/>
    <s v="EENE"/>
    <s v="LARGE"/>
    <s v="314"/>
    <s v="4.0 UN"/>
    <s v="STANDARD"/>
    <s v="N"/>
    <s v="Y"/>
    <s v="N"/>
    <s v="N"/>
    <s v="N"/>
    <s v="N"/>
    <s v="N"/>
    <s v="N"/>
    <s v="A039"/>
    <d v="2016-12-15T00:00:00"/>
    <s v="20"/>
    <s v="TAN"/>
    <s v="OR"/>
    <d v="2016-12-12T00:00:00"/>
    <s v="ID"/>
    <s v="US"/>
    <s v="ZR"/>
    <d v="2016-12-12T00:00:00"/>
  </r>
  <r>
    <x v="0"/>
    <x v="2"/>
    <x v="619"/>
    <x v="3"/>
    <s v="Standard order"/>
    <x v="603"/>
    <x v="603"/>
    <s v="R014"/>
    <s v="CRYSTAL RR014"/>
    <s v="5003091"/>
    <s v="R014 ACH T20 PB SYSTIVA G100"/>
    <n v="96"/>
    <n v="0"/>
    <n v="96"/>
    <x v="2"/>
    <s v="AP82"/>
    <s v="GEM 100"/>
    <s v="324"/>
    <s v="4.0 UN"/>
    <s v="STANDARD"/>
    <s v="N"/>
    <s v="Y"/>
    <s v="N"/>
    <s v="T20"/>
    <s v="Y"/>
    <s v="N"/>
    <s v="Y"/>
    <s v="N"/>
    <s v="A024"/>
    <d v="2016-12-15T00:00:00"/>
    <s v="10"/>
    <s v="TAN"/>
    <s v="OR"/>
    <d v="2016-12-12T00:00:00"/>
    <s v="NE"/>
    <s v="US"/>
    <s v="ZR"/>
    <d v="2016-12-12T00:00:00"/>
  </r>
  <r>
    <x v="0"/>
    <x v="0"/>
    <x v="620"/>
    <x v="10"/>
    <s v="Standard order"/>
    <x v="604"/>
    <x v="604"/>
    <s v="R059"/>
    <s v="CRYSTAL RR059"/>
    <s v="5003530"/>
    <s v="R059 ACH T20 Kabina RP"/>
    <n v="72"/>
    <n v="0"/>
    <n v="72"/>
    <x v="0"/>
    <s v="AP73"/>
    <s v="RP"/>
    <s v="387"/>
    <s v="4.0 UN"/>
    <s v="STANDARD"/>
    <s v="N"/>
    <s v="N"/>
    <s v="Y"/>
    <s v="T20"/>
    <s v="N"/>
    <s v="N"/>
    <s v="N"/>
    <s v="N"/>
    <s v="A036"/>
    <d v="2016-12-15T00:00:00"/>
    <s v="10"/>
    <s v="TAN"/>
    <s v="OR"/>
    <d v="2016-12-11T00:00:00"/>
    <s v="MI"/>
    <s v="US"/>
    <s v="ZR"/>
    <d v="2016-12-12T00:00:00"/>
  </r>
  <r>
    <x v="0"/>
    <x v="4"/>
    <x v="621"/>
    <x v="7"/>
    <s v="Standard order"/>
    <x v="605"/>
    <x v="605"/>
    <s v="A399"/>
    <s v="CRYSTAL A399NT"/>
    <s v="5002929"/>
    <s v="A399 ACH PB MED"/>
    <n v="12"/>
    <n v="0"/>
    <n v="12"/>
    <x v="4"/>
    <s v="DP71"/>
    <s v="MEDIUM"/>
    <s v="314"/>
    <s v="4.0 UN"/>
    <s v="STANDARD"/>
    <s v="N"/>
    <s v="Y"/>
    <s v="N"/>
    <s v="N"/>
    <s v="N"/>
    <s v="N"/>
    <s v="N"/>
    <s v="N"/>
    <s v="A045"/>
    <d v="2016-12-15T00:00:00"/>
    <s v="10"/>
    <s v="TAN"/>
    <s v="OR"/>
    <d v="2016-12-12T00:00:00"/>
    <s v="ID"/>
    <s v="US"/>
    <s v="ZR"/>
    <d v="2016-12-12T00:00:00"/>
  </r>
  <r>
    <x v="0"/>
    <x v="4"/>
    <x v="621"/>
    <x v="7"/>
    <s v="Standard order"/>
    <x v="605"/>
    <x v="605"/>
    <s v="A404"/>
    <s v="CRYSTAL A404NT"/>
    <s v="5002955"/>
    <s v="A404 ACH PB MED"/>
    <n v="12"/>
    <n v="0"/>
    <n v="12"/>
    <x v="4"/>
    <s v="DPNE"/>
    <s v="MEDIUM"/>
    <s v="314"/>
    <s v="4.0 UN"/>
    <s v="STANDARD"/>
    <s v="N"/>
    <s v="Y"/>
    <s v="N"/>
    <s v="N"/>
    <s v="N"/>
    <s v="N"/>
    <s v="N"/>
    <s v="N"/>
    <s v="A045"/>
    <d v="2016-12-15T00:00:00"/>
    <s v="20"/>
    <s v="TAN"/>
    <s v="OR"/>
    <d v="2016-12-12T00:00:00"/>
    <s v="ID"/>
    <s v="US"/>
    <s v="ZR"/>
    <d v="2016-12-12T00:00:00"/>
  </r>
  <r>
    <x v="0"/>
    <x v="2"/>
    <x v="622"/>
    <x v="25"/>
    <s v="Standard order"/>
    <x v="606"/>
    <x v="606"/>
    <s v="W322"/>
    <s v="CRYSTAL W322NT"/>
    <s v="5003488"/>
    <s v="W322 ACH T20 PB SYSTIVA G100"/>
    <n v="32"/>
    <n v="0"/>
    <n v="32"/>
    <x v="2"/>
    <s v="EE73"/>
    <s v="GEM 100"/>
    <s v="324"/>
    <s v="4.0 UN"/>
    <s v="STANDARD"/>
    <s v="N"/>
    <s v="Y"/>
    <s v="N"/>
    <s v="T20"/>
    <s v="Y"/>
    <s v="N"/>
    <s v="Y"/>
    <s v="N"/>
    <s v="A021"/>
    <d v="2016-12-15T00:00:00"/>
    <s v="10"/>
    <s v="TAN"/>
    <s v="OR"/>
    <d v="2016-12-12T00:00:00"/>
    <s v="CO"/>
    <s v="US"/>
    <s v="ZR"/>
    <d v="2016-12-12T00:00:00"/>
  </r>
  <r>
    <x v="0"/>
    <x v="0"/>
    <x v="623"/>
    <x v="10"/>
    <s v="Standard order"/>
    <x v="607"/>
    <x v="607"/>
    <s v="R059"/>
    <s v="CRYSTAL RR059"/>
    <s v="5003528"/>
    <s v="R059 ACH T20 Kabina ELS"/>
    <n v="40"/>
    <n v="0"/>
    <n v="40"/>
    <x v="0"/>
    <s v="AP73"/>
    <s v="ELS"/>
    <s v="387"/>
    <s v="4.0 UN"/>
    <s v="STANDARD"/>
    <s v="N"/>
    <s v="N"/>
    <s v="Y"/>
    <s v="T20"/>
    <s v="N"/>
    <s v="N"/>
    <s v="N"/>
    <s v="N"/>
    <s v="A036"/>
    <d v="2016-12-15T00:00:00"/>
    <s v="10"/>
    <s v="TAN"/>
    <s v="OR"/>
    <d v="2016-12-12T00:00:00"/>
    <s v="MI"/>
    <s v="US"/>
    <s v="ZR"/>
    <d v="2016-12-12T00:00:00"/>
  </r>
  <r>
    <x v="0"/>
    <x v="0"/>
    <x v="623"/>
    <x v="10"/>
    <s v="Standard order"/>
    <x v="607"/>
    <x v="607"/>
    <s v="G515"/>
    <s v="CRYSTAL G515"/>
    <s v="5003017"/>
    <s v="G515 ACH T20 Kabina ELS"/>
    <n v="12"/>
    <n v="0"/>
    <n v="12"/>
    <x v="0"/>
    <s v="APND"/>
    <s v="ELS"/>
    <s v="387"/>
    <s v="4.0 UN"/>
    <s v="STANDARD"/>
    <s v="N"/>
    <s v="N"/>
    <s v="Y"/>
    <s v="T20"/>
    <s v="N"/>
    <s v="N"/>
    <s v="N"/>
    <s v="N"/>
    <s v="A036"/>
    <d v="2016-12-15T00:00:00"/>
    <s v="20"/>
    <s v="TAN"/>
    <s v="OR"/>
    <d v="2016-12-12T00:00:00"/>
    <s v="MI"/>
    <s v="US"/>
    <s v="ZR"/>
    <d v="2016-12-12T00:00:00"/>
  </r>
  <r>
    <x v="0"/>
    <x v="0"/>
    <x v="624"/>
    <x v="10"/>
    <s v="Standard order"/>
    <x v="608"/>
    <x v="608"/>
    <s v="R059"/>
    <s v="CRYSTAL RR059"/>
    <s v="5003530"/>
    <s v="R059 ACH T20 Kabina RP"/>
    <n v="32"/>
    <n v="0"/>
    <n v="32"/>
    <x v="0"/>
    <s v="AP73"/>
    <s v="RP"/>
    <s v="387"/>
    <s v="4.0 UN"/>
    <s v="STANDARD"/>
    <s v="N"/>
    <s v="N"/>
    <s v="Y"/>
    <s v="T20"/>
    <s v="N"/>
    <s v="N"/>
    <s v="N"/>
    <s v="N"/>
    <s v="A036"/>
    <d v="2016-12-15T00:00:00"/>
    <s v="10"/>
    <s v="TAN"/>
    <s v="OR"/>
    <d v="2016-12-12T00:00:00"/>
    <s v="MI"/>
    <s v="US"/>
    <s v="ZR"/>
    <d v="2016-12-12T00:00:00"/>
  </r>
  <r>
    <x v="0"/>
    <x v="2"/>
    <x v="625"/>
    <x v="6"/>
    <s v="Standard order"/>
    <x v="609"/>
    <x v="609"/>
    <s v="R014"/>
    <s v="CRYSTAL RR014"/>
    <s v="5003091"/>
    <s v="R014 ACH T20 PB SYSTIVA G100"/>
    <n v="24"/>
    <n v="0"/>
    <n v="24"/>
    <x v="2"/>
    <s v="AP82"/>
    <s v="GEM 100"/>
    <s v="324"/>
    <s v="4.0 UN"/>
    <s v="STANDARD"/>
    <s v="N"/>
    <s v="Y"/>
    <s v="N"/>
    <s v="T20"/>
    <s v="Y"/>
    <s v="N"/>
    <s v="Y"/>
    <s v="N"/>
    <s v="A025"/>
    <d v="2016-12-15T00:00:00"/>
    <s v="10"/>
    <s v="TAN"/>
    <s v="OR"/>
    <d v="2016-12-12T00:00:00"/>
    <s v="NE"/>
    <s v="US"/>
    <s v="ZR"/>
    <d v="2016-12-12T00:00:00"/>
  </r>
  <r>
    <x v="0"/>
    <x v="0"/>
    <x v="626"/>
    <x v="10"/>
    <s v="Standard order"/>
    <x v="610"/>
    <x v="610"/>
    <s v="R059"/>
    <s v="CRYSTAL RR059"/>
    <s v="5003530"/>
    <s v="R059 ACH T20 Kabina RP"/>
    <n v="52"/>
    <n v="0"/>
    <n v="52"/>
    <x v="0"/>
    <s v="AP73"/>
    <s v="RP"/>
    <s v="387"/>
    <s v="4.0 UN"/>
    <s v="STANDARD"/>
    <s v="N"/>
    <s v="N"/>
    <s v="Y"/>
    <s v="T20"/>
    <s v="N"/>
    <s v="N"/>
    <s v="N"/>
    <s v="N"/>
    <s v="A036"/>
    <d v="2016-12-15T00:00:00"/>
    <s v="10"/>
    <s v="TAN"/>
    <s v="OR"/>
    <d v="2016-12-12T00:00:00"/>
    <s v="MI"/>
    <s v="US"/>
    <s v="ZR"/>
    <d v="2016-12-12T00:00:00"/>
  </r>
  <r>
    <x v="0"/>
    <x v="2"/>
    <x v="627"/>
    <x v="5"/>
    <s v="Standard order"/>
    <x v="611"/>
    <x v="611"/>
    <s v="R014"/>
    <s v="CRYSTAL RR014"/>
    <s v="5003091"/>
    <s v="R014 ACH T20 PB SYSTIVA G100"/>
    <n v="40"/>
    <n v="0"/>
    <n v="40"/>
    <x v="2"/>
    <s v="AP82"/>
    <s v="GEM 100"/>
    <s v="324"/>
    <s v="4.0 UN"/>
    <s v="STANDARD"/>
    <s v="N"/>
    <s v="Y"/>
    <s v="N"/>
    <s v="T20"/>
    <s v="Y"/>
    <s v="N"/>
    <s v="Y"/>
    <s v="N"/>
    <s v="A020"/>
    <d v="2016-12-15T00:00:00"/>
    <s v="10"/>
    <s v="TAN"/>
    <s v="OR"/>
    <d v="2016-12-12T00:00:00"/>
    <s v="CO"/>
    <s v="US"/>
    <s v="ZR"/>
    <d v="2016-12-12T00:00:00"/>
  </r>
  <r>
    <x v="0"/>
    <x v="2"/>
    <x v="628"/>
    <x v="22"/>
    <s v="Standard order"/>
    <x v="612"/>
    <x v="612"/>
    <s v="W322"/>
    <s v="CRYSTAL W322NT"/>
    <s v="5003489"/>
    <s v="W322 ACH T20 PB SYSTIVA G50"/>
    <n v="32"/>
    <n v="0"/>
    <n v="32"/>
    <x v="2"/>
    <s v="EE73"/>
    <s v="GEM 50"/>
    <s v="324"/>
    <s v="4.0 UN"/>
    <s v="STANDARD"/>
    <s v="N"/>
    <s v="Y"/>
    <s v="N"/>
    <s v="T20"/>
    <s v="Y"/>
    <s v="N"/>
    <s v="Y"/>
    <s v="N"/>
    <s v="A018"/>
    <d v="2016-12-15T00:00:00"/>
    <s v="10"/>
    <s v="TAN"/>
    <s v="OR"/>
    <d v="2016-12-12T00:00:00"/>
    <s v="CO"/>
    <s v="US"/>
    <s v="ZR"/>
    <d v="2016-12-12T00:00:00"/>
  </r>
  <r>
    <x v="0"/>
    <x v="6"/>
    <x v="629"/>
    <x v="11"/>
    <s v="Standard order"/>
    <x v="613"/>
    <x v="613"/>
    <s v="R081"/>
    <s v="CRYSTAL RR081"/>
    <s v="5003575"/>
    <s v="R081 ACH T20 PB SYSTIVA G50 SSI"/>
    <n v="32"/>
    <n v="0"/>
    <n v="32"/>
    <x v="6"/>
    <s v="AQ82"/>
    <s v="GEM 50"/>
    <s v="324"/>
    <s v="4.0 UN"/>
    <s v="STANDARD"/>
    <s v="N"/>
    <s v="Y"/>
    <s v="N"/>
    <s v="T20"/>
    <s v="Y"/>
    <s v="N"/>
    <s v="Y"/>
    <s v="N"/>
    <s v="A038"/>
    <d v="2016-12-15T00:00:00"/>
    <s v="10"/>
    <s v="TAN"/>
    <s v="OR"/>
    <d v="2016-12-12T00:00:00"/>
    <s v="MT"/>
    <s v="US"/>
    <s v="ZR"/>
    <d v="2016-12-12T00:00:00"/>
  </r>
  <r>
    <x v="0"/>
    <x v="6"/>
    <x v="629"/>
    <x v="11"/>
    <s v="Standard order"/>
    <x v="613"/>
    <x v="613"/>
    <s v="S498"/>
    <s v="CRYSTAL S498"/>
    <s v="5003432"/>
    <s v="S498 ACH T20 PB SYSTIVA G50"/>
    <n v="32"/>
    <n v="0"/>
    <n v="32"/>
    <x v="6"/>
    <s v="FE73"/>
    <s v="GEM 50"/>
    <s v="324"/>
    <s v="4.0 UN"/>
    <s v="STANDARD"/>
    <s v="N"/>
    <s v="Y"/>
    <s v="N"/>
    <s v="T20"/>
    <s v="Y"/>
    <s v="N"/>
    <s v="Y"/>
    <s v="N"/>
    <s v="A038"/>
    <d v="2016-12-15T00:00:00"/>
    <s v="20"/>
    <s v="TAN"/>
    <s v="OR"/>
    <d v="2016-12-12T00:00:00"/>
    <s v="MT"/>
    <s v="US"/>
    <s v="ZR"/>
    <d v="2016-12-12T00:00:00"/>
  </r>
  <r>
    <x v="0"/>
    <x v="2"/>
    <x v="630"/>
    <x v="5"/>
    <s v="Standard order"/>
    <x v="614"/>
    <x v="614"/>
    <s v="W322"/>
    <s v="CRYSTAL W322NT"/>
    <s v="5003487"/>
    <s v="W322 ACH T20 PB SYSTIVA ELS"/>
    <n v="32"/>
    <n v="0"/>
    <n v="32"/>
    <x v="2"/>
    <s v="EE73"/>
    <s v="ELS"/>
    <s v="324"/>
    <s v="4.0 UN"/>
    <s v="STANDARD"/>
    <s v="N"/>
    <s v="Y"/>
    <s v="N"/>
    <s v="T20"/>
    <s v="Y"/>
    <s v="N"/>
    <s v="Y"/>
    <s v="N"/>
    <s v="A020"/>
    <d v="2016-12-15T00:00:00"/>
    <s v="10"/>
    <s v="TAN"/>
    <s v="OR"/>
    <d v="2016-12-12T00:00:00"/>
    <s v="CO"/>
    <s v="US"/>
    <s v="ZR"/>
    <d v="2016-12-12T00:00:00"/>
  </r>
  <r>
    <x v="0"/>
    <x v="4"/>
    <x v="631"/>
    <x v="7"/>
    <s v="Standard order"/>
    <x v="615"/>
    <x v="615"/>
    <s v="A399"/>
    <s v="CRYSTAL A399NT"/>
    <s v="5002936"/>
    <s v="A399 ACH T20 PB Kabina MP"/>
    <n v="16"/>
    <n v="0"/>
    <n v="16"/>
    <x v="4"/>
    <s v="DP71"/>
    <s v="MP"/>
    <s v="388"/>
    <s v="4.0 UN"/>
    <s v="STANDARD"/>
    <s v="N"/>
    <s v="Y"/>
    <s v="Y"/>
    <s v="T20"/>
    <s v="N"/>
    <s v="N"/>
    <s v="N"/>
    <s v="N"/>
    <s v="A045"/>
    <d v="2016-12-15T00:00:00"/>
    <s v="10"/>
    <s v="TAN"/>
    <s v="OR"/>
    <d v="2016-12-12T00:00:00"/>
    <s v="ID"/>
    <s v="US"/>
    <s v="ZR"/>
    <d v="2016-12-12T00:00:00"/>
  </r>
  <r>
    <x v="0"/>
    <x v="0"/>
    <x v="632"/>
    <x v="10"/>
    <s v="Standard order"/>
    <x v="616"/>
    <x v="616"/>
    <s v="R059"/>
    <s v="CRYSTAL RR059"/>
    <s v="5003528"/>
    <s v="R059 ACH T20 Kabina ELS"/>
    <n v="12"/>
    <n v="0"/>
    <n v="12"/>
    <x v="0"/>
    <s v="AP73"/>
    <s v="ELS"/>
    <s v="387"/>
    <s v="4.0 UN"/>
    <s v="STANDARD"/>
    <s v="N"/>
    <s v="N"/>
    <s v="Y"/>
    <s v="T20"/>
    <s v="N"/>
    <s v="N"/>
    <s v="N"/>
    <s v="N"/>
    <s v="A036"/>
    <d v="2016-12-15T00:00:00"/>
    <s v="30"/>
    <s v="TAN"/>
    <s v="OR"/>
    <d v="2016-12-12T00:00:00"/>
    <s v="MI"/>
    <s v="US"/>
    <s v="ZR"/>
    <d v="2016-12-12T00:00:00"/>
  </r>
  <r>
    <x v="0"/>
    <x v="0"/>
    <x v="632"/>
    <x v="10"/>
    <s v="Standard order"/>
    <x v="616"/>
    <x v="616"/>
    <s v="R059"/>
    <s v="CRYSTAL RR059"/>
    <s v="5003528"/>
    <s v="R059 ACH T20 Kabina ELS"/>
    <n v="68"/>
    <n v="0"/>
    <n v="68"/>
    <x v="0"/>
    <s v="AP73"/>
    <s v="ELS"/>
    <s v="387"/>
    <s v="4.0 UN"/>
    <s v="STANDARD"/>
    <s v="N"/>
    <s v="N"/>
    <s v="Y"/>
    <s v="T20"/>
    <s v="N"/>
    <s v="N"/>
    <s v="N"/>
    <s v="N"/>
    <s v="A036"/>
    <d v="2016-12-15T00:00:00"/>
    <s v="20"/>
    <s v="TAN"/>
    <s v="OR"/>
    <d v="2016-12-12T00:00:00"/>
    <s v="MI"/>
    <s v="US"/>
    <s v="ZR"/>
    <d v="2016-12-12T00:00:00"/>
  </r>
  <r>
    <x v="0"/>
    <x v="2"/>
    <x v="633"/>
    <x v="6"/>
    <s v="Standard order"/>
    <x v="617"/>
    <x v="617"/>
    <s v="W322"/>
    <s v="CRYSTAL W322NT"/>
    <s v="5003489"/>
    <s v="W322 ACH T20 PB SYSTIVA G50"/>
    <n v="48"/>
    <n v="0"/>
    <n v="48"/>
    <x v="2"/>
    <s v="EE73"/>
    <s v="GEM 50"/>
    <s v="324"/>
    <s v="4.0 UN"/>
    <s v="STANDARD"/>
    <s v="N"/>
    <s v="Y"/>
    <s v="N"/>
    <s v="T20"/>
    <s v="Y"/>
    <s v="N"/>
    <s v="Y"/>
    <s v="N"/>
    <s v="A025"/>
    <d v="2016-12-15T00:00:00"/>
    <s v="10"/>
    <s v="TAN"/>
    <s v="OR"/>
    <d v="2016-12-12T00:00:00"/>
    <s v="NE"/>
    <s v="US"/>
    <s v="ZR"/>
    <d v="2016-12-12T00:00:00"/>
  </r>
  <r>
    <x v="0"/>
    <x v="0"/>
    <x v="634"/>
    <x v="10"/>
    <s v="Standard order"/>
    <x v="618"/>
    <x v="618"/>
    <s v="R059"/>
    <s v="CRYSTAL RR059"/>
    <s v="5003530"/>
    <s v="R059 ACH T20 Kabina RP"/>
    <n v="132"/>
    <n v="0"/>
    <n v="132"/>
    <x v="0"/>
    <s v="AP73"/>
    <s v="RP"/>
    <s v="387"/>
    <s v="4.0 UN"/>
    <s v="STANDARD"/>
    <s v="N"/>
    <s v="N"/>
    <s v="Y"/>
    <s v="T20"/>
    <s v="N"/>
    <s v="N"/>
    <s v="N"/>
    <s v="N"/>
    <s v="A036"/>
    <d v="2016-12-15T00:00:00"/>
    <s v="10"/>
    <s v="TAN"/>
    <s v="OR"/>
    <d v="2016-12-12T00:00:00"/>
    <s v="MI"/>
    <s v="US"/>
    <s v="ZR"/>
    <d v="2016-12-12T00:00:00"/>
  </r>
  <r>
    <x v="0"/>
    <x v="0"/>
    <x v="635"/>
    <x v="10"/>
    <s v="Standard order"/>
    <x v="619"/>
    <x v="619"/>
    <s v="R059"/>
    <s v="CRYSTAL RR059"/>
    <s v="5003529"/>
    <s v="R059 ACH T20 Kabina MP"/>
    <n v="36"/>
    <n v="0"/>
    <n v="36"/>
    <x v="0"/>
    <s v="AP73"/>
    <s v="MP"/>
    <s v="387"/>
    <s v="4.0 UN"/>
    <s v="STANDARD"/>
    <s v="N"/>
    <s v="N"/>
    <s v="Y"/>
    <s v="T20"/>
    <s v="N"/>
    <s v="N"/>
    <s v="N"/>
    <s v="N"/>
    <s v="A036"/>
    <d v="2016-12-15T00:00:00"/>
    <s v="10"/>
    <s v="TAN"/>
    <s v="OR"/>
    <d v="2016-12-12T00:00:00"/>
    <s v="MI"/>
    <s v="US"/>
    <s v="ZR"/>
    <d v="2016-12-12T00:00:00"/>
  </r>
  <r>
    <x v="0"/>
    <x v="0"/>
    <x v="635"/>
    <x v="10"/>
    <s v="Standard order"/>
    <x v="619"/>
    <x v="619"/>
    <s v="G515"/>
    <s v="CRYSTAL G515"/>
    <s v="5003018"/>
    <s v="G515 ACH T20 Kabina MP"/>
    <n v="12"/>
    <n v="0"/>
    <n v="12"/>
    <x v="0"/>
    <s v="APND"/>
    <s v="MP"/>
    <s v="387"/>
    <s v="4.0 UN"/>
    <s v="STANDARD"/>
    <s v="N"/>
    <s v="N"/>
    <s v="Y"/>
    <s v="T20"/>
    <s v="N"/>
    <s v="N"/>
    <s v="N"/>
    <s v="N"/>
    <s v="A036"/>
    <d v="2016-12-15T00:00:00"/>
    <s v="20"/>
    <s v="TAN"/>
    <s v="OR"/>
    <d v="2016-12-12T00:00:00"/>
    <s v="MI"/>
    <s v="US"/>
    <s v="ZR"/>
    <d v="2016-12-12T00:00:00"/>
  </r>
  <r>
    <x v="0"/>
    <x v="5"/>
    <x v="636"/>
    <x v="21"/>
    <s v="Standard order"/>
    <x v="620"/>
    <x v="620"/>
    <s v="R116"/>
    <s v="CRYSTAL RR116"/>
    <s v="5003105"/>
    <s v="R116 ACH T20 PB SYSTIVA RP"/>
    <n v="12"/>
    <n v="0"/>
    <n v="12"/>
    <x v="5"/>
    <s v="AP71"/>
    <s v="RP"/>
    <s v="324"/>
    <s v="4.0 UN"/>
    <s v="STANDARD"/>
    <s v="N"/>
    <s v="Y"/>
    <s v="N"/>
    <s v="T20"/>
    <s v="Y"/>
    <s v="N"/>
    <s v="N"/>
    <s v="N"/>
    <s v="A013"/>
    <d v="2016-12-15T00:00:00"/>
    <s v="10"/>
    <s v="TAN"/>
    <s v="OR"/>
    <d v="2016-12-12T00:00:00"/>
    <s v="MT"/>
    <s v="US"/>
    <s v="ZR"/>
    <d v="2016-12-12T00:00:00"/>
  </r>
  <r>
    <x v="0"/>
    <x v="5"/>
    <x v="636"/>
    <x v="21"/>
    <s v="Standard order"/>
    <x v="620"/>
    <x v="620"/>
    <s v="Y400"/>
    <s v="CRYSTAL Y400NT"/>
    <s v="5003735"/>
    <s v="Y400 ACH T20 PB SYSTIVA RP"/>
    <n v="32"/>
    <n v="0"/>
    <n v="32"/>
    <x v="5"/>
    <s v="4TBP"/>
    <s v="RP"/>
    <s v="324"/>
    <s v="4.0 UN"/>
    <s v="STANDARD"/>
    <s v="N"/>
    <s v="Y"/>
    <s v="N"/>
    <s v="T20"/>
    <s v="Y"/>
    <s v="N"/>
    <s v="N"/>
    <s v="N"/>
    <s v="A013"/>
    <d v="2016-12-15T00:00:00"/>
    <s v="20"/>
    <s v="TAN"/>
    <s v="OR"/>
    <d v="2016-12-12T00:00:00"/>
    <s v="MT"/>
    <s v="US"/>
    <s v="ZR"/>
    <d v="2016-12-12T00:00:00"/>
  </r>
  <r>
    <x v="0"/>
    <x v="2"/>
    <x v="637"/>
    <x v="5"/>
    <s v="Standard order"/>
    <x v="621"/>
    <x v="621"/>
    <s v="W322"/>
    <s v="CRYSTAL W322NT"/>
    <s v="5003488"/>
    <s v="W322 ACH T20 PB SYSTIVA G100"/>
    <n v="36"/>
    <n v="0"/>
    <n v="36"/>
    <x v="2"/>
    <s v="EE73"/>
    <s v="GEM 100"/>
    <s v="324"/>
    <s v="4.0 UN"/>
    <s v="STANDARD"/>
    <s v="N"/>
    <s v="Y"/>
    <s v="N"/>
    <s v="T20"/>
    <s v="Y"/>
    <s v="N"/>
    <s v="Y"/>
    <s v="N"/>
    <s v="A020"/>
    <d v="2016-12-15T00:00:00"/>
    <s v="10"/>
    <s v="TAN"/>
    <s v="OR"/>
    <d v="2016-12-12T00:00:00"/>
    <s v="CO"/>
    <s v="US"/>
    <s v="ZR"/>
    <d v="2016-12-12T00:00:00"/>
  </r>
  <r>
    <x v="0"/>
    <x v="0"/>
    <x v="638"/>
    <x v="2"/>
    <s v="Standard order"/>
    <x v="622"/>
    <x v="622"/>
    <s v="G515"/>
    <s v="CRYSTAL G515"/>
    <s v="5003019"/>
    <s v="G515 ACH T20 Kabina RP"/>
    <n v="4"/>
    <n v="0"/>
    <n v="4"/>
    <x v="0"/>
    <s v="APND"/>
    <s v="RP"/>
    <s v="387"/>
    <s v="4.0 UN"/>
    <s v="STANDARD"/>
    <s v="N"/>
    <s v="N"/>
    <s v="Y"/>
    <s v="T20"/>
    <s v="N"/>
    <s v="N"/>
    <s v="N"/>
    <s v="N"/>
    <s v="A034"/>
    <d v="2016-12-15T00:00:00"/>
    <s v="10"/>
    <s v="TAN"/>
    <s v="OR"/>
    <d v="2016-12-12T00:00:00"/>
    <s v="MI"/>
    <s v="US"/>
    <s v="ZR"/>
    <d v="2016-12-12T00:00:00"/>
  </r>
  <r>
    <x v="0"/>
    <x v="0"/>
    <x v="638"/>
    <x v="2"/>
    <s v="Standard order"/>
    <x v="622"/>
    <x v="622"/>
    <s v="R059"/>
    <s v="CRYSTAL RR059"/>
    <s v="5003530"/>
    <s v="R059 ACH T20 Kabina RP"/>
    <n v="16"/>
    <n v="0"/>
    <n v="16"/>
    <x v="0"/>
    <s v="AP73"/>
    <s v="RP"/>
    <s v="387"/>
    <s v="4.0 UN"/>
    <s v="STANDARD"/>
    <s v="N"/>
    <s v="N"/>
    <s v="Y"/>
    <s v="T20"/>
    <s v="N"/>
    <s v="N"/>
    <s v="N"/>
    <s v="N"/>
    <s v="A034"/>
    <d v="2016-12-15T00:00:00"/>
    <s v="20"/>
    <s v="TAN"/>
    <s v="OR"/>
    <d v="2016-12-12T00:00:00"/>
    <s v="MI"/>
    <s v="US"/>
    <s v="ZR"/>
    <d v="2016-12-12T00:00:00"/>
  </r>
  <r>
    <x v="0"/>
    <x v="0"/>
    <x v="639"/>
    <x v="10"/>
    <s v="Standard order"/>
    <x v="623"/>
    <x v="623"/>
    <s v="R202"/>
    <s v="CRYSTAL RR202"/>
    <s v="5003119"/>
    <s v="R202 ACH T20 Kabina RP"/>
    <n v="4"/>
    <n v="0"/>
    <n v="4"/>
    <x v="0"/>
    <s v="4ULM"/>
    <s v="RP"/>
    <s v="387"/>
    <s v="4.0 UN"/>
    <s v="STANDARD"/>
    <s v="N"/>
    <s v="N"/>
    <s v="Y"/>
    <s v="T20"/>
    <s v="N"/>
    <s v="N"/>
    <s v="N"/>
    <s v="N"/>
    <s v="A036"/>
    <d v="2016-12-15T00:00:00"/>
    <s v="10"/>
    <s v="TAN"/>
    <s v="OR"/>
    <d v="2016-12-12T00:00:00"/>
    <s v="MI"/>
    <s v="US"/>
    <s v="ZR"/>
    <d v="2016-12-12T00:00:00"/>
  </r>
  <r>
    <x v="0"/>
    <x v="6"/>
    <x v="640"/>
    <x v="11"/>
    <s v="Standard order"/>
    <x v="624"/>
    <x v="624"/>
    <s v="S517"/>
    <s v="CRYSTAL S517"/>
    <s v="5003468"/>
    <s v="S517 ACH T20 PB SYSTIVA G50"/>
    <n v="24"/>
    <n v="0"/>
    <n v="24"/>
    <x v="6"/>
    <s v="DVNV"/>
    <s v="GEM 50"/>
    <s v="324"/>
    <s v="4.0 UN"/>
    <s v="STANDARD"/>
    <s v="N"/>
    <s v="Y"/>
    <s v="N"/>
    <s v="T20"/>
    <s v="Y"/>
    <s v="N"/>
    <s v="Y"/>
    <s v="N"/>
    <s v="A038"/>
    <d v="2016-12-15T00:00:00"/>
    <s v="10"/>
    <s v="TAN"/>
    <s v="OR"/>
    <d v="2016-12-12T00:00:00"/>
    <s v="MT"/>
    <s v="US"/>
    <s v="ZR"/>
    <d v="2016-12-12T00:00:00"/>
  </r>
  <r>
    <x v="0"/>
    <x v="6"/>
    <x v="640"/>
    <x v="11"/>
    <s v="Standard order"/>
    <x v="624"/>
    <x v="624"/>
    <s v="S360"/>
    <s v="CRYSTAL S360NT"/>
    <s v="5003414"/>
    <s v="S360 ACH T20 PB SYSTIVA G50"/>
    <n v="48"/>
    <n v="0"/>
    <n v="48"/>
    <x v="6"/>
    <s v="DVNB"/>
    <s v="GEM 50"/>
    <s v="324"/>
    <s v="4.0 UN"/>
    <s v="STANDARD"/>
    <s v="N"/>
    <s v="Y"/>
    <s v="N"/>
    <s v="T20"/>
    <s v="Y"/>
    <s v="N"/>
    <s v="Y"/>
    <s v="N"/>
    <s v="A038"/>
    <d v="2016-12-15T00:00:00"/>
    <s v="20"/>
    <s v="TAN"/>
    <s v="OR"/>
    <d v="2016-12-12T00:00:00"/>
    <s v="MT"/>
    <s v="US"/>
    <s v="ZR"/>
    <d v="2016-12-12T00:00:00"/>
  </r>
  <r>
    <x v="0"/>
    <x v="6"/>
    <x v="640"/>
    <x v="11"/>
    <s v="Standard order"/>
    <x v="624"/>
    <x v="624"/>
    <s v="R052"/>
    <s v="CRYSTAL RR052"/>
    <s v="5003502"/>
    <s v="R052 ACH T20 PB CL SYSTIVA G50"/>
    <n v="40"/>
    <n v="0"/>
    <n v="40"/>
    <x v="6"/>
    <s v="AP82"/>
    <s v="GEM 50"/>
    <s v="321"/>
    <s v="4.0 UN"/>
    <s v="STANDARD"/>
    <s v="N"/>
    <s v="N"/>
    <s v="N"/>
    <s v="T20"/>
    <s v="Y"/>
    <s v="N"/>
    <s v="Y"/>
    <s v="N"/>
    <s v="A038"/>
    <d v="2016-12-15T00:00:00"/>
    <s v="30"/>
    <s v="TAN"/>
    <s v="OR"/>
    <d v="2016-12-12T00:00:00"/>
    <s v="MT"/>
    <s v="US"/>
    <s v="ZR"/>
    <d v="2016-12-12T00:00:00"/>
  </r>
  <r>
    <x v="0"/>
    <x v="0"/>
    <x v="641"/>
    <x v="10"/>
    <s v="Standard order"/>
    <x v="625"/>
    <x v="625"/>
    <s v="R059"/>
    <s v="CRYSTAL RR059"/>
    <s v="5003528"/>
    <s v="R059 ACH T20 Kabina ELS"/>
    <n v="56"/>
    <n v="0"/>
    <n v="56"/>
    <x v="0"/>
    <s v="AP73"/>
    <s v="ELS"/>
    <s v="387"/>
    <s v="4.0 UN"/>
    <s v="STANDARD"/>
    <s v="N"/>
    <s v="N"/>
    <s v="Y"/>
    <s v="T20"/>
    <s v="N"/>
    <s v="N"/>
    <s v="N"/>
    <s v="N"/>
    <s v="A036"/>
    <d v="2016-12-15T00:00:00"/>
    <s v="10"/>
    <s v="TAN"/>
    <s v="OR"/>
    <d v="2016-12-12T00:00:00"/>
    <s v="MI"/>
    <s v="US"/>
    <s v="ZR"/>
    <d v="2016-12-12T00:00:00"/>
  </r>
  <r>
    <x v="0"/>
    <x v="0"/>
    <x v="642"/>
    <x v="10"/>
    <s v="Standard order"/>
    <x v="626"/>
    <x v="626"/>
    <s v="R059"/>
    <s v="CRYSTAL RR059"/>
    <s v="5003530"/>
    <s v="R059 ACH T20 Kabina RP"/>
    <n v="36"/>
    <n v="0"/>
    <n v="36"/>
    <x v="0"/>
    <s v="AP73"/>
    <s v="RP"/>
    <s v="387"/>
    <s v="4.0 UN"/>
    <s v="STANDARD"/>
    <s v="N"/>
    <s v="N"/>
    <s v="Y"/>
    <s v="T20"/>
    <s v="N"/>
    <s v="N"/>
    <s v="N"/>
    <s v="N"/>
    <s v="A036"/>
    <d v="2016-12-15T00:00:00"/>
    <s v="10"/>
    <s v="TAN"/>
    <s v="OR"/>
    <d v="2016-12-12T00:00:00"/>
    <s v="MI"/>
    <s v="US"/>
    <s v="ZR"/>
    <d v="2016-12-12T00:00:00"/>
  </r>
  <r>
    <x v="0"/>
    <x v="0"/>
    <x v="643"/>
    <x v="10"/>
    <s v="Standard order"/>
    <x v="627"/>
    <x v="627"/>
    <s v="G333"/>
    <s v="CRYSTAL G333NT"/>
    <s v="5003376"/>
    <s v="G333 ACH T20 Kabina ELS"/>
    <n v="60"/>
    <n v="0"/>
    <n v="60"/>
    <x v="0"/>
    <s v="EE73"/>
    <s v="ELS"/>
    <s v="387"/>
    <s v="4.0 UN"/>
    <s v="STANDARD"/>
    <s v="N"/>
    <s v="N"/>
    <s v="Y"/>
    <s v="T20"/>
    <s v="N"/>
    <s v="N"/>
    <s v="N"/>
    <s v="N"/>
    <s v="A036"/>
    <d v="2016-12-15T00:00:00"/>
    <s v="10"/>
    <s v="TAN"/>
    <s v="OR"/>
    <d v="2016-12-12T00:00:00"/>
    <s v="MI"/>
    <s v="US"/>
    <s v="ZR"/>
    <d v="2016-12-12T00:00:00"/>
  </r>
  <r>
    <x v="0"/>
    <x v="2"/>
    <x v="644"/>
    <x v="5"/>
    <s v="Standard order"/>
    <x v="628"/>
    <x v="628"/>
    <s v="W322"/>
    <s v="CRYSTAL W322NT"/>
    <s v="5003488"/>
    <s v="W322 ACH T20 PB SYSTIVA G100"/>
    <n v="28"/>
    <n v="0"/>
    <n v="28"/>
    <x v="2"/>
    <s v="EE73"/>
    <s v="GEM 100"/>
    <s v="324"/>
    <s v="4.0 UN"/>
    <s v="STANDARD"/>
    <s v="N"/>
    <s v="Y"/>
    <s v="N"/>
    <s v="T20"/>
    <s v="Y"/>
    <s v="N"/>
    <s v="Y"/>
    <s v="N"/>
    <s v="A020"/>
    <d v="2016-12-15T00:00:00"/>
    <s v="10"/>
    <s v="TAN"/>
    <s v="OR"/>
    <d v="2016-12-12T00:00:00"/>
    <s v="CO"/>
    <s v="US"/>
    <s v="ZR"/>
    <d v="2016-12-12T00:00:00"/>
  </r>
  <r>
    <x v="0"/>
    <x v="2"/>
    <x v="645"/>
    <x v="6"/>
    <s v="Standard order"/>
    <x v="629"/>
    <x v="629"/>
    <s v="R014"/>
    <s v="CRYSTAL RR014"/>
    <s v="5003091"/>
    <s v="R014 ACH T20 PB SYSTIVA G100"/>
    <n v="72"/>
    <n v="0"/>
    <n v="72"/>
    <x v="2"/>
    <s v="AP82"/>
    <s v="GEM 100"/>
    <s v="324"/>
    <s v="4.0 UN"/>
    <s v="STANDARD"/>
    <s v="N"/>
    <s v="Y"/>
    <s v="N"/>
    <s v="T20"/>
    <s v="Y"/>
    <s v="N"/>
    <s v="Y"/>
    <s v="N"/>
    <s v="A025"/>
    <d v="2016-12-15T00:00:00"/>
    <s v="10"/>
    <s v="TAN"/>
    <s v="OR"/>
    <d v="2016-12-12T00:00:00"/>
    <s v="NE"/>
    <s v="US"/>
    <s v="ZR"/>
    <d v="2016-12-12T00:00:00"/>
  </r>
  <r>
    <x v="0"/>
    <x v="2"/>
    <x v="646"/>
    <x v="3"/>
    <s v="Standard order"/>
    <x v="630"/>
    <x v="630"/>
    <s v="R014"/>
    <s v="CRYSTAL RR014"/>
    <s v="5003091"/>
    <s v="R014 ACH T20 PB SYSTIVA G100"/>
    <n v="60"/>
    <n v="0"/>
    <n v="60"/>
    <x v="2"/>
    <s v="AP82"/>
    <s v="GEM 100"/>
    <s v="324"/>
    <s v="4.0 UN"/>
    <s v="STANDARD"/>
    <s v="N"/>
    <s v="Y"/>
    <s v="N"/>
    <s v="T20"/>
    <s v="Y"/>
    <s v="N"/>
    <s v="Y"/>
    <s v="N"/>
    <s v="A024"/>
    <d v="2016-12-15T00:00:00"/>
    <s v="10"/>
    <s v="TAN"/>
    <s v="OR"/>
    <d v="2016-12-12T00:00:00"/>
    <s v="NE"/>
    <s v="US"/>
    <s v="ZR"/>
    <d v="2016-12-12T00:00:00"/>
  </r>
  <r>
    <x v="0"/>
    <x v="0"/>
    <x v="647"/>
    <x v="10"/>
    <s v="Standard order"/>
    <x v="631"/>
    <x v="631"/>
    <s v="R059"/>
    <s v="CRYSTAL RR059"/>
    <s v="5003528"/>
    <s v="R059 ACH T20 Kabina ELS"/>
    <n v="92"/>
    <n v="0"/>
    <n v="92"/>
    <x v="0"/>
    <s v="AP73"/>
    <s v="ELS"/>
    <s v="387"/>
    <s v="4.0 UN"/>
    <s v="STANDARD"/>
    <s v="N"/>
    <s v="N"/>
    <s v="Y"/>
    <s v="T20"/>
    <s v="N"/>
    <s v="N"/>
    <s v="N"/>
    <s v="N"/>
    <s v="A036"/>
    <d v="2016-12-15T00:00:00"/>
    <s v="10"/>
    <s v="TAN"/>
    <s v="OR"/>
    <d v="2016-12-11T00:00:00"/>
    <s v="MI"/>
    <s v="US"/>
    <s v="ZR"/>
    <d v="2016-12-12T00:00:00"/>
  </r>
  <r>
    <x v="0"/>
    <x v="0"/>
    <x v="648"/>
    <x v="10"/>
    <s v="Standard order"/>
    <x v="632"/>
    <x v="632"/>
    <s v="R059"/>
    <s v="CRYSTAL RR059"/>
    <s v="5003530"/>
    <s v="R059 ACH T20 Kabina RP"/>
    <n v="16"/>
    <n v="0"/>
    <n v="16"/>
    <x v="0"/>
    <s v="AP73"/>
    <s v="RP"/>
    <s v="387"/>
    <s v="4.0 UN"/>
    <s v="STANDARD"/>
    <s v="N"/>
    <s v="N"/>
    <s v="Y"/>
    <s v="T20"/>
    <s v="N"/>
    <s v="N"/>
    <s v="N"/>
    <s v="N"/>
    <s v="A036"/>
    <d v="2016-12-15T00:00:00"/>
    <s v="10"/>
    <s v="TAN"/>
    <s v="OR"/>
    <d v="2016-12-11T00:00:00"/>
    <s v="MI"/>
    <s v="US"/>
    <s v="ZR"/>
    <d v="2016-12-12T00:00:00"/>
  </r>
  <r>
    <x v="0"/>
    <x v="0"/>
    <x v="649"/>
    <x v="4"/>
    <s v="Standard order"/>
    <x v="633"/>
    <x v="633"/>
    <s v="R059"/>
    <s v="CRYSTAL RR059"/>
    <s v="5003534"/>
    <s v="R059 ACH T20 SYSTIVA ELS"/>
    <n v="152"/>
    <n v="0"/>
    <n v="152"/>
    <x v="0"/>
    <s v="AP73"/>
    <s v="ELS"/>
    <s v="328"/>
    <s v="4.0 UN"/>
    <s v="STANDARD"/>
    <s v="N"/>
    <s v="N"/>
    <s v="N"/>
    <s v="T20"/>
    <s v="Y"/>
    <s v="N"/>
    <s v="Y"/>
    <s v="N"/>
    <s v="A035"/>
    <d v="2016-12-15T00:00:00"/>
    <s v="10"/>
    <s v="TAN"/>
    <s v="OR"/>
    <d v="2016-12-12T00:00:00"/>
    <s v="MI"/>
    <s v="US"/>
    <s v="ZR"/>
    <d v="2016-12-12T00:00:00"/>
  </r>
  <r>
    <x v="0"/>
    <x v="2"/>
    <x v="650"/>
    <x v="3"/>
    <s v="Standard order"/>
    <x v="634"/>
    <x v="634"/>
    <s v="R014"/>
    <s v="CRYSTAL RR014"/>
    <s v="5003090"/>
    <s v="R014 ACH T20 PB SYSTIVA ELS"/>
    <n v="244"/>
    <n v="0"/>
    <n v="244"/>
    <x v="2"/>
    <s v="AP82"/>
    <s v="ELS"/>
    <s v="324"/>
    <s v="4.0 UN"/>
    <s v="STANDARD"/>
    <s v="N"/>
    <s v="Y"/>
    <s v="N"/>
    <s v="T20"/>
    <s v="Y"/>
    <s v="N"/>
    <s v="Y"/>
    <s v="N"/>
    <s v="A024"/>
    <d v="2016-12-15T00:00:00"/>
    <s v="10"/>
    <s v="TAN"/>
    <s v="OR"/>
    <d v="2016-12-12T00:00:00"/>
    <s v="NE"/>
    <s v="US"/>
    <s v="ZR"/>
    <d v="2016-12-12T00:00:00"/>
  </r>
  <r>
    <x v="0"/>
    <x v="0"/>
    <x v="651"/>
    <x v="10"/>
    <s v="Standard order"/>
    <x v="635"/>
    <x v="635"/>
    <s v="R059"/>
    <s v="CRYSTAL RR059"/>
    <s v="5003530"/>
    <s v="R059 ACH T20 Kabina RP"/>
    <n v="24"/>
    <n v="0"/>
    <n v="24"/>
    <x v="0"/>
    <s v="AP73"/>
    <s v="RP"/>
    <s v="387"/>
    <s v="4.0 UN"/>
    <s v="STANDARD"/>
    <s v="N"/>
    <s v="N"/>
    <s v="Y"/>
    <s v="T20"/>
    <s v="N"/>
    <s v="N"/>
    <s v="N"/>
    <s v="N"/>
    <s v="A036"/>
    <d v="2016-12-15T00:00:00"/>
    <s v="10"/>
    <s v="TAN"/>
    <s v="OR"/>
    <d v="2016-12-12T00:00:00"/>
    <s v="MI"/>
    <s v="US"/>
    <s v="ZR"/>
    <d v="2016-12-12T00:00:00"/>
  </r>
  <r>
    <x v="0"/>
    <x v="2"/>
    <x v="652"/>
    <x v="5"/>
    <s v="Standard order"/>
    <x v="636"/>
    <x v="636"/>
    <s v="W322"/>
    <s v="CRYSTAL W322NT"/>
    <s v="5003488"/>
    <s v="W322 ACH T20 PB SYSTIVA G100"/>
    <n v="20"/>
    <n v="0"/>
    <n v="20"/>
    <x v="2"/>
    <s v="EE73"/>
    <s v="GEM 100"/>
    <s v="324"/>
    <s v="4.0 UN"/>
    <s v="STANDARD"/>
    <s v="N"/>
    <s v="Y"/>
    <s v="N"/>
    <s v="T20"/>
    <s v="Y"/>
    <s v="N"/>
    <s v="Y"/>
    <s v="N"/>
    <s v="A020"/>
    <d v="2016-12-15T00:00:00"/>
    <s v="10"/>
    <s v="TAN"/>
    <s v="OR"/>
    <d v="2016-12-12T00:00:00"/>
    <s v="CO"/>
    <s v="US"/>
    <s v="ZR"/>
    <d v="2016-12-12T00:00:00"/>
  </r>
  <r>
    <x v="0"/>
    <x v="0"/>
    <x v="653"/>
    <x v="10"/>
    <s v="Standard order"/>
    <x v="637"/>
    <x v="637"/>
    <s v="G351"/>
    <s v="CRYSTAL G351NT"/>
    <s v="5003396"/>
    <s v="G351 ACH T20 Kabina ELS"/>
    <n v="64"/>
    <n v="0"/>
    <n v="64"/>
    <x v="0"/>
    <s v="DA73"/>
    <s v="ELS"/>
    <s v="387"/>
    <s v="4.0 UN"/>
    <s v="STANDARD"/>
    <s v="N"/>
    <s v="N"/>
    <s v="Y"/>
    <s v="T20"/>
    <s v="N"/>
    <s v="N"/>
    <s v="N"/>
    <s v="N"/>
    <s v="A036"/>
    <d v="2016-12-15T00:00:00"/>
    <s v="10"/>
    <s v="TAN"/>
    <s v="OR"/>
    <d v="2016-12-12T00:00:00"/>
    <s v="MI"/>
    <s v="US"/>
    <s v="ZR"/>
    <d v="2016-12-12T00:00:00"/>
  </r>
  <r>
    <x v="0"/>
    <x v="0"/>
    <x v="654"/>
    <x v="10"/>
    <s v="Standard order"/>
    <x v="638"/>
    <x v="638"/>
    <s v="R059"/>
    <s v="CRYSTAL RR059"/>
    <s v="5003530"/>
    <s v="R059 ACH T20 Kabina RP"/>
    <n v="32"/>
    <n v="0"/>
    <n v="32"/>
    <x v="0"/>
    <s v="AP73"/>
    <s v="RP"/>
    <s v="387"/>
    <s v="4.0 UN"/>
    <s v="STANDARD"/>
    <s v="N"/>
    <s v="N"/>
    <s v="Y"/>
    <s v="T20"/>
    <s v="N"/>
    <s v="N"/>
    <s v="N"/>
    <s v="N"/>
    <s v="A036"/>
    <d v="2016-12-15T00:00:00"/>
    <s v="10"/>
    <s v="TAN"/>
    <s v="OR"/>
    <d v="2016-12-12T00:00:00"/>
    <s v="MI"/>
    <s v="US"/>
    <s v="ZR"/>
    <d v="2016-12-12T00:00:00"/>
  </r>
  <r>
    <x v="0"/>
    <x v="2"/>
    <x v="655"/>
    <x v="5"/>
    <s v="Standard order"/>
    <x v="639"/>
    <x v="639"/>
    <s v="W322"/>
    <s v="CRYSTAL W322NT"/>
    <s v="5003488"/>
    <s v="W322 ACH T20 PB SYSTIVA G100"/>
    <n v="20"/>
    <n v="0"/>
    <n v="20"/>
    <x v="2"/>
    <s v="EE73"/>
    <s v="GEM 100"/>
    <s v="324"/>
    <s v="4.0 UN"/>
    <s v="STANDARD"/>
    <s v="N"/>
    <s v="Y"/>
    <s v="N"/>
    <s v="T20"/>
    <s v="Y"/>
    <s v="N"/>
    <s v="Y"/>
    <s v="N"/>
    <s v="A020"/>
    <d v="2016-12-15T00:00:00"/>
    <s v="10"/>
    <s v="TAN"/>
    <s v="OR"/>
    <d v="2016-12-12T00:00:00"/>
    <s v="CO"/>
    <s v="US"/>
    <s v="ZR"/>
    <d v="2016-12-12T00:00:00"/>
  </r>
  <r>
    <x v="0"/>
    <x v="4"/>
    <x v="656"/>
    <x v="15"/>
    <s v="Standard order"/>
    <x v="640"/>
    <x v="640"/>
    <s v="R240"/>
    <s v="CRYSTAL RR240NT"/>
    <s v="5003166"/>
    <s v="R240 ACH T20 PB Kabina CL MP"/>
    <n v="32"/>
    <n v="0"/>
    <n v="32"/>
    <x v="4"/>
    <s v="BHMP"/>
    <s v="MP"/>
    <s v="323"/>
    <s v="4.0 UN"/>
    <s v="STANDARD"/>
    <s v="N"/>
    <s v="Y"/>
    <s v="Y"/>
    <s v="T20"/>
    <s v="N"/>
    <s v="N"/>
    <s v="N"/>
    <s v="N"/>
    <s v="A043"/>
    <d v="2016-12-15T00:00:00"/>
    <s v="10"/>
    <s v="TAN"/>
    <s v="OR"/>
    <d v="2016-12-12T00:00:00"/>
    <s v="ID"/>
    <s v="US"/>
    <s v="ZR"/>
    <d v="2016-12-12T00:00:00"/>
  </r>
  <r>
    <x v="0"/>
    <x v="4"/>
    <x v="657"/>
    <x v="19"/>
    <s v="Standard order"/>
    <x v="641"/>
    <x v="641"/>
    <s v="A399"/>
    <s v="CRYSTAL A399NT"/>
    <s v="5002920"/>
    <s v="A399 ACH LRG"/>
    <n v="24"/>
    <n v="0"/>
    <n v="24"/>
    <x v="4"/>
    <s v="DP71"/>
    <s v="LARGE"/>
    <s v="316"/>
    <s v="4.0 UN"/>
    <s v="STANDARD"/>
    <s v="N"/>
    <s v="N"/>
    <s v="N"/>
    <s v="N"/>
    <s v="N"/>
    <s v="N"/>
    <s v="N"/>
    <s v="N"/>
    <s v="A046"/>
    <d v="2016-12-15T00:00:00"/>
    <s v="10"/>
    <s v="TAN"/>
    <s v="OR"/>
    <d v="2016-12-12T00:00:00"/>
    <s v="ID"/>
    <s v="US"/>
    <s v="ZR"/>
    <d v="2016-12-12T00:00:00"/>
  </r>
  <r>
    <x v="0"/>
    <x v="0"/>
    <x v="658"/>
    <x v="10"/>
    <s v="Standard order"/>
    <x v="642"/>
    <x v="642"/>
    <s v="R059"/>
    <s v="CRYSTAL RR059"/>
    <s v="5003530"/>
    <s v="R059 ACH T20 Kabina RP"/>
    <n v="40"/>
    <n v="0"/>
    <n v="40"/>
    <x v="0"/>
    <s v="AP73"/>
    <s v="RP"/>
    <s v="387"/>
    <s v="4.0 UN"/>
    <s v="STANDARD"/>
    <s v="N"/>
    <s v="N"/>
    <s v="Y"/>
    <s v="T20"/>
    <s v="N"/>
    <s v="N"/>
    <s v="N"/>
    <s v="N"/>
    <s v="A036"/>
    <d v="2016-12-15T00:00:00"/>
    <s v="10"/>
    <s v="TAN"/>
    <s v="OR"/>
    <d v="2016-12-12T00:00:00"/>
    <s v="MI"/>
    <s v="US"/>
    <s v="ZR"/>
    <d v="2016-12-12T00:00:00"/>
  </r>
  <r>
    <x v="0"/>
    <x v="4"/>
    <x v="659"/>
    <x v="19"/>
    <s v="Standard order"/>
    <x v="643"/>
    <x v="643"/>
    <s v="A399"/>
    <s v="CRYSTAL A399NT"/>
    <s v="5002920"/>
    <s v="A399 ACH LRG"/>
    <n v="24"/>
    <n v="0"/>
    <n v="24"/>
    <x v="4"/>
    <s v="DP71"/>
    <s v="LARGE"/>
    <s v="316"/>
    <s v="4.0 UN"/>
    <s v="STANDARD"/>
    <s v="N"/>
    <s v="N"/>
    <s v="N"/>
    <s v="N"/>
    <s v="N"/>
    <s v="N"/>
    <s v="N"/>
    <s v="N"/>
    <s v="A046"/>
    <d v="2016-12-15T00:00:00"/>
    <s v="10"/>
    <s v="TAN"/>
    <s v="OR"/>
    <d v="2016-12-12T00:00:00"/>
    <s v="ID"/>
    <s v="US"/>
    <s v="ZR"/>
    <d v="2016-12-12T00:00:00"/>
  </r>
  <r>
    <x v="0"/>
    <x v="2"/>
    <x v="660"/>
    <x v="6"/>
    <s v="Standard order"/>
    <x v="644"/>
    <x v="644"/>
    <s v="R014"/>
    <s v="CRYSTAL RR014"/>
    <s v="5003091"/>
    <s v="R014 ACH T20 PB SYSTIVA G100"/>
    <n v="48"/>
    <n v="0"/>
    <n v="48"/>
    <x v="2"/>
    <s v="AP82"/>
    <s v="GEM 100"/>
    <s v="324"/>
    <s v="4.0 UN"/>
    <s v="STANDARD"/>
    <s v="N"/>
    <s v="Y"/>
    <s v="N"/>
    <s v="T20"/>
    <s v="Y"/>
    <s v="N"/>
    <s v="Y"/>
    <s v="N"/>
    <s v="A025"/>
    <d v="2016-12-15T00:00:00"/>
    <s v="10"/>
    <s v="TAN"/>
    <s v="OR"/>
    <d v="2016-12-12T00:00:00"/>
    <s v="NE"/>
    <s v="US"/>
    <s v="ZR"/>
    <d v="2016-12-12T00:00:00"/>
  </r>
  <r>
    <x v="0"/>
    <x v="2"/>
    <x v="661"/>
    <x v="22"/>
    <s v="Standard order"/>
    <x v="645"/>
    <x v="645"/>
    <s v="R014"/>
    <s v="CRYSTAL RR014"/>
    <s v="5003091"/>
    <s v="R014 ACH T20 PB SYSTIVA G100"/>
    <n v="36"/>
    <n v="0"/>
    <n v="36"/>
    <x v="2"/>
    <s v="AP82"/>
    <s v="GEM 100"/>
    <s v="324"/>
    <s v="4.0 UN"/>
    <s v="STANDARD"/>
    <s v="N"/>
    <s v="Y"/>
    <s v="N"/>
    <s v="T20"/>
    <s v="Y"/>
    <s v="N"/>
    <s v="Y"/>
    <s v="N"/>
    <s v="A018"/>
    <d v="2016-12-15T00:00:00"/>
    <s v="10"/>
    <s v="TAN"/>
    <s v="OR"/>
    <d v="2016-12-12T00:00:00"/>
    <s v="CO"/>
    <s v="US"/>
    <s v="ZR"/>
    <d v="2016-12-12T00:00:00"/>
  </r>
  <r>
    <x v="0"/>
    <x v="0"/>
    <x v="662"/>
    <x v="10"/>
    <s v="Standard order"/>
    <x v="646"/>
    <x v="646"/>
    <s v="R059"/>
    <s v="CRYSTAL RR059"/>
    <s v="5003530"/>
    <s v="R059 ACH T20 Kabina RP"/>
    <n v="28"/>
    <n v="0"/>
    <n v="28"/>
    <x v="0"/>
    <s v="AP73"/>
    <s v="RP"/>
    <s v="387"/>
    <s v="4.0 UN"/>
    <s v="STANDARD"/>
    <s v="N"/>
    <s v="N"/>
    <s v="Y"/>
    <s v="T20"/>
    <s v="N"/>
    <s v="N"/>
    <s v="N"/>
    <s v="N"/>
    <s v="A036"/>
    <d v="2016-12-15T00:00:00"/>
    <s v="10"/>
    <s v="TAN"/>
    <s v="OR"/>
    <d v="2016-12-12T00:00:00"/>
    <s v="MI"/>
    <s v="US"/>
    <s v="ZR"/>
    <d v="2016-12-12T00:00:00"/>
  </r>
  <r>
    <x v="0"/>
    <x v="0"/>
    <x v="663"/>
    <x v="0"/>
    <s v="Standard order"/>
    <x v="647"/>
    <x v="647"/>
    <s v="R059"/>
    <s v="CRYSTAL RR059"/>
    <s v="5003518"/>
    <s v="R059 ACH CM Vibrance RP"/>
    <n v="104"/>
    <n v="0"/>
    <n v="104"/>
    <x v="0"/>
    <s v="AP73"/>
    <s v="RP"/>
    <s v="393"/>
    <s v="4.0 UN"/>
    <s v="STANDARD"/>
    <s v="Y"/>
    <s v="N"/>
    <s v="N"/>
    <s v="N"/>
    <s v="N"/>
    <s v="N"/>
    <s v="N"/>
    <s v="Y"/>
    <s v="A037"/>
    <d v="2016-12-16T00:00:00"/>
    <s v="10"/>
    <s v="TAN"/>
    <s v="OR"/>
    <d v="2016-12-13T00:00:00"/>
    <s v="ON"/>
    <s v="CA"/>
    <s v="ZR"/>
    <d v="2016-12-13T00:00:00"/>
  </r>
  <r>
    <x v="0"/>
    <x v="0"/>
    <x v="663"/>
    <x v="0"/>
    <s v="Standard order"/>
    <x v="647"/>
    <x v="647"/>
    <s v="G515"/>
    <s v="CRYSTAL G515"/>
    <s v="5003007"/>
    <s v="G515 ACH CM Vibrance RP"/>
    <n v="28"/>
    <n v="0"/>
    <n v="28"/>
    <x v="0"/>
    <s v="APND"/>
    <s v="RP"/>
    <s v="393"/>
    <s v="4.0 UN"/>
    <s v="STANDARD"/>
    <s v="Y"/>
    <s v="N"/>
    <s v="N"/>
    <s v="N"/>
    <s v="N"/>
    <s v="N"/>
    <s v="N"/>
    <s v="Y"/>
    <s v="A037"/>
    <d v="2016-12-16T00:00:00"/>
    <s v="20"/>
    <s v="TAN"/>
    <s v="OR"/>
    <d v="2016-12-13T00:00:00"/>
    <s v="ON"/>
    <s v="CA"/>
    <s v="ZR"/>
    <d v="2016-12-13T00:00:00"/>
  </r>
  <r>
    <x v="0"/>
    <x v="4"/>
    <x v="664"/>
    <x v="7"/>
    <s v="Standard order"/>
    <x v="648"/>
    <x v="648"/>
    <s v="A399"/>
    <s v="CRYSTAL A399NT"/>
    <s v="5002931"/>
    <s v="A399 ACH PB XL"/>
    <n v="44"/>
    <n v="0"/>
    <n v="44"/>
    <x v="4"/>
    <s v="DP71"/>
    <s v="X-LARGE"/>
    <s v="314"/>
    <s v="4.0 UN"/>
    <s v="STANDARD"/>
    <s v="N"/>
    <s v="Y"/>
    <s v="N"/>
    <s v="N"/>
    <s v="N"/>
    <s v="N"/>
    <s v="N"/>
    <s v="N"/>
    <s v="A045"/>
    <d v="2016-12-16T00:00:00"/>
    <s v="10"/>
    <s v="TAN"/>
    <s v="OR"/>
    <d v="2016-12-12T00:00:00"/>
    <s v="ID"/>
    <s v="US"/>
    <s v="ZR"/>
    <d v="2016-12-13T00:00:00"/>
  </r>
  <r>
    <x v="0"/>
    <x v="5"/>
    <x v="665"/>
    <x v="21"/>
    <s v="Standard order"/>
    <x v="649"/>
    <x v="649"/>
    <s v="Y400"/>
    <s v="CRYSTAL Y400NT"/>
    <s v="5003731"/>
    <s v="Y400 ACH T20 PB SYSTIVA ELS"/>
    <n v="56"/>
    <n v="0"/>
    <n v="56"/>
    <x v="5"/>
    <s v="4TBP"/>
    <s v="ELS"/>
    <s v="324"/>
    <s v="4.0 UN"/>
    <s v="STANDARD"/>
    <s v="N"/>
    <s v="Y"/>
    <s v="N"/>
    <s v="T20"/>
    <s v="Y"/>
    <s v="N"/>
    <s v="N"/>
    <s v="N"/>
    <s v="A013"/>
    <d v="2016-12-16T00:00:00"/>
    <s v="10"/>
    <s v="TAN"/>
    <s v="OR"/>
    <d v="2016-12-12T00:00:00"/>
    <s v="MT"/>
    <s v="US"/>
    <s v="ZR"/>
    <d v="2016-12-13T00:00:00"/>
  </r>
  <r>
    <x v="0"/>
    <x v="0"/>
    <x v="666"/>
    <x v="2"/>
    <s v="Standard order"/>
    <x v="650"/>
    <x v="650"/>
    <s v="G333"/>
    <s v="CRYSTAL G333NT"/>
    <s v="5003378"/>
    <s v="G333 ACH T20 Kabina RP"/>
    <n v="24"/>
    <n v="0"/>
    <n v="24"/>
    <x v="0"/>
    <s v="EE73"/>
    <s v="RP"/>
    <s v="387"/>
    <s v="4.0 UN"/>
    <s v="STANDARD"/>
    <s v="N"/>
    <s v="N"/>
    <s v="Y"/>
    <s v="T20"/>
    <s v="N"/>
    <s v="N"/>
    <s v="N"/>
    <s v="N"/>
    <s v="A034"/>
    <d v="2016-12-16T00:00:00"/>
    <s v="10"/>
    <s v="TAN"/>
    <s v="OR"/>
    <d v="2016-12-12T00:00:00"/>
    <s v="MI"/>
    <s v="US"/>
    <s v="ZR"/>
    <d v="2016-12-13T00:00:00"/>
  </r>
  <r>
    <x v="0"/>
    <x v="0"/>
    <x v="666"/>
    <x v="2"/>
    <s v="Standard order"/>
    <x v="650"/>
    <x v="650"/>
    <s v="G351"/>
    <s v="CRYSTAL G351NT"/>
    <s v="5003398"/>
    <s v="G351 ACH T20 Kabina RP"/>
    <n v="24"/>
    <n v="0"/>
    <n v="24"/>
    <x v="0"/>
    <s v="DA73"/>
    <s v="RP"/>
    <s v="387"/>
    <s v="4.0 UN"/>
    <s v="STANDARD"/>
    <s v="N"/>
    <s v="N"/>
    <s v="Y"/>
    <s v="T20"/>
    <s v="N"/>
    <s v="N"/>
    <s v="N"/>
    <s v="N"/>
    <s v="A034"/>
    <d v="2016-12-16T00:00:00"/>
    <s v="20"/>
    <s v="TAN"/>
    <s v="OR"/>
    <d v="2016-12-12T00:00:00"/>
    <s v="MI"/>
    <s v="US"/>
    <s v="ZR"/>
    <d v="2016-12-13T00:00:00"/>
  </r>
  <r>
    <x v="0"/>
    <x v="0"/>
    <x v="666"/>
    <x v="2"/>
    <s v="Standard order"/>
    <x v="650"/>
    <x v="650"/>
    <s v="R059"/>
    <s v="CRYSTAL RR059"/>
    <s v="5003530"/>
    <s v="R059 ACH T20 Kabina RP"/>
    <n v="28"/>
    <n v="0"/>
    <n v="28"/>
    <x v="0"/>
    <s v="AP73"/>
    <s v="RP"/>
    <s v="387"/>
    <s v="4.0 UN"/>
    <s v="STANDARD"/>
    <s v="N"/>
    <s v="N"/>
    <s v="Y"/>
    <s v="T20"/>
    <s v="N"/>
    <s v="N"/>
    <s v="N"/>
    <s v="N"/>
    <s v="A034"/>
    <d v="2016-12-16T00:00:00"/>
    <s v="30"/>
    <s v="TAN"/>
    <s v="OR"/>
    <d v="2016-12-12T00:00:00"/>
    <s v="MI"/>
    <s v="US"/>
    <s v="ZR"/>
    <d v="2016-12-13T00:00:00"/>
  </r>
  <r>
    <x v="0"/>
    <x v="5"/>
    <x v="667"/>
    <x v="9"/>
    <s v="Standard order"/>
    <x v="651"/>
    <x v="651"/>
    <s v="Y400"/>
    <s v="CRYSTAL Y400NT"/>
    <s v="5003731"/>
    <s v="Y400 ACH T20 PB SYSTIVA ELS"/>
    <n v="24"/>
    <n v="0"/>
    <n v="24"/>
    <x v="5"/>
    <s v="4TBP"/>
    <s v="ELS"/>
    <s v="324"/>
    <s v="4.0 UN"/>
    <s v="STANDARD"/>
    <s v="N"/>
    <s v="Y"/>
    <s v="N"/>
    <s v="T20"/>
    <s v="Y"/>
    <s v="N"/>
    <s v="N"/>
    <s v="N"/>
    <s v="A016"/>
    <d v="2016-12-16T00:00:00"/>
    <s v="10"/>
    <s v="TAN"/>
    <s v="OR"/>
    <d v="2016-12-12T00:00:00"/>
    <s v="WY"/>
    <s v="US"/>
    <s v="ZR"/>
    <d v="2016-12-13T00:00:00"/>
  </r>
  <r>
    <x v="0"/>
    <x v="5"/>
    <x v="668"/>
    <x v="9"/>
    <s v="Standard order"/>
    <x v="652"/>
    <x v="652"/>
    <s v="R116"/>
    <s v="CRYSTAL RR116"/>
    <s v="5003101"/>
    <s v="R116 ACH T20 PB SYSTIVA ELS"/>
    <n v="104"/>
    <n v="0"/>
    <n v="104"/>
    <x v="5"/>
    <s v="AP71"/>
    <s v="ELS"/>
    <s v="324"/>
    <s v="4.0 UN"/>
    <s v="STANDARD"/>
    <s v="N"/>
    <s v="Y"/>
    <s v="N"/>
    <s v="T20"/>
    <s v="Y"/>
    <s v="N"/>
    <s v="N"/>
    <s v="N"/>
    <s v="A016"/>
    <d v="2016-12-16T00:00:00"/>
    <s v="10"/>
    <s v="TAN"/>
    <s v="OR"/>
    <d v="2016-12-12T00:00:00"/>
    <s v="WY"/>
    <s v="US"/>
    <s v="ZR"/>
    <d v="2016-12-13T00:00:00"/>
  </r>
  <r>
    <x v="0"/>
    <x v="2"/>
    <x v="669"/>
    <x v="5"/>
    <s v="Standard order"/>
    <x v="653"/>
    <x v="653"/>
    <s v="R014"/>
    <s v="CRYSTAL RR014"/>
    <s v="5003091"/>
    <s v="R014 ACH T20 PB SYSTIVA G100"/>
    <n v="40"/>
    <n v="0"/>
    <n v="40"/>
    <x v="2"/>
    <s v="AP82"/>
    <s v="GEM 100"/>
    <s v="324"/>
    <s v="4.0 UN"/>
    <s v="STANDARD"/>
    <s v="N"/>
    <s v="Y"/>
    <s v="N"/>
    <s v="T20"/>
    <s v="Y"/>
    <s v="N"/>
    <s v="Y"/>
    <s v="N"/>
    <s v="A020"/>
    <d v="2016-12-16T00:00:00"/>
    <s v="10"/>
    <s v="TAN"/>
    <s v="OR"/>
    <d v="2016-12-13T00:00:00"/>
    <s v="CO"/>
    <s v="US"/>
    <s v="ZR"/>
    <d v="2016-12-13T00:00:00"/>
  </r>
  <r>
    <x v="0"/>
    <x v="2"/>
    <x v="670"/>
    <x v="5"/>
    <s v="Standard order"/>
    <x v="654"/>
    <x v="654"/>
    <s v="R014"/>
    <s v="CRYSTAL RR014"/>
    <s v="5003091"/>
    <s v="R014 ACH T20 PB SYSTIVA G100"/>
    <n v="28"/>
    <n v="0"/>
    <n v="28"/>
    <x v="2"/>
    <s v="AP82"/>
    <s v="GEM 100"/>
    <s v="324"/>
    <s v="4.0 UN"/>
    <s v="STANDARD"/>
    <s v="N"/>
    <s v="Y"/>
    <s v="N"/>
    <s v="T20"/>
    <s v="Y"/>
    <s v="N"/>
    <s v="Y"/>
    <s v="N"/>
    <s v="A020"/>
    <d v="2016-12-16T00:00:00"/>
    <s v="10"/>
    <s v="TAN"/>
    <s v="OR"/>
    <d v="2016-12-13T00:00:00"/>
    <s v="CO"/>
    <s v="US"/>
    <s v="ZR"/>
    <d v="2016-12-13T00:00:00"/>
  </r>
  <r>
    <x v="0"/>
    <x v="0"/>
    <x v="671"/>
    <x v="4"/>
    <s v="Standard order"/>
    <x v="655"/>
    <x v="655"/>
    <s v="R202"/>
    <s v="CRYSTAL RR202"/>
    <s v="5003119"/>
    <s v="R202 ACH T20 Kabina RP"/>
    <n v="12"/>
    <n v="0"/>
    <n v="12"/>
    <x v="0"/>
    <s v="4ULM"/>
    <s v="RP"/>
    <s v="387"/>
    <s v="4.0 UN"/>
    <s v="STANDARD"/>
    <s v="N"/>
    <s v="N"/>
    <s v="Y"/>
    <s v="T20"/>
    <s v="N"/>
    <s v="N"/>
    <s v="N"/>
    <s v="N"/>
    <s v="A035"/>
    <d v="2016-12-16T00:00:00"/>
    <s v="10"/>
    <s v="TAN"/>
    <s v="OR"/>
    <d v="2016-12-13T00:00:00"/>
    <s v="MI"/>
    <s v="US"/>
    <s v="ZR"/>
    <d v="2016-12-13T00:00:00"/>
  </r>
  <r>
    <x v="0"/>
    <x v="4"/>
    <x v="672"/>
    <x v="7"/>
    <s v="Standard order"/>
    <x v="656"/>
    <x v="656"/>
    <s v="A488"/>
    <s v="CRYSTAL A488NT"/>
    <s v="5002980"/>
    <s v="A488 ACH PB LRG"/>
    <n v="16"/>
    <n v="0"/>
    <n v="16"/>
    <x v="4"/>
    <s v="EENE"/>
    <s v="LARGE"/>
    <s v="314"/>
    <s v="4.0 UN"/>
    <s v="STANDARD"/>
    <s v="N"/>
    <s v="Y"/>
    <s v="N"/>
    <s v="N"/>
    <s v="N"/>
    <s v="N"/>
    <s v="N"/>
    <s v="N"/>
    <s v="A045"/>
    <d v="2016-12-16T00:00:00"/>
    <s v="10"/>
    <s v="TAN"/>
    <s v="OR"/>
    <d v="2016-12-13T00:00:00"/>
    <s v="OR"/>
    <s v="US"/>
    <s v="ZR"/>
    <d v="2016-12-13T00:00:00"/>
  </r>
  <r>
    <x v="0"/>
    <x v="4"/>
    <x v="672"/>
    <x v="7"/>
    <s v="Standard order"/>
    <x v="656"/>
    <x v="656"/>
    <s v="R933"/>
    <s v="CRYSTAL RR933"/>
    <s v="5003686"/>
    <s v="R933 ACH PB LRG"/>
    <n v="16"/>
    <n v="0"/>
    <n v="16"/>
    <x v="4"/>
    <s v="3571"/>
    <s v="LARGE"/>
    <s v="314"/>
    <s v="4.0 UN"/>
    <s v="STANDARD"/>
    <s v="N"/>
    <s v="Y"/>
    <s v="N"/>
    <s v="N"/>
    <s v="N"/>
    <s v="N"/>
    <s v="N"/>
    <s v="N"/>
    <s v="A045"/>
    <d v="2016-12-16T00:00:00"/>
    <s v="20"/>
    <s v="TAN"/>
    <s v="OR"/>
    <d v="2016-12-13T00:00:00"/>
    <s v="OR"/>
    <s v="US"/>
    <s v="ZR"/>
    <d v="2016-12-13T00:00:00"/>
  </r>
  <r>
    <x v="0"/>
    <x v="4"/>
    <x v="672"/>
    <x v="7"/>
    <s v="Standard order"/>
    <x v="656"/>
    <x v="656"/>
    <s v="R240"/>
    <s v="CRYSTAL RR240NT"/>
    <s v="5003159"/>
    <s v="R240 ACH PB LRG"/>
    <n v="12"/>
    <n v="0"/>
    <n v="12"/>
    <x v="4"/>
    <s v="BHMP"/>
    <s v="LARGE"/>
    <s v="314"/>
    <s v="4.0 UN"/>
    <s v="STANDARD"/>
    <s v="N"/>
    <s v="Y"/>
    <s v="N"/>
    <s v="N"/>
    <s v="N"/>
    <s v="N"/>
    <s v="N"/>
    <s v="N"/>
    <s v="A045"/>
    <d v="2016-12-16T00:00:00"/>
    <s v="30"/>
    <s v="TAN"/>
    <s v="OR"/>
    <d v="2016-12-13T00:00:00"/>
    <s v="OR"/>
    <s v="US"/>
    <s v="ZR"/>
    <d v="2016-12-13T00:00:00"/>
  </r>
  <r>
    <x v="0"/>
    <x v="2"/>
    <x v="673"/>
    <x v="22"/>
    <s v="Standard order"/>
    <x v="657"/>
    <x v="657"/>
    <s v="W322"/>
    <s v="CRYSTAL W322NT"/>
    <s v="5003488"/>
    <s v="W322 ACH T20 PB SYSTIVA G100"/>
    <n v="24"/>
    <n v="0"/>
    <n v="24"/>
    <x v="2"/>
    <s v="EE73"/>
    <s v="GEM 100"/>
    <s v="324"/>
    <s v="4.0 UN"/>
    <s v="STANDARD"/>
    <s v="N"/>
    <s v="Y"/>
    <s v="N"/>
    <s v="T20"/>
    <s v="Y"/>
    <s v="N"/>
    <s v="Y"/>
    <s v="N"/>
    <s v="A018"/>
    <d v="2016-12-16T00:00:00"/>
    <s v="10"/>
    <s v="TAN"/>
    <s v="OR"/>
    <d v="2016-12-12T00:00:00"/>
    <s v="CO"/>
    <s v="US"/>
    <s v="ZR"/>
    <d v="2016-12-13T00:00:00"/>
  </r>
  <r>
    <x v="0"/>
    <x v="0"/>
    <x v="674"/>
    <x v="0"/>
    <s v="Standard order"/>
    <x v="658"/>
    <x v="658"/>
    <s v="R059"/>
    <s v="CRYSTAL RR059"/>
    <s v="5003518"/>
    <s v="R059 ACH CM Vibrance RP"/>
    <n v="68"/>
    <n v="0"/>
    <n v="68"/>
    <x v="0"/>
    <s v="AP73"/>
    <s v="RP"/>
    <s v="393"/>
    <s v="4.0 UN"/>
    <s v="STANDARD"/>
    <s v="Y"/>
    <s v="N"/>
    <s v="N"/>
    <s v="N"/>
    <s v="N"/>
    <s v="N"/>
    <s v="N"/>
    <s v="Y"/>
    <s v="A037"/>
    <d v="2016-12-16T00:00:00"/>
    <s v="10"/>
    <s v="TAN"/>
    <s v="OR"/>
    <d v="2016-12-13T00:00:00"/>
    <s v="ON"/>
    <s v="CA"/>
    <s v="ZR"/>
    <d v="2016-12-13T00:00:00"/>
  </r>
  <r>
    <x v="0"/>
    <x v="0"/>
    <x v="675"/>
    <x v="10"/>
    <s v="Standard order"/>
    <x v="659"/>
    <x v="659"/>
    <s v="R059"/>
    <s v="CRYSTAL RR059"/>
    <s v="5003529"/>
    <s v="R059 ACH T20 Kabina MP"/>
    <n v="48"/>
    <n v="0"/>
    <n v="48"/>
    <x v="0"/>
    <s v="AP73"/>
    <s v="MP"/>
    <s v="387"/>
    <s v="4.0 UN"/>
    <s v="STANDARD"/>
    <s v="N"/>
    <s v="N"/>
    <s v="Y"/>
    <s v="T20"/>
    <s v="N"/>
    <s v="N"/>
    <s v="N"/>
    <s v="N"/>
    <s v="A036"/>
    <d v="2016-12-16T00:00:00"/>
    <s v="10"/>
    <s v="TAN"/>
    <s v="OR"/>
    <d v="2016-12-13T00:00:00"/>
    <s v="MI"/>
    <s v="US"/>
    <s v="ZR"/>
    <d v="2016-12-13T00:00:00"/>
  </r>
  <r>
    <x v="0"/>
    <x v="4"/>
    <x v="676"/>
    <x v="18"/>
    <s v="Standard order"/>
    <x v="660"/>
    <x v="660"/>
    <s v="R081"/>
    <s v="CRYSTAL RR081"/>
    <s v="5003554"/>
    <s v="R081 ACH PB XL IDH"/>
    <n v="52"/>
    <n v="0"/>
    <n v="52"/>
    <x v="4"/>
    <s v="AQ82"/>
    <s v="X-LARGE"/>
    <s v="314"/>
    <s v="4.0 UN"/>
    <s v="STANDARD"/>
    <s v="N"/>
    <s v="Y"/>
    <s v="N"/>
    <s v="N"/>
    <s v="N"/>
    <s v="N"/>
    <s v="N"/>
    <s v="N"/>
    <s v="A041"/>
    <d v="2016-12-16T00:00:00"/>
    <s v="10"/>
    <s v="TAN"/>
    <s v="OR"/>
    <d v="2016-12-12T00:00:00"/>
    <s v="ID"/>
    <s v="US"/>
    <s v="ZR"/>
    <d v="2016-12-13T00:00:00"/>
  </r>
  <r>
    <x v="0"/>
    <x v="4"/>
    <x v="676"/>
    <x v="18"/>
    <s v="Standard order"/>
    <x v="660"/>
    <x v="660"/>
    <s v="A501"/>
    <s v="CRYSTAL A501"/>
    <s v="5003308"/>
    <s v="A501 ACH PB XL"/>
    <n v="28"/>
    <n v="0"/>
    <n v="28"/>
    <x v="4"/>
    <s v="EZPB"/>
    <s v="X-LARGE"/>
    <s v="314"/>
    <s v="4.0 UN"/>
    <s v="STANDARD"/>
    <s v="N"/>
    <s v="Y"/>
    <s v="N"/>
    <s v="N"/>
    <s v="N"/>
    <s v="N"/>
    <s v="N"/>
    <s v="N"/>
    <s v="A041"/>
    <d v="2016-12-16T00:00:00"/>
    <s v="20"/>
    <s v="TAN"/>
    <s v="OR"/>
    <d v="2016-12-12T00:00:00"/>
    <s v="ID"/>
    <s v="US"/>
    <s v="ZR"/>
    <d v="2016-12-13T00:00:00"/>
  </r>
  <r>
    <x v="0"/>
    <x v="4"/>
    <x v="676"/>
    <x v="18"/>
    <s v="Standard order"/>
    <x v="660"/>
    <x v="660"/>
    <s v="A399"/>
    <s v="CRYSTAL A399NT"/>
    <s v="5002931"/>
    <s v="A399 ACH PB XL"/>
    <n v="32"/>
    <n v="0"/>
    <n v="32"/>
    <x v="4"/>
    <s v="DP71"/>
    <s v="X-LARGE"/>
    <s v="314"/>
    <s v="4.0 UN"/>
    <s v="STANDARD"/>
    <s v="N"/>
    <s v="Y"/>
    <s v="N"/>
    <s v="N"/>
    <s v="N"/>
    <s v="N"/>
    <s v="N"/>
    <s v="N"/>
    <s v="A041"/>
    <d v="2016-12-16T00:00:00"/>
    <s v="30"/>
    <s v="TAN"/>
    <s v="OR"/>
    <d v="2016-12-12T00:00:00"/>
    <s v="ID"/>
    <s v="US"/>
    <s v="ZR"/>
    <d v="2016-12-13T00:00:00"/>
  </r>
  <r>
    <x v="0"/>
    <x v="6"/>
    <x v="677"/>
    <x v="11"/>
    <s v="Standard order"/>
    <x v="661"/>
    <x v="661"/>
    <s v="S517"/>
    <s v="CRYSTAL S517"/>
    <s v="5003467"/>
    <s v="S517 ACH T20 PB SYSTIVA G100"/>
    <n v="24"/>
    <n v="0"/>
    <n v="24"/>
    <x v="6"/>
    <s v="DVNV"/>
    <s v="GEM 100"/>
    <s v="324"/>
    <s v="4.0 UN"/>
    <s v="STANDARD"/>
    <s v="N"/>
    <s v="Y"/>
    <s v="N"/>
    <s v="T20"/>
    <s v="Y"/>
    <s v="N"/>
    <s v="Y"/>
    <s v="N"/>
    <s v="A038"/>
    <d v="2016-12-16T00:00:00"/>
    <s v="10"/>
    <s v="TAN"/>
    <s v="OR"/>
    <d v="2016-12-12T00:00:00"/>
    <s v="MT"/>
    <s v="US"/>
    <s v="ZR"/>
    <d v="2016-12-13T00:00:00"/>
  </r>
  <r>
    <x v="0"/>
    <x v="6"/>
    <x v="677"/>
    <x v="11"/>
    <s v="Standard order"/>
    <x v="661"/>
    <x v="661"/>
    <s v="R052"/>
    <s v="CRYSTAL RR052"/>
    <s v="5003513"/>
    <s v="R052 ACH T20 PB SYSTIVA G100"/>
    <n v="44"/>
    <n v="0"/>
    <n v="44"/>
    <x v="6"/>
    <s v="AP82"/>
    <s v="GEM 100"/>
    <s v="324"/>
    <s v="4.0 UN"/>
    <s v="STANDARD"/>
    <s v="N"/>
    <s v="Y"/>
    <s v="N"/>
    <s v="T20"/>
    <s v="Y"/>
    <s v="N"/>
    <s v="Y"/>
    <s v="N"/>
    <s v="A038"/>
    <d v="2016-12-16T00:00:00"/>
    <s v="20"/>
    <s v="TAN"/>
    <s v="OR"/>
    <d v="2016-12-12T00:00:00"/>
    <s v="MT"/>
    <s v="US"/>
    <s v="ZR"/>
    <d v="2016-12-13T00:00:00"/>
  </r>
  <r>
    <x v="0"/>
    <x v="6"/>
    <x v="678"/>
    <x v="11"/>
    <s v="Standard order"/>
    <x v="662"/>
    <x v="662"/>
    <s v="S517"/>
    <s v="CRYSTAL S517"/>
    <s v="5003467"/>
    <s v="S517 ACH T20 PB SYSTIVA G100"/>
    <n v="24"/>
    <n v="0"/>
    <n v="24"/>
    <x v="6"/>
    <s v="DVNV"/>
    <s v="GEM 100"/>
    <s v="324"/>
    <s v="4.0 UN"/>
    <s v="STANDARD"/>
    <s v="N"/>
    <s v="Y"/>
    <s v="N"/>
    <s v="T20"/>
    <s v="Y"/>
    <s v="N"/>
    <s v="Y"/>
    <s v="N"/>
    <s v="A038"/>
    <d v="2016-12-16T00:00:00"/>
    <s v="10"/>
    <s v="TAN"/>
    <s v="OR"/>
    <d v="2016-12-12T00:00:00"/>
    <s v="MT"/>
    <s v="US"/>
    <s v="ZR"/>
    <d v="2016-12-13T00:00:00"/>
  </r>
  <r>
    <x v="0"/>
    <x v="6"/>
    <x v="678"/>
    <x v="11"/>
    <s v="Standard order"/>
    <x v="662"/>
    <x v="662"/>
    <s v="S360"/>
    <s v="CRYSTAL S360NT"/>
    <s v="5003413"/>
    <s v="S360 ACH T20 PB SYSTIVA G100"/>
    <n v="84"/>
    <n v="0"/>
    <n v="84"/>
    <x v="6"/>
    <s v="DVNB"/>
    <s v="GEM 100"/>
    <s v="324"/>
    <s v="4.0 UN"/>
    <s v="STANDARD"/>
    <s v="N"/>
    <s v="Y"/>
    <s v="N"/>
    <s v="T20"/>
    <s v="Y"/>
    <s v="N"/>
    <s v="Y"/>
    <s v="N"/>
    <s v="A038"/>
    <d v="2016-12-16T00:00:00"/>
    <s v="20"/>
    <s v="TAN"/>
    <s v="OR"/>
    <d v="2016-12-12T00:00:00"/>
    <s v="MT"/>
    <s v="US"/>
    <s v="ZR"/>
    <d v="2016-12-13T00:00:00"/>
  </r>
  <r>
    <x v="0"/>
    <x v="0"/>
    <x v="679"/>
    <x v="2"/>
    <s v="Standard order"/>
    <x v="663"/>
    <x v="663"/>
    <s v="G333"/>
    <s v="CRYSTAL G333NT"/>
    <s v="5003378"/>
    <s v="G333 ACH T20 Kabina RP"/>
    <n v="12"/>
    <n v="0"/>
    <n v="12"/>
    <x v="0"/>
    <s v="EE73"/>
    <s v="RP"/>
    <s v="387"/>
    <s v="4.0 UN"/>
    <s v="STANDARD"/>
    <s v="N"/>
    <s v="N"/>
    <s v="Y"/>
    <s v="T20"/>
    <s v="N"/>
    <s v="N"/>
    <s v="N"/>
    <s v="N"/>
    <s v="A034"/>
    <d v="2016-12-16T00:00:00"/>
    <s v="10"/>
    <s v="TAN"/>
    <s v="OR"/>
    <d v="2016-12-12T00:00:00"/>
    <s v="MI"/>
    <s v="US"/>
    <s v="ZR"/>
    <d v="2016-12-13T00:00:00"/>
  </r>
  <r>
    <x v="0"/>
    <x v="0"/>
    <x v="679"/>
    <x v="2"/>
    <s v="Standard order"/>
    <x v="663"/>
    <x v="663"/>
    <s v="G351"/>
    <s v="CRYSTAL G351NT"/>
    <s v="5003398"/>
    <s v="G351 ACH T20 Kabina RP"/>
    <n v="12"/>
    <n v="0"/>
    <n v="12"/>
    <x v="0"/>
    <s v="DA73"/>
    <s v="RP"/>
    <s v="387"/>
    <s v="4.0 UN"/>
    <s v="STANDARD"/>
    <s v="N"/>
    <s v="N"/>
    <s v="Y"/>
    <s v="T20"/>
    <s v="N"/>
    <s v="N"/>
    <s v="N"/>
    <s v="N"/>
    <s v="A034"/>
    <d v="2016-12-16T00:00:00"/>
    <s v="20"/>
    <s v="TAN"/>
    <s v="OR"/>
    <d v="2016-12-12T00:00:00"/>
    <s v="MI"/>
    <s v="US"/>
    <s v="ZR"/>
    <d v="2016-12-13T00:00:00"/>
  </r>
  <r>
    <x v="0"/>
    <x v="2"/>
    <x v="680"/>
    <x v="5"/>
    <s v="Standard order"/>
    <x v="664"/>
    <x v="664"/>
    <s v="R014"/>
    <s v="CRYSTAL RR014"/>
    <s v="5003091"/>
    <s v="R014 ACH T20 PB SYSTIVA G100"/>
    <n v="28"/>
    <n v="0"/>
    <n v="28"/>
    <x v="2"/>
    <s v="AP82"/>
    <s v="GEM 100"/>
    <s v="324"/>
    <s v="4.0 UN"/>
    <s v="STANDARD"/>
    <s v="N"/>
    <s v="Y"/>
    <s v="N"/>
    <s v="T20"/>
    <s v="Y"/>
    <s v="N"/>
    <s v="Y"/>
    <s v="N"/>
    <s v="A020"/>
    <d v="2016-12-16T00:00:00"/>
    <s v="10"/>
    <s v="TAN"/>
    <s v="OR"/>
    <d v="2016-12-13T00:00:00"/>
    <s v="CO"/>
    <s v="US"/>
    <s v="ZR"/>
    <d v="2016-12-13T00:00:00"/>
  </r>
  <r>
    <x v="0"/>
    <x v="4"/>
    <x v="681"/>
    <x v="7"/>
    <s v="Standard order"/>
    <x v="665"/>
    <x v="665"/>
    <s v="A399"/>
    <s v="CRYSTAL A399NT"/>
    <s v="5002935"/>
    <s v="A399 ACH T20 PB Kabina CL MP"/>
    <n v="52"/>
    <n v="0"/>
    <n v="52"/>
    <x v="4"/>
    <s v="DP71"/>
    <s v="MP"/>
    <s v="323"/>
    <s v="4.0 UN"/>
    <s v="STANDARD"/>
    <s v="N"/>
    <s v="Y"/>
    <s v="Y"/>
    <s v="T20"/>
    <s v="N"/>
    <s v="N"/>
    <s v="N"/>
    <s v="N"/>
    <s v="A045"/>
    <d v="2016-12-16T00:00:00"/>
    <s v="10"/>
    <s v="TAN"/>
    <s v="OR"/>
    <d v="2016-12-13T00:00:00"/>
    <s v="OR"/>
    <s v="US"/>
    <s v="ZR"/>
    <d v="2016-12-13T00:00:00"/>
  </r>
  <r>
    <x v="0"/>
    <x v="0"/>
    <x v="682"/>
    <x v="4"/>
    <s v="Standard order"/>
    <x v="666"/>
    <x v="666"/>
    <s v="G351"/>
    <s v="CRYSTAL G351NT"/>
    <s v="5003398"/>
    <s v="G351 ACH T20 Kabina RP"/>
    <n v="4"/>
    <n v="0"/>
    <n v="4"/>
    <x v="0"/>
    <s v="DA73"/>
    <s v="RP"/>
    <s v="387"/>
    <s v="4.0 UN"/>
    <s v="STANDARD"/>
    <s v="N"/>
    <s v="N"/>
    <s v="Y"/>
    <s v="T20"/>
    <s v="N"/>
    <s v="N"/>
    <s v="N"/>
    <s v="N"/>
    <s v="A035"/>
    <d v="2016-12-16T00:00:00"/>
    <s v="10"/>
    <s v="TAN"/>
    <s v="OR"/>
    <d v="2016-12-13T00:00:00"/>
    <s v="MI"/>
    <s v="US"/>
    <s v="ZR"/>
    <d v="2016-12-13T00:00:00"/>
  </r>
  <r>
    <x v="0"/>
    <x v="6"/>
    <x v="683"/>
    <x v="11"/>
    <s v="Standard order"/>
    <x v="667"/>
    <x v="667"/>
    <s v="S517"/>
    <s v="CRYSTAL S517"/>
    <s v="5003467"/>
    <s v="S517 ACH T20 PB SYSTIVA G100"/>
    <n v="24"/>
    <n v="0"/>
    <n v="24"/>
    <x v="6"/>
    <s v="DVNV"/>
    <s v="GEM 100"/>
    <s v="324"/>
    <s v="4.0 UN"/>
    <s v="STANDARD"/>
    <s v="N"/>
    <s v="Y"/>
    <s v="N"/>
    <s v="T20"/>
    <s v="Y"/>
    <s v="N"/>
    <s v="Y"/>
    <s v="N"/>
    <s v="A038"/>
    <d v="2016-12-16T00:00:00"/>
    <s v="10"/>
    <s v="TAN"/>
    <s v="OR"/>
    <d v="2016-12-12T00:00:00"/>
    <s v="MT"/>
    <s v="US"/>
    <s v="ZR"/>
    <d v="2016-12-13T00:00:00"/>
  </r>
  <r>
    <x v="0"/>
    <x v="6"/>
    <x v="683"/>
    <x v="11"/>
    <s v="Standard order"/>
    <x v="667"/>
    <x v="667"/>
    <s v="R052"/>
    <s v="CRYSTAL RR052"/>
    <s v="5003501"/>
    <s v="R052 ACH T20 PB CL SYSTIVA G100"/>
    <n v="64"/>
    <n v="0"/>
    <n v="64"/>
    <x v="6"/>
    <s v="AP82"/>
    <s v="GEM 100"/>
    <s v="321"/>
    <s v="4.0 UN"/>
    <s v="STANDARD"/>
    <s v="N"/>
    <s v="N"/>
    <s v="N"/>
    <s v="T20"/>
    <s v="Y"/>
    <s v="N"/>
    <s v="Y"/>
    <s v="N"/>
    <s v="A038"/>
    <d v="2016-12-16T00:00:00"/>
    <s v="20"/>
    <s v="TAN"/>
    <s v="OR"/>
    <d v="2016-12-12T00:00:00"/>
    <s v="MT"/>
    <s v="US"/>
    <s v="ZR"/>
    <d v="2016-12-13T00:00:00"/>
  </r>
  <r>
    <x v="0"/>
    <x v="6"/>
    <x v="683"/>
    <x v="11"/>
    <s v="Standard order"/>
    <x v="667"/>
    <x v="667"/>
    <s v="S360"/>
    <s v="CRYSTAL S360NT"/>
    <s v="5003413"/>
    <s v="S360 ACH T20 PB SYSTIVA G100"/>
    <n v="48"/>
    <n v="0"/>
    <n v="48"/>
    <x v="6"/>
    <s v="DVNB"/>
    <s v="GEM 100"/>
    <s v="324"/>
    <s v="4.0 UN"/>
    <s v="STANDARD"/>
    <s v="N"/>
    <s v="Y"/>
    <s v="N"/>
    <s v="T20"/>
    <s v="Y"/>
    <s v="N"/>
    <s v="Y"/>
    <s v="N"/>
    <s v="A038"/>
    <d v="2016-12-16T00:00:00"/>
    <s v="30"/>
    <s v="TAN"/>
    <s v="OR"/>
    <d v="2016-12-12T00:00:00"/>
    <s v="MT"/>
    <s v="US"/>
    <s v="ZR"/>
    <d v="2016-12-13T00:00:00"/>
  </r>
  <r>
    <x v="0"/>
    <x v="0"/>
    <x v="684"/>
    <x v="2"/>
    <s v="Standard order"/>
    <x v="668"/>
    <x v="668"/>
    <s v="G351"/>
    <s v="CRYSTAL G351NT"/>
    <s v="5003396"/>
    <s v="G351 ACH T20 Kabina ELS"/>
    <n v="24"/>
    <n v="0"/>
    <n v="24"/>
    <x v="0"/>
    <s v="DA73"/>
    <s v="ELS"/>
    <s v="387"/>
    <s v="4.0 UN"/>
    <s v="STANDARD"/>
    <s v="N"/>
    <s v="N"/>
    <s v="Y"/>
    <s v="T20"/>
    <s v="N"/>
    <s v="N"/>
    <s v="N"/>
    <s v="N"/>
    <s v="A034"/>
    <d v="2016-12-16T00:00:00"/>
    <s v="10"/>
    <s v="TAN"/>
    <s v="OR"/>
    <d v="2016-12-12T00:00:00"/>
    <s v="MI"/>
    <s v="US"/>
    <s v="ZR"/>
    <d v="2016-12-13T00:00:00"/>
  </r>
  <r>
    <x v="0"/>
    <x v="0"/>
    <x v="684"/>
    <x v="2"/>
    <s v="Standard order"/>
    <x v="668"/>
    <x v="668"/>
    <s v="R059"/>
    <s v="CRYSTAL RR059"/>
    <s v="5003528"/>
    <s v="R059 ACH T20 Kabina ELS"/>
    <n v="16"/>
    <n v="0"/>
    <n v="16"/>
    <x v="0"/>
    <s v="AP73"/>
    <s v="ELS"/>
    <s v="387"/>
    <s v="4.0 UN"/>
    <s v="STANDARD"/>
    <s v="N"/>
    <s v="N"/>
    <s v="Y"/>
    <s v="T20"/>
    <s v="N"/>
    <s v="N"/>
    <s v="N"/>
    <s v="N"/>
    <s v="A034"/>
    <d v="2016-12-16T00:00:00"/>
    <s v="20"/>
    <s v="TAN"/>
    <s v="OR"/>
    <d v="2016-12-12T00:00:00"/>
    <s v="MI"/>
    <s v="US"/>
    <s v="ZR"/>
    <d v="2016-12-13T00:00:00"/>
  </r>
  <r>
    <x v="0"/>
    <x v="0"/>
    <x v="685"/>
    <x v="2"/>
    <s v="Standard order"/>
    <x v="669"/>
    <x v="669"/>
    <s v="G333"/>
    <s v="CRYSTAL G333NT"/>
    <s v="5003376"/>
    <s v="G333 ACH T20 Kabina ELS"/>
    <n v="40"/>
    <n v="0"/>
    <n v="40"/>
    <x v="0"/>
    <s v="EE73"/>
    <s v="ELS"/>
    <s v="387"/>
    <s v="4.0 UN"/>
    <s v="STANDARD"/>
    <s v="N"/>
    <s v="N"/>
    <s v="Y"/>
    <s v="T20"/>
    <s v="N"/>
    <s v="N"/>
    <s v="N"/>
    <s v="N"/>
    <s v="A034"/>
    <d v="2016-12-16T00:00:00"/>
    <s v="10"/>
    <s v="TAN"/>
    <s v="OR"/>
    <d v="2016-12-12T00:00:00"/>
    <s v="MI"/>
    <s v="US"/>
    <s v="ZR"/>
    <d v="2016-12-13T00:00:00"/>
  </r>
  <r>
    <x v="0"/>
    <x v="0"/>
    <x v="685"/>
    <x v="2"/>
    <s v="Standard order"/>
    <x v="669"/>
    <x v="669"/>
    <s v="G351"/>
    <s v="CRYSTAL G351NT"/>
    <s v="5003396"/>
    <s v="G351 ACH T20 Kabina ELS"/>
    <n v="12"/>
    <n v="0"/>
    <n v="12"/>
    <x v="0"/>
    <s v="DA73"/>
    <s v="ELS"/>
    <s v="387"/>
    <s v="4.0 UN"/>
    <s v="STANDARD"/>
    <s v="N"/>
    <s v="N"/>
    <s v="Y"/>
    <s v="T20"/>
    <s v="N"/>
    <s v="N"/>
    <s v="N"/>
    <s v="N"/>
    <s v="A034"/>
    <d v="2016-12-16T00:00:00"/>
    <s v="20"/>
    <s v="TAN"/>
    <s v="OR"/>
    <d v="2016-12-12T00:00:00"/>
    <s v="MI"/>
    <s v="US"/>
    <s v="ZR"/>
    <d v="2016-12-13T00:00:00"/>
  </r>
  <r>
    <x v="0"/>
    <x v="2"/>
    <x v="686"/>
    <x v="3"/>
    <s v="Standard order"/>
    <x v="670"/>
    <x v="670"/>
    <s v="R014"/>
    <s v="CRYSTAL RR014"/>
    <s v="5003091"/>
    <s v="R014 ACH T20 PB SYSTIVA G100"/>
    <n v="136"/>
    <n v="0"/>
    <n v="136"/>
    <x v="2"/>
    <s v="AP82"/>
    <s v="GEM 100"/>
    <s v="324"/>
    <s v="4.0 UN"/>
    <s v="STANDARD"/>
    <s v="N"/>
    <s v="Y"/>
    <s v="N"/>
    <s v="T20"/>
    <s v="Y"/>
    <s v="N"/>
    <s v="Y"/>
    <s v="N"/>
    <s v="A024"/>
    <d v="2016-12-16T00:00:00"/>
    <s v="10"/>
    <s v="TAN"/>
    <s v="OR"/>
    <d v="2016-12-13T00:00:00"/>
    <s v="NE"/>
    <s v="US"/>
    <s v="ZR"/>
    <d v="2016-12-13T00:00:00"/>
  </r>
  <r>
    <x v="0"/>
    <x v="2"/>
    <x v="686"/>
    <x v="3"/>
    <s v="Standard order"/>
    <x v="670"/>
    <x v="670"/>
    <s v="W322"/>
    <s v="CRYSTAL W322NT"/>
    <s v="5003488"/>
    <s v="W322 ACH T20 PB SYSTIVA G100"/>
    <n v="132"/>
    <n v="0"/>
    <n v="132"/>
    <x v="2"/>
    <s v="EE73"/>
    <s v="GEM 100"/>
    <s v="324"/>
    <s v="4.0 UN"/>
    <s v="STANDARD"/>
    <s v="N"/>
    <s v="Y"/>
    <s v="N"/>
    <s v="T20"/>
    <s v="Y"/>
    <s v="N"/>
    <s v="Y"/>
    <s v="N"/>
    <s v="A024"/>
    <d v="2016-12-16T00:00:00"/>
    <s v="20"/>
    <s v="TAN"/>
    <s v="OR"/>
    <d v="2016-12-13T00:00:00"/>
    <s v="NE"/>
    <s v="US"/>
    <s v="ZR"/>
    <d v="2016-12-13T00:00:00"/>
  </r>
  <r>
    <x v="0"/>
    <x v="2"/>
    <x v="686"/>
    <x v="3"/>
    <s v="Standard order"/>
    <x v="670"/>
    <x v="670"/>
    <s v="R272"/>
    <s v="CRYSTAL RR272"/>
    <s v="5003629"/>
    <s v="R272 ACH T20 PB SYSTIVA G100"/>
    <n v="68"/>
    <n v="0"/>
    <n v="68"/>
    <x v="2"/>
    <s v="DG73"/>
    <s v="GEM 100"/>
    <s v="324"/>
    <s v="4.0 UN"/>
    <s v="STANDARD"/>
    <s v="N"/>
    <s v="Y"/>
    <s v="N"/>
    <s v="T20"/>
    <s v="Y"/>
    <s v="N"/>
    <s v="Y"/>
    <s v="N"/>
    <s v="A024"/>
    <d v="2016-12-16T00:00:00"/>
    <s v="30"/>
    <s v="TAN"/>
    <s v="OR"/>
    <d v="2016-12-13T00:00:00"/>
    <s v="NE"/>
    <s v="US"/>
    <s v="ZR"/>
    <d v="2016-12-13T00:00:00"/>
  </r>
  <r>
    <x v="0"/>
    <x v="0"/>
    <x v="687"/>
    <x v="2"/>
    <s v="Standard order"/>
    <x v="671"/>
    <x v="671"/>
    <s v="G333"/>
    <s v="CRYSTAL G333NT"/>
    <s v="5003377"/>
    <s v="G333 ACH T20 Kabina MP"/>
    <n v="48"/>
    <n v="0"/>
    <n v="48"/>
    <x v="0"/>
    <s v="EE73"/>
    <s v="MP"/>
    <s v="387"/>
    <s v="4.0 UN"/>
    <s v="STANDARD"/>
    <s v="N"/>
    <s v="N"/>
    <s v="Y"/>
    <s v="T20"/>
    <s v="N"/>
    <s v="N"/>
    <s v="N"/>
    <s v="N"/>
    <s v="A034"/>
    <d v="2016-12-16T00:00:00"/>
    <s v="10"/>
    <s v="TAN"/>
    <s v="OR"/>
    <d v="2016-12-12T00:00:00"/>
    <s v="MI"/>
    <s v="US"/>
    <s v="ZR"/>
    <d v="2016-12-13T00:00:00"/>
  </r>
  <r>
    <x v="0"/>
    <x v="0"/>
    <x v="687"/>
    <x v="2"/>
    <s v="Standard order"/>
    <x v="671"/>
    <x v="671"/>
    <s v="G515"/>
    <s v="CRYSTAL G515"/>
    <s v="5003018"/>
    <s v="G515 ACH T20 Kabina MP"/>
    <n v="12"/>
    <n v="0"/>
    <n v="12"/>
    <x v="0"/>
    <s v="APND"/>
    <s v="MP"/>
    <s v="387"/>
    <s v="4.0 UN"/>
    <s v="STANDARD"/>
    <s v="N"/>
    <s v="N"/>
    <s v="Y"/>
    <s v="T20"/>
    <s v="N"/>
    <s v="N"/>
    <s v="N"/>
    <s v="N"/>
    <s v="A034"/>
    <d v="2016-12-16T00:00:00"/>
    <s v="30"/>
    <s v="TAN"/>
    <s v="OR"/>
    <d v="2016-12-12T00:00:00"/>
    <s v="MI"/>
    <s v="US"/>
    <s v="ZR"/>
    <d v="2016-12-13T00:00:00"/>
  </r>
  <r>
    <x v="0"/>
    <x v="0"/>
    <x v="687"/>
    <x v="2"/>
    <s v="Standard order"/>
    <x v="671"/>
    <x v="671"/>
    <s v="R059"/>
    <s v="CRYSTAL RR059"/>
    <s v="5003529"/>
    <s v="R059 ACH T20 Kabina MP"/>
    <n v="48"/>
    <n v="0"/>
    <n v="48"/>
    <x v="0"/>
    <s v="AP73"/>
    <s v="MP"/>
    <s v="387"/>
    <s v="4.0 UN"/>
    <s v="STANDARD"/>
    <s v="N"/>
    <s v="N"/>
    <s v="Y"/>
    <s v="T20"/>
    <s v="N"/>
    <s v="N"/>
    <s v="N"/>
    <s v="N"/>
    <s v="A034"/>
    <d v="2016-12-16T00:00:00"/>
    <s v="40"/>
    <s v="TAN"/>
    <s v="OR"/>
    <d v="2016-12-12T00:00:00"/>
    <s v="MI"/>
    <s v="US"/>
    <s v="ZR"/>
    <d v="2016-12-13T00:00:00"/>
  </r>
  <r>
    <x v="0"/>
    <x v="0"/>
    <x v="688"/>
    <x v="10"/>
    <s v="Standard order"/>
    <x v="672"/>
    <x v="672"/>
    <s v="R059"/>
    <s v="CRYSTAL RR059"/>
    <s v="5003530"/>
    <s v="R059 ACH T20 Kabina RP"/>
    <n v="44"/>
    <n v="0"/>
    <n v="44"/>
    <x v="0"/>
    <s v="AP73"/>
    <s v="RP"/>
    <s v="387"/>
    <s v="4.0 UN"/>
    <s v="STANDARD"/>
    <s v="N"/>
    <s v="N"/>
    <s v="Y"/>
    <s v="T20"/>
    <s v="N"/>
    <s v="N"/>
    <s v="N"/>
    <s v="N"/>
    <s v="A036"/>
    <d v="2016-12-16T00:00:00"/>
    <s v="10"/>
    <s v="TAN"/>
    <s v="OR"/>
    <d v="2016-12-12T00:00:00"/>
    <s v="MI"/>
    <s v="US"/>
    <s v="ZR"/>
    <d v="2016-12-13T00:00:00"/>
  </r>
  <r>
    <x v="0"/>
    <x v="0"/>
    <x v="689"/>
    <x v="0"/>
    <s v="Standard order"/>
    <x v="673"/>
    <x v="673"/>
    <s v="R059"/>
    <s v="CRYSTAL RR059"/>
    <s v="5003518"/>
    <s v="R059 ACH CM Vibrance RP"/>
    <n v="20"/>
    <n v="0"/>
    <n v="20"/>
    <x v="0"/>
    <s v="AP73"/>
    <s v="RP"/>
    <s v="393"/>
    <s v="4.0 UN"/>
    <s v="STANDARD"/>
    <s v="Y"/>
    <s v="N"/>
    <s v="N"/>
    <s v="N"/>
    <s v="N"/>
    <s v="N"/>
    <s v="N"/>
    <s v="Y"/>
    <s v="A037"/>
    <d v="2016-12-16T00:00:00"/>
    <s v="10"/>
    <s v="TAN"/>
    <s v="OR"/>
    <d v="2016-12-13T00:00:00"/>
    <s v="ON"/>
    <s v="CA"/>
    <s v="ZR"/>
    <d v="2016-12-13T00:00:00"/>
  </r>
  <r>
    <x v="0"/>
    <x v="0"/>
    <x v="689"/>
    <x v="0"/>
    <s v="Standard order"/>
    <x v="673"/>
    <x v="673"/>
    <s v="G351"/>
    <s v="CRYSTAL G351NT"/>
    <s v="5003386"/>
    <s v="G351 ACH CM Vibrance RP"/>
    <n v="12"/>
    <n v="0"/>
    <n v="12"/>
    <x v="0"/>
    <s v="DA73"/>
    <s v="RP"/>
    <s v="393"/>
    <s v="4.0 UN"/>
    <s v="STANDARD"/>
    <s v="Y"/>
    <s v="N"/>
    <s v="N"/>
    <s v="N"/>
    <s v="N"/>
    <s v="N"/>
    <s v="N"/>
    <s v="Y"/>
    <s v="A037"/>
    <d v="2016-12-16T00:00:00"/>
    <s v="20"/>
    <s v="TAN"/>
    <s v="OR"/>
    <d v="2016-12-13T00:00:00"/>
    <s v="ON"/>
    <s v="CA"/>
    <s v="ZR"/>
    <d v="2016-12-13T00:00:00"/>
  </r>
  <r>
    <x v="0"/>
    <x v="0"/>
    <x v="690"/>
    <x v="10"/>
    <s v="Standard order"/>
    <x v="674"/>
    <x v="674"/>
    <s v="R059"/>
    <s v="CRYSTAL RR059"/>
    <s v="5003529"/>
    <s v="R059 ACH T20 Kabina MP"/>
    <n v="56"/>
    <n v="0"/>
    <n v="56"/>
    <x v="0"/>
    <s v="AP73"/>
    <s v="MP"/>
    <s v="387"/>
    <s v="4.0 UN"/>
    <s v="STANDARD"/>
    <s v="N"/>
    <s v="N"/>
    <s v="Y"/>
    <s v="T20"/>
    <s v="N"/>
    <s v="N"/>
    <s v="N"/>
    <s v="N"/>
    <s v="A036"/>
    <d v="2016-12-16T00:00:00"/>
    <s v="10"/>
    <s v="TAN"/>
    <s v="OR"/>
    <d v="2016-12-13T00:00:00"/>
    <s v="MI"/>
    <s v="US"/>
    <s v="ZR"/>
    <d v="2016-12-13T00:00:00"/>
  </r>
  <r>
    <x v="0"/>
    <x v="4"/>
    <x v="691"/>
    <x v="19"/>
    <s v="Standard order"/>
    <x v="675"/>
    <x v="675"/>
    <s v="A399"/>
    <s v="CRYSTAL A399NT"/>
    <s v="5002928"/>
    <s v="A399 ACH PB LRG"/>
    <n v="12"/>
    <n v="0"/>
    <n v="12"/>
    <x v="4"/>
    <s v="DP71"/>
    <s v="LARGE"/>
    <s v="314"/>
    <s v="4.0 UN"/>
    <s v="STANDARD"/>
    <s v="N"/>
    <s v="Y"/>
    <s v="N"/>
    <s v="N"/>
    <s v="N"/>
    <s v="N"/>
    <s v="N"/>
    <s v="N"/>
    <s v="A046"/>
    <d v="2016-12-16T00:00:00"/>
    <s v="10"/>
    <s v="TAN"/>
    <s v="OR"/>
    <d v="2016-12-12T00:00:00"/>
    <s v="ID"/>
    <s v="US"/>
    <s v="ZR"/>
    <d v="2016-12-13T00:00:00"/>
  </r>
  <r>
    <x v="0"/>
    <x v="6"/>
    <x v="692"/>
    <x v="11"/>
    <s v="Standard order"/>
    <x v="676"/>
    <x v="676"/>
    <s v="S517"/>
    <s v="CRYSTAL S517"/>
    <s v="5003467"/>
    <s v="S517 ACH T20 PB SYSTIVA G100"/>
    <n v="12"/>
    <n v="0"/>
    <n v="12"/>
    <x v="6"/>
    <s v="DVNV"/>
    <s v="GEM 100"/>
    <s v="324"/>
    <s v="4.0 UN"/>
    <s v="STANDARD"/>
    <s v="N"/>
    <s v="Y"/>
    <s v="N"/>
    <s v="T20"/>
    <s v="Y"/>
    <s v="N"/>
    <s v="Y"/>
    <s v="N"/>
    <s v="A038"/>
    <d v="2016-12-16T00:00:00"/>
    <s v="10"/>
    <s v="TAN"/>
    <s v="OR"/>
    <d v="2016-12-12T00:00:00"/>
    <s v="MT"/>
    <s v="US"/>
    <s v="ZR"/>
    <d v="2016-12-13T00:00:00"/>
  </r>
  <r>
    <x v="0"/>
    <x v="6"/>
    <x v="692"/>
    <x v="11"/>
    <s v="Standard order"/>
    <x v="676"/>
    <x v="676"/>
    <s v="S498"/>
    <s v="CRYSTAL S498"/>
    <s v="5003431"/>
    <s v="S498 ACH T20 PB SYSTIVA G100"/>
    <n v="48"/>
    <n v="0"/>
    <n v="48"/>
    <x v="6"/>
    <s v="FE73"/>
    <s v="GEM 100"/>
    <s v="324"/>
    <s v="4.0 UN"/>
    <s v="STANDARD"/>
    <s v="N"/>
    <s v="Y"/>
    <s v="N"/>
    <s v="T20"/>
    <s v="Y"/>
    <s v="N"/>
    <s v="Y"/>
    <s v="N"/>
    <s v="A038"/>
    <d v="2016-12-16T00:00:00"/>
    <s v="20"/>
    <s v="TAN"/>
    <s v="OR"/>
    <d v="2016-12-12T00:00:00"/>
    <s v="MT"/>
    <s v="US"/>
    <s v="ZR"/>
    <d v="2016-12-13T00:00:00"/>
  </r>
  <r>
    <x v="0"/>
    <x v="6"/>
    <x v="692"/>
    <x v="11"/>
    <s v="Standard order"/>
    <x v="676"/>
    <x v="676"/>
    <s v="S498"/>
    <s v="CRYSTAL S498"/>
    <s v="5003419"/>
    <s v="S498 ACH T20 PB CL SYSTIVA G100"/>
    <n v="8"/>
    <n v="0"/>
    <n v="8"/>
    <x v="6"/>
    <s v="FE73"/>
    <s v="GEM 100"/>
    <s v="321"/>
    <s v="4.0 UN"/>
    <s v="STANDARD"/>
    <s v="N"/>
    <s v="N"/>
    <s v="N"/>
    <s v="T20"/>
    <s v="Y"/>
    <s v="N"/>
    <s v="Y"/>
    <s v="N"/>
    <s v="A038"/>
    <d v="2016-12-16T00:00:00"/>
    <s v="30"/>
    <s v="TAN"/>
    <s v="OR"/>
    <d v="2016-12-12T00:00:00"/>
    <s v="MT"/>
    <s v="US"/>
    <s v="ZR"/>
    <d v="2016-12-13T00:00:00"/>
  </r>
  <r>
    <x v="0"/>
    <x v="6"/>
    <x v="692"/>
    <x v="11"/>
    <s v="Standard order"/>
    <x v="676"/>
    <x v="676"/>
    <s v="R052"/>
    <s v="CRYSTAL RR052"/>
    <s v="5003513"/>
    <s v="R052 ACH T20 PB SYSTIVA G100"/>
    <n v="44"/>
    <n v="0"/>
    <n v="44"/>
    <x v="6"/>
    <s v="AP82"/>
    <s v="GEM 100"/>
    <s v="324"/>
    <s v="4.0 UN"/>
    <s v="STANDARD"/>
    <s v="N"/>
    <s v="Y"/>
    <s v="N"/>
    <s v="T20"/>
    <s v="Y"/>
    <s v="N"/>
    <s v="Y"/>
    <s v="N"/>
    <s v="A038"/>
    <d v="2016-12-16T00:00:00"/>
    <s v="40"/>
    <s v="TAN"/>
    <s v="OR"/>
    <d v="2016-12-12T00:00:00"/>
    <s v="MT"/>
    <s v="US"/>
    <s v="ZR"/>
    <d v="2016-12-13T00:00:00"/>
  </r>
  <r>
    <x v="0"/>
    <x v="6"/>
    <x v="692"/>
    <x v="11"/>
    <s v="Standard order"/>
    <x v="676"/>
    <x v="676"/>
    <s v="R052"/>
    <s v="CRYSTAL RR052"/>
    <s v="5003501"/>
    <s v="R052 ACH T20 PB CL SYSTIVA G100"/>
    <n v="8"/>
    <n v="0"/>
    <n v="8"/>
    <x v="6"/>
    <s v="AP82"/>
    <s v="GEM 100"/>
    <s v="321"/>
    <s v="4.0 UN"/>
    <s v="STANDARD"/>
    <s v="N"/>
    <s v="N"/>
    <s v="N"/>
    <s v="T20"/>
    <s v="Y"/>
    <s v="N"/>
    <s v="Y"/>
    <s v="N"/>
    <s v="A038"/>
    <d v="2016-12-16T00:00:00"/>
    <s v="50"/>
    <s v="TAN"/>
    <s v="OR"/>
    <d v="2016-12-12T00:00:00"/>
    <s v="MT"/>
    <s v="US"/>
    <s v="ZR"/>
    <d v="2016-12-13T00:00:00"/>
  </r>
  <r>
    <x v="0"/>
    <x v="0"/>
    <x v="693"/>
    <x v="10"/>
    <s v="Standard order"/>
    <x v="677"/>
    <x v="677"/>
    <s v="R059"/>
    <s v="CRYSTAL RR059"/>
    <s v="5003529"/>
    <s v="R059 ACH T20 Kabina MP"/>
    <n v="128"/>
    <n v="0"/>
    <n v="128"/>
    <x v="0"/>
    <s v="AP73"/>
    <s v="MP"/>
    <s v="387"/>
    <s v="4.0 UN"/>
    <s v="STANDARD"/>
    <s v="N"/>
    <s v="N"/>
    <s v="Y"/>
    <s v="T20"/>
    <s v="N"/>
    <s v="N"/>
    <s v="N"/>
    <s v="N"/>
    <s v="A036"/>
    <d v="2016-12-16T00:00:00"/>
    <s v="10"/>
    <s v="TAN"/>
    <s v="OR"/>
    <d v="2016-12-13T00:00:00"/>
    <s v="MI"/>
    <s v="US"/>
    <s v="ZR"/>
    <d v="2016-12-13T00:00:00"/>
  </r>
  <r>
    <x v="0"/>
    <x v="2"/>
    <x v="694"/>
    <x v="3"/>
    <s v="Standard order"/>
    <x v="678"/>
    <x v="678"/>
    <s v="R014"/>
    <s v="CRYSTAL RR014"/>
    <s v="5003091"/>
    <s v="R014 ACH T20 PB SYSTIVA G100"/>
    <n v="64"/>
    <n v="0"/>
    <n v="64"/>
    <x v="2"/>
    <s v="AP82"/>
    <s v="GEM 100"/>
    <s v="324"/>
    <s v="4.0 UN"/>
    <s v="STANDARD"/>
    <s v="N"/>
    <s v="Y"/>
    <s v="N"/>
    <s v="T20"/>
    <s v="Y"/>
    <s v="N"/>
    <s v="Y"/>
    <s v="N"/>
    <s v="A024"/>
    <d v="2016-12-16T00:00:00"/>
    <s v="10"/>
    <s v="TAN"/>
    <s v="OR"/>
    <d v="2016-12-13T00:00:00"/>
    <s v="NE"/>
    <s v="US"/>
    <s v="ZR"/>
    <d v="2016-12-13T00:00:00"/>
  </r>
  <r>
    <x v="0"/>
    <x v="5"/>
    <x v="695"/>
    <x v="12"/>
    <s v="Standard order"/>
    <x v="679"/>
    <x v="679"/>
    <s v="Y400"/>
    <s v="CRYSTAL Y400NT"/>
    <s v="5003731"/>
    <s v="Y400 ACH T20 PB SYSTIVA ELS"/>
    <n v="44"/>
    <n v="0"/>
    <n v="44"/>
    <x v="5"/>
    <s v="4TBP"/>
    <s v="ELS"/>
    <s v="324"/>
    <s v="4.0 UN"/>
    <s v="STANDARD"/>
    <s v="N"/>
    <s v="Y"/>
    <s v="N"/>
    <s v="T20"/>
    <s v="Y"/>
    <s v="N"/>
    <s v="N"/>
    <s v="N"/>
    <s v="A014"/>
    <d v="2016-12-16T00:00:00"/>
    <s v="10"/>
    <s v="TAN"/>
    <s v="OR"/>
    <d v="2016-12-13T00:00:00"/>
    <s v="MT"/>
    <s v="US"/>
    <s v="ZR"/>
    <d v="2016-12-13T00:00:00"/>
  </r>
  <r>
    <x v="0"/>
    <x v="0"/>
    <x v="696"/>
    <x v="4"/>
    <s v="Standard order"/>
    <x v="680"/>
    <x v="680"/>
    <s v="R059"/>
    <s v="CRYSTAL RR059"/>
    <s v="5003530"/>
    <s v="R059 ACH T20 Kabina RP"/>
    <n v="24"/>
    <n v="0"/>
    <n v="24"/>
    <x v="0"/>
    <s v="AP73"/>
    <s v="RP"/>
    <s v="387"/>
    <s v="4.0 UN"/>
    <s v="STANDARD"/>
    <s v="N"/>
    <s v="N"/>
    <s v="Y"/>
    <s v="T20"/>
    <s v="N"/>
    <s v="N"/>
    <s v="N"/>
    <s v="N"/>
    <s v="A035"/>
    <d v="2016-12-16T00:00:00"/>
    <s v="10"/>
    <s v="TAN"/>
    <s v="OR"/>
    <d v="2016-12-13T00:00:00"/>
    <s v="MI"/>
    <s v="US"/>
    <s v="ZR"/>
    <d v="2016-12-13T00:00:00"/>
  </r>
  <r>
    <x v="0"/>
    <x v="0"/>
    <x v="696"/>
    <x v="4"/>
    <s v="Standard order"/>
    <x v="680"/>
    <x v="680"/>
    <s v="G351"/>
    <s v="CRYSTAL G351NT"/>
    <s v="5003398"/>
    <s v="G351 ACH T20 Kabina RP"/>
    <n v="20"/>
    <n v="0"/>
    <n v="20"/>
    <x v="0"/>
    <s v="DA73"/>
    <s v="RP"/>
    <s v="387"/>
    <s v="4.0 UN"/>
    <s v="STANDARD"/>
    <s v="N"/>
    <s v="N"/>
    <s v="Y"/>
    <s v="T20"/>
    <s v="N"/>
    <s v="N"/>
    <s v="N"/>
    <s v="N"/>
    <s v="A035"/>
    <d v="2016-12-16T00:00:00"/>
    <s v="20"/>
    <s v="TAN"/>
    <s v="OR"/>
    <d v="2016-12-13T00:00:00"/>
    <s v="MI"/>
    <s v="US"/>
    <s v="ZR"/>
    <d v="2016-12-13T00:00:00"/>
  </r>
  <r>
    <x v="0"/>
    <x v="2"/>
    <x v="697"/>
    <x v="3"/>
    <s v="Standard order"/>
    <x v="681"/>
    <x v="681"/>
    <s v="R014"/>
    <s v="CRYSTAL RR014"/>
    <s v="5003091"/>
    <s v="R014 ACH T20 PB SYSTIVA G100"/>
    <n v="32"/>
    <n v="0"/>
    <n v="32"/>
    <x v="2"/>
    <s v="AP82"/>
    <s v="GEM 100"/>
    <s v="324"/>
    <s v="4.0 UN"/>
    <s v="STANDARD"/>
    <s v="N"/>
    <s v="Y"/>
    <s v="N"/>
    <s v="T20"/>
    <s v="Y"/>
    <s v="N"/>
    <s v="Y"/>
    <s v="N"/>
    <s v="A024"/>
    <d v="2016-12-16T00:00:00"/>
    <s v="10"/>
    <s v="TAN"/>
    <s v="OR"/>
    <d v="2016-12-13T00:00:00"/>
    <s v="NE"/>
    <s v="US"/>
    <s v="ZR"/>
    <d v="2016-12-13T00:00:00"/>
  </r>
  <r>
    <x v="0"/>
    <x v="0"/>
    <x v="698"/>
    <x v="10"/>
    <s v="Standard order"/>
    <x v="682"/>
    <x v="682"/>
    <s v="R059"/>
    <s v="CRYSTAL RR059"/>
    <s v="5003530"/>
    <s v="R059 ACH T20 Kabina RP"/>
    <n v="36"/>
    <n v="0"/>
    <n v="36"/>
    <x v="0"/>
    <s v="AP73"/>
    <s v="RP"/>
    <s v="387"/>
    <s v="4.0 UN"/>
    <s v="STANDARD"/>
    <s v="N"/>
    <s v="N"/>
    <s v="Y"/>
    <s v="T20"/>
    <s v="N"/>
    <s v="N"/>
    <s v="N"/>
    <s v="N"/>
    <s v="A036"/>
    <d v="2016-12-16T00:00:00"/>
    <s v="10"/>
    <s v="TAN"/>
    <s v="OR"/>
    <d v="2016-12-13T00:00:00"/>
    <s v="MI"/>
    <s v="US"/>
    <s v="ZR"/>
    <d v="2016-12-13T00:00:00"/>
  </r>
  <r>
    <x v="0"/>
    <x v="0"/>
    <x v="699"/>
    <x v="10"/>
    <s v="Standard order"/>
    <x v="683"/>
    <x v="683"/>
    <s v="R059"/>
    <s v="CRYSTAL RR059"/>
    <s v="5003528"/>
    <s v="R059 ACH T20 Kabina ELS"/>
    <n v="120"/>
    <n v="0"/>
    <n v="120"/>
    <x v="0"/>
    <s v="AP73"/>
    <s v="ELS"/>
    <s v="387"/>
    <s v="4.0 UN"/>
    <s v="STANDARD"/>
    <s v="N"/>
    <s v="N"/>
    <s v="Y"/>
    <s v="T20"/>
    <s v="N"/>
    <s v="N"/>
    <s v="N"/>
    <s v="N"/>
    <s v="A036"/>
    <d v="2016-12-16T00:00:00"/>
    <s v="10"/>
    <s v="TAN"/>
    <s v="OR"/>
    <d v="2016-12-13T00:00:00"/>
    <s v="MI"/>
    <s v="US"/>
    <s v="ZR"/>
    <d v="2016-12-13T00:00:00"/>
  </r>
  <r>
    <x v="0"/>
    <x v="0"/>
    <x v="700"/>
    <x v="0"/>
    <s v="Standard order"/>
    <x v="684"/>
    <x v="684"/>
    <s v="R059"/>
    <s v="CRYSTAL RR059"/>
    <s v="5003518"/>
    <s v="R059 ACH CM Vibrance RP"/>
    <n v="20"/>
    <n v="0"/>
    <n v="20"/>
    <x v="0"/>
    <s v="AP73"/>
    <s v="RP"/>
    <s v="393"/>
    <s v="4.0 UN"/>
    <s v="STANDARD"/>
    <s v="Y"/>
    <s v="N"/>
    <s v="N"/>
    <s v="N"/>
    <s v="N"/>
    <s v="N"/>
    <s v="N"/>
    <s v="Y"/>
    <s v="A037"/>
    <d v="2016-12-16T00:00:00"/>
    <s v="10"/>
    <s v="TAN"/>
    <s v="OR"/>
    <d v="2016-12-13T00:00:00"/>
    <s v="ON"/>
    <s v="CA"/>
    <s v="ZR"/>
    <d v="2016-12-13T00:00:00"/>
  </r>
  <r>
    <x v="0"/>
    <x v="0"/>
    <x v="700"/>
    <x v="0"/>
    <s v="Standard order"/>
    <x v="684"/>
    <x v="684"/>
    <s v="G351"/>
    <s v="CRYSTAL G351NT"/>
    <s v="5003386"/>
    <s v="G351 ACH CM Vibrance RP"/>
    <n v="12"/>
    <n v="0"/>
    <n v="12"/>
    <x v="0"/>
    <s v="DA73"/>
    <s v="RP"/>
    <s v="393"/>
    <s v="4.0 UN"/>
    <s v="STANDARD"/>
    <s v="Y"/>
    <s v="N"/>
    <s v="N"/>
    <s v="N"/>
    <s v="N"/>
    <s v="N"/>
    <s v="N"/>
    <s v="Y"/>
    <s v="A037"/>
    <d v="2016-12-16T00:00:00"/>
    <s v="20"/>
    <s v="TAN"/>
    <s v="OR"/>
    <d v="2016-12-13T00:00:00"/>
    <s v="ON"/>
    <s v="CA"/>
    <s v="ZR"/>
    <d v="2016-12-13T00:00:00"/>
  </r>
  <r>
    <x v="0"/>
    <x v="0"/>
    <x v="701"/>
    <x v="10"/>
    <s v="Standard order"/>
    <x v="685"/>
    <x v="685"/>
    <s v="R059"/>
    <s v="CRYSTAL RR059"/>
    <s v="5003529"/>
    <s v="R059 ACH T20 Kabina MP"/>
    <n v="16"/>
    <n v="0"/>
    <n v="16"/>
    <x v="0"/>
    <s v="AP73"/>
    <s v="MP"/>
    <s v="387"/>
    <s v="4.0 UN"/>
    <s v="STANDARD"/>
    <s v="N"/>
    <s v="N"/>
    <s v="Y"/>
    <s v="T20"/>
    <s v="N"/>
    <s v="N"/>
    <s v="N"/>
    <s v="N"/>
    <s v="A036"/>
    <d v="2016-12-16T00:00:00"/>
    <s v="20"/>
    <s v="TAN"/>
    <s v="OR"/>
    <d v="2016-12-13T00:00:00"/>
    <s v="MI"/>
    <s v="US"/>
    <s v="ZR"/>
    <d v="2016-12-13T00:00:00"/>
  </r>
  <r>
    <x v="0"/>
    <x v="0"/>
    <x v="702"/>
    <x v="10"/>
    <s v="Standard order"/>
    <x v="686"/>
    <x v="686"/>
    <s v="R059"/>
    <s v="CRYSTAL RR059"/>
    <s v="5003529"/>
    <s v="R059 ACH T20 Kabina MP"/>
    <n v="24"/>
    <n v="0"/>
    <n v="24"/>
    <x v="0"/>
    <s v="AP73"/>
    <s v="MP"/>
    <s v="387"/>
    <s v="4.0 UN"/>
    <s v="STANDARD"/>
    <s v="N"/>
    <s v="N"/>
    <s v="Y"/>
    <s v="T20"/>
    <s v="N"/>
    <s v="N"/>
    <s v="N"/>
    <s v="N"/>
    <s v="A036"/>
    <d v="2016-12-16T00:00:00"/>
    <s v="10"/>
    <s v="TAN"/>
    <s v="OR"/>
    <d v="2016-12-13T00:00:00"/>
    <s v="MI"/>
    <s v="US"/>
    <s v="ZR"/>
    <d v="2016-12-13T00:00:00"/>
  </r>
  <r>
    <x v="0"/>
    <x v="0"/>
    <x v="703"/>
    <x v="10"/>
    <s v="Standard order"/>
    <x v="687"/>
    <x v="687"/>
    <s v="R059"/>
    <s v="CRYSTAL RR059"/>
    <s v="5003529"/>
    <s v="R059 ACH T20 Kabina MP"/>
    <n v="60"/>
    <n v="0"/>
    <n v="60"/>
    <x v="0"/>
    <s v="AP73"/>
    <s v="MP"/>
    <s v="387"/>
    <s v="4.0 UN"/>
    <s v="STANDARD"/>
    <s v="N"/>
    <s v="N"/>
    <s v="Y"/>
    <s v="T20"/>
    <s v="N"/>
    <s v="N"/>
    <s v="N"/>
    <s v="N"/>
    <s v="A036"/>
    <d v="2016-12-16T00:00:00"/>
    <s v="10"/>
    <s v="TAN"/>
    <s v="OR"/>
    <d v="2016-12-13T00:00:00"/>
    <s v="MI"/>
    <s v="US"/>
    <s v="ZR"/>
    <d v="2016-12-13T00:00:00"/>
  </r>
  <r>
    <x v="0"/>
    <x v="4"/>
    <x v="704"/>
    <x v="20"/>
    <s v="Standard order"/>
    <x v="688"/>
    <x v="688"/>
    <s v="A399"/>
    <s v="CRYSTAL A399NT"/>
    <s v="5002939"/>
    <s v="A399 ACH XL"/>
    <n v="48"/>
    <n v="0"/>
    <n v="48"/>
    <x v="4"/>
    <s v="DP71"/>
    <s v="X-LARGE"/>
    <s v="316"/>
    <s v="4.0 UN"/>
    <s v="STANDARD"/>
    <s v="N"/>
    <s v="N"/>
    <s v="N"/>
    <s v="N"/>
    <s v="N"/>
    <s v="N"/>
    <s v="N"/>
    <s v="N"/>
    <s v="A039"/>
    <d v="2016-12-16T00:00:00"/>
    <s v="10"/>
    <s v="TAN"/>
    <s v="OR"/>
    <d v="2016-12-13T00:00:00"/>
    <s v="ID"/>
    <s v="US"/>
    <s v="ZR"/>
    <d v="2016-12-13T00:00:00"/>
  </r>
  <r>
    <x v="0"/>
    <x v="4"/>
    <x v="704"/>
    <x v="20"/>
    <s v="Standard order"/>
    <x v="688"/>
    <x v="688"/>
    <s v="A501"/>
    <s v="CRYSTAL A501"/>
    <s v="5003308"/>
    <s v="A501 ACH PB XL"/>
    <n v="20"/>
    <n v="0"/>
    <n v="20"/>
    <x v="4"/>
    <s v="EZPB"/>
    <s v="X-LARGE"/>
    <s v="314"/>
    <s v="4.0 UN"/>
    <s v="STANDARD"/>
    <s v="N"/>
    <s v="Y"/>
    <s v="N"/>
    <s v="N"/>
    <s v="N"/>
    <s v="N"/>
    <s v="N"/>
    <s v="N"/>
    <s v="A039"/>
    <d v="2016-12-16T00:00:00"/>
    <s v="20"/>
    <s v="TAN"/>
    <s v="OR"/>
    <d v="2016-12-13T00:00:00"/>
    <s v="ID"/>
    <s v="US"/>
    <s v="ZR"/>
    <d v="2016-12-13T00:00:00"/>
  </r>
  <r>
    <x v="0"/>
    <x v="2"/>
    <x v="705"/>
    <x v="3"/>
    <s v="Standard order"/>
    <x v="689"/>
    <x v="689"/>
    <s v="R014"/>
    <s v="CRYSTAL RR014"/>
    <s v="5003091"/>
    <s v="R014 ACH T20 PB SYSTIVA G100"/>
    <n v="68"/>
    <n v="0"/>
    <n v="68"/>
    <x v="2"/>
    <s v="AP82"/>
    <s v="GEM 100"/>
    <s v="324"/>
    <s v="4.0 UN"/>
    <s v="STANDARD"/>
    <s v="N"/>
    <s v="Y"/>
    <s v="N"/>
    <s v="T20"/>
    <s v="Y"/>
    <s v="N"/>
    <s v="Y"/>
    <s v="N"/>
    <s v="A024"/>
    <d v="2016-12-16T00:00:00"/>
    <s v="10"/>
    <s v="TAN"/>
    <s v="OR"/>
    <d v="2016-12-13T00:00:00"/>
    <s v="NE"/>
    <s v="US"/>
    <s v="ZR"/>
    <d v="2016-12-13T00:00:00"/>
  </r>
  <r>
    <x v="0"/>
    <x v="4"/>
    <x v="706"/>
    <x v="16"/>
    <s v="Standard order"/>
    <x v="690"/>
    <x v="690"/>
    <s v="A399"/>
    <s v="CRYSTAL A399NT"/>
    <s v="5002920"/>
    <s v="A399 ACH LRG"/>
    <n v="60"/>
    <n v="0"/>
    <n v="60"/>
    <x v="4"/>
    <s v="DP71"/>
    <s v="LARGE"/>
    <s v="316"/>
    <s v="4.0 UN"/>
    <s v="STANDARD"/>
    <s v="N"/>
    <s v="N"/>
    <s v="N"/>
    <s v="N"/>
    <s v="N"/>
    <s v="N"/>
    <s v="N"/>
    <s v="N"/>
    <s v="A042"/>
    <d v="2016-12-16T00:00:00"/>
    <s v="10"/>
    <s v="TAN"/>
    <s v="OR"/>
    <d v="2016-12-13T00:00:00"/>
    <s v="ID"/>
    <s v="US"/>
    <s v="ZR"/>
    <d v="2016-12-13T00:00:00"/>
  </r>
  <r>
    <x v="0"/>
    <x v="4"/>
    <x v="706"/>
    <x v="16"/>
    <s v="Standard order"/>
    <x v="690"/>
    <x v="690"/>
    <s v="A404"/>
    <s v="CRYSTAL A404NT"/>
    <s v="5002954"/>
    <s v="A404 ACH PB LRG"/>
    <n v="64"/>
    <n v="0"/>
    <n v="64"/>
    <x v="4"/>
    <s v="DPNE"/>
    <s v="LARGE"/>
    <s v="314"/>
    <s v="4.0 UN"/>
    <s v="STANDARD"/>
    <s v="N"/>
    <s v="Y"/>
    <s v="N"/>
    <s v="N"/>
    <s v="N"/>
    <s v="N"/>
    <s v="N"/>
    <s v="N"/>
    <s v="A042"/>
    <d v="2016-12-16T00:00:00"/>
    <s v="20"/>
    <s v="TAN"/>
    <s v="OR"/>
    <d v="2016-12-13T00:00:00"/>
    <s v="ID"/>
    <s v="US"/>
    <s v="ZR"/>
    <d v="2016-12-13T00:00:00"/>
  </r>
  <r>
    <x v="0"/>
    <x v="2"/>
    <x v="707"/>
    <x v="5"/>
    <s v="Standard order"/>
    <x v="691"/>
    <x v="691"/>
    <s v="R014"/>
    <s v="CRYSTAL RR014"/>
    <s v="5003091"/>
    <s v="R014 ACH T20 PB SYSTIVA G100"/>
    <n v="28"/>
    <n v="0"/>
    <n v="28"/>
    <x v="2"/>
    <s v="AP82"/>
    <s v="GEM 100"/>
    <s v="324"/>
    <s v="4.0 UN"/>
    <s v="STANDARD"/>
    <s v="N"/>
    <s v="Y"/>
    <s v="N"/>
    <s v="T20"/>
    <s v="Y"/>
    <s v="N"/>
    <s v="Y"/>
    <s v="N"/>
    <s v="A020"/>
    <d v="2016-12-16T00:00:00"/>
    <s v="10"/>
    <s v="TAN"/>
    <s v="OR"/>
    <d v="2016-12-13T00:00:00"/>
    <s v="CO"/>
    <s v="US"/>
    <s v="ZR"/>
    <d v="2016-12-13T00:00:00"/>
  </r>
  <r>
    <x v="0"/>
    <x v="2"/>
    <x v="707"/>
    <x v="5"/>
    <s v="Standard order"/>
    <x v="691"/>
    <x v="691"/>
    <s v="W322"/>
    <s v="CRYSTAL W322NT"/>
    <s v="5003488"/>
    <s v="W322 ACH T20 PB SYSTIVA G100"/>
    <n v="24"/>
    <n v="0"/>
    <n v="24"/>
    <x v="2"/>
    <s v="EE73"/>
    <s v="GEM 100"/>
    <s v="324"/>
    <s v="4.0 UN"/>
    <s v="STANDARD"/>
    <s v="N"/>
    <s v="Y"/>
    <s v="N"/>
    <s v="T20"/>
    <s v="Y"/>
    <s v="N"/>
    <s v="Y"/>
    <s v="N"/>
    <s v="A020"/>
    <d v="2016-12-16T00:00:00"/>
    <s v="20"/>
    <s v="TAN"/>
    <s v="OR"/>
    <d v="2016-12-13T00:00:00"/>
    <s v="CO"/>
    <s v="US"/>
    <s v="ZR"/>
    <d v="2016-12-13T00:00:00"/>
  </r>
  <r>
    <x v="0"/>
    <x v="2"/>
    <x v="708"/>
    <x v="3"/>
    <s v="Standard order"/>
    <x v="692"/>
    <x v="692"/>
    <s v="R014"/>
    <s v="CRYSTAL RR014"/>
    <s v="5003090"/>
    <s v="R014 ACH T20 PB SYSTIVA ELS"/>
    <n v="64"/>
    <n v="0"/>
    <n v="64"/>
    <x v="2"/>
    <s v="AP82"/>
    <s v="ELS"/>
    <s v="324"/>
    <s v="4.0 UN"/>
    <s v="STANDARD"/>
    <s v="N"/>
    <s v="Y"/>
    <s v="N"/>
    <s v="T20"/>
    <s v="Y"/>
    <s v="N"/>
    <s v="Y"/>
    <s v="N"/>
    <s v="A024"/>
    <d v="2016-12-16T00:00:00"/>
    <s v="10"/>
    <s v="TAN"/>
    <s v="OR"/>
    <d v="2016-12-13T00:00:00"/>
    <s v="NE"/>
    <s v="US"/>
    <s v="ZR"/>
    <d v="2016-12-13T00:00:00"/>
  </r>
  <r>
    <x v="0"/>
    <x v="5"/>
    <x v="709"/>
    <x v="12"/>
    <s v="Standard order"/>
    <x v="693"/>
    <x v="693"/>
    <s v="R116"/>
    <s v="CRYSTAL RR116"/>
    <s v="5003105"/>
    <s v="R116 ACH T20 PB SYSTIVA RP"/>
    <n v="28"/>
    <n v="0"/>
    <n v="28"/>
    <x v="5"/>
    <s v="AP71"/>
    <s v="RP"/>
    <s v="324"/>
    <s v="4.0 UN"/>
    <s v="STANDARD"/>
    <s v="N"/>
    <s v="Y"/>
    <s v="N"/>
    <s v="T20"/>
    <s v="Y"/>
    <s v="N"/>
    <s v="N"/>
    <s v="N"/>
    <s v="A014"/>
    <d v="2016-12-16T00:00:00"/>
    <s v="10"/>
    <s v="TAN"/>
    <s v="OR"/>
    <d v="2016-12-13T00:00:00"/>
    <s v="MT"/>
    <s v="US"/>
    <s v="ZR"/>
    <d v="2016-12-13T00:00:00"/>
  </r>
  <r>
    <x v="0"/>
    <x v="5"/>
    <x v="709"/>
    <x v="12"/>
    <s v="Standard order"/>
    <x v="693"/>
    <x v="693"/>
    <s v="Y400"/>
    <s v="CRYSTAL Y400NT"/>
    <s v="5003735"/>
    <s v="Y400 ACH T20 PB SYSTIVA RP"/>
    <n v="12"/>
    <n v="0"/>
    <n v="12"/>
    <x v="5"/>
    <s v="4TBP"/>
    <s v="RP"/>
    <s v="324"/>
    <s v="4.0 UN"/>
    <s v="STANDARD"/>
    <s v="N"/>
    <s v="Y"/>
    <s v="N"/>
    <s v="T20"/>
    <s v="Y"/>
    <s v="N"/>
    <s v="N"/>
    <s v="N"/>
    <s v="A014"/>
    <d v="2016-12-16T00:00:00"/>
    <s v="20"/>
    <s v="TAN"/>
    <s v="OR"/>
    <d v="2016-12-13T00:00:00"/>
    <s v="MT"/>
    <s v="US"/>
    <s v="ZR"/>
    <d v="2016-12-13T00:00:00"/>
  </r>
  <r>
    <x v="0"/>
    <x v="5"/>
    <x v="710"/>
    <x v="21"/>
    <s v="Standard order"/>
    <x v="694"/>
    <x v="694"/>
    <s v="R116"/>
    <s v="CRYSTAL RR116"/>
    <s v="5003105"/>
    <s v="R116 ACH T20 PB SYSTIVA RP"/>
    <n v="24"/>
    <n v="0"/>
    <n v="24"/>
    <x v="5"/>
    <s v="AP71"/>
    <s v="RP"/>
    <s v="324"/>
    <s v="4.0 UN"/>
    <s v="STANDARD"/>
    <s v="N"/>
    <s v="Y"/>
    <s v="N"/>
    <s v="T20"/>
    <s v="Y"/>
    <s v="N"/>
    <s v="N"/>
    <s v="N"/>
    <s v="A013"/>
    <d v="2016-12-16T00:00:00"/>
    <s v="10"/>
    <s v="TAN"/>
    <s v="OR"/>
    <d v="2016-12-13T00:00:00"/>
    <s v="MT"/>
    <s v="US"/>
    <s v="ZR"/>
    <d v="2016-12-13T00:00:00"/>
  </r>
  <r>
    <x v="0"/>
    <x v="5"/>
    <x v="710"/>
    <x v="21"/>
    <s v="Standard order"/>
    <x v="694"/>
    <x v="694"/>
    <s v="Y400"/>
    <s v="CRYSTAL Y400NT"/>
    <s v="5003735"/>
    <s v="Y400 ACH T20 PB SYSTIVA RP"/>
    <n v="24"/>
    <n v="0"/>
    <n v="24"/>
    <x v="5"/>
    <s v="4TBP"/>
    <s v="RP"/>
    <s v="324"/>
    <s v="4.0 UN"/>
    <s v="STANDARD"/>
    <s v="N"/>
    <s v="Y"/>
    <s v="N"/>
    <s v="T20"/>
    <s v="Y"/>
    <s v="N"/>
    <s v="N"/>
    <s v="N"/>
    <s v="A013"/>
    <d v="2016-12-16T00:00:00"/>
    <s v="20"/>
    <s v="TAN"/>
    <s v="OR"/>
    <d v="2016-12-13T00:00:00"/>
    <s v="MT"/>
    <s v="US"/>
    <s v="ZR"/>
    <d v="2016-12-13T00:00:00"/>
  </r>
  <r>
    <x v="0"/>
    <x v="4"/>
    <x v="711"/>
    <x v="18"/>
    <s v="Standard order"/>
    <x v="695"/>
    <x v="695"/>
    <s v="A399"/>
    <s v="CRYSTAL A399NT"/>
    <s v="5002931"/>
    <s v="A399 ACH PB XL"/>
    <n v="64"/>
    <n v="0"/>
    <n v="64"/>
    <x v="4"/>
    <s v="DP71"/>
    <s v="X-LARGE"/>
    <s v="314"/>
    <s v="4.0 UN"/>
    <s v="STANDARD"/>
    <s v="N"/>
    <s v="Y"/>
    <s v="N"/>
    <s v="N"/>
    <s v="N"/>
    <s v="N"/>
    <s v="N"/>
    <s v="N"/>
    <s v="A041"/>
    <d v="2016-12-16T00:00:00"/>
    <s v="10"/>
    <s v="TAN"/>
    <s v="OR"/>
    <d v="2016-12-12T00:00:00"/>
    <s v="ID"/>
    <s v="US"/>
    <s v="ZR"/>
    <d v="2016-12-13T00:00:00"/>
  </r>
  <r>
    <x v="0"/>
    <x v="4"/>
    <x v="711"/>
    <x v="18"/>
    <s v="Standard order"/>
    <x v="695"/>
    <x v="695"/>
    <s v="A404"/>
    <s v="CRYSTAL A404NT"/>
    <s v="5002957"/>
    <s v="A404 ACH PB XL"/>
    <n v="60"/>
    <n v="0"/>
    <n v="60"/>
    <x v="4"/>
    <s v="DPNE"/>
    <s v="X-LARGE"/>
    <s v="314"/>
    <s v="4.0 UN"/>
    <s v="STANDARD"/>
    <s v="N"/>
    <s v="Y"/>
    <s v="N"/>
    <s v="N"/>
    <s v="N"/>
    <s v="N"/>
    <s v="N"/>
    <s v="N"/>
    <s v="A041"/>
    <d v="2016-12-16T00:00:00"/>
    <s v="20"/>
    <s v="TAN"/>
    <s v="OR"/>
    <d v="2016-12-12T00:00:00"/>
    <s v="ID"/>
    <s v="US"/>
    <s v="ZR"/>
    <d v="2016-12-13T00:00:00"/>
  </r>
  <r>
    <x v="0"/>
    <x v="4"/>
    <x v="712"/>
    <x v="7"/>
    <s v="Standard order"/>
    <x v="696"/>
    <x v="696"/>
    <s v="A399"/>
    <s v="CRYSTAL A399NT"/>
    <s v="5002930"/>
    <s v="A399 ACH PB MP"/>
    <n v="48"/>
    <n v="0"/>
    <n v="48"/>
    <x v="4"/>
    <s v="DP71"/>
    <s v="MP"/>
    <s v="314"/>
    <s v="4.0 UN"/>
    <s v="STANDARD"/>
    <s v="N"/>
    <s v="Y"/>
    <s v="N"/>
    <s v="N"/>
    <s v="N"/>
    <s v="N"/>
    <s v="N"/>
    <s v="N"/>
    <s v="A045"/>
    <d v="2016-12-16T00:00:00"/>
    <s v="10"/>
    <s v="TAN"/>
    <s v="OR"/>
    <d v="2016-12-13T00:00:00"/>
    <s v="OR"/>
    <s v="US"/>
    <s v="ZR"/>
    <d v="2016-12-13T00:00:00"/>
  </r>
  <r>
    <x v="0"/>
    <x v="4"/>
    <x v="712"/>
    <x v="7"/>
    <s v="Standard order"/>
    <x v="696"/>
    <x v="696"/>
    <s v="R933"/>
    <s v="CRYSTAL RR933"/>
    <s v="5003688"/>
    <s v="R933 ACH PB MP"/>
    <n v="16"/>
    <n v="0"/>
    <n v="16"/>
    <x v="4"/>
    <s v="3571"/>
    <s v="MP"/>
    <s v="314"/>
    <s v="4.0 UN"/>
    <s v="STANDARD"/>
    <s v="N"/>
    <s v="Y"/>
    <s v="N"/>
    <s v="N"/>
    <s v="N"/>
    <s v="N"/>
    <s v="N"/>
    <s v="N"/>
    <s v="A045"/>
    <d v="2016-12-16T00:00:00"/>
    <s v="20"/>
    <s v="TAN"/>
    <s v="OR"/>
    <d v="2016-12-13T00:00:00"/>
    <s v="OR"/>
    <s v="US"/>
    <s v="ZR"/>
    <d v="2016-12-13T00:00:00"/>
  </r>
  <r>
    <x v="0"/>
    <x v="4"/>
    <x v="713"/>
    <x v="19"/>
    <s v="Standard order"/>
    <x v="697"/>
    <x v="697"/>
    <s v="R275"/>
    <s v="CRYSTAL RR275"/>
    <s v="5003644"/>
    <s v="R275 ACH PB LRG"/>
    <n v="20"/>
    <n v="0"/>
    <n v="20"/>
    <x v="4"/>
    <s v="5CAY"/>
    <s v="LARGE"/>
    <s v="314"/>
    <s v="4.0 UN"/>
    <s v="STANDARD"/>
    <s v="N"/>
    <s v="Y"/>
    <s v="N"/>
    <s v="N"/>
    <s v="N"/>
    <s v="N"/>
    <s v="N"/>
    <s v="N"/>
    <s v="A046"/>
    <d v="2016-12-16T00:00:00"/>
    <s v="10"/>
    <s v="TAN"/>
    <s v="OR"/>
    <d v="2016-12-12T00:00:00"/>
    <s v="ID"/>
    <s v="US"/>
    <s v="ZR"/>
    <d v="2016-12-13T00:00:00"/>
  </r>
  <r>
    <x v="0"/>
    <x v="0"/>
    <x v="714"/>
    <x v="2"/>
    <s v="Standard order"/>
    <x v="698"/>
    <x v="698"/>
    <s v="G333"/>
    <s v="CRYSTAL G333NT"/>
    <s v="5003377"/>
    <s v="G333 ACH T20 Kabina MP"/>
    <n v="12"/>
    <n v="0"/>
    <n v="12"/>
    <x v="0"/>
    <s v="EE73"/>
    <s v="MP"/>
    <s v="387"/>
    <s v="4.0 UN"/>
    <s v="STANDARD"/>
    <s v="N"/>
    <s v="N"/>
    <s v="Y"/>
    <s v="T20"/>
    <s v="N"/>
    <s v="N"/>
    <s v="N"/>
    <s v="N"/>
    <s v="A034"/>
    <d v="2016-12-16T00:00:00"/>
    <s v="10"/>
    <s v="TAN"/>
    <s v="OR"/>
    <d v="2016-12-12T00:00:00"/>
    <s v="MI"/>
    <s v="US"/>
    <s v="ZR"/>
    <d v="2016-12-13T00:00:00"/>
  </r>
  <r>
    <x v="0"/>
    <x v="0"/>
    <x v="714"/>
    <x v="2"/>
    <s v="Standard order"/>
    <x v="698"/>
    <x v="698"/>
    <s v="G351"/>
    <s v="CRYSTAL G351NT"/>
    <s v="5003397"/>
    <s v="G351 ACH T20 Kabina MP"/>
    <n v="12"/>
    <n v="0"/>
    <n v="12"/>
    <x v="0"/>
    <s v="DA73"/>
    <s v="MP"/>
    <s v="387"/>
    <s v="4.0 UN"/>
    <s v="STANDARD"/>
    <s v="N"/>
    <s v="N"/>
    <s v="Y"/>
    <s v="T20"/>
    <s v="N"/>
    <s v="N"/>
    <s v="N"/>
    <s v="N"/>
    <s v="A034"/>
    <d v="2016-12-16T00:00:00"/>
    <s v="20"/>
    <s v="TAN"/>
    <s v="OR"/>
    <d v="2016-12-12T00:00:00"/>
    <s v="MI"/>
    <s v="US"/>
    <s v="ZR"/>
    <d v="2016-12-13T00:00:00"/>
  </r>
  <r>
    <x v="0"/>
    <x v="4"/>
    <x v="715"/>
    <x v="20"/>
    <s v="Standard order"/>
    <x v="699"/>
    <x v="699"/>
    <s v="A399"/>
    <s v="CRYSTAL A399NT"/>
    <s v="5002920"/>
    <s v="A399 ACH LRG"/>
    <n v="104"/>
    <n v="0"/>
    <n v="104"/>
    <x v="4"/>
    <s v="DP71"/>
    <s v="LARGE"/>
    <s v="316"/>
    <s v="4.0 UN"/>
    <s v="STANDARD"/>
    <s v="N"/>
    <s v="N"/>
    <s v="N"/>
    <s v="N"/>
    <s v="N"/>
    <s v="N"/>
    <s v="N"/>
    <s v="N"/>
    <s v="A039"/>
    <d v="2016-12-16T00:00:00"/>
    <s v="10"/>
    <s v="TAN"/>
    <s v="OR"/>
    <d v="2016-12-13T00:00:00"/>
    <s v="ID"/>
    <s v="US"/>
    <s v="ZR"/>
    <d v="2016-12-13T00:00:00"/>
  </r>
  <r>
    <x v="0"/>
    <x v="4"/>
    <x v="716"/>
    <x v="7"/>
    <s v="Standard order"/>
    <x v="700"/>
    <x v="700"/>
    <s v="A399"/>
    <s v="CRYSTAL A399NT"/>
    <s v="5002928"/>
    <s v="A399 ACH PB LRG"/>
    <n v="16"/>
    <n v="0"/>
    <n v="16"/>
    <x v="4"/>
    <s v="DP71"/>
    <s v="LARGE"/>
    <s v="314"/>
    <s v="4.0 UN"/>
    <s v="STANDARD"/>
    <s v="N"/>
    <s v="Y"/>
    <s v="N"/>
    <s v="N"/>
    <s v="N"/>
    <s v="N"/>
    <s v="N"/>
    <s v="N"/>
    <s v="A045"/>
    <d v="2016-12-16T00:00:00"/>
    <s v="10"/>
    <s v="TAN"/>
    <s v="OR"/>
    <d v="2016-12-13T00:00:00"/>
    <s v="OR"/>
    <s v="US"/>
    <s v="ZR"/>
    <d v="2016-12-13T00:00:00"/>
  </r>
  <r>
    <x v="0"/>
    <x v="4"/>
    <x v="716"/>
    <x v="7"/>
    <s v="Standard order"/>
    <x v="700"/>
    <x v="700"/>
    <s v="A399"/>
    <s v="CRYSTAL A399NT"/>
    <s v="5002936"/>
    <s v="A399 ACH T20 PB Kabina MP"/>
    <n v="12"/>
    <n v="0"/>
    <n v="12"/>
    <x v="4"/>
    <s v="DP71"/>
    <s v="MP"/>
    <s v="388"/>
    <s v="4.0 UN"/>
    <s v="STANDARD"/>
    <s v="N"/>
    <s v="Y"/>
    <s v="Y"/>
    <s v="T20"/>
    <s v="N"/>
    <s v="N"/>
    <s v="N"/>
    <s v="N"/>
    <s v="A045"/>
    <d v="2016-12-16T00:00:00"/>
    <s v="20"/>
    <s v="TAN"/>
    <s v="OR"/>
    <d v="2016-12-13T00:00:00"/>
    <s v="OR"/>
    <s v="US"/>
    <s v="ZR"/>
    <d v="2016-12-13T00:00:00"/>
  </r>
  <r>
    <x v="0"/>
    <x v="0"/>
    <x v="717"/>
    <x v="0"/>
    <s v="Standard order"/>
    <x v="701"/>
    <x v="701"/>
    <s v="R059"/>
    <s v="CRYSTAL RR059"/>
    <s v="5003537"/>
    <s v="R059 ACH Vibrance RP"/>
    <n v="140"/>
    <n v="0"/>
    <n v="140"/>
    <x v="0"/>
    <s v="AP73"/>
    <s v="RP"/>
    <s v="392"/>
    <s v="4.0 UN"/>
    <s v="STANDARD"/>
    <s v="N"/>
    <s v="N"/>
    <s v="N"/>
    <s v="N"/>
    <s v="N"/>
    <s v="N"/>
    <s v="N"/>
    <s v="Y"/>
    <s v="A037"/>
    <d v="2016-12-16T00:00:00"/>
    <s v="10"/>
    <s v="TAN"/>
    <s v="OR"/>
    <d v="2016-12-13T00:00:00"/>
    <s v="ON"/>
    <s v="CA"/>
    <s v="ZR"/>
    <d v="2016-12-13T00:00:00"/>
  </r>
  <r>
    <x v="0"/>
    <x v="0"/>
    <x v="717"/>
    <x v="0"/>
    <s v="Standard order"/>
    <x v="701"/>
    <x v="701"/>
    <s v="G515"/>
    <s v="CRYSTAL G515"/>
    <s v="5003026"/>
    <s v="G515 ACH Vibrance RP"/>
    <n v="20"/>
    <n v="0"/>
    <n v="20"/>
    <x v="0"/>
    <s v="APND"/>
    <s v="RP"/>
    <s v="392"/>
    <s v="4.0 UN"/>
    <s v="STANDARD"/>
    <s v="N"/>
    <s v="N"/>
    <s v="N"/>
    <s v="N"/>
    <s v="N"/>
    <s v="N"/>
    <s v="N"/>
    <s v="Y"/>
    <s v="A037"/>
    <d v="2016-12-16T00:00:00"/>
    <s v="20"/>
    <s v="TAN"/>
    <s v="OR"/>
    <d v="2016-12-13T00:00:00"/>
    <s v="ON"/>
    <s v="CA"/>
    <s v="ZR"/>
    <d v="2016-12-13T00:00:00"/>
  </r>
  <r>
    <x v="0"/>
    <x v="0"/>
    <x v="718"/>
    <x v="0"/>
    <s v="Standard order"/>
    <x v="702"/>
    <x v="702"/>
    <s v="R059"/>
    <s v="CRYSTAL RR059"/>
    <s v="5003518"/>
    <s v="R059 ACH CM Vibrance RP"/>
    <n v="20"/>
    <n v="0"/>
    <n v="20"/>
    <x v="0"/>
    <s v="AP73"/>
    <s v="RP"/>
    <s v="393"/>
    <s v="4.0 UN"/>
    <s v="STANDARD"/>
    <s v="Y"/>
    <s v="N"/>
    <s v="N"/>
    <s v="N"/>
    <s v="N"/>
    <s v="N"/>
    <s v="N"/>
    <s v="Y"/>
    <s v="A037"/>
    <d v="2016-12-16T00:00:00"/>
    <s v="10"/>
    <s v="TAN"/>
    <s v="OR"/>
    <d v="2016-12-13T00:00:00"/>
    <s v="ON"/>
    <s v="CA"/>
    <s v="ZR"/>
    <d v="2016-12-13T00:00:00"/>
  </r>
  <r>
    <x v="0"/>
    <x v="4"/>
    <x v="719"/>
    <x v="8"/>
    <s v="Standard order"/>
    <x v="703"/>
    <x v="703"/>
    <s v="A399"/>
    <s v="CRYSTAL A399NT"/>
    <s v="5002928"/>
    <s v="A399 ACH PB LRG"/>
    <n v="36"/>
    <n v="0"/>
    <n v="36"/>
    <x v="4"/>
    <s v="DP71"/>
    <s v="LARGE"/>
    <s v="314"/>
    <s v="4.0 UN"/>
    <s v="STANDARD"/>
    <s v="N"/>
    <s v="Y"/>
    <s v="N"/>
    <s v="N"/>
    <s v="N"/>
    <s v="N"/>
    <s v="N"/>
    <s v="N"/>
    <s v="A044"/>
    <d v="2016-12-16T00:00:00"/>
    <s v="10"/>
    <s v="TAN"/>
    <s v="OR"/>
    <d v="2016-12-13T00:00:00"/>
    <s v="ID"/>
    <s v="US"/>
    <s v="ZR"/>
    <d v="2016-12-13T00:00:00"/>
  </r>
  <r>
    <x v="0"/>
    <x v="0"/>
    <x v="720"/>
    <x v="10"/>
    <s v="Standard order"/>
    <x v="704"/>
    <x v="704"/>
    <s v="R059"/>
    <s v="CRYSTAL RR059"/>
    <s v="5003529"/>
    <s v="R059 ACH T20 Kabina MP"/>
    <n v="92"/>
    <n v="0"/>
    <n v="92"/>
    <x v="0"/>
    <s v="AP73"/>
    <s v="MP"/>
    <s v="387"/>
    <s v="4.0 UN"/>
    <s v="STANDARD"/>
    <s v="N"/>
    <s v="N"/>
    <s v="Y"/>
    <s v="T20"/>
    <s v="N"/>
    <s v="N"/>
    <s v="N"/>
    <s v="N"/>
    <s v="A036"/>
    <d v="2016-12-16T00:00:00"/>
    <s v="10"/>
    <s v="TAN"/>
    <s v="OR"/>
    <d v="2016-12-13T00:00:00"/>
    <s v="MI"/>
    <s v="US"/>
    <s v="ZR"/>
    <d v="2016-12-13T00:00:00"/>
  </r>
  <r>
    <x v="0"/>
    <x v="0"/>
    <x v="721"/>
    <x v="10"/>
    <s v="Standard order"/>
    <x v="705"/>
    <x v="705"/>
    <s v="R059"/>
    <s v="CRYSTAL RR059"/>
    <s v="5003529"/>
    <s v="R059 ACH T20 Kabina MP"/>
    <n v="88"/>
    <n v="0"/>
    <n v="88"/>
    <x v="0"/>
    <s v="AP73"/>
    <s v="MP"/>
    <s v="387"/>
    <s v="4.0 UN"/>
    <s v="STANDARD"/>
    <s v="N"/>
    <s v="N"/>
    <s v="Y"/>
    <s v="T20"/>
    <s v="N"/>
    <s v="N"/>
    <s v="N"/>
    <s v="N"/>
    <s v="A036"/>
    <d v="2016-12-16T00:00:00"/>
    <s v="10"/>
    <s v="TAN"/>
    <s v="OR"/>
    <d v="2016-12-13T00:00:00"/>
    <s v="MI"/>
    <s v="US"/>
    <s v="ZR"/>
    <d v="2016-12-13T00:00:00"/>
  </r>
  <r>
    <x v="0"/>
    <x v="4"/>
    <x v="722"/>
    <x v="20"/>
    <s v="Standard order"/>
    <x v="706"/>
    <x v="706"/>
    <s v="A399"/>
    <s v="CRYSTAL A399NT"/>
    <s v="5002939"/>
    <s v="A399 ACH XL"/>
    <n v="116"/>
    <n v="0"/>
    <n v="116"/>
    <x v="4"/>
    <s v="DP71"/>
    <s v="X-LARGE"/>
    <s v="316"/>
    <s v="4.0 UN"/>
    <s v="STANDARD"/>
    <s v="N"/>
    <s v="N"/>
    <s v="N"/>
    <s v="N"/>
    <s v="N"/>
    <s v="N"/>
    <s v="N"/>
    <s v="N"/>
    <s v="A039"/>
    <d v="2016-12-16T00:00:00"/>
    <s v="10"/>
    <s v="TAN"/>
    <s v="OR"/>
    <d v="2016-12-13T00:00:00"/>
    <s v="ID"/>
    <s v="US"/>
    <s v="ZR"/>
    <d v="2016-12-13T00:00:00"/>
  </r>
  <r>
    <x v="0"/>
    <x v="4"/>
    <x v="722"/>
    <x v="20"/>
    <s v="Standard order"/>
    <x v="706"/>
    <x v="706"/>
    <s v="A501"/>
    <s v="CRYSTAL A501"/>
    <s v="5003308"/>
    <s v="A501 ACH PB XL"/>
    <n v="24"/>
    <n v="0"/>
    <n v="24"/>
    <x v="4"/>
    <s v="EZPB"/>
    <s v="X-LARGE"/>
    <s v="314"/>
    <s v="4.0 UN"/>
    <s v="STANDARD"/>
    <s v="N"/>
    <s v="Y"/>
    <s v="N"/>
    <s v="N"/>
    <s v="N"/>
    <s v="N"/>
    <s v="N"/>
    <s v="N"/>
    <s v="A039"/>
    <d v="2016-12-16T00:00:00"/>
    <s v="20"/>
    <s v="TAN"/>
    <s v="OR"/>
    <d v="2016-12-13T00:00:00"/>
    <s v="ID"/>
    <s v="US"/>
    <s v="ZR"/>
    <d v="2016-12-13T00:00:00"/>
  </r>
  <r>
    <x v="0"/>
    <x v="0"/>
    <x v="723"/>
    <x v="10"/>
    <s v="Standard order"/>
    <x v="707"/>
    <x v="707"/>
    <s v="R059"/>
    <s v="CRYSTAL RR059"/>
    <s v="5003530"/>
    <s v="R059 ACH T20 Kabina RP"/>
    <n v="76"/>
    <n v="0"/>
    <n v="76"/>
    <x v="0"/>
    <s v="AP73"/>
    <s v="RP"/>
    <s v="387"/>
    <s v="4.0 UN"/>
    <s v="STANDARD"/>
    <s v="N"/>
    <s v="N"/>
    <s v="Y"/>
    <s v="T20"/>
    <s v="N"/>
    <s v="N"/>
    <s v="N"/>
    <s v="N"/>
    <s v="A036"/>
    <d v="2016-12-16T00:00:00"/>
    <s v="10"/>
    <s v="TAN"/>
    <s v="OR"/>
    <d v="2016-12-13T00:00:00"/>
    <s v="MI"/>
    <s v="US"/>
    <s v="ZR"/>
    <d v="2016-12-13T00:00:00"/>
  </r>
  <r>
    <x v="0"/>
    <x v="0"/>
    <x v="724"/>
    <x v="4"/>
    <s v="Standard order"/>
    <x v="708"/>
    <x v="708"/>
    <s v="R202"/>
    <s v="CRYSTAL RR202"/>
    <s v="5003119"/>
    <s v="R202 ACH T20 Kabina RP"/>
    <n v="12"/>
    <n v="0"/>
    <n v="12"/>
    <x v="0"/>
    <s v="4ULM"/>
    <s v="RP"/>
    <s v="387"/>
    <s v="4.0 UN"/>
    <s v="STANDARD"/>
    <s v="N"/>
    <s v="N"/>
    <s v="Y"/>
    <s v="T20"/>
    <s v="N"/>
    <s v="N"/>
    <s v="N"/>
    <s v="N"/>
    <s v="A035"/>
    <d v="2016-12-16T00:00:00"/>
    <s v="10"/>
    <s v="TAN"/>
    <s v="OR"/>
    <d v="2016-12-13T00:00:00"/>
    <s v="MI"/>
    <s v="US"/>
    <s v="ZR"/>
    <d v="2016-12-13T00:00:00"/>
  </r>
  <r>
    <x v="0"/>
    <x v="0"/>
    <x v="725"/>
    <x v="10"/>
    <s v="Standard order"/>
    <x v="709"/>
    <x v="709"/>
    <s v="G333"/>
    <s v="CRYSTAL G333NT"/>
    <s v="5003376"/>
    <s v="G333 ACH T20 Kabina ELS"/>
    <n v="16"/>
    <n v="0"/>
    <n v="16"/>
    <x v="0"/>
    <s v="EE73"/>
    <s v="ELS"/>
    <s v="387"/>
    <s v="4.0 UN"/>
    <s v="STANDARD"/>
    <s v="N"/>
    <s v="N"/>
    <s v="Y"/>
    <s v="T20"/>
    <s v="N"/>
    <s v="N"/>
    <s v="N"/>
    <s v="N"/>
    <s v="A036"/>
    <d v="2016-12-16T00:00:00"/>
    <s v="20"/>
    <s v="TAN"/>
    <s v="OR"/>
    <d v="2016-12-13T00:00:00"/>
    <s v="MI"/>
    <s v="US"/>
    <s v="ZR"/>
    <d v="2016-12-13T00:00:00"/>
  </r>
  <r>
    <x v="0"/>
    <x v="0"/>
    <x v="725"/>
    <x v="10"/>
    <s v="Standard order"/>
    <x v="709"/>
    <x v="709"/>
    <s v="R059"/>
    <s v="CRYSTAL RR059"/>
    <s v="5003528"/>
    <s v="R059 ACH T20 Kabina ELS"/>
    <n v="48"/>
    <n v="0"/>
    <n v="48"/>
    <x v="0"/>
    <s v="AP73"/>
    <s v="ELS"/>
    <s v="387"/>
    <s v="4.0 UN"/>
    <s v="STANDARD"/>
    <s v="N"/>
    <s v="N"/>
    <s v="Y"/>
    <s v="T20"/>
    <s v="N"/>
    <s v="N"/>
    <s v="N"/>
    <s v="N"/>
    <s v="A036"/>
    <d v="2016-12-16T00:00:00"/>
    <s v="10"/>
    <s v="TAN"/>
    <s v="OR"/>
    <d v="2016-12-13T00:00:00"/>
    <s v="MI"/>
    <s v="US"/>
    <s v="ZR"/>
    <d v="2016-12-13T00:00:00"/>
  </r>
  <r>
    <x v="0"/>
    <x v="2"/>
    <x v="726"/>
    <x v="6"/>
    <s v="Standard order"/>
    <x v="710"/>
    <x v="710"/>
    <s v="R272"/>
    <s v="CRYSTAL RR272"/>
    <s v="5003629"/>
    <s v="R272 ACH T20 PB SYSTIVA G100"/>
    <n v="72"/>
    <n v="0"/>
    <n v="72"/>
    <x v="2"/>
    <s v="DG73"/>
    <s v="GEM 100"/>
    <s v="324"/>
    <s v="4.0 UN"/>
    <s v="STANDARD"/>
    <s v="N"/>
    <s v="Y"/>
    <s v="N"/>
    <s v="T20"/>
    <s v="Y"/>
    <s v="N"/>
    <s v="Y"/>
    <s v="N"/>
    <s v="A025"/>
    <d v="2016-12-16T00:00:00"/>
    <s v="10"/>
    <s v="TAN"/>
    <s v="OR"/>
    <d v="2016-12-13T00:00:00"/>
    <s v="NE"/>
    <s v="US"/>
    <s v="ZR"/>
    <d v="2016-12-13T00:00:00"/>
  </r>
  <r>
    <x v="0"/>
    <x v="2"/>
    <x v="726"/>
    <x v="6"/>
    <s v="Standard order"/>
    <x v="710"/>
    <x v="710"/>
    <s v="W322"/>
    <s v="CRYSTAL W322NT"/>
    <s v="5003488"/>
    <s v="W322 ACH T20 PB SYSTIVA G100"/>
    <n v="168"/>
    <n v="0"/>
    <n v="168"/>
    <x v="2"/>
    <s v="EE73"/>
    <s v="GEM 100"/>
    <s v="324"/>
    <s v="4.0 UN"/>
    <s v="STANDARD"/>
    <s v="N"/>
    <s v="Y"/>
    <s v="N"/>
    <s v="T20"/>
    <s v="Y"/>
    <s v="N"/>
    <s v="Y"/>
    <s v="N"/>
    <s v="A025"/>
    <d v="2016-12-16T00:00:00"/>
    <s v="20"/>
    <s v="TAN"/>
    <s v="OR"/>
    <d v="2016-12-13T00:00:00"/>
    <s v="NE"/>
    <s v="US"/>
    <s v="ZR"/>
    <d v="2016-12-13T00:00:00"/>
  </r>
  <r>
    <x v="0"/>
    <x v="2"/>
    <x v="727"/>
    <x v="6"/>
    <s v="Standard order"/>
    <x v="711"/>
    <x v="711"/>
    <s v="R014"/>
    <s v="CRYSTAL RR014"/>
    <s v="5003090"/>
    <s v="R014 ACH T20 PB SYSTIVA ELS"/>
    <n v="60"/>
    <n v="0"/>
    <n v="60"/>
    <x v="2"/>
    <s v="AP82"/>
    <s v="ELS"/>
    <s v="324"/>
    <s v="4.0 UN"/>
    <s v="STANDARD"/>
    <s v="N"/>
    <s v="Y"/>
    <s v="N"/>
    <s v="T20"/>
    <s v="Y"/>
    <s v="N"/>
    <s v="Y"/>
    <s v="N"/>
    <s v="A025"/>
    <d v="2016-12-16T00:00:00"/>
    <s v="10"/>
    <s v="TAN"/>
    <s v="OR"/>
    <d v="2016-12-13T00:00:00"/>
    <s v="NE"/>
    <s v="US"/>
    <s v="ZR"/>
    <d v="2016-12-13T00:00:00"/>
  </r>
  <r>
    <x v="0"/>
    <x v="2"/>
    <x v="728"/>
    <x v="6"/>
    <s v="Standard order"/>
    <x v="712"/>
    <x v="712"/>
    <s v="W322"/>
    <s v="CRYSTAL W322NT"/>
    <s v="5003487"/>
    <s v="W322 ACH T20 PB SYSTIVA ELS"/>
    <n v="24"/>
    <n v="0"/>
    <n v="24"/>
    <x v="2"/>
    <s v="EE73"/>
    <s v="ELS"/>
    <s v="324"/>
    <s v="4.0 UN"/>
    <s v="STANDARD"/>
    <s v="N"/>
    <s v="Y"/>
    <s v="N"/>
    <s v="T20"/>
    <s v="Y"/>
    <s v="N"/>
    <s v="Y"/>
    <s v="N"/>
    <s v="A025"/>
    <d v="2016-12-16T00:00:00"/>
    <s v="10"/>
    <s v="TAN"/>
    <s v="OR"/>
    <d v="2016-12-13T00:00:00"/>
    <s v="NE"/>
    <s v="US"/>
    <s v="ZR"/>
    <d v="2016-12-13T00:00:00"/>
  </r>
  <r>
    <x v="0"/>
    <x v="2"/>
    <x v="729"/>
    <x v="6"/>
    <s v="Standard order"/>
    <x v="713"/>
    <x v="713"/>
    <s v="W322"/>
    <s v="CRYSTAL W322NT"/>
    <s v="5003487"/>
    <s v="W322 ACH T20 PB SYSTIVA ELS"/>
    <n v="32"/>
    <n v="0"/>
    <n v="32"/>
    <x v="2"/>
    <s v="EE73"/>
    <s v="ELS"/>
    <s v="324"/>
    <s v="4.0 UN"/>
    <s v="STANDARD"/>
    <s v="N"/>
    <s v="Y"/>
    <s v="N"/>
    <s v="T20"/>
    <s v="Y"/>
    <s v="N"/>
    <s v="Y"/>
    <s v="N"/>
    <s v="A025"/>
    <d v="2016-12-16T00:00:00"/>
    <s v="10"/>
    <s v="TAN"/>
    <s v="OR"/>
    <d v="2016-12-13T00:00:00"/>
    <s v="NE"/>
    <s v="US"/>
    <s v="ZR"/>
    <d v="2016-12-13T00:00:00"/>
  </r>
  <r>
    <x v="0"/>
    <x v="0"/>
    <x v="730"/>
    <x v="2"/>
    <s v="Standard order"/>
    <x v="714"/>
    <x v="714"/>
    <s v="G351"/>
    <s v="CRYSTAL G351NT"/>
    <s v="5003398"/>
    <s v="G351 ACH T20 Kabina RP"/>
    <n v="20"/>
    <n v="0"/>
    <n v="20"/>
    <x v="0"/>
    <s v="DA73"/>
    <s v="RP"/>
    <s v="387"/>
    <s v="4.0 UN"/>
    <s v="STANDARD"/>
    <s v="N"/>
    <s v="N"/>
    <s v="Y"/>
    <s v="T20"/>
    <s v="N"/>
    <s v="N"/>
    <s v="N"/>
    <s v="N"/>
    <s v="A034"/>
    <d v="2016-12-19T00:00:00"/>
    <s v="10"/>
    <s v="TAN"/>
    <s v="OR"/>
    <d v="2016-12-13T00:00:00"/>
    <s v="MI"/>
    <s v="US"/>
    <s v="ZR"/>
    <d v="2016-12-14T00:00:00"/>
  </r>
  <r>
    <x v="0"/>
    <x v="0"/>
    <x v="730"/>
    <x v="2"/>
    <s v="Standard order"/>
    <x v="714"/>
    <x v="714"/>
    <s v="G333"/>
    <s v="CRYSTAL G333NT"/>
    <s v="5003378"/>
    <s v="G333 ACH T20 Kabina RP"/>
    <n v="32"/>
    <n v="0"/>
    <n v="32"/>
    <x v="0"/>
    <s v="EE73"/>
    <s v="RP"/>
    <s v="387"/>
    <s v="4.0 UN"/>
    <s v="STANDARD"/>
    <s v="N"/>
    <s v="N"/>
    <s v="Y"/>
    <s v="T20"/>
    <s v="N"/>
    <s v="N"/>
    <s v="N"/>
    <s v="N"/>
    <s v="A034"/>
    <d v="2016-12-19T00:00:00"/>
    <s v="20"/>
    <s v="TAN"/>
    <s v="OR"/>
    <d v="2016-12-13T00:00:00"/>
    <s v="MI"/>
    <s v="US"/>
    <s v="ZR"/>
    <d v="2016-12-14T00:00:00"/>
  </r>
  <r>
    <x v="0"/>
    <x v="0"/>
    <x v="731"/>
    <x v="0"/>
    <s v="Standard order"/>
    <x v="715"/>
    <x v="715"/>
    <s v="R059"/>
    <s v="CRYSTAL RR059"/>
    <s v="5003518"/>
    <s v="R059 ACH CM Vibrance RP"/>
    <n v="8"/>
    <n v="0"/>
    <n v="8"/>
    <x v="0"/>
    <s v="AP73"/>
    <s v="RP"/>
    <s v="393"/>
    <s v="4.0 UN"/>
    <s v="STANDARD"/>
    <s v="Y"/>
    <s v="N"/>
    <s v="N"/>
    <s v="N"/>
    <s v="N"/>
    <s v="N"/>
    <s v="N"/>
    <s v="Y"/>
    <s v="A037"/>
    <d v="2016-12-19T00:00:00"/>
    <s v="10"/>
    <s v="TAN"/>
    <s v="OR"/>
    <d v="2016-12-14T00:00:00"/>
    <s v="ON"/>
    <s v="CA"/>
    <s v="ZR"/>
    <d v="2016-12-14T00:00:00"/>
  </r>
  <r>
    <x v="0"/>
    <x v="0"/>
    <x v="732"/>
    <x v="4"/>
    <s v="Standard order"/>
    <x v="716"/>
    <x v="716"/>
    <s v="G333"/>
    <s v="CRYSTAL G333NT"/>
    <s v="5003378"/>
    <s v="G333 ACH T20 Kabina RP"/>
    <n v="4"/>
    <n v="0"/>
    <n v="4"/>
    <x v="0"/>
    <s v="EE73"/>
    <s v="RP"/>
    <s v="387"/>
    <s v="4.0 UN"/>
    <s v="STANDARD"/>
    <s v="N"/>
    <s v="N"/>
    <s v="Y"/>
    <s v="T20"/>
    <s v="N"/>
    <s v="N"/>
    <s v="N"/>
    <s v="N"/>
    <s v="A035"/>
    <d v="2016-12-19T00:00:00"/>
    <s v="10"/>
    <s v="TAN"/>
    <s v="OR"/>
    <d v="2016-12-13T00:00:00"/>
    <s v="MI"/>
    <s v="US"/>
    <s v="ZR"/>
    <d v="2016-12-14T00:00:00"/>
  </r>
  <r>
    <x v="0"/>
    <x v="0"/>
    <x v="732"/>
    <x v="4"/>
    <s v="Standard order"/>
    <x v="716"/>
    <x v="716"/>
    <s v="R059"/>
    <s v="CRYSTAL RR059"/>
    <s v="5003530"/>
    <s v="R059 ACH T20 Kabina RP"/>
    <n v="12"/>
    <n v="0"/>
    <n v="12"/>
    <x v="0"/>
    <s v="AP73"/>
    <s v="RP"/>
    <s v="387"/>
    <s v="4.0 UN"/>
    <s v="STANDARD"/>
    <s v="N"/>
    <s v="N"/>
    <s v="Y"/>
    <s v="T20"/>
    <s v="N"/>
    <s v="N"/>
    <s v="N"/>
    <s v="N"/>
    <s v="A035"/>
    <d v="2016-12-19T00:00:00"/>
    <s v="20"/>
    <s v="TAN"/>
    <s v="OR"/>
    <d v="2016-12-13T00:00:00"/>
    <s v="MI"/>
    <s v="US"/>
    <s v="ZR"/>
    <d v="2016-12-14T00:00:00"/>
  </r>
  <r>
    <x v="0"/>
    <x v="0"/>
    <x v="732"/>
    <x v="4"/>
    <s v="Standard order"/>
    <x v="716"/>
    <x v="716"/>
    <s v="R059"/>
    <s v="CRYSTAL RR059"/>
    <s v="5003536"/>
    <s v="R059 ACH T20 SYSTIVA RP"/>
    <n v="4"/>
    <n v="0"/>
    <n v="4"/>
    <x v="0"/>
    <s v="AP73"/>
    <s v="RP"/>
    <s v="328"/>
    <s v="4.0 UN"/>
    <s v="STANDARD"/>
    <s v="N"/>
    <s v="N"/>
    <s v="N"/>
    <s v="T20"/>
    <s v="Y"/>
    <s v="N"/>
    <s v="Y"/>
    <s v="N"/>
    <s v="A035"/>
    <d v="2016-12-19T00:00:00"/>
    <s v="30"/>
    <s v="TAN"/>
    <s v="OR"/>
    <d v="2016-12-13T00:00:00"/>
    <s v="MI"/>
    <s v="US"/>
    <s v="ZR"/>
    <d v="2016-12-14T00:00:00"/>
  </r>
  <r>
    <x v="0"/>
    <x v="0"/>
    <x v="733"/>
    <x v="0"/>
    <s v="Standard order"/>
    <x v="717"/>
    <x v="717"/>
    <s v="R059"/>
    <s v="CRYSTAL RR059"/>
    <s v="5003518"/>
    <s v="R059 ACH CM Vibrance RP"/>
    <n v="28"/>
    <n v="0"/>
    <n v="28"/>
    <x v="0"/>
    <s v="AP73"/>
    <s v="RP"/>
    <s v="393"/>
    <s v="4.0 UN"/>
    <s v="STANDARD"/>
    <s v="Y"/>
    <s v="N"/>
    <s v="N"/>
    <s v="N"/>
    <s v="N"/>
    <s v="N"/>
    <s v="N"/>
    <s v="Y"/>
    <s v="A037"/>
    <d v="2016-12-19T00:00:00"/>
    <s v="10"/>
    <s v="TAN"/>
    <s v="OR"/>
    <d v="2016-12-14T00:00:00"/>
    <s v="ON"/>
    <s v="CA"/>
    <s v="ZR"/>
    <d v="2016-12-14T00:00:00"/>
  </r>
  <r>
    <x v="0"/>
    <x v="2"/>
    <x v="734"/>
    <x v="5"/>
    <s v="Standard order"/>
    <x v="718"/>
    <x v="718"/>
    <s v="W322"/>
    <s v="CRYSTAL W322NT"/>
    <s v="5003488"/>
    <s v="W322 ACH T20 PB SYSTIVA G100"/>
    <n v="16"/>
    <n v="0"/>
    <n v="16"/>
    <x v="2"/>
    <s v="EE73"/>
    <s v="GEM 100"/>
    <s v="324"/>
    <s v="4.0 UN"/>
    <s v="STANDARD"/>
    <s v="N"/>
    <s v="Y"/>
    <s v="N"/>
    <s v="T20"/>
    <s v="Y"/>
    <s v="N"/>
    <s v="Y"/>
    <s v="N"/>
    <s v="A020"/>
    <d v="2016-12-19T00:00:00"/>
    <s v="10"/>
    <s v="TAN"/>
    <s v="OR"/>
    <d v="2016-12-14T00:00:00"/>
    <s v="CO"/>
    <s v="US"/>
    <s v="ZR"/>
    <d v="2016-12-14T00:00:00"/>
  </r>
  <r>
    <x v="0"/>
    <x v="2"/>
    <x v="735"/>
    <x v="5"/>
    <s v="Standard order"/>
    <x v="719"/>
    <x v="719"/>
    <s v="W322"/>
    <s v="CRYSTAL W322NT"/>
    <s v="5003488"/>
    <s v="W322 ACH T20 PB SYSTIVA G100"/>
    <n v="28"/>
    <n v="0"/>
    <n v="28"/>
    <x v="2"/>
    <s v="EE73"/>
    <s v="GEM 100"/>
    <s v="324"/>
    <s v="4.0 UN"/>
    <s v="STANDARD"/>
    <s v="N"/>
    <s v="Y"/>
    <s v="N"/>
    <s v="T20"/>
    <s v="Y"/>
    <s v="N"/>
    <s v="Y"/>
    <s v="N"/>
    <s v="A020"/>
    <d v="2016-12-19T00:00:00"/>
    <s v="10"/>
    <s v="TAN"/>
    <s v="OR"/>
    <d v="2016-12-14T00:00:00"/>
    <s v="CO"/>
    <s v="US"/>
    <s v="ZR"/>
    <d v="2016-12-14T00:00:00"/>
  </r>
  <r>
    <x v="0"/>
    <x v="0"/>
    <x v="736"/>
    <x v="0"/>
    <s v="Standard order"/>
    <x v="720"/>
    <x v="720"/>
    <s v="R059"/>
    <s v="CRYSTAL RR059"/>
    <s v="5003518"/>
    <s v="R059 ACH CM Vibrance RP"/>
    <n v="8"/>
    <n v="0"/>
    <n v="8"/>
    <x v="0"/>
    <s v="AP73"/>
    <s v="RP"/>
    <s v="393"/>
    <s v="4.0 UN"/>
    <s v="STANDARD"/>
    <s v="Y"/>
    <s v="N"/>
    <s v="N"/>
    <s v="N"/>
    <s v="N"/>
    <s v="N"/>
    <s v="N"/>
    <s v="Y"/>
    <s v="A037"/>
    <d v="2016-12-19T00:00:00"/>
    <s v="10"/>
    <s v="TAN"/>
    <s v="OR"/>
    <d v="2016-12-14T00:00:00"/>
    <s v="ON"/>
    <s v="CA"/>
    <s v="ZR"/>
    <d v="2016-12-14T00:00:00"/>
  </r>
  <r>
    <x v="0"/>
    <x v="0"/>
    <x v="737"/>
    <x v="0"/>
    <s v="Standard order"/>
    <x v="721"/>
    <x v="721"/>
    <s v="R059"/>
    <s v="CRYSTAL RR059"/>
    <s v="5003537"/>
    <s v="R059 ACH Vibrance RP"/>
    <n v="28"/>
    <n v="0"/>
    <n v="28"/>
    <x v="0"/>
    <s v="AP73"/>
    <s v="RP"/>
    <s v="392"/>
    <s v="4.0 UN"/>
    <s v="STANDARD"/>
    <s v="N"/>
    <s v="N"/>
    <s v="N"/>
    <s v="N"/>
    <s v="N"/>
    <s v="N"/>
    <s v="N"/>
    <s v="Y"/>
    <s v="A037"/>
    <d v="2016-12-19T00:00:00"/>
    <s v="10"/>
    <s v="TAN"/>
    <s v="OR"/>
    <d v="2016-12-14T00:00:00"/>
    <s v="ON"/>
    <s v="CA"/>
    <s v="ZR"/>
    <d v="2016-12-14T00:00:00"/>
  </r>
  <r>
    <x v="0"/>
    <x v="0"/>
    <x v="737"/>
    <x v="0"/>
    <s v="Standard order"/>
    <x v="721"/>
    <x v="721"/>
    <s v="G515"/>
    <s v="CRYSTAL G515"/>
    <s v="5003026"/>
    <s v="G515 ACH Vibrance RP"/>
    <n v="12"/>
    <n v="0"/>
    <n v="12"/>
    <x v="0"/>
    <s v="APND"/>
    <s v="RP"/>
    <s v="392"/>
    <s v="4.0 UN"/>
    <s v="STANDARD"/>
    <s v="N"/>
    <s v="N"/>
    <s v="N"/>
    <s v="N"/>
    <s v="N"/>
    <s v="N"/>
    <s v="N"/>
    <s v="Y"/>
    <s v="A037"/>
    <d v="2016-12-19T00:00:00"/>
    <s v="20"/>
    <s v="TAN"/>
    <s v="OR"/>
    <d v="2016-12-14T00:00:00"/>
    <s v="ON"/>
    <s v="CA"/>
    <s v="ZR"/>
    <d v="2016-12-14T00:00:00"/>
  </r>
  <r>
    <x v="0"/>
    <x v="4"/>
    <x v="738"/>
    <x v="7"/>
    <s v="Standard order"/>
    <x v="722"/>
    <x v="722"/>
    <s v="A399"/>
    <s v="CRYSTAL A399NT"/>
    <s v="5002931"/>
    <s v="A399 ACH PB XL"/>
    <n v="88"/>
    <n v="0"/>
    <n v="88"/>
    <x v="4"/>
    <s v="DP71"/>
    <s v="X-LARGE"/>
    <s v="314"/>
    <s v="4.0 UN"/>
    <s v="STANDARD"/>
    <s v="N"/>
    <s v="Y"/>
    <s v="N"/>
    <s v="N"/>
    <s v="N"/>
    <s v="N"/>
    <s v="N"/>
    <s v="N"/>
    <s v="A045"/>
    <d v="2016-12-19T00:00:00"/>
    <s v="10"/>
    <s v="TAN"/>
    <s v="OR"/>
    <d v="2016-12-14T00:00:00"/>
    <s v="OR"/>
    <s v="US"/>
    <s v="ZR"/>
    <d v="2016-12-14T00:00:00"/>
  </r>
  <r>
    <x v="0"/>
    <x v="4"/>
    <x v="738"/>
    <x v="7"/>
    <s v="Standard order"/>
    <x v="722"/>
    <x v="722"/>
    <s v="A404"/>
    <s v="CRYSTAL A404NT"/>
    <s v="5002957"/>
    <s v="A404 ACH PB XL"/>
    <n v="88"/>
    <n v="0"/>
    <n v="88"/>
    <x v="4"/>
    <s v="DPNE"/>
    <s v="X-LARGE"/>
    <s v="314"/>
    <s v="4.0 UN"/>
    <s v="STANDARD"/>
    <s v="N"/>
    <s v="Y"/>
    <s v="N"/>
    <s v="N"/>
    <s v="N"/>
    <s v="N"/>
    <s v="N"/>
    <s v="N"/>
    <s v="A045"/>
    <d v="2016-12-19T00:00:00"/>
    <s v="20"/>
    <s v="TAN"/>
    <s v="OR"/>
    <d v="2016-12-14T00:00:00"/>
    <s v="OR"/>
    <s v="US"/>
    <s v="ZR"/>
    <d v="2016-12-14T00:00:00"/>
  </r>
  <r>
    <x v="0"/>
    <x v="2"/>
    <x v="739"/>
    <x v="3"/>
    <s v="Standard order"/>
    <x v="723"/>
    <x v="723"/>
    <s v="R014"/>
    <s v="CRYSTAL RR014"/>
    <s v="5003091"/>
    <s v="R014 ACH T20 PB SYSTIVA G100"/>
    <n v="80"/>
    <n v="0"/>
    <n v="80"/>
    <x v="2"/>
    <s v="AP82"/>
    <s v="GEM 100"/>
    <s v="324"/>
    <s v="4.0 UN"/>
    <s v="STANDARD"/>
    <s v="N"/>
    <s v="Y"/>
    <s v="N"/>
    <s v="T20"/>
    <s v="Y"/>
    <s v="N"/>
    <s v="Y"/>
    <s v="N"/>
    <s v="A024"/>
    <d v="2016-12-19T00:00:00"/>
    <s v="10"/>
    <s v="TAN"/>
    <s v="OR"/>
    <d v="2016-12-14T00:00:00"/>
    <s v="NE"/>
    <s v="US"/>
    <s v="ZR"/>
    <d v="2016-12-14T00:00:00"/>
  </r>
  <r>
    <x v="0"/>
    <x v="2"/>
    <x v="740"/>
    <x v="22"/>
    <s v="Standard order"/>
    <x v="724"/>
    <x v="724"/>
    <s v="R014"/>
    <s v="CRYSTAL RR014"/>
    <s v="5003091"/>
    <s v="R014 ACH T20 PB SYSTIVA G100"/>
    <n v="24"/>
    <n v="0"/>
    <n v="24"/>
    <x v="2"/>
    <s v="AP82"/>
    <s v="GEM 100"/>
    <s v="324"/>
    <s v="4.0 UN"/>
    <s v="STANDARD"/>
    <s v="N"/>
    <s v="Y"/>
    <s v="N"/>
    <s v="T20"/>
    <s v="Y"/>
    <s v="N"/>
    <s v="Y"/>
    <s v="N"/>
    <s v="A018"/>
    <d v="2016-12-19T00:00:00"/>
    <s v="10"/>
    <s v="TAN"/>
    <s v="OR"/>
    <d v="2016-12-14T00:00:00"/>
    <s v="CO"/>
    <s v="US"/>
    <s v="ZR"/>
    <d v="2016-12-14T00:00:00"/>
  </r>
  <r>
    <x v="0"/>
    <x v="5"/>
    <x v="741"/>
    <x v="12"/>
    <s v="Standard order"/>
    <x v="725"/>
    <x v="725"/>
    <s v="Y400"/>
    <s v="CRYSTAL Y400NT"/>
    <s v="5003731"/>
    <s v="Y400 ACH T20 PB SYSTIVA ELS"/>
    <n v="16"/>
    <n v="0"/>
    <n v="16"/>
    <x v="5"/>
    <s v="4TBP"/>
    <s v="ELS"/>
    <s v="324"/>
    <s v="4.0 UN"/>
    <s v="STANDARD"/>
    <s v="N"/>
    <s v="Y"/>
    <s v="N"/>
    <s v="T20"/>
    <s v="Y"/>
    <s v="N"/>
    <s v="N"/>
    <s v="N"/>
    <s v="A014"/>
    <d v="2016-12-19T00:00:00"/>
    <s v="10"/>
    <s v="TAN"/>
    <s v="OR"/>
    <d v="2016-12-14T00:00:00"/>
    <s v="MT"/>
    <s v="US"/>
    <s v="ZR"/>
    <d v="2016-12-14T00:00:00"/>
  </r>
  <r>
    <x v="0"/>
    <x v="4"/>
    <x v="742"/>
    <x v="19"/>
    <s v="Standard order"/>
    <x v="726"/>
    <x v="726"/>
    <s v="A399"/>
    <s v="CRYSTAL A399NT"/>
    <s v="5002928"/>
    <s v="A399 ACH PB LRG"/>
    <n v="4"/>
    <n v="0"/>
    <n v="4"/>
    <x v="4"/>
    <s v="DP71"/>
    <s v="LARGE"/>
    <s v="314"/>
    <s v="4.0 UN"/>
    <s v="STANDARD"/>
    <s v="N"/>
    <s v="Y"/>
    <s v="N"/>
    <s v="N"/>
    <s v="N"/>
    <s v="N"/>
    <s v="N"/>
    <s v="N"/>
    <s v="A046"/>
    <d v="2016-12-19T00:00:00"/>
    <s v="10"/>
    <s v="TAN"/>
    <s v="OR"/>
    <d v="2016-12-14T00:00:00"/>
    <s v="ID"/>
    <s v="US"/>
    <s v="ZR"/>
    <d v="2016-12-14T00:00:00"/>
  </r>
  <r>
    <x v="0"/>
    <x v="0"/>
    <x v="743"/>
    <x v="10"/>
    <s v="Standard order"/>
    <x v="727"/>
    <x v="727"/>
    <s v="R059"/>
    <s v="CRYSTAL RR059"/>
    <s v="5003530"/>
    <s v="R059 ACH T20 Kabina RP"/>
    <n v="28"/>
    <n v="0"/>
    <n v="28"/>
    <x v="0"/>
    <s v="AP73"/>
    <s v="RP"/>
    <s v="387"/>
    <s v="4.0 UN"/>
    <s v="STANDARD"/>
    <s v="N"/>
    <s v="N"/>
    <s v="Y"/>
    <s v="T20"/>
    <s v="N"/>
    <s v="N"/>
    <s v="N"/>
    <s v="N"/>
    <s v="A036"/>
    <d v="2016-12-19T00:00:00"/>
    <s v="10"/>
    <s v="TAN"/>
    <s v="OR"/>
    <d v="2016-12-14T00:00:00"/>
    <s v="MI"/>
    <s v="US"/>
    <s v="ZR"/>
    <d v="2016-12-14T00:00:00"/>
  </r>
  <r>
    <x v="0"/>
    <x v="2"/>
    <x v="744"/>
    <x v="22"/>
    <s v="Standard order"/>
    <x v="728"/>
    <x v="728"/>
    <s v="W322"/>
    <s v="CRYSTAL W322NT"/>
    <s v="5003488"/>
    <s v="W322 ACH T20 PB SYSTIVA G100"/>
    <n v="4"/>
    <n v="0"/>
    <n v="4"/>
    <x v="2"/>
    <s v="EE73"/>
    <s v="GEM 100"/>
    <s v="324"/>
    <s v="4.0 UN"/>
    <s v="STANDARD"/>
    <s v="N"/>
    <s v="Y"/>
    <s v="N"/>
    <s v="T20"/>
    <s v="Y"/>
    <s v="N"/>
    <s v="Y"/>
    <s v="N"/>
    <s v="A018"/>
    <d v="2016-12-19T00:00:00"/>
    <s v="10"/>
    <s v="TAN"/>
    <s v="OR"/>
    <d v="2016-12-14T00:00:00"/>
    <s v="CO"/>
    <s v="US"/>
    <s v="ZR"/>
    <d v="2016-12-14T00:00:00"/>
  </r>
  <r>
    <x v="0"/>
    <x v="0"/>
    <x v="745"/>
    <x v="4"/>
    <s v="Standard order"/>
    <x v="729"/>
    <x v="729"/>
    <s v="G333"/>
    <s v="CRYSTAL G333NT"/>
    <s v="5003376"/>
    <s v="G333 ACH T20 Kabina ELS"/>
    <n v="80"/>
    <n v="0"/>
    <n v="80"/>
    <x v="0"/>
    <s v="EE73"/>
    <s v="ELS"/>
    <s v="387"/>
    <s v="4.0 UN"/>
    <s v="STANDARD"/>
    <s v="N"/>
    <s v="N"/>
    <s v="Y"/>
    <s v="T20"/>
    <s v="N"/>
    <s v="N"/>
    <s v="N"/>
    <s v="N"/>
    <s v="A035"/>
    <d v="2016-12-19T00:00:00"/>
    <s v="10"/>
    <s v="TAN"/>
    <s v="OR"/>
    <d v="2016-12-14T00:00:00"/>
    <s v="MI"/>
    <s v="US"/>
    <s v="ZR"/>
    <d v="2016-12-14T00:00:00"/>
  </r>
  <r>
    <x v="0"/>
    <x v="0"/>
    <x v="745"/>
    <x v="4"/>
    <s v="Standard order"/>
    <x v="729"/>
    <x v="729"/>
    <s v="R059"/>
    <s v="CRYSTAL RR059"/>
    <s v="5003528"/>
    <s v="R059 ACH T20 Kabina ELS"/>
    <n v="28"/>
    <n v="0"/>
    <n v="28"/>
    <x v="0"/>
    <s v="AP73"/>
    <s v="ELS"/>
    <s v="387"/>
    <s v="4.0 UN"/>
    <s v="STANDARD"/>
    <s v="N"/>
    <s v="N"/>
    <s v="Y"/>
    <s v="T20"/>
    <s v="N"/>
    <s v="N"/>
    <s v="N"/>
    <s v="N"/>
    <s v="A035"/>
    <d v="2016-12-19T00:00:00"/>
    <s v="20"/>
    <s v="TAN"/>
    <s v="OR"/>
    <d v="2016-12-14T00:00:00"/>
    <s v="MI"/>
    <s v="US"/>
    <s v="ZR"/>
    <d v="2016-12-14T00:00:00"/>
  </r>
  <r>
    <x v="0"/>
    <x v="0"/>
    <x v="746"/>
    <x v="10"/>
    <s v="Standard order"/>
    <x v="730"/>
    <x v="730"/>
    <s v="R059"/>
    <s v="CRYSTAL RR059"/>
    <s v="5003528"/>
    <s v="R059 ACH T20 Kabina ELS"/>
    <n v="48"/>
    <n v="0"/>
    <n v="48"/>
    <x v="0"/>
    <s v="AP73"/>
    <s v="ELS"/>
    <s v="387"/>
    <s v="4.0 UN"/>
    <s v="STANDARD"/>
    <s v="N"/>
    <s v="N"/>
    <s v="Y"/>
    <s v="T20"/>
    <s v="N"/>
    <s v="N"/>
    <s v="N"/>
    <s v="N"/>
    <s v="A036"/>
    <d v="2016-12-19T00:00:00"/>
    <s v="10"/>
    <s v="TAN"/>
    <s v="OR"/>
    <d v="2016-12-13T00:00:00"/>
    <s v="MI"/>
    <s v="US"/>
    <s v="ZR"/>
    <d v="2016-12-14T00:00:00"/>
  </r>
  <r>
    <x v="0"/>
    <x v="0"/>
    <x v="747"/>
    <x v="10"/>
    <s v="Standard order"/>
    <x v="731"/>
    <x v="731"/>
    <s v="G515"/>
    <s v="CRYSTAL G515"/>
    <s v="5003019"/>
    <s v="G515 ACH T20 Kabina RP"/>
    <n v="32"/>
    <n v="0"/>
    <n v="32"/>
    <x v="0"/>
    <s v="APND"/>
    <s v="RP"/>
    <s v="387"/>
    <s v="4.0 UN"/>
    <s v="STANDARD"/>
    <s v="N"/>
    <s v="N"/>
    <s v="Y"/>
    <s v="T20"/>
    <s v="N"/>
    <s v="N"/>
    <s v="N"/>
    <s v="N"/>
    <s v="A036"/>
    <d v="2016-12-19T00:00:00"/>
    <s v="10"/>
    <s v="TAN"/>
    <s v="OR"/>
    <d v="2016-12-13T00:00:00"/>
    <s v="MI"/>
    <s v="US"/>
    <s v="ZR"/>
    <d v="2016-12-14T00:00:00"/>
  </r>
  <r>
    <x v="0"/>
    <x v="0"/>
    <x v="748"/>
    <x v="2"/>
    <s v="Standard order"/>
    <x v="732"/>
    <x v="732"/>
    <s v="R059"/>
    <s v="CRYSTAL RR059"/>
    <s v="5003748"/>
    <s v="R059 ACH T20 PB Kabina RP"/>
    <n v="12"/>
    <n v="0"/>
    <n v="12"/>
    <x v="0"/>
    <s v="AP73"/>
    <s v="RP"/>
    <s v="388"/>
    <s v="4.0 UN"/>
    <s v="STANDARD"/>
    <s v="N"/>
    <s v="Y"/>
    <s v="Y"/>
    <s v="T20"/>
    <s v="N"/>
    <s v="N"/>
    <s v="N"/>
    <s v="N"/>
    <s v="A034"/>
    <d v="2016-12-19T00:00:00"/>
    <s v="10"/>
    <s v="TAN"/>
    <s v="OR"/>
    <d v="2016-12-13T00:00:00"/>
    <s v="MI"/>
    <s v="US"/>
    <s v="ZR"/>
    <d v="2016-12-14T00:00:00"/>
  </r>
  <r>
    <x v="0"/>
    <x v="0"/>
    <x v="748"/>
    <x v="2"/>
    <s v="Standard order"/>
    <x v="732"/>
    <x v="732"/>
    <s v="R059"/>
    <s v="CRYSTAL RR059"/>
    <s v="5003530"/>
    <s v="R059 ACH T20 Kabina RP"/>
    <n v="20"/>
    <n v="0"/>
    <n v="20"/>
    <x v="0"/>
    <s v="AP73"/>
    <s v="RP"/>
    <s v="387"/>
    <s v="4.0 UN"/>
    <s v="STANDARD"/>
    <s v="N"/>
    <s v="N"/>
    <s v="Y"/>
    <s v="T20"/>
    <s v="N"/>
    <s v="N"/>
    <s v="N"/>
    <s v="N"/>
    <s v="A034"/>
    <d v="2016-12-19T00:00:00"/>
    <s v="20"/>
    <s v="TAN"/>
    <s v="OR"/>
    <d v="2016-12-13T00:00:00"/>
    <s v="MI"/>
    <s v="US"/>
    <s v="ZR"/>
    <d v="2016-12-14T00:00:00"/>
  </r>
  <r>
    <x v="0"/>
    <x v="0"/>
    <x v="748"/>
    <x v="2"/>
    <s v="Standard order"/>
    <x v="732"/>
    <x v="732"/>
    <s v="G333"/>
    <s v="CRYSTAL G333NT"/>
    <s v="5003378"/>
    <s v="G333 ACH T20 Kabina RP"/>
    <n v="8"/>
    <n v="0"/>
    <n v="8"/>
    <x v="0"/>
    <s v="EE73"/>
    <s v="RP"/>
    <s v="387"/>
    <s v="4.0 UN"/>
    <s v="STANDARD"/>
    <s v="N"/>
    <s v="N"/>
    <s v="Y"/>
    <s v="T20"/>
    <s v="N"/>
    <s v="N"/>
    <s v="N"/>
    <s v="N"/>
    <s v="A034"/>
    <d v="2016-12-19T00:00:00"/>
    <s v="30"/>
    <s v="TAN"/>
    <s v="OR"/>
    <d v="2016-12-13T00:00:00"/>
    <s v="MI"/>
    <s v="US"/>
    <s v="ZR"/>
    <d v="2016-12-14T00:00:00"/>
  </r>
  <r>
    <x v="0"/>
    <x v="0"/>
    <x v="749"/>
    <x v="2"/>
    <s v="Standard order"/>
    <x v="733"/>
    <x v="733"/>
    <s v="G515"/>
    <s v="CRYSTAL G515"/>
    <s v="5003019"/>
    <s v="G515 ACH T20 Kabina RP"/>
    <n v="12"/>
    <n v="0"/>
    <n v="12"/>
    <x v="0"/>
    <s v="APND"/>
    <s v="RP"/>
    <s v="387"/>
    <s v="4.0 UN"/>
    <s v="STANDARD"/>
    <s v="N"/>
    <s v="N"/>
    <s v="Y"/>
    <s v="T20"/>
    <s v="N"/>
    <s v="N"/>
    <s v="N"/>
    <s v="N"/>
    <s v="A034"/>
    <d v="2016-12-19T00:00:00"/>
    <s v="10"/>
    <s v="TAN"/>
    <s v="OR"/>
    <d v="2016-12-13T00:00:00"/>
    <s v="MI"/>
    <s v="US"/>
    <s v="ZR"/>
    <d v="2016-12-14T00:00:00"/>
  </r>
  <r>
    <x v="0"/>
    <x v="0"/>
    <x v="749"/>
    <x v="2"/>
    <s v="Standard order"/>
    <x v="733"/>
    <x v="733"/>
    <s v="R059"/>
    <s v="CRYSTAL RR059"/>
    <s v="5003530"/>
    <s v="R059 ACH T20 Kabina RP"/>
    <n v="36"/>
    <n v="0"/>
    <n v="36"/>
    <x v="0"/>
    <s v="AP73"/>
    <s v="RP"/>
    <s v="387"/>
    <s v="4.0 UN"/>
    <s v="STANDARD"/>
    <s v="N"/>
    <s v="N"/>
    <s v="Y"/>
    <s v="T20"/>
    <s v="N"/>
    <s v="N"/>
    <s v="N"/>
    <s v="N"/>
    <s v="A034"/>
    <d v="2016-12-19T00:00:00"/>
    <s v="20"/>
    <s v="TAN"/>
    <s v="OR"/>
    <d v="2016-12-13T00:00:00"/>
    <s v="MI"/>
    <s v="US"/>
    <s v="ZR"/>
    <d v="2016-12-14T00:00:00"/>
  </r>
  <r>
    <x v="0"/>
    <x v="0"/>
    <x v="750"/>
    <x v="0"/>
    <s v="Standard order"/>
    <x v="734"/>
    <x v="734"/>
    <s v="R059"/>
    <s v="CRYSTAL RR059"/>
    <s v="5003537"/>
    <s v="R059 ACH Vibrance RP"/>
    <n v="160"/>
    <n v="0"/>
    <n v="160"/>
    <x v="0"/>
    <s v="AP73"/>
    <s v="RP"/>
    <s v="392"/>
    <s v="4.0 UN"/>
    <s v="STANDARD"/>
    <s v="N"/>
    <s v="N"/>
    <s v="N"/>
    <s v="N"/>
    <s v="N"/>
    <s v="N"/>
    <s v="N"/>
    <s v="Y"/>
    <s v="A037"/>
    <d v="2016-12-19T00:00:00"/>
    <s v="10"/>
    <s v="TAN"/>
    <s v="OR"/>
    <d v="2016-12-13T00:00:00"/>
    <s v="ON"/>
    <s v="CA"/>
    <s v="ZR"/>
    <d v="2016-12-14T00:00:00"/>
  </r>
  <r>
    <x v="0"/>
    <x v="0"/>
    <x v="750"/>
    <x v="0"/>
    <s v="Standard order"/>
    <x v="734"/>
    <x v="734"/>
    <s v="G515"/>
    <s v="CRYSTAL G515"/>
    <s v="5003026"/>
    <s v="G515 ACH Vibrance RP"/>
    <n v="40"/>
    <n v="0"/>
    <n v="40"/>
    <x v="0"/>
    <s v="APND"/>
    <s v="RP"/>
    <s v="392"/>
    <s v="4.0 UN"/>
    <s v="STANDARD"/>
    <s v="N"/>
    <s v="N"/>
    <s v="N"/>
    <s v="N"/>
    <s v="N"/>
    <s v="N"/>
    <s v="N"/>
    <s v="Y"/>
    <s v="A037"/>
    <d v="2016-12-19T00:00:00"/>
    <s v="20"/>
    <s v="TAN"/>
    <s v="OR"/>
    <d v="2016-12-13T00:00:00"/>
    <s v="ON"/>
    <s v="CA"/>
    <s v="ZR"/>
    <d v="2016-12-14T00:00:00"/>
  </r>
  <r>
    <x v="0"/>
    <x v="0"/>
    <x v="751"/>
    <x v="0"/>
    <s v="Standard order"/>
    <x v="735"/>
    <x v="735"/>
    <s v="R059"/>
    <s v="CRYSTAL RR059"/>
    <s v="5003518"/>
    <s v="R059 ACH CM Vibrance RP"/>
    <n v="24"/>
    <n v="0"/>
    <n v="24"/>
    <x v="0"/>
    <s v="AP73"/>
    <s v="RP"/>
    <s v="393"/>
    <s v="4.0 UN"/>
    <s v="STANDARD"/>
    <s v="Y"/>
    <s v="N"/>
    <s v="N"/>
    <s v="N"/>
    <s v="N"/>
    <s v="N"/>
    <s v="N"/>
    <s v="Y"/>
    <s v="A037"/>
    <d v="2016-12-19T00:00:00"/>
    <s v="10"/>
    <s v="TAN"/>
    <s v="OR"/>
    <d v="2016-12-14T00:00:00"/>
    <s v="ON"/>
    <s v="CA"/>
    <s v="ZR"/>
    <d v="2016-12-14T00:00:00"/>
  </r>
  <r>
    <x v="0"/>
    <x v="0"/>
    <x v="752"/>
    <x v="0"/>
    <s v="Standard order"/>
    <x v="736"/>
    <x v="736"/>
    <s v="R059"/>
    <s v="CRYSTAL RR059"/>
    <s v="5003518"/>
    <s v="R059 ACH CM Vibrance RP"/>
    <n v="12"/>
    <n v="0"/>
    <n v="12"/>
    <x v="0"/>
    <s v="AP73"/>
    <s v="RP"/>
    <s v="393"/>
    <s v="4.0 UN"/>
    <s v="STANDARD"/>
    <s v="Y"/>
    <s v="N"/>
    <s v="N"/>
    <s v="N"/>
    <s v="N"/>
    <s v="N"/>
    <s v="N"/>
    <s v="Y"/>
    <s v="A037"/>
    <d v="2016-12-19T00:00:00"/>
    <s v="10"/>
    <s v="TAN"/>
    <s v="OR"/>
    <d v="2016-12-14T00:00:00"/>
    <s v="ON"/>
    <s v="CA"/>
    <s v="ZR"/>
    <d v="2016-12-14T00:00:00"/>
  </r>
  <r>
    <x v="0"/>
    <x v="0"/>
    <x v="752"/>
    <x v="0"/>
    <s v="Standard order"/>
    <x v="736"/>
    <x v="736"/>
    <s v="G515"/>
    <s v="CRYSTAL G515"/>
    <s v="5003007"/>
    <s v="G515 ACH CM Vibrance RP"/>
    <n v="16"/>
    <n v="0"/>
    <n v="16"/>
    <x v="0"/>
    <s v="APND"/>
    <s v="RP"/>
    <s v="393"/>
    <s v="4.0 UN"/>
    <s v="STANDARD"/>
    <s v="Y"/>
    <s v="N"/>
    <s v="N"/>
    <s v="N"/>
    <s v="N"/>
    <s v="N"/>
    <s v="N"/>
    <s v="Y"/>
    <s v="A037"/>
    <d v="2016-12-19T00:00:00"/>
    <s v="20"/>
    <s v="TAN"/>
    <s v="OR"/>
    <d v="2016-12-14T00:00:00"/>
    <s v="ON"/>
    <s v="CA"/>
    <s v="ZR"/>
    <d v="2016-12-14T00:00:00"/>
  </r>
  <r>
    <x v="0"/>
    <x v="0"/>
    <x v="753"/>
    <x v="0"/>
    <s v="Standard order"/>
    <x v="737"/>
    <x v="737"/>
    <s v="R059"/>
    <s v="CRYSTAL RR059"/>
    <s v="5003518"/>
    <s v="R059 ACH CM Vibrance RP"/>
    <n v="28"/>
    <n v="0"/>
    <n v="28"/>
    <x v="0"/>
    <s v="AP73"/>
    <s v="RP"/>
    <s v="393"/>
    <s v="4.0 UN"/>
    <s v="STANDARD"/>
    <s v="Y"/>
    <s v="N"/>
    <s v="N"/>
    <s v="N"/>
    <s v="N"/>
    <s v="N"/>
    <s v="N"/>
    <s v="Y"/>
    <s v="A037"/>
    <d v="2016-12-19T00:00:00"/>
    <s v="10"/>
    <s v="TAN"/>
    <s v="OR"/>
    <d v="2016-12-14T00:00:00"/>
    <s v="ON"/>
    <s v="CA"/>
    <s v="ZR"/>
    <d v="2016-12-14T00:00:00"/>
  </r>
  <r>
    <x v="0"/>
    <x v="0"/>
    <x v="754"/>
    <x v="0"/>
    <s v="Standard order"/>
    <x v="738"/>
    <x v="738"/>
    <s v="R059"/>
    <s v="CRYSTAL RR059"/>
    <s v="5003518"/>
    <s v="R059 ACH CM Vibrance RP"/>
    <n v="24"/>
    <n v="0"/>
    <n v="24"/>
    <x v="0"/>
    <s v="AP73"/>
    <s v="RP"/>
    <s v="393"/>
    <s v="4.0 UN"/>
    <s v="STANDARD"/>
    <s v="Y"/>
    <s v="N"/>
    <s v="N"/>
    <s v="N"/>
    <s v="N"/>
    <s v="N"/>
    <s v="N"/>
    <s v="Y"/>
    <s v="A037"/>
    <d v="2016-12-19T00:00:00"/>
    <s v="10"/>
    <s v="TAN"/>
    <s v="OR"/>
    <d v="2016-12-14T00:00:00"/>
    <s v="ON"/>
    <s v="CA"/>
    <s v="ZR"/>
    <d v="2016-12-14T00:00:00"/>
  </r>
  <r>
    <x v="0"/>
    <x v="0"/>
    <x v="755"/>
    <x v="0"/>
    <s v="Standard order"/>
    <x v="739"/>
    <x v="739"/>
    <s v="R059"/>
    <s v="CRYSTAL RR059"/>
    <s v="5003518"/>
    <s v="R059 ACH CM Vibrance RP"/>
    <n v="12"/>
    <n v="0"/>
    <n v="12"/>
    <x v="0"/>
    <s v="AP73"/>
    <s v="RP"/>
    <s v="393"/>
    <s v="4.0 UN"/>
    <s v="STANDARD"/>
    <s v="Y"/>
    <s v="N"/>
    <s v="N"/>
    <s v="N"/>
    <s v="N"/>
    <s v="N"/>
    <s v="N"/>
    <s v="Y"/>
    <s v="A037"/>
    <d v="2016-12-19T00:00:00"/>
    <s v="10"/>
    <s v="TAN"/>
    <s v="OR"/>
    <d v="2016-12-14T00:00:00"/>
    <s v="ON"/>
    <s v="CA"/>
    <s v="ZR"/>
    <d v="2016-12-14T00:00:00"/>
  </r>
  <r>
    <x v="0"/>
    <x v="0"/>
    <x v="755"/>
    <x v="0"/>
    <s v="Standard order"/>
    <x v="739"/>
    <x v="739"/>
    <s v="G515"/>
    <s v="CRYSTAL G515"/>
    <s v="5003007"/>
    <s v="G515 ACH CM Vibrance RP"/>
    <n v="4"/>
    <n v="0"/>
    <n v="4"/>
    <x v="0"/>
    <s v="APND"/>
    <s v="RP"/>
    <s v="393"/>
    <s v="4.0 UN"/>
    <s v="STANDARD"/>
    <s v="Y"/>
    <s v="N"/>
    <s v="N"/>
    <s v="N"/>
    <s v="N"/>
    <s v="N"/>
    <s v="N"/>
    <s v="Y"/>
    <s v="A037"/>
    <d v="2016-12-19T00:00:00"/>
    <s v="20"/>
    <s v="TAN"/>
    <s v="OR"/>
    <d v="2016-12-14T00:00:00"/>
    <s v="ON"/>
    <s v="CA"/>
    <s v="ZR"/>
    <d v="2016-12-14T00:00:00"/>
  </r>
  <r>
    <x v="0"/>
    <x v="4"/>
    <x v="756"/>
    <x v="20"/>
    <s v="Standard order"/>
    <x v="740"/>
    <x v="740"/>
    <s v="A399"/>
    <s v="CRYSTAL A399NT"/>
    <s v="5002929"/>
    <s v="A399 ACH PB MED"/>
    <n v="12"/>
    <n v="0"/>
    <n v="12"/>
    <x v="4"/>
    <s v="DP71"/>
    <s v="MEDIUM"/>
    <s v="314"/>
    <s v="4.0 UN"/>
    <s v="STANDARD"/>
    <s v="N"/>
    <s v="Y"/>
    <s v="N"/>
    <s v="N"/>
    <s v="N"/>
    <s v="N"/>
    <s v="N"/>
    <s v="N"/>
    <s v="A039"/>
    <d v="2016-12-19T00:00:00"/>
    <s v="20"/>
    <s v="TAN"/>
    <s v="OR"/>
    <d v="2016-12-14T00:00:00"/>
    <s v="ID"/>
    <s v="US"/>
    <s v="ZR"/>
    <d v="2016-12-14T00:00:00"/>
  </r>
  <r>
    <x v="0"/>
    <x v="4"/>
    <x v="756"/>
    <x v="20"/>
    <s v="Standard order"/>
    <x v="740"/>
    <x v="740"/>
    <s v="A399"/>
    <s v="CRYSTAL A399NT"/>
    <s v="5002921"/>
    <s v="A399 ACH MED"/>
    <n v="36"/>
    <n v="0"/>
    <n v="36"/>
    <x v="4"/>
    <s v="DP71"/>
    <s v="MEDIUM"/>
    <s v="316"/>
    <s v="4.0 UN"/>
    <s v="STANDARD"/>
    <s v="N"/>
    <s v="N"/>
    <s v="N"/>
    <s v="N"/>
    <s v="N"/>
    <s v="N"/>
    <s v="N"/>
    <s v="N"/>
    <s v="A039"/>
    <d v="2016-12-19T00:00:00"/>
    <s v="10"/>
    <s v="TAN"/>
    <s v="OR"/>
    <d v="2016-12-14T00:00:00"/>
    <s v="ID"/>
    <s v="US"/>
    <s v="ZR"/>
    <d v="2016-12-14T00:00:00"/>
  </r>
  <r>
    <x v="0"/>
    <x v="0"/>
    <x v="757"/>
    <x v="4"/>
    <s v="Standard order"/>
    <x v="741"/>
    <x v="741"/>
    <s v="G333"/>
    <s v="CRYSTAL G333NT"/>
    <s v="5003378"/>
    <s v="G333 ACH T20 Kabina RP"/>
    <n v="48"/>
    <n v="0"/>
    <n v="48"/>
    <x v="0"/>
    <s v="EE73"/>
    <s v="RP"/>
    <s v="387"/>
    <s v="4.0 UN"/>
    <s v="STANDARD"/>
    <s v="N"/>
    <s v="N"/>
    <s v="Y"/>
    <s v="T20"/>
    <s v="N"/>
    <s v="N"/>
    <s v="N"/>
    <s v="N"/>
    <s v="A035"/>
    <d v="2016-12-19T00:00:00"/>
    <s v="10"/>
    <s v="TAN"/>
    <s v="OR"/>
    <d v="2016-12-14T00:00:00"/>
    <s v="MI"/>
    <s v="US"/>
    <s v="ZR"/>
    <d v="2016-12-14T00:00:00"/>
  </r>
  <r>
    <x v="0"/>
    <x v="0"/>
    <x v="757"/>
    <x v="4"/>
    <s v="Standard order"/>
    <x v="741"/>
    <x v="741"/>
    <s v="G351"/>
    <s v="CRYSTAL G351NT"/>
    <s v="5003398"/>
    <s v="G351 ACH T20 Kabina RP"/>
    <n v="44"/>
    <n v="0"/>
    <n v="44"/>
    <x v="0"/>
    <s v="DA73"/>
    <s v="RP"/>
    <s v="387"/>
    <s v="4.0 UN"/>
    <s v="STANDARD"/>
    <s v="N"/>
    <s v="N"/>
    <s v="Y"/>
    <s v="T20"/>
    <s v="N"/>
    <s v="N"/>
    <s v="N"/>
    <s v="N"/>
    <s v="A035"/>
    <d v="2016-12-19T00:00:00"/>
    <s v="20"/>
    <s v="TAN"/>
    <s v="OR"/>
    <d v="2016-12-14T00:00:00"/>
    <s v="MI"/>
    <s v="US"/>
    <s v="ZR"/>
    <d v="2016-12-14T00:00:00"/>
  </r>
  <r>
    <x v="0"/>
    <x v="2"/>
    <x v="758"/>
    <x v="5"/>
    <s v="Standard order"/>
    <x v="742"/>
    <x v="742"/>
    <s v="W322"/>
    <s v="CRYSTAL W322NT"/>
    <s v="5003488"/>
    <s v="W322 ACH T20 PB SYSTIVA G100"/>
    <n v="24"/>
    <n v="0"/>
    <n v="24"/>
    <x v="2"/>
    <s v="EE73"/>
    <s v="GEM 100"/>
    <s v="324"/>
    <s v="4.0 UN"/>
    <s v="STANDARD"/>
    <s v="N"/>
    <s v="Y"/>
    <s v="N"/>
    <s v="T20"/>
    <s v="Y"/>
    <s v="N"/>
    <s v="Y"/>
    <s v="N"/>
    <s v="A020"/>
    <d v="2016-12-19T00:00:00"/>
    <s v="10"/>
    <s v="TAN"/>
    <s v="OR"/>
    <d v="2016-12-14T00:00:00"/>
    <s v="CO"/>
    <s v="US"/>
    <s v="ZR"/>
    <d v="2016-12-14T00:00:00"/>
  </r>
  <r>
    <x v="0"/>
    <x v="0"/>
    <x v="759"/>
    <x v="4"/>
    <s v="Standard order"/>
    <x v="743"/>
    <x v="743"/>
    <s v="G333"/>
    <s v="CRYSTAL G333NT"/>
    <s v="5003377"/>
    <s v="G333 ACH T20 Kabina MP"/>
    <n v="20"/>
    <n v="0"/>
    <n v="20"/>
    <x v="0"/>
    <s v="EE73"/>
    <s v="MP"/>
    <s v="387"/>
    <s v="4.0 UN"/>
    <s v="STANDARD"/>
    <s v="N"/>
    <s v="N"/>
    <s v="Y"/>
    <s v="T20"/>
    <s v="N"/>
    <s v="N"/>
    <s v="N"/>
    <s v="N"/>
    <s v="A035"/>
    <d v="2016-12-19T00:00:00"/>
    <s v="10"/>
    <s v="TAN"/>
    <s v="OR"/>
    <d v="2016-12-14T00:00:00"/>
    <s v="MI"/>
    <s v="US"/>
    <s v="ZR"/>
    <d v="2016-12-14T00:00:00"/>
  </r>
  <r>
    <x v="0"/>
    <x v="0"/>
    <x v="759"/>
    <x v="4"/>
    <s v="Standard order"/>
    <x v="743"/>
    <x v="743"/>
    <s v="R059"/>
    <s v="CRYSTAL RR059"/>
    <s v="5003529"/>
    <s v="R059 ACH T20 Kabina MP"/>
    <n v="36"/>
    <n v="0"/>
    <n v="36"/>
    <x v="0"/>
    <s v="AP73"/>
    <s v="MP"/>
    <s v="387"/>
    <s v="4.0 UN"/>
    <s v="STANDARD"/>
    <s v="N"/>
    <s v="N"/>
    <s v="Y"/>
    <s v="T20"/>
    <s v="N"/>
    <s v="N"/>
    <s v="N"/>
    <s v="N"/>
    <s v="A035"/>
    <d v="2016-12-19T00:00:00"/>
    <s v="20"/>
    <s v="TAN"/>
    <s v="OR"/>
    <d v="2016-12-14T00:00:00"/>
    <s v="MI"/>
    <s v="US"/>
    <s v="ZR"/>
    <d v="2016-12-14T00:00:00"/>
  </r>
  <r>
    <x v="0"/>
    <x v="0"/>
    <x v="760"/>
    <x v="2"/>
    <s v="Standard order"/>
    <x v="744"/>
    <x v="744"/>
    <s v="R059"/>
    <s v="CRYSTAL RR059"/>
    <s v="5003530"/>
    <s v="R059 ACH T20 Kabina RP"/>
    <n v="44"/>
    <n v="0"/>
    <n v="44"/>
    <x v="0"/>
    <s v="AP73"/>
    <s v="RP"/>
    <s v="387"/>
    <s v="4.0 UN"/>
    <s v="STANDARD"/>
    <s v="N"/>
    <s v="N"/>
    <s v="Y"/>
    <s v="T20"/>
    <s v="N"/>
    <s v="N"/>
    <s v="N"/>
    <s v="N"/>
    <s v="A034"/>
    <d v="2016-12-19T00:00:00"/>
    <s v="10"/>
    <s v="TAN"/>
    <s v="OR"/>
    <d v="2016-12-14T00:00:00"/>
    <s v="MI"/>
    <s v="US"/>
    <s v="ZR"/>
    <d v="2016-12-14T00:00:00"/>
  </r>
  <r>
    <x v="0"/>
    <x v="0"/>
    <x v="761"/>
    <x v="2"/>
    <s v="Standard order"/>
    <x v="4"/>
    <x v="4"/>
    <s v="G333"/>
    <s v="CRYSTAL G333NT"/>
    <s v="5003378"/>
    <s v="G333 ACH T20 Kabina RP"/>
    <n v="72"/>
    <n v="0"/>
    <n v="72"/>
    <x v="0"/>
    <s v="EE73"/>
    <s v="RP"/>
    <s v="387"/>
    <s v="4.0 UN"/>
    <s v="STANDARD"/>
    <s v="N"/>
    <s v="N"/>
    <s v="Y"/>
    <s v="T20"/>
    <s v="N"/>
    <s v="N"/>
    <s v="N"/>
    <s v="N"/>
    <s v="A034"/>
    <d v="2016-12-19T00:00:00"/>
    <s v="10"/>
    <s v="TAN"/>
    <s v="OR"/>
    <d v="2016-12-14T00:00:00"/>
    <s v="MI"/>
    <s v="US"/>
    <s v="ZR"/>
    <d v="2016-12-14T00:00:00"/>
  </r>
  <r>
    <x v="0"/>
    <x v="0"/>
    <x v="761"/>
    <x v="2"/>
    <s v="Standard order"/>
    <x v="4"/>
    <x v="4"/>
    <s v="R059"/>
    <s v="CRYSTAL RR059"/>
    <s v="5003530"/>
    <s v="R059 ACH T20 Kabina RP"/>
    <n v="8"/>
    <n v="0"/>
    <n v="8"/>
    <x v="0"/>
    <s v="AP73"/>
    <s v="RP"/>
    <s v="387"/>
    <s v="4.0 UN"/>
    <s v="STANDARD"/>
    <s v="N"/>
    <s v="N"/>
    <s v="Y"/>
    <s v="T20"/>
    <s v="N"/>
    <s v="N"/>
    <s v="N"/>
    <s v="N"/>
    <s v="A034"/>
    <d v="2016-12-19T00:00:00"/>
    <s v="20"/>
    <s v="TAN"/>
    <s v="OR"/>
    <d v="2016-12-14T00:00:00"/>
    <s v="MI"/>
    <s v="US"/>
    <s v="ZR"/>
    <d v="2016-12-14T00:00:00"/>
  </r>
  <r>
    <x v="0"/>
    <x v="0"/>
    <x v="761"/>
    <x v="2"/>
    <s v="Standard order"/>
    <x v="4"/>
    <x v="4"/>
    <s v="G351"/>
    <s v="CRYSTAL G351NT"/>
    <s v="5003396"/>
    <s v="G351 ACH T20 Kabina ELS"/>
    <n v="20"/>
    <n v="0"/>
    <n v="20"/>
    <x v="0"/>
    <s v="DA73"/>
    <s v="ELS"/>
    <s v="387"/>
    <s v="4.0 UN"/>
    <s v="STANDARD"/>
    <s v="N"/>
    <s v="N"/>
    <s v="Y"/>
    <s v="T20"/>
    <s v="N"/>
    <s v="N"/>
    <s v="N"/>
    <s v="N"/>
    <s v="A034"/>
    <d v="2016-12-19T00:00:00"/>
    <s v="30"/>
    <s v="TAN"/>
    <s v="OR"/>
    <d v="2016-12-14T00:00:00"/>
    <s v="MI"/>
    <s v="US"/>
    <s v="ZR"/>
    <d v="2016-12-14T00:00:00"/>
  </r>
  <r>
    <x v="0"/>
    <x v="5"/>
    <x v="762"/>
    <x v="12"/>
    <s v="Standard order"/>
    <x v="745"/>
    <x v="745"/>
    <s v="R116"/>
    <s v="CRYSTAL RR116"/>
    <s v="5003103"/>
    <s v="R116 ACH T20 PB SYSTIVA MP"/>
    <n v="16"/>
    <n v="0"/>
    <n v="16"/>
    <x v="5"/>
    <s v="AP71"/>
    <s v="MP"/>
    <s v="324"/>
    <s v="4.0 UN"/>
    <s v="STANDARD"/>
    <s v="N"/>
    <s v="Y"/>
    <s v="N"/>
    <s v="T20"/>
    <s v="Y"/>
    <s v="N"/>
    <s v="N"/>
    <s v="N"/>
    <s v="A014"/>
    <d v="2016-12-19T00:00:00"/>
    <s v="10"/>
    <s v="TAN"/>
    <s v="OR"/>
    <d v="2016-12-14T00:00:00"/>
    <s v="MT"/>
    <s v="US"/>
    <s v="ZR"/>
    <d v="2016-12-14T00:00:00"/>
  </r>
  <r>
    <x v="0"/>
    <x v="2"/>
    <x v="763"/>
    <x v="6"/>
    <s v="Standard order"/>
    <x v="746"/>
    <x v="746"/>
    <s v="R272"/>
    <s v="CRYSTAL RR272"/>
    <s v="5003630"/>
    <s v="R272 ACH T20 PB SYSTIVA G50"/>
    <n v="60"/>
    <n v="0"/>
    <n v="60"/>
    <x v="2"/>
    <s v="DG73"/>
    <s v="GEM 50"/>
    <s v="324"/>
    <s v="4.0 UN"/>
    <s v="STANDARD"/>
    <s v="N"/>
    <s v="Y"/>
    <s v="N"/>
    <s v="T20"/>
    <s v="Y"/>
    <s v="N"/>
    <s v="Y"/>
    <s v="N"/>
    <s v="A025"/>
    <d v="2016-12-19T00:00:00"/>
    <s v="10"/>
    <s v="TAN"/>
    <s v="OR"/>
    <d v="2016-12-14T00:00:00"/>
    <s v="WY"/>
    <s v="US"/>
    <s v="ZR"/>
    <d v="2016-12-14T00:00:00"/>
  </r>
  <r>
    <x v="0"/>
    <x v="2"/>
    <x v="763"/>
    <x v="6"/>
    <s v="Standard order"/>
    <x v="746"/>
    <x v="746"/>
    <s v="W322"/>
    <s v="CRYSTAL W322NT"/>
    <s v="5003489"/>
    <s v="W322 ACH T20 PB SYSTIVA G50"/>
    <n v="92"/>
    <n v="0"/>
    <n v="92"/>
    <x v="2"/>
    <s v="EE73"/>
    <s v="GEM 50"/>
    <s v="324"/>
    <s v="4.0 UN"/>
    <s v="STANDARD"/>
    <s v="N"/>
    <s v="Y"/>
    <s v="N"/>
    <s v="T20"/>
    <s v="Y"/>
    <s v="N"/>
    <s v="Y"/>
    <s v="N"/>
    <s v="A025"/>
    <d v="2016-12-19T00:00:00"/>
    <s v="20"/>
    <s v="TAN"/>
    <s v="OR"/>
    <d v="2016-12-14T00:00:00"/>
    <s v="WY"/>
    <s v="US"/>
    <s v="ZR"/>
    <d v="2016-12-14T00:00:00"/>
  </r>
  <r>
    <x v="0"/>
    <x v="2"/>
    <x v="763"/>
    <x v="6"/>
    <s v="Standard order"/>
    <x v="746"/>
    <x v="746"/>
    <s v="R014"/>
    <s v="CRYSTAL RR014"/>
    <s v="5003092"/>
    <s v="R014 ACH T20 PB SYSTIVA G50"/>
    <n v="228"/>
    <n v="0"/>
    <n v="228"/>
    <x v="2"/>
    <s v="AP82"/>
    <s v="GEM 50"/>
    <s v="324"/>
    <s v="4.0 UN"/>
    <s v="STANDARD"/>
    <s v="N"/>
    <s v="Y"/>
    <s v="N"/>
    <s v="T20"/>
    <s v="Y"/>
    <s v="N"/>
    <s v="Y"/>
    <s v="N"/>
    <s v="A025"/>
    <d v="2016-12-19T00:00:00"/>
    <s v="30"/>
    <s v="TAN"/>
    <s v="OR"/>
    <d v="2016-12-14T00:00:00"/>
    <s v="WY"/>
    <s v="US"/>
    <s v="ZR"/>
    <d v="2016-12-14T00:00:00"/>
  </r>
  <r>
    <x v="0"/>
    <x v="0"/>
    <x v="764"/>
    <x v="2"/>
    <s v="Standard order"/>
    <x v="747"/>
    <x v="747"/>
    <s v="G333"/>
    <s v="CRYSTAL G333NT"/>
    <s v="5003378"/>
    <s v="G333 ACH T20 Kabina RP"/>
    <n v="16"/>
    <n v="0"/>
    <n v="16"/>
    <x v="0"/>
    <s v="EE73"/>
    <s v="RP"/>
    <s v="387"/>
    <s v="4.0 UN"/>
    <s v="STANDARD"/>
    <s v="N"/>
    <s v="N"/>
    <s v="Y"/>
    <s v="T20"/>
    <s v="N"/>
    <s v="N"/>
    <s v="N"/>
    <s v="N"/>
    <s v="A034"/>
    <d v="2016-12-19T00:00:00"/>
    <s v="10"/>
    <s v="TAN"/>
    <s v="OR"/>
    <d v="2016-12-14T00:00:00"/>
    <s v="MN"/>
    <s v="US"/>
    <s v="ZR"/>
    <d v="2016-12-14T00:00:00"/>
  </r>
  <r>
    <x v="0"/>
    <x v="2"/>
    <x v="765"/>
    <x v="22"/>
    <s v="Standard order"/>
    <x v="748"/>
    <x v="748"/>
    <s v="W322"/>
    <s v="CRYSTAL W322NT"/>
    <s v="5003488"/>
    <s v="W322 ACH T20 PB SYSTIVA G100"/>
    <n v="20"/>
    <n v="0"/>
    <n v="20"/>
    <x v="2"/>
    <s v="EE73"/>
    <s v="GEM 100"/>
    <s v="324"/>
    <s v="4.0 UN"/>
    <s v="STANDARD"/>
    <s v="N"/>
    <s v="Y"/>
    <s v="N"/>
    <s v="T20"/>
    <s v="Y"/>
    <s v="N"/>
    <s v="Y"/>
    <s v="N"/>
    <s v="A018"/>
    <d v="2016-12-19T00:00:00"/>
    <s v="10"/>
    <s v="TAN"/>
    <s v="OR"/>
    <d v="2016-12-14T00:00:00"/>
    <s v="CO"/>
    <s v="US"/>
    <s v="ZR"/>
    <d v="2016-12-14T00:00:00"/>
  </r>
  <r>
    <x v="0"/>
    <x v="2"/>
    <x v="766"/>
    <x v="5"/>
    <s v="Standard order"/>
    <x v="749"/>
    <x v="749"/>
    <s v="R014"/>
    <s v="CRYSTAL RR014"/>
    <s v="5003092"/>
    <s v="R014 ACH T20 PB SYSTIVA G50"/>
    <n v="20"/>
    <n v="0"/>
    <n v="20"/>
    <x v="2"/>
    <s v="AP82"/>
    <s v="GEM 50"/>
    <s v="324"/>
    <s v="4.0 UN"/>
    <s v="STANDARD"/>
    <s v="N"/>
    <s v="Y"/>
    <s v="N"/>
    <s v="T20"/>
    <s v="Y"/>
    <s v="N"/>
    <s v="Y"/>
    <s v="N"/>
    <s v="A020"/>
    <d v="2016-12-19T00:00:00"/>
    <s v="10"/>
    <s v="TAN"/>
    <s v="OR"/>
    <d v="2016-12-14T00:00:00"/>
    <s v="CO"/>
    <s v="US"/>
    <s v="ZR"/>
    <d v="2016-12-14T00:00:00"/>
  </r>
  <r>
    <x v="0"/>
    <x v="2"/>
    <x v="766"/>
    <x v="5"/>
    <s v="Standard order"/>
    <x v="749"/>
    <x v="749"/>
    <s v="R272"/>
    <s v="CRYSTAL RR272"/>
    <s v="5003630"/>
    <s v="R272 ACH T20 PB SYSTIVA G50"/>
    <n v="16"/>
    <n v="0"/>
    <n v="16"/>
    <x v="2"/>
    <s v="DG73"/>
    <s v="GEM 50"/>
    <s v="324"/>
    <s v="4.0 UN"/>
    <s v="STANDARD"/>
    <s v="N"/>
    <s v="Y"/>
    <s v="N"/>
    <s v="T20"/>
    <s v="Y"/>
    <s v="N"/>
    <s v="Y"/>
    <s v="N"/>
    <s v="A020"/>
    <d v="2016-12-19T00:00:00"/>
    <s v="20"/>
    <s v="TAN"/>
    <s v="OR"/>
    <d v="2016-12-14T00:00:00"/>
    <s v="CO"/>
    <s v="US"/>
    <s v="ZR"/>
    <d v="2016-12-14T00:00:00"/>
  </r>
  <r>
    <x v="0"/>
    <x v="0"/>
    <x v="767"/>
    <x v="2"/>
    <s v="Standard order"/>
    <x v="750"/>
    <x v="750"/>
    <s v="R059"/>
    <s v="CRYSTAL RR059"/>
    <s v="5003529"/>
    <s v="R059 ACH T20 Kabina MP"/>
    <n v="20"/>
    <n v="0"/>
    <n v="20"/>
    <x v="0"/>
    <s v="AP73"/>
    <s v="MP"/>
    <s v="387"/>
    <s v="4.0 UN"/>
    <s v="STANDARD"/>
    <s v="N"/>
    <s v="N"/>
    <s v="Y"/>
    <s v="T20"/>
    <s v="N"/>
    <s v="N"/>
    <s v="N"/>
    <s v="N"/>
    <s v="A034"/>
    <d v="2016-12-19T00:00:00"/>
    <s v="10"/>
    <s v="TAN"/>
    <s v="OR"/>
    <d v="2016-12-14T00:00:00"/>
    <s v="MI"/>
    <s v="US"/>
    <s v="ZR"/>
    <d v="2016-12-14T00:00:00"/>
  </r>
  <r>
    <x v="0"/>
    <x v="0"/>
    <x v="767"/>
    <x v="2"/>
    <s v="Standard order"/>
    <x v="750"/>
    <x v="750"/>
    <s v="G333"/>
    <s v="CRYSTAL G333NT"/>
    <s v="5003377"/>
    <s v="G333 ACH T20 Kabina MP"/>
    <n v="40"/>
    <n v="0"/>
    <n v="40"/>
    <x v="0"/>
    <s v="EE73"/>
    <s v="MP"/>
    <s v="387"/>
    <s v="4.0 UN"/>
    <s v="STANDARD"/>
    <s v="N"/>
    <s v="N"/>
    <s v="Y"/>
    <s v="T20"/>
    <s v="N"/>
    <s v="N"/>
    <s v="N"/>
    <s v="N"/>
    <s v="A034"/>
    <d v="2016-12-19T00:00:00"/>
    <s v="20"/>
    <s v="TAN"/>
    <s v="OR"/>
    <d v="2016-12-14T00:00:00"/>
    <s v="MI"/>
    <s v="US"/>
    <s v="ZR"/>
    <d v="2016-12-14T00:00:00"/>
  </r>
  <r>
    <x v="0"/>
    <x v="0"/>
    <x v="768"/>
    <x v="10"/>
    <s v="Standard order"/>
    <x v="751"/>
    <x v="751"/>
    <s v="R059"/>
    <s v="CRYSTAL RR059"/>
    <s v="5003530"/>
    <s v="R059 ACH T20 Kabina RP"/>
    <n v="100"/>
    <n v="0"/>
    <n v="100"/>
    <x v="0"/>
    <s v="AP73"/>
    <s v="RP"/>
    <s v="387"/>
    <s v="4.0 UN"/>
    <s v="STANDARD"/>
    <s v="N"/>
    <s v="N"/>
    <s v="Y"/>
    <s v="T20"/>
    <s v="N"/>
    <s v="N"/>
    <s v="N"/>
    <s v="N"/>
    <s v="A036"/>
    <d v="2016-12-19T00:00:00"/>
    <s v="10"/>
    <s v="TAN"/>
    <s v="OR"/>
    <d v="2016-12-14T00:00:00"/>
    <s v="MI"/>
    <s v="US"/>
    <s v="ZR"/>
    <d v="2016-12-14T00:00:00"/>
  </r>
  <r>
    <x v="0"/>
    <x v="2"/>
    <x v="769"/>
    <x v="5"/>
    <s v="Standard order"/>
    <x v="752"/>
    <x v="752"/>
    <s v="W322"/>
    <s v="CRYSTAL W322NT"/>
    <s v="5003488"/>
    <s v="W322 ACH T20 PB SYSTIVA G100"/>
    <n v="24"/>
    <n v="0"/>
    <n v="24"/>
    <x v="2"/>
    <s v="EE73"/>
    <s v="GEM 100"/>
    <s v="324"/>
    <s v="4.0 UN"/>
    <s v="STANDARD"/>
    <s v="N"/>
    <s v="Y"/>
    <s v="N"/>
    <s v="T20"/>
    <s v="Y"/>
    <s v="N"/>
    <s v="Y"/>
    <s v="N"/>
    <s v="A020"/>
    <d v="2016-12-19T00:00:00"/>
    <s v="10"/>
    <s v="TAN"/>
    <s v="OR"/>
    <d v="2016-12-13T00:00:00"/>
    <s v="CO"/>
    <s v="US"/>
    <s v="ZR"/>
    <d v="2016-12-14T00:00:00"/>
  </r>
  <r>
    <x v="0"/>
    <x v="6"/>
    <x v="770"/>
    <x v="11"/>
    <s v="Standard order"/>
    <x v="753"/>
    <x v="753"/>
    <s v="S498"/>
    <s v="CRYSTAL S498"/>
    <s v="5003432"/>
    <s v="S498 ACH T20 PB SYSTIVA G50"/>
    <n v="52"/>
    <n v="0"/>
    <n v="52"/>
    <x v="6"/>
    <s v="FE73"/>
    <s v="GEM 50"/>
    <s v="324"/>
    <s v="4.0 UN"/>
    <s v="STANDARD"/>
    <s v="N"/>
    <s v="Y"/>
    <s v="N"/>
    <s v="T20"/>
    <s v="Y"/>
    <s v="N"/>
    <s v="Y"/>
    <s v="N"/>
    <s v="A038"/>
    <d v="2016-12-19T00:00:00"/>
    <s v="10"/>
    <s v="TAN"/>
    <s v="OR"/>
    <d v="2016-12-13T00:00:00"/>
    <s v="MT"/>
    <s v="US"/>
    <s v="ZR"/>
    <d v="2016-12-14T00:00:00"/>
  </r>
  <r>
    <x v="0"/>
    <x v="6"/>
    <x v="770"/>
    <x v="11"/>
    <s v="Standard order"/>
    <x v="753"/>
    <x v="753"/>
    <s v="R081"/>
    <s v="CRYSTAL RR081"/>
    <s v="5003575"/>
    <s v="R081 ACH T20 PB SYSTIVA G50 SSI"/>
    <n v="12"/>
    <n v="0"/>
    <n v="12"/>
    <x v="6"/>
    <s v="AQ82"/>
    <s v="GEM 50"/>
    <s v="324"/>
    <s v="4.0 UN"/>
    <s v="STANDARD"/>
    <s v="N"/>
    <s v="Y"/>
    <s v="N"/>
    <s v="T20"/>
    <s v="Y"/>
    <s v="N"/>
    <s v="Y"/>
    <s v="N"/>
    <s v="A038"/>
    <d v="2016-12-19T00:00:00"/>
    <s v="20"/>
    <s v="TAN"/>
    <s v="OR"/>
    <d v="2016-12-13T00:00:00"/>
    <s v="MT"/>
    <s v="US"/>
    <s v="ZR"/>
    <d v="2016-12-14T00:00:00"/>
  </r>
  <r>
    <x v="0"/>
    <x v="6"/>
    <x v="770"/>
    <x v="11"/>
    <s v="Standard order"/>
    <x v="753"/>
    <x v="753"/>
    <s v="R052"/>
    <s v="CRYSTAL RR052"/>
    <s v="5003514"/>
    <s v="R052 ACH T20 PB SYSTIVA G50"/>
    <n v="16"/>
    <n v="0"/>
    <n v="16"/>
    <x v="6"/>
    <s v="AP82"/>
    <s v="GEM 50"/>
    <s v="324"/>
    <s v="4.0 UN"/>
    <s v="STANDARD"/>
    <s v="N"/>
    <s v="Y"/>
    <s v="N"/>
    <s v="T20"/>
    <s v="Y"/>
    <s v="N"/>
    <s v="Y"/>
    <s v="N"/>
    <s v="A038"/>
    <d v="2016-12-19T00:00:00"/>
    <s v="30"/>
    <s v="TAN"/>
    <s v="OR"/>
    <d v="2016-12-13T00:00:00"/>
    <s v="MT"/>
    <s v="US"/>
    <s v="ZR"/>
    <d v="2016-12-14T00:00:00"/>
  </r>
  <r>
    <x v="0"/>
    <x v="6"/>
    <x v="771"/>
    <x v="11"/>
    <s v="Standard order"/>
    <x v="754"/>
    <x v="754"/>
    <s v="S498"/>
    <s v="CRYSTAL S498"/>
    <s v="5003430"/>
    <s v="S498 ACH T20 PB SYSTIVA ELS"/>
    <n v="188"/>
    <n v="0"/>
    <n v="188"/>
    <x v="6"/>
    <s v="FE73"/>
    <s v="ELS"/>
    <s v="324"/>
    <s v="4.0 UN"/>
    <s v="STANDARD"/>
    <s v="N"/>
    <s v="Y"/>
    <s v="N"/>
    <s v="T20"/>
    <s v="Y"/>
    <s v="N"/>
    <s v="Y"/>
    <s v="N"/>
    <s v="A038"/>
    <d v="2016-12-19T00:00:00"/>
    <s v="30"/>
    <s v="TAN"/>
    <s v="OR"/>
    <d v="2016-12-13T00:00:00"/>
    <s v="MT"/>
    <s v="US"/>
    <s v="ZR"/>
    <d v="2016-12-14T00:00:00"/>
  </r>
  <r>
    <x v="0"/>
    <x v="6"/>
    <x v="771"/>
    <x v="11"/>
    <s v="Standard order"/>
    <x v="754"/>
    <x v="754"/>
    <s v="R081"/>
    <s v="CRYSTAL RR081"/>
    <s v="5003573"/>
    <s v="R081 ACH T20 PB SYSTIVA ELS SSI"/>
    <n v="100"/>
    <n v="0"/>
    <n v="100"/>
    <x v="6"/>
    <s v="AQ82"/>
    <s v="ELS"/>
    <s v="324"/>
    <s v="4.0 UN"/>
    <s v="STANDARD"/>
    <s v="N"/>
    <s v="Y"/>
    <s v="N"/>
    <s v="T20"/>
    <s v="Y"/>
    <s v="N"/>
    <s v="Y"/>
    <s v="N"/>
    <s v="A038"/>
    <d v="2016-12-19T00:00:00"/>
    <s v="40"/>
    <s v="TAN"/>
    <s v="OR"/>
    <d v="2016-12-13T00:00:00"/>
    <s v="MT"/>
    <s v="US"/>
    <s v="ZR"/>
    <d v="2016-12-14T00:00:00"/>
  </r>
  <r>
    <x v="0"/>
    <x v="6"/>
    <x v="771"/>
    <x v="11"/>
    <s v="Standard order"/>
    <x v="754"/>
    <x v="754"/>
    <s v="S517"/>
    <s v="CRYSTAL S517"/>
    <s v="5003466"/>
    <s v="S517 ACH T20 PB SYSTIVA ELS"/>
    <n v="24"/>
    <n v="0"/>
    <n v="24"/>
    <x v="6"/>
    <s v="DVNV"/>
    <s v="ELS"/>
    <s v="324"/>
    <s v="4.0 UN"/>
    <s v="STANDARD"/>
    <s v="N"/>
    <s v="Y"/>
    <s v="N"/>
    <s v="T20"/>
    <s v="Y"/>
    <s v="N"/>
    <s v="Y"/>
    <s v="N"/>
    <s v="A038"/>
    <d v="2016-12-19T00:00:00"/>
    <s v="50"/>
    <s v="TAN"/>
    <s v="OR"/>
    <d v="2016-12-13T00:00:00"/>
    <s v="MT"/>
    <s v="US"/>
    <s v="ZR"/>
    <d v="2016-12-14T00:00:00"/>
  </r>
  <r>
    <x v="0"/>
    <x v="0"/>
    <x v="772"/>
    <x v="0"/>
    <s v="Standard order"/>
    <x v="755"/>
    <x v="755"/>
    <s v="R059"/>
    <s v="CRYSTAL RR059"/>
    <s v="5003518"/>
    <s v="R059 ACH CM Vibrance RP"/>
    <n v="28"/>
    <n v="0"/>
    <n v="28"/>
    <x v="0"/>
    <s v="AP73"/>
    <s v="RP"/>
    <s v="393"/>
    <s v="4.0 UN"/>
    <s v="STANDARD"/>
    <s v="Y"/>
    <s v="N"/>
    <s v="N"/>
    <s v="N"/>
    <s v="N"/>
    <s v="N"/>
    <s v="N"/>
    <s v="Y"/>
    <s v="A037"/>
    <d v="2016-12-19T00:00:00"/>
    <s v="10"/>
    <s v="TAN"/>
    <s v="OR"/>
    <d v="2016-12-13T00:00:00"/>
    <s v="ON"/>
    <s v="CA"/>
    <s v="ZR"/>
    <d v="2016-12-14T00:00:00"/>
  </r>
  <r>
    <x v="0"/>
    <x v="0"/>
    <x v="772"/>
    <x v="0"/>
    <s v="Standard order"/>
    <x v="755"/>
    <x v="755"/>
    <s v="G515"/>
    <s v="CRYSTAL G515"/>
    <s v="5003007"/>
    <s v="G515 ACH CM Vibrance RP"/>
    <n v="12"/>
    <n v="0"/>
    <n v="12"/>
    <x v="0"/>
    <s v="APND"/>
    <s v="RP"/>
    <s v="393"/>
    <s v="4.0 UN"/>
    <s v="STANDARD"/>
    <s v="Y"/>
    <s v="N"/>
    <s v="N"/>
    <s v="N"/>
    <s v="N"/>
    <s v="N"/>
    <s v="N"/>
    <s v="Y"/>
    <s v="A037"/>
    <d v="2016-12-19T00:00:00"/>
    <s v="20"/>
    <s v="TAN"/>
    <s v="OR"/>
    <d v="2016-12-13T00:00:00"/>
    <s v="ON"/>
    <s v="CA"/>
    <s v="ZR"/>
    <d v="2016-12-14T00:00:00"/>
  </r>
  <r>
    <x v="0"/>
    <x v="0"/>
    <x v="773"/>
    <x v="0"/>
    <s v="Standard order"/>
    <x v="756"/>
    <x v="756"/>
    <s v="R059"/>
    <s v="CRYSTAL RR059"/>
    <s v="5003518"/>
    <s v="R059 ACH CM Vibrance RP"/>
    <n v="28"/>
    <n v="0"/>
    <n v="28"/>
    <x v="0"/>
    <s v="AP73"/>
    <s v="RP"/>
    <s v="393"/>
    <s v="4.0 UN"/>
    <s v="STANDARD"/>
    <s v="Y"/>
    <s v="N"/>
    <s v="N"/>
    <s v="N"/>
    <s v="N"/>
    <s v="N"/>
    <s v="N"/>
    <s v="Y"/>
    <s v="A037"/>
    <d v="2016-12-19T00:00:00"/>
    <s v="10"/>
    <s v="TAN"/>
    <s v="OR"/>
    <d v="2016-12-13T00:00:00"/>
    <s v="ON"/>
    <s v="CA"/>
    <s v="ZR"/>
    <d v="2016-12-14T00:00:00"/>
  </r>
  <r>
    <x v="0"/>
    <x v="4"/>
    <x v="774"/>
    <x v="7"/>
    <s v="Standard order"/>
    <x v="757"/>
    <x v="757"/>
    <s v="A488"/>
    <s v="CRYSTAL A488NT"/>
    <s v="5002988"/>
    <s v="A488 ACH T20 PB Kabina MP"/>
    <n v="16"/>
    <n v="0"/>
    <n v="16"/>
    <x v="4"/>
    <s v="EENE"/>
    <s v="MP"/>
    <s v="388"/>
    <s v="4.0 UN"/>
    <s v="STANDARD"/>
    <s v="N"/>
    <s v="Y"/>
    <s v="Y"/>
    <s v="T20"/>
    <s v="N"/>
    <s v="N"/>
    <s v="N"/>
    <s v="N"/>
    <s v="A045"/>
    <d v="2016-12-19T00:00:00"/>
    <s v="10"/>
    <s v="TAN"/>
    <s v="OR"/>
    <d v="2016-12-13T00:00:00"/>
    <s v="ID"/>
    <s v="US"/>
    <s v="ZR"/>
    <d v="2016-12-14T00:00:00"/>
  </r>
  <r>
    <x v="0"/>
    <x v="4"/>
    <x v="774"/>
    <x v="7"/>
    <s v="Standard order"/>
    <x v="757"/>
    <x v="757"/>
    <s v="A399"/>
    <s v="CRYSTAL A399NT"/>
    <s v="5002936"/>
    <s v="A399 ACH T20 PB Kabina MP"/>
    <n v="28"/>
    <n v="0"/>
    <n v="28"/>
    <x v="4"/>
    <s v="DP71"/>
    <s v="MP"/>
    <s v="388"/>
    <s v="4.0 UN"/>
    <s v="STANDARD"/>
    <s v="N"/>
    <s v="Y"/>
    <s v="Y"/>
    <s v="T20"/>
    <s v="N"/>
    <s v="N"/>
    <s v="N"/>
    <s v="N"/>
    <s v="A045"/>
    <d v="2016-12-19T00:00:00"/>
    <s v="20"/>
    <s v="TAN"/>
    <s v="OR"/>
    <d v="2016-12-13T00:00:00"/>
    <s v="ID"/>
    <s v="US"/>
    <s v="ZR"/>
    <d v="2016-12-14T00:00:00"/>
  </r>
  <r>
    <x v="0"/>
    <x v="4"/>
    <x v="775"/>
    <x v="15"/>
    <s v="Standard order"/>
    <x v="758"/>
    <x v="758"/>
    <s v="A399"/>
    <s v="CRYSTAL A399NT"/>
    <s v="5002931"/>
    <s v="A399 ACH PB XL"/>
    <n v="16"/>
    <n v="0"/>
    <n v="16"/>
    <x v="4"/>
    <s v="DP71"/>
    <s v="X-LARGE"/>
    <s v="314"/>
    <s v="4.0 UN"/>
    <s v="STANDARD"/>
    <s v="N"/>
    <s v="Y"/>
    <s v="N"/>
    <s v="N"/>
    <s v="N"/>
    <s v="N"/>
    <s v="N"/>
    <s v="N"/>
    <s v="A043"/>
    <d v="2016-12-19T00:00:00"/>
    <s v="10"/>
    <s v="TAN"/>
    <s v="OR"/>
    <d v="2016-12-13T00:00:00"/>
    <s v="ID"/>
    <s v="US"/>
    <s v="ZR"/>
    <d v="2016-12-14T00:00:00"/>
  </r>
  <r>
    <x v="0"/>
    <x v="0"/>
    <x v="776"/>
    <x v="0"/>
    <s v="Standard order"/>
    <x v="759"/>
    <x v="759"/>
    <s v="G515"/>
    <s v="CRYSTAL G515"/>
    <s v="5003007"/>
    <s v="G515 ACH CM Vibrance RP"/>
    <n v="8"/>
    <n v="0"/>
    <n v="8"/>
    <x v="0"/>
    <s v="APND"/>
    <s v="RP"/>
    <s v="393"/>
    <s v="4.0 UN"/>
    <s v="STANDARD"/>
    <s v="Y"/>
    <s v="N"/>
    <s v="N"/>
    <s v="N"/>
    <s v="N"/>
    <s v="N"/>
    <s v="N"/>
    <s v="Y"/>
    <s v="A037"/>
    <d v="2016-12-19T00:00:00"/>
    <s v="10"/>
    <s v="TAN"/>
    <s v="OR"/>
    <d v="2016-12-14T00:00:00"/>
    <s v="ON"/>
    <s v="CA"/>
    <s v="ZR"/>
    <d v="2016-12-14T00:00:00"/>
  </r>
  <r>
    <x v="0"/>
    <x v="0"/>
    <x v="776"/>
    <x v="0"/>
    <s v="Standard order"/>
    <x v="759"/>
    <x v="759"/>
    <s v="R059"/>
    <s v="CRYSTAL RR059"/>
    <s v="5003518"/>
    <s v="R059 ACH CM Vibrance RP"/>
    <n v="44"/>
    <n v="0"/>
    <n v="44"/>
    <x v="0"/>
    <s v="AP73"/>
    <s v="RP"/>
    <s v="393"/>
    <s v="4.0 UN"/>
    <s v="STANDARD"/>
    <s v="Y"/>
    <s v="N"/>
    <s v="N"/>
    <s v="N"/>
    <s v="N"/>
    <s v="N"/>
    <s v="N"/>
    <s v="Y"/>
    <s v="A037"/>
    <d v="2016-12-19T00:00:00"/>
    <s v="20"/>
    <s v="TAN"/>
    <s v="OR"/>
    <d v="2016-12-14T00:00:00"/>
    <s v="ON"/>
    <s v="CA"/>
    <s v="ZR"/>
    <d v="2016-12-14T00:00:00"/>
  </r>
  <r>
    <x v="0"/>
    <x v="5"/>
    <x v="777"/>
    <x v="12"/>
    <s v="Standard order"/>
    <x v="760"/>
    <x v="760"/>
    <s v="Y400"/>
    <s v="CRYSTAL Y400NT"/>
    <s v="5003731"/>
    <s v="Y400 ACH T20 PB SYSTIVA ELS"/>
    <n v="24"/>
    <n v="0"/>
    <n v="24"/>
    <x v="5"/>
    <s v="4TBP"/>
    <s v="ELS"/>
    <s v="324"/>
    <s v="4.0 UN"/>
    <s v="STANDARD"/>
    <s v="N"/>
    <s v="Y"/>
    <s v="N"/>
    <s v="T20"/>
    <s v="Y"/>
    <s v="N"/>
    <s v="N"/>
    <s v="N"/>
    <s v="A014"/>
    <d v="2016-12-19T00:00:00"/>
    <s v="10"/>
    <s v="TAN"/>
    <s v="OR"/>
    <d v="2016-12-14T00:00:00"/>
    <s v="MT"/>
    <s v="US"/>
    <s v="ZR"/>
    <d v="2016-12-14T00:00:00"/>
  </r>
  <r>
    <x v="0"/>
    <x v="5"/>
    <x v="777"/>
    <x v="12"/>
    <s v="Standard order"/>
    <x v="760"/>
    <x v="760"/>
    <s v="R116"/>
    <s v="CRYSTAL RR116"/>
    <s v="5003101"/>
    <s v="R116 ACH T20 PB SYSTIVA ELS"/>
    <n v="60"/>
    <n v="0"/>
    <n v="60"/>
    <x v="5"/>
    <s v="AP71"/>
    <s v="ELS"/>
    <s v="324"/>
    <s v="4.0 UN"/>
    <s v="STANDARD"/>
    <s v="N"/>
    <s v="Y"/>
    <s v="N"/>
    <s v="T20"/>
    <s v="Y"/>
    <s v="N"/>
    <s v="N"/>
    <s v="N"/>
    <s v="A014"/>
    <d v="2016-12-19T00:00:00"/>
    <s v="20"/>
    <s v="TAN"/>
    <s v="OR"/>
    <d v="2016-12-14T00:00:00"/>
    <s v="MT"/>
    <s v="US"/>
    <s v="ZR"/>
    <d v="2016-12-14T00:00:00"/>
  </r>
  <r>
    <x v="0"/>
    <x v="2"/>
    <x v="778"/>
    <x v="5"/>
    <s v="Standard order"/>
    <x v="761"/>
    <x v="761"/>
    <s v="W322"/>
    <s v="CRYSTAL W322NT"/>
    <s v="5003487"/>
    <s v="W322 ACH T20 PB SYSTIVA ELS"/>
    <n v="24"/>
    <n v="0"/>
    <n v="24"/>
    <x v="2"/>
    <s v="EE73"/>
    <s v="ELS"/>
    <s v="324"/>
    <s v="4.0 UN"/>
    <s v="STANDARD"/>
    <s v="N"/>
    <s v="Y"/>
    <s v="N"/>
    <s v="T20"/>
    <s v="Y"/>
    <s v="N"/>
    <s v="Y"/>
    <s v="N"/>
    <s v="A020"/>
    <d v="2016-12-19T00:00:00"/>
    <s v="10"/>
    <s v="TAN"/>
    <s v="OR"/>
    <d v="2016-12-14T00:00:00"/>
    <s v="CO"/>
    <s v="US"/>
    <s v="ZR"/>
    <d v="2016-12-14T00:00:00"/>
  </r>
  <r>
    <x v="0"/>
    <x v="2"/>
    <x v="779"/>
    <x v="5"/>
    <s v="Standard order"/>
    <x v="762"/>
    <x v="762"/>
    <s v="W322"/>
    <s v="CRYSTAL W322NT"/>
    <s v="5003489"/>
    <s v="W322 ACH T20 PB SYSTIVA G50"/>
    <n v="12"/>
    <n v="0"/>
    <n v="12"/>
    <x v="2"/>
    <s v="EE73"/>
    <s v="GEM 50"/>
    <s v="324"/>
    <s v="4.0 UN"/>
    <s v="STANDARD"/>
    <s v="N"/>
    <s v="Y"/>
    <s v="N"/>
    <s v="T20"/>
    <s v="Y"/>
    <s v="N"/>
    <s v="Y"/>
    <s v="N"/>
    <s v="A020"/>
    <d v="2016-12-19T00:00:00"/>
    <s v="10"/>
    <s v="TAN"/>
    <s v="OR"/>
    <d v="2016-12-14T00:00:00"/>
    <s v="CO"/>
    <s v="US"/>
    <s v="ZR"/>
    <d v="2016-12-14T00:00:00"/>
  </r>
  <r>
    <x v="0"/>
    <x v="0"/>
    <x v="780"/>
    <x v="2"/>
    <s v="Standard order"/>
    <x v="763"/>
    <x v="763"/>
    <s v="R059"/>
    <s v="CRYSTAL RR059"/>
    <s v="5003536"/>
    <s v="R059 ACH T20 SYSTIVA RP"/>
    <n v="24"/>
    <n v="0"/>
    <n v="24"/>
    <x v="0"/>
    <s v="AP73"/>
    <s v="RP"/>
    <s v="328"/>
    <s v="4.0 UN"/>
    <s v="STANDARD"/>
    <s v="N"/>
    <s v="N"/>
    <s v="N"/>
    <s v="T20"/>
    <s v="Y"/>
    <s v="N"/>
    <s v="Y"/>
    <s v="N"/>
    <s v="A034"/>
    <d v="2016-12-19T00:00:00"/>
    <s v="10"/>
    <s v="TAN"/>
    <s v="OR"/>
    <d v="2016-12-14T00:00:00"/>
    <s v="MI"/>
    <s v="US"/>
    <s v="ZR"/>
    <d v="2016-12-14T00:00:00"/>
  </r>
  <r>
    <x v="0"/>
    <x v="4"/>
    <x v="781"/>
    <x v="18"/>
    <s v="Standard order"/>
    <x v="764"/>
    <x v="764"/>
    <s v="A501"/>
    <s v="CRYSTAL A501"/>
    <s v="5003308"/>
    <s v="A501 ACH PB XL"/>
    <n v="308"/>
    <n v="0"/>
    <n v="308"/>
    <x v="4"/>
    <s v="EZPB"/>
    <s v="X-LARGE"/>
    <s v="314"/>
    <s v="4.0 UN"/>
    <s v="STANDARD"/>
    <s v="N"/>
    <s v="Y"/>
    <s v="N"/>
    <s v="N"/>
    <s v="N"/>
    <s v="N"/>
    <s v="N"/>
    <s v="N"/>
    <s v="A041"/>
    <d v="2016-12-19T00:00:00"/>
    <s v="10"/>
    <s v="TAN"/>
    <s v="OR"/>
    <d v="2016-12-14T00:00:00"/>
    <s v="ID"/>
    <s v="US"/>
    <s v="ZR"/>
    <d v="2016-12-14T00:00:00"/>
  </r>
  <r>
    <x v="0"/>
    <x v="4"/>
    <x v="781"/>
    <x v="18"/>
    <s v="Standard order"/>
    <x v="764"/>
    <x v="764"/>
    <s v="R081"/>
    <s v="CRYSTAL RR081"/>
    <s v="5003554"/>
    <s v="R081 ACH PB XL IDH"/>
    <n v="324"/>
    <n v="0"/>
    <n v="324"/>
    <x v="4"/>
    <s v="AQ82"/>
    <s v="X-LARGE"/>
    <s v="314"/>
    <s v="4.0 UN"/>
    <s v="STANDARD"/>
    <s v="N"/>
    <s v="Y"/>
    <s v="N"/>
    <s v="N"/>
    <s v="N"/>
    <s v="N"/>
    <s v="N"/>
    <s v="N"/>
    <s v="A041"/>
    <d v="2016-12-19T00:00:00"/>
    <s v="20"/>
    <s v="TAN"/>
    <s v="OR"/>
    <d v="2016-12-14T00:00:00"/>
    <s v="ID"/>
    <s v="US"/>
    <s v="ZR"/>
    <d v="2016-12-14T00:00:00"/>
  </r>
  <r>
    <x v="0"/>
    <x v="4"/>
    <x v="782"/>
    <x v="18"/>
    <s v="Standard order"/>
    <x v="765"/>
    <x v="765"/>
    <s v="R081"/>
    <s v="CRYSTAL RR081"/>
    <s v="5003555"/>
    <s v="R081 ACH PB XL+ IDH"/>
    <n v="324"/>
    <n v="0"/>
    <n v="324"/>
    <x v="4"/>
    <s v="AQ82"/>
    <s v="XL-PLUS"/>
    <s v="314"/>
    <s v="4.0 UN"/>
    <s v="STANDARD"/>
    <s v="N"/>
    <s v="Y"/>
    <s v="N"/>
    <s v="N"/>
    <s v="N"/>
    <s v="N"/>
    <s v="N"/>
    <s v="N"/>
    <s v="A041"/>
    <d v="2016-12-19T00:00:00"/>
    <s v="10"/>
    <s v="TAN"/>
    <s v="OR"/>
    <d v="2016-12-14T00:00:00"/>
    <s v="ID"/>
    <s v="US"/>
    <s v="ZR"/>
    <d v="2016-12-14T00:00:00"/>
  </r>
  <r>
    <x v="0"/>
    <x v="4"/>
    <x v="782"/>
    <x v="18"/>
    <s v="Standard order"/>
    <x v="765"/>
    <x v="765"/>
    <s v="A501"/>
    <s v="CRYSTAL A501"/>
    <s v="5003309"/>
    <s v="A501 ACH PB XL+"/>
    <n v="160"/>
    <n v="0"/>
    <n v="160"/>
    <x v="4"/>
    <s v="EZPB"/>
    <s v="XL-PLUS"/>
    <s v="314"/>
    <s v="4.0 UN"/>
    <s v="STANDARD"/>
    <s v="N"/>
    <s v="Y"/>
    <s v="N"/>
    <s v="N"/>
    <s v="N"/>
    <s v="N"/>
    <s v="N"/>
    <s v="N"/>
    <s v="A041"/>
    <d v="2016-12-19T00:00:00"/>
    <s v="20"/>
    <s v="TAN"/>
    <s v="OR"/>
    <d v="2016-12-14T00:00:00"/>
    <s v="ID"/>
    <s v="US"/>
    <s v="ZR"/>
    <d v="2016-12-14T00:00:00"/>
  </r>
  <r>
    <x v="0"/>
    <x v="4"/>
    <x v="783"/>
    <x v="16"/>
    <s v="Standard order"/>
    <x v="766"/>
    <x v="766"/>
    <s v="R933"/>
    <s v="CRYSTAL RR933"/>
    <s v="5003687"/>
    <s v="R933 ACH PB MED"/>
    <n v="24"/>
    <n v="0"/>
    <n v="24"/>
    <x v="4"/>
    <s v="3571"/>
    <s v="MEDIUM"/>
    <s v="314"/>
    <s v="4.0 UN"/>
    <s v="STANDARD"/>
    <s v="N"/>
    <s v="Y"/>
    <s v="N"/>
    <s v="N"/>
    <s v="N"/>
    <s v="N"/>
    <s v="N"/>
    <s v="N"/>
    <s v="A042"/>
    <d v="2016-12-19T00:00:00"/>
    <s v="10"/>
    <s v="TAN"/>
    <s v="OR"/>
    <d v="2016-12-14T00:00:00"/>
    <s v="ID"/>
    <s v="US"/>
    <s v="ZR"/>
    <d v="2016-12-14T00:00:00"/>
  </r>
  <r>
    <x v="0"/>
    <x v="4"/>
    <x v="784"/>
    <x v="16"/>
    <s v="Standard order"/>
    <x v="767"/>
    <x v="767"/>
    <s v="A399"/>
    <s v="CRYSTAL A399NT"/>
    <s v="5002921"/>
    <s v="A399 ACH MED"/>
    <n v="24"/>
    <n v="0"/>
    <n v="24"/>
    <x v="4"/>
    <s v="DP71"/>
    <s v="MEDIUM"/>
    <s v="316"/>
    <s v="4.0 UN"/>
    <s v="STANDARD"/>
    <s v="N"/>
    <s v="N"/>
    <s v="N"/>
    <s v="N"/>
    <s v="N"/>
    <s v="N"/>
    <s v="N"/>
    <s v="N"/>
    <s v="A042"/>
    <d v="2016-12-19T00:00:00"/>
    <s v="10"/>
    <s v="TAN"/>
    <s v="OR"/>
    <d v="2016-12-14T00:00:00"/>
    <s v="ID"/>
    <s v="US"/>
    <s v="ZR"/>
    <d v="2016-12-14T00:00:00"/>
  </r>
  <r>
    <x v="0"/>
    <x v="2"/>
    <x v="785"/>
    <x v="22"/>
    <s v="Standard order"/>
    <x v="768"/>
    <x v="768"/>
    <s v="R014"/>
    <s v="CRYSTAL RR014"/>
    <s v="5003091"/>
    <s v="R014 ACH T20 PB SYSTIVA G100"/>
    <n v="96"/>
    <n v="0"/>
    <n v="96"/>
    <x v="2"/>
    <s v="AP82"/>
    <s v="GEM 100"/>
    <s v="324"/>
    <s v="4.0 UN"/>
    <s v="STANDARD"/>
    <s v="N"/>
    <s v="Y"/>
    <s v="N"/>
    <s v="T20"/>
    <s v="Y"/>
    <s v="N"/>
    <s v="Y"/>
    <s v="N"/>
    <s v="A018"/>
    <d v="2016-12-19T00:00:00"/>
    <s v="10"/>
    <s v="TAN"/>
    <s v="OR"/>
    <d v="2016-12-14T00:00:00"/>
    <s v="CO"/>
    <s v="US"/>
    <s v="ZR"/>
    <d v="2016-12-14T00:00:00"/>
  </r>
  <r>
    <x v="0"/>
    <x v="0"/>
    <x v="786"/>
    <x v="4"/>
    <s v="Standard order"/>
    <x v="769"/>
    <x v="769"/>
    <s v="R059"/>
    <s v="CRYSTAL RR059"/>
    <s v="5003529"/>
    <s v="R059 ACH T20 Kabina MP"/>
    <n v="44"/>
    <n v="0"/>
    <n v="44"/>
    <x v="0"/>
    <s v="AP73"/>
    <s v="MP"/>
    <s v="387"/>
    <s v="4.0 UN"/>
    <s v="STANDARD"/>
    <s v="N"/>
    <s v="N"/>
    <s v="Y"/>
    <s v="T20"/>
    <s v="N"/>
    <s v="N"/>
    <s v="N"/>
    <s v="N"/>
    <s v="A035"/>
    <d v="2016-12-19T00:00:00"/>
    <s v="10"/>
    <s v="TAN"/>
    <s v="OR"/>
    <d v="2016-12-14T00:00:00"/>
    <s v="MI"/>
    <s v="US"/>
    <s v="ZR"/>
    <d v="2016-12-14T00:00:00"/>
  </r>
  <r>
    <x v="0"/>
    <x v="0"/>
    <x v="786"/>
    <x v="4"/>
    <s v="Standard order"/>
    <x v="769"/>
    <x v="769"/>
    <s v="G515"/>
    <s v="CRYSTAL G515"/>
    <s v="5003018"/>
    <s v="G515 ACH T20 Kabina MP"/>
    <n v="20"/>
    <n v="0"/>
    <n v="20"/>
    <x v="0"/>
    <s v="APND"/>
    <s v="MP"/>
    <s v="387"/>
    <s v="4.0 UN"/>
    <s v="STANDARD"/>
    <s v="N"/>
    <s v="N"/>
    <s v="Y"/>
    <s v="T20"/>
    <s v="N"/>
    <s v="N"/>
    <s v="N"/>
    <s v="N"/>
    <s v="A035"/>
    <d v="2016-12-19T00:00:00"/>
    <s v="20"/>
    <s v="TAN"/>
    <s v="OR"/>
    <d v="2016-12-14T00:00:00"/>
    <s v="MI"/>
    <s v="US"/>
    <s v="ZR"/>
    <d v="2016-12-14T00:00:00"/>
  </r>
  <r>
    <x v="0"/>
    <x v="0"/>
    <x v="787"/>
    <x v="2"/>
    <s v="Standard order"/>
    <x v="770"/>
    <x v="770"/>
    <s v="R059"/>
    <s v="CRYSTAL RR059"/>
    <s v="5003529"/>
    <s v="R059 ACH T20 Kabina MP"/>
    <n v="28"/>
    <n v="0"/>
    <n v="28"/>
    <x v="0"/>
    <s v="AP73"/>
    <s v="MP"/>
    <s v="387"/>
    <s v="4.0 UN"/>
    <s v="STANDARD"/>
    <s v="N"/>
    <s v="N"/>
    <s v="Y"/>
    <s v="T20"/>
    <s v="N"/>
    <s v="N"/>
    <s v="N"/>
    <s v="N"/>
    <s v="A034"/>
    <d v="2016-12-19T00:00:00"/>
    <s v="10"/>
    <s v="TAN"/>
    <s v="OR"/>
    <d v="2016-12-14T00:00:00"/>
    <s v="MI"/>
    <s v="US"/>
    <s v="ZR"/>
    <d v="2016-12-14T00:00:00"/>
  </r>
  <r>
    <x v="0"/>
    <x v="0"/>
    <x v="787"/>
    <x v="2"/>
    <s v="Standard order"/>
    <x v="770"/>
    <x v="770"/>
    <s v="G333"/>
    <s v="CRYSTAL G333NT"/>
    <s v="5003377"/>
    <s v="G333 ACH T20 Kabina MP"/>
    <n v="12"/>
    <n v="0"/>
    <n v="12"/>
    <x v="0"/>
    <s v="EE73"/>
    <s v="MP"/>
    <s v="387"/>
    <s v="4.0 UN"/>
    <s v="STANDARD"/>
    <s v="N"/>
    <s v="N"/>
    <s v="Y"/>
    <s v="T20"/>
    <s v="N"/>
    <s v="N"/>
    <s v="N"/>
    <s v="N"/>
    <s v="A034"/>
    <d v="2016-12-19T00:00:00"/>
    <s v="20"/>
    <s v="TAN"/>
    <s v="OR"/>
    <d v="2016-12-14T00:00:00"/>
    <s v="MI"/>
    <s v="US"/>
    <s v="ZR"/>
    <d v="2016-12-14T00:00:00"/>
  </r>
  <r>
    <x v="0"/>
    <x v="0"/>
    <x v="788"/>
    <x v="10"/>
    <s v="Standard order"/>
    <x v="771"/>
    <x v="771"/>
    <s v="R059"/>
    <s v="CRYSTAL RR059"/>
    <s v="5003530"/>
    <s v="R059 ACH T20 Kabina RP"/>
    <n v="40"/>
    <n v="0"/>
    <n v="40"/>
    <x v="0"/>
    <s v="AP73"/>
    <s v="RP"/>
    <s v="387"/>
    <s v="4.0 UN"/>
    <s v="STANDARD"/>
    <s v="N"/>
    <s v="N"/>
    <s v="Y"/>
    <s v="T20"/>
    <s v="N"/>
    <s v="N"/>
    <s v="N"/>
    <s v="N"/>
    <s v="A036"/>
    <d v="2016-12-19T00:00:00"/>
    <s v="10"/>
    <s v="TAN"/>
    <s v="OR"/>
    <d v="2016-12-14T00:00:00"/>
    <s v="MI"/>
    <s v="US"/>
    <s v="ZR"/>
    <d v="2016-12-14T00:00:00"/>
  </r>
  <r>
    <x v="0"/>
    <x v="2"/>
    <x v="789"/>
    <x v="5"/>
    <s v="Standard order"/>
    <x v="772"/>
    <x v="772"/>
    <s v="R014"/>
    <s v="CRYSTAL RR014"/>
    <s v="5003091"/>
    <s v="R014 ACH T20 PB SYSTIVA G100"/>
    <n v="68"/>
    <n v="0"/>
    <n v="68"/>
    <x v="2"/>
    <s v="AP82"/>
    <s v="GEM 100"/>
    <s v="324"/>
    <s v="4.0 UN"/>
    <s v="STANDARD"/>
    <s v="N"/>
    <s v="Y"/>
    <s v="N"/>
    <s v="T20"/>
    <s v="Y"/>
    <s v="N"/>
    <s v="Y"/>
    <s v="N"/>
    <s v="A020"/>
    <d v="2016-12-19T00:00:00"/>
    <s v="10"/>
    <s v="TAN"/>
    <s v="OR"/>
    <d v="2016-12-13T00:00:00"/>
    <s v="CO"/>
    <s v="US"/>
    <s v="ZR"/>
    <d v="2016-12-14T00:00:00"/>
  </r>
  <r>
    <x v="0"/>
    <x v="6"/>
    <x v="790"/>
    <x v="11"/>
    <s v="Standard order"/>
    <x v="773"/>
    <x v="773"/>
    <s v="R081"/>
    <s v="CRYSTAL RR081"/>
    <s v="5003575"/>
    <s v="R081 ACH T20 PB SYSTIVA G50 SSI"/>
    <n v="12"/>
    <n v="0"/>
    <n v="12"/>
    <x v="6"/>
    <s v="AQ82"/>
    <s v="GEM 50"/>
    <s v="324"/>
    <s v="4.0 UN"/>
    <s v="STANDARD"/>
    <s v="N"/>
    <s v="Y"/>
    <s v="N"/>
    <s v="T20"/>
    <s v="Y"/>
    <s v="N"/>
    <s v="Y"/>
    <s v="N"/>
    <s v="A038"/>
    <d v="2016-12-19T00:00:00"/>
    <s v="10"/>
    <s v="TAN"/>
    <s v="OR"/>
    <d v="2016-12-13T00:00:00"/>
    <s v="MT"/>
    <s v="US"/>
    <s v="ZR"/>
    <d v="2016-12-14T00:00:00"/>
  </r>
  <r>
    <x v="0"/>
    <x v="0"/>
    <x v="791"/>
    <x v="10"/>
    <s v="Standard order"/>
    <x v="774"/>
    <x v="774"/>
    <s v="G333"/>
    <s v="CRYSTAL G333NT"/>
    <s v="5003378"/>
    <s v="G333 ACH T20 Kabina RP"/>
    <n v="136"/>
    <n v="0"/>
    <n v="136"/>
    <x v="0"/>
    <s v="EE73"/>
    <s v="RP"/>
    <s v="387"/>
    <s v="4.0 UN"/>
    <s v="STANDARD"/>
    <s v="N"/>
    <s v="N"/>
    <s v="Y"/>
    <s v="T20"/>
    <s v="N"/>
    <s v="N"/>
    <s v="N"/>
    <s v="N"/>
    <s v="A036"/>
    <d v="2016-12-19T00:00:00"/>
    <s v="10"/>
    <s v="TAN"/>
    <s v="OR"/>
    <d v="2016-12-13T00:00:00"/>
    <s v="MI"/>
    <s v="US"/>
    <s v="ZR"/>
    <d v="2016-12-14T00:00:00"/>
  </r>
  <r>
    <x v="0"/>
    <x v="0"/>
    <x v="791"/>
    <x v="10"/>
    <s v="Standard order"/>
    <x v="774"/>
    <x v="774"/>
    <s v="R059"/>
    <s v="CRYSTAL RR059"/>
    <s v="5003530"/>
    <s v="R059 ACH T20 Kabina RP"/>
    <n v="24"/>
    <n v="0"/>
    <n v="24"/>
    <x v="0"/>
    <s v="AP73"/>
    <s v="RP"/>
    <s v="387"/>
    <s v="4.0 UN"/>
    <s v="STANDARD"/>
    <s v="N"/>
    <s v="N"/>
    <s v="Y"/>
    <s v="T20"/>
    <s v="N"/>
    <s v="N"/>
    <s v="N"/>
    <s v="N"/>
    <s v="A036"/>
    <d v="2016-12-19T00:00:00"/>
    <s v="20"/>
    <s v="TAN"/>
    <s v="OR"/>
    <d v="2016-12-13T00:00:00"/>
    <s v="MI"/>
    <s v="US"/>
    <s v="ZR"/>
    <d v="2016-12-14T00:00:00"/>
  </r>
  <r>
    <x v="0"/>
    <x v="0"/>
    <x v="791"/>
    <x v="10"/>
    <s v="Standard order"/>
    <x v="774"/>
    <x v="774"/>
    <s v="G515"/>
    <s v="CRYSTAL G515"/>
    <s v="5003019"/>
    <s v="G515 ACH T20 Kabina RP"/>
    <n v="4"/>
    <n v="0"/>
    <n v="4"/>
    <x v="0"/>
    <s v="APND"/>
    <s v="RP"/>
    <s v="387"/>
    <s v="4.0 UN"/>
    <s v="STANDARD"/>
    <s v="N"/>
    <s v="N"/>
    <s v="Y"/>
    <s v="T20"/>
    <s v="N"/>
    <s v="N"/>
    <s v="N"/>
    <s v="N"/>
    <s v="A036"/>
    <d v="2016-12-19T00:00:00"/>
    <s v="30"/>
    <s v="TAN"/>
    <s v="OR"/>
    <d v="2016-12-13T00:00:00"/>
    <s v="MI"/>
    <s v="US"/>
    <s v="ZR"/>
    <d v="2016-12-14T00:00:00"/>
  </r>
  <r>
    <x v="0"/>
    <x v="0"/>
    <x v="792"/>
    <x v="2"/>
    <s v="Standard order"/>
    <x v="775"/>
    <x v="775"/>
    <s v="G515"/>
    <s v="CRYSTAL G515"/>
    <s v="5003019"/>
    <s v="G515 ACH T20 Kabina RP"/>
    <n v="12"/>
    <n v="0"/>
    <n v="12"/>
    <x v="0"/>
    <s v="APND"/>
    <s v="RP"/>
    <s v="387"/>
    <s v="4.0 UN"/>
    <s v="STANDARD"/>
    <s v="N"/>
    <s v="N"/>
    <s v="Y"/>
    <s v="T20"/>
    <s v="N"/>
    <s v="N"/>
    <s v="N"/>
    <s v="N"/>
    <s v="A034"/>
    <d v="2016-12-19T00:00:00"/>
    <s v="10"/>
    <s v="TAN"/>
    <s v="OR"/>
    <d v="2016-12-14T00:00:00"/>
    <s v="MI"/>
    <s v="US"/>
    <s v="ZR"/>
    <d v="2016-12-14T00:00:00"/>
  </r>
  <r>
    <x v="0"/>
    <x v="4"/>
    <x v="793"/>
    <x v="19"/>
    <s v="Standard order"/>
    <x v="776"/>
    <x v="776"/>
    <s v="A399"/>
    <s v="CRYSTAL A399NT"/>
    <s v="5002928"/>
    <s v="A399 ACH PB LRG"/>
    <n v="48"/>
    <n v="0"/>
    <n v="48"/>
    <x v="4"/>
    <s v="DP71"/>
    <s v="LARGE"/>
    <s v="314"/>
    <s v="4.0 UN"/>
    <s v="STANDARD"/>
    <s v="N"/>
    <s v="Y"/>
    <s v="N"/>
    <s v="N"/>
    <s v="N"/>
    <s v="N"/>
    <s v="N"/>
    <s v="N"/>
    <s v="A046"/>
    <d v="2016-12-19T00:00:00"/>
    <s v="10"/>
    <s v="TAN"/>
    <s v="OR"/>
    <d v="2016-12-14T00:00:00"/>
    <s v="ID"/>
    <s v="US"/>
    <s v="ZR"/>
    <d v="2016-12-14T00:00:00"/>
  </r>
  <r>
    <x v="0"/>
    <x v="4"/>
    <x v="793"/>
    <x v="19"/>
    <s v="Standard order"/>
    <x v="776"/>
    <x v="776"/>
    <s v="A404"/>
    <s v="CRYSTAL A404NT"/>
    <s v="5002954"/>
    <s v="A404 ACH PB LRG"/>
    <n v="44"/>
    <n v="0"/>
    <n v="44"/>
    <x v="4"/>
    <s v="DPNE"/>
    <s v="LARGE"/>
    <s v="314"/>
    <s v="4.0 UN"/>
    <s v="STANDARD"/>
    <s v="N"/>
    <s v="Y"/>
    <s v="N"/>
    <s v="N"/>
    <s v="N"/>
    <s v="N"/>
    <s v="N"/>
    <s v="N"/>
    <s v="A046"/>
    <d v="2016-12-19T00:00:00"/>
    <s v="20"/>
    <s v="TAN"/>
    <s v="OR"/>
    <d v="2016-12-14T00:00:00"/>
    <s v="ID"/>
    <s v="US"/>
    <s v="ZR"/>
    <d v="2016-12-14T00:00:00"/>
  </r>
  <r>
    <x v="0"/>
    <x v="2"/>
    <x v="794"/>
    <x v="22"/>
    <s v="Standard order"/>
    <x v="777"/>
    <x v="777"/>
    <s v="W322"/>
    <s v="CRYSTAL W322NT"/>
    <s v="5003488"/>
    <s v="W322 ACH T20 PB SYSTIVA G100"/>
    <n v="8"/>
    <n v="0"/>
    <n v="8"/>
    <x v="2"/>
    <s v="EE73"/>
    <s v="GEM 100"/>
    <s v="324"/>
    <s v="4.0 UN"/>
    <s v="STANDARD"/>
    <s v="N"/>
    <s v="Y"/>
    <s v="N"/>
    <s v="T20"/>
    <s v="Y"/>
    <s v="N"/>
    <s v="Y"/>
    <s v="N"/>
    <s v="A018"/>
    <d v="2016-12-19T00:00:00"/>
    <s v="10"/>
    <s v="TAN"/>
    <s v="OR"/>
    <d v="2016-12-14T00:00:00"/>
    <s v="CO"/>
    <s v="US"/>
    <s v="ZR"/>
    <d v="2016-12-14T00:00:00"/>
  </r>
  <r>
    <x v="0"/>
    <x v="0"/>
    <x v="795"/>
    <x v="4"/>
    <s v="Standard order"/>
    <x v="778"/>
    <x v="778"/>
    <s v="R059"/>
    <s v="CRYSTAL RR059"/>
    <s v="5003529"/>
    <s v="R059 ACH T20 Kabina MP"/>
    <n v="152"/>
    <n v="0"/>
    <n v="152"/>
    <x v="0"/>
    <s v="AP73"/>
    <s v="MP"/>
    <s v="387"/>
    <s v="4.0 UN"/>
    <s v="STANDARD"/>
    <s v="N"/>
    <s v="N"/>
    <s v="Y"/>
    <s v="T20"/>
    <s v="N"/>
    <s v="N"/>
    <s v="N"/>
    <s v="N"/>
    <s v="A035"/>
    <d v="2016-12-19T00:00:00"/>
    <s v="10"/>
    <s v="TAN"/>
    <s v="OR"/>
    <d v="2016-12-14T00:00:00"/>
    <s v="MI"/>
    <s v="US"/>
    <s v="ZR"/>
    <d v="2016-12-14T00:00:00"/>
  </r>
  <r>
    <x v="0"/>
    <x v="0"/>
    <x v="795"/>
    <x v="4"/>
    <s v="Standard order"/>
    <x v="778"/>
    <x v="778"/>
    <s v="G333"/>
    <s v="CRYSTAL G333NT"/>
    <s v="5003377"/>
    <s v="G333 ACH T20 Kabina MP"/>
    <n v="120"/>
    <n v="0"/>
    <n v="120"/>
    <x v="0"/>
    <s v="EE73"/>
    <s v="MP"/>
    <s v="387"/>
    <s v="4.0 UN"/>
    <s v="STANDARD"/>
    <s v="N"/>
    <s v="N"/>
    <s v="Y"/>
    <s v="T20"/>
    <s v="N"/>
    <s v="N"/>
    <s v="N"/>
    <s v="N"/>
    <s v="A035"/>
    <d v="2016-12-19T00:00:00"/>
    <s v="20"/>
    <s v="TAN"/>
    <s v="OR"/>
    <d v="2016-12-14T00:00:00"/>
    <s v="MI"/>
    <s v="US"/>
    <s v="ZR"/>
    <d v="2016-12-14T00:00:00"/>
  </r>
  <r>
    <x v="0"/>
    <x v="0"/>
    <x v="795"/>
    <x v="4"/>
    <s v="Standard order"/>
    <x v="778"/>
    <x v="778"/>
    <s v="G515"/>
    <s v="CRYSTAL G515"/>
    <s v="5003018"/>
    <s v="G515 ACH T20 Kabina MP"/>
    <n v="24"/>
    <n v="0"/>
    <n v="24"/>
    <x v="0"/>
    <s v="APND"/>
    <s v="MP"/>
    <s v="387"/>
    <s v="4.0 UN"/>
    <s v="STANDARD"/>
    <s v="N"/>
    <s v="N"/>
    <s v="Y"/>
    <s v="T20"/>
    <s v="N"/>
    <s v="N"/>
    <s v="N"/>
    <s v="N"/>
    <s v="A035"/>
    <d v="2016-12-19T00:00:00"/>
    <s v="30"/>
    <s v="TAN"/>
    <s v="OR"/>
    <d v="2016-12-14T00:00:00"/>
    <s v="MI"/>
    <s v="US"/>
    <s v="ZR"/>
    <d v="2016-12-14T00:00:00"/>
  </r>
  <r>
    <x v="0"/>
    <x v="6"/>
    <x v="796"/>
    <x v="11"/>
    <s v="Standard order"/>
    <x v="779"/>
    <x v="779"/>
    <s v="S517"/>
    <s v="CRYSTAL S517"/>
    <s v="5003467"/>
    <s v="S517 ACH T20 PB SYSTIVA G100"/>
    <n v="20"/>
    <n v="0"/>
    <n v="20"/>
    <x v="6"/>
    <s v="DVNV"/>
    <s v="GEM 100"/>
    <s v="324"/>
    <s v="4.0 UN"/>
    <s v="STANDARD"/>
    <s v="N"/>
    <s v="Y"/>
    <s v="N"/>
    <s v="T20"/>
    <s v="Y"/>
    <s v="N"/>
    <s v="Y"/>
    <s v="N"/>
    <s v="A038"/>
    <d v="2016-12-19T00:00:00"/>
    <s v="10"/>
    <s v="TAN"/>
    <s v="OR"/>
    <d v="2016-12-13T00:00:00"/>
    <s v="MT"/>
    <s v="US"/>
    <s v="ZR"/>
    <d v="2016-12-14T00:00:00"/>
  </r>
  <r>
    <x v="0"/>
    <x v="6"/>
    <x v="797"/>
    <x v="11"/>
    <s v="Standard order"/>
    <x v="780"/>
    <x v="780"/>
    <s v="S517"/>
    <s v="CRYSTAL S517"/>
    <s v="5003467"/>
    <s v="S517 ACH T20 PB SYSTIVA G100"/>
    <n v="24"/>
    <n v="0"/>
    <n v="24"/>
    <x v="6"/>
    <s v="DVNV"/>
    <s v="GEM 100"/>
    <s v="324"/>
    <s v="4.0 UN"/>
    <s v="STANDARD"/>
    <s v="N"/>
    <s v="Y"/>
    <s v="N"/>
    <s v="T20"/>
    <s v="Y"/>
    <s v="N"/>
    <s v="Y"/>
    <s v="N"/>
    <s v="A038"/>
    <d v="2016-12-19T00:00:00"/>
    <s v="10"/>
    <s v="TAN"/>
    <s v="OR"/>
    <d v="2016-12-13T00:00:00"/>
    <s v="MT"/>
    <s v="US"/>
    <s v="ZR"/>
    <d v="2016-12-14T00:00:00"/>
  </r>
  <r>
    <x v="0"/>
    <x v="6"/>
    <x v="798"/>
    <x v="11"/>
    <s v="Standard order"/>
    <x v="781"/>
    <x v="781"/>
    <s v="S498"/>
    <s v="CRYSTAL S498"/>
    <s v="5003432"/>
    <s v="S498 ACH T20 PB SYSTIVA G50"/>
    <n v="8"/>
    <n v="0"/>
    <n v="8"/>
    <x v="6"/>
    <s v="FE73"/>
    <s v="GEM 50"/>
    <s v="324"/>
    <s v="4.0 UN"/>
    <s v="STANDARD"/>
    <s v="N"/>
    <s v="Y"/>
    <s v="N"/>
    <s v="T20"/>
    <s v="Y"/>
    <s v="N"/>
    <s v="Y"/>
    <s v="N"/>
    <s v="A038"/>
    <d v="2016-12-19T00:00:00"/>
    <s v="10"/>
    <s v="TAN"/>
    <s v="OR"/>
    <d v="2016-12-13T00:00:00"/>
    <s v="MT"/>
    <s v="US"/>
    <s v="ZR"/>
    <d v="2016-12-14T00:00:00"/>
  </r>
  <r>
    <x v="0"/>
    <x v="4"/>
    <x v="799"/>
    <x v="15"/>
    <s v="Standard order"/>
    <x v="782"/>
    <x v="782"/>
    <s v="A399"/>
    <s v="CRYSTAL A399NT"/>
    <s v="5002931"/>
    <s v="A399 ACH PB XL"/>
    <n v="24"/>
    <n v="0"/>
    <n v="24"/>
    <x v="4"/>
    <s v="DP71"/>
    <s v="X-LARGE"/>
    <s v="314"/>
    <s v="4.0 UN"/>
    <s v="STANDARD"/>
    <s v="N"/>
    <s v="Y"/>
    <s v="N"/>
    <s v="N"/>
    <s v="N"/>
    <s v="N"/>
    <s v="N"/>
    <s v="N"/>
    <s v="A043"/>
    <d v="2016-12-19T00:00:00"/>
    <s v="10"/>
    <s v="TAN"/>
    <s v="OR"/>
    <d v="2016-12-13T00:00:00"/>
    <s v="ID"/>
    <s v="US"/>
    <s v="ZR"/>
    <d v="2016-12-14T00:00:00"/>
  </r>
  <r>
    <x v="0"/>
    <x v="0"/>
    <x v="800"/>
    <x v="2"/>
    <s v="Standard order"/>
    <x v="783"/>
    <x v="783"/>
    <s v="G333"/>
    <s v="CRYSTAL G333NT"/>
    <s v="5003378"/>
    <s v="G333 ACH T20 Kabina RP"/>
    <n v="160"/>
    <n v="0"/>
    <n v="160"/>
    <x v="0"/>
    <s v="EE73"/>
    <s v="RP"/>
    <s v="387"/>
    <s v="4.0 UN"/>
    <s v="STANDARD"/>
    <s v="N"/>
    <s v="N"/>
    <s v="Y"/>
    <s v="T20"/>
    <s v="N"/>
    <s v="N"/>
    <s v="N"/>
    <s v="N"/>
    <s v="A034"/>
    <d v="2016-12-19T00:00:00"/>
    <s v="10"/>
    <s v="TAN"/>
    <s v="OR"/>
    <d v="2016-12-13T00:00:00"/>
    <s v="MI"/>
    <s v="US"/>
    <s v="ZR"/>
    <d v="2016-12-14T00:00:00"/>
  </r>
  <r>
    <x v="0"/>
    <x v="2"/>
    <x v="801"/>
    <x v="5"/>
    <s v="Standard order"/>
    <x v="784"/>
    <x v="784"/>
    <s v="W322"/>
    <s v="CRYSTAL W322NT"/>
    <s v="5003487"/>
    <s v="W322 ACH T20 PB SYSTIVA ELS"/>
    <n v="152"/>
    <n v="0"/>
    <n v="152"/>
    <x v="2"/>
    <s v="EE73"/>
    <s v="ELS"/>
    <s v="324"/>
    <s v="4.0 UN"/>
    <s v="STANDARD"/>
    <s v="N"/>
    <s v="Y"/>
    <s v="N"/>
    <s v="T20"/>
    <s v="Y"/>
    <s v="N"/>
    <s v="Y"/>
    <s v="N"/>
    <s v="A020"/>
    <d v="2016-12-19T00:00:00"/>
    <s v="10"/>
    <s v="TAN"/>
    <s v="OR"/>
    <d v="2016-12-14T00:00:00"/>
    <s v="CO"/>
    <s v="US"/>
    <s v="ZR"/>
    <d v="2016-12-14T00:00:00"/>
  </r>
  <r>
    <x v="0"/>
    <x v="2"/>
    <x v="802"/>
    <x v="6"/>
    <s v="Standard order"/>
    <x v="785"/>
    <x v="785"/>
    <s v="R014"/>
    <s v="CRYSTAL RR014"/>
    <s v="5003092"/>
    <s v="R014 ACH T20 PB SYSTIVA G50"/>
    <n v="16"/>
    <n v="0"/>
    <n v="16"/>
    <x v="2"/>
    <s v="AP82"/>
    <s v="GEM 50"/>
    <s v="324"/>
    <s v="4.0 UN"/>
    <s v="STANDARD"/>
    <s v="N"/>
    <s v="Y"/>
    <s v="N"/>
    <s v="T20"/>
    <s v="Y"/>
    <s v="N"/>
    <s v="Y"/>
    <s v="N"/>
    <s v="A025"/>
    <d v="2016-12-19T00:00:00"/>
    <s v="10"/>
    <s v="TAN"/>
    <s v="OR"/>
    <d v="2016-12-14T00:00:00"/>
    <s v="NE"/>
    <s v="US"/>
    <s v="ZR"/>
    <d v="2016-12-14T00:00:00"/>
  </r>
  <r>
    <x v="0"/>
    <x v="2"/>
    <x v="802"/>
    <x v="6"/>
    <s v="Standard order"/>
    <x v="785"/>
    <x v="785"/>
    <s v="W322"/>
    <s v="CRYSTAL W322NT"/>
    <s v="5003489"/>
    <s v="W322 ACH T20 PB SYSTIVA G50"/>
    <n v="44"/>
    <n v="0"/>
    <n v="44"/>
    <x v="2"/>
    <s v="EE73"/>
    <s v="GEM 50"/>
    <s v="324"/>
    <s v="4.0 UN"/>
    <s v="STANDARD"/>
    <s v="N"/>
    <s v="Y"/>
    <s v="N"/>
    <s v="T20"/>
    <s v="Y"/>
    <s v="N"/>
    <s v="Y"/>
    <s v="N"/>
    <s v="A025"/>
    <d v="2016-12-19T00:00:00"/>
    <s v="20"/>
    <s v="TAN"/>
    <s v="OR"/>
    <d v="2016-12-14T00:00:00"/>
    <s v="NE"/>
    <s v="US"/>
    <s v="ZR"/>
    <d v="2016-12-14T00:00:00"/>
  </r>
  <r>
    <x v="0"/>
    <x v="0"/>
    <x v="803"/>
    <x v="0"/>
    <s v="Standard order"/>
    <x v="786"/>
    <x v="786"/>
    <s v="R059"/>
    <s v="CRYSTAL RR059"/>
    <s v="5003518"/>
    <s v="R059 ACH CM Vibrance RP"/>
    <n v="36"/>
    <n v="0"/>
    <n v="36"/>
    <x v="0"/>
    <s v="AP73"/>
    <s v="RP"/>
    <s v="393"/>
    <s v="4.0 UN"/>
    <s v="STANDARD"/>
    <s v="Y"/>
    <s v="N"/>
    <s v="N"/>
    <s v="N"/>
    <s v="N"/>
    <s v="N"/>
    <s v="N"/>
    <s v="Y"/>
    <s v="A037"/>
    <d v="2016-12-19T00:00:00"/>
    <s v="10"/>
    <s v="TAN"/>
    <s v="OR"/>
    <d v="2016-12-14T00:00:00"/>
    <s v="ON"/>
    <s v="CA"/>
    <s v="ZR"/>
    <d v="2016-12-14T00:00:00"/>
  </r>
  <r>
    <x v="0"/>
    <x v="0"/>
    <x v="804"/>
    <x v="4"/>
    <s v="Standard order"/>
    <x v="787"/>
    <x v="787"/>
    <s v="G333"/>
    <s v="CRYSTAL G333NT"/>
    <s v="5003377"/>
    <s v="G333 ACH T20 Kabina MP"/>
    <n v="20"/>
    <n v="0"/>
    <n v="20"/>
    <x v="0"/>
    <s v="EE73"/>
    <s v="MP"/>
    <s v="387"/>
    <s v="4.0 UN"/>
    <s v="STANDARD"/>
    <s v="N"/>
    <s v="N"/>
    <s v="Y"/>
    <s v="T20"/>
    <s v="N"/>
    <s v="N"/>
    <s v="N"/>
    <s v="N"/>
    <s v="A035"/>
    <d v="2016-12-19T00:00:00"/>
    <s v="10"/>
    <s v="TAN"/>
    <s v="OR"/>
    <d v="2016-12-14T00:00:00"/>
    <s v="MI"/>
    <s v="US"/>
    <s v="ZR"/>
    <d v="2016-12-14T00:00:00"/>
  </r>
  <r>
    <x v="0"/>
    <x v="0"/>
    <x v="804"/>
    <x v="4"/>
    <s v="Standard order"/>
    <x v="787"/>
    <x v="787"/>
    <s v="R059"/>
    <s v="CRYSTAL RR059"/>
    <s v="5003529"/>
    <s v="R059 ACH T20 Kabina MP"/>
    <n v="20"/>
    <n v="0"/>
    <n v="20"/>
    <x v="0"/>
    <s v="AP73"/>
    <s v="MP"/>
    <s v="387"/>
    <s v="4.0 UN"/>
    <s v="STANDARD"/>
    <s v="N"/>
    <s v="N"/>
    <s v="Y"/>
    <s v="T20"/>
    <s v="N"/>
    <s v="N"/>
    <s v="N"/>
    <s v="N"/>
    <s v="A035"/>
    <d v="2016-12-19T00:00:00"/>
    <s v="20"/>
    <s v="TAN"/>
    <s v="OR"/>
    <d v="2016-12-14T00:00:00"/>
    <s v="MI"/>
    <s v="US"/>
    <s v="ZR"/>
    <d v="2016-12-14T00:00:00"/>
  </r>
  <r>
    <x v="0"/>
    <x v="2"/>
    <x v="805"/>
    <x v="5"/>
    <s v="Standard order"/>
    <x v="788"/>
    <x v="788"/>
    <s v="W322"/>
    <s v="CRYSTAL W322NT"/>
    <s v="5003489"/>
    <s v="W322 ACH T20 PB SYSTIVA G50"/>
    <n v="24"/>
    <n v="0"/>
    <n v="24"/>
    <x v="2"/>
    <s v="EE73"/>
    <s v="GEM 50"/>
    <s v="324"/>
    <s v="4.0 UN"/>
    <s v="STANDARD"/>
    <s v="N"/>
    <s v="Y"/>
    <s v="N"/>
    <s v="T20"/>
    <s v="Y"/>
    <s v="N"/>
    <s v="Y"/>
    <s v="N"/>
    <s v="A020"/>
    <d v="2016-12-20T00:00:00"/>
    <s v="10"/>
    <s v="TAN"/>
    <s v="OR"/>
    <d v="2016-12-15T00:00:00"/>
    <s v="CO"/>
    <s v="US"/>
    <s v="ZR"/>
    <d v="2016-12-15T00:00:00"/>
  </r>
  <r>
    <x v="0"/>
    <x v="2"/>
    <x v="806"/>
    <x v="6"/>
    <s v="Standard order"/>
    <x v="789"/>
    <x v="789"/>
    <s v="R014"/>
    <s v="CRYSTAL RR014"/>
    <s v="5003090"/>
    <s v="R014 ACH T20 PB SYSTIVA ELS"/>
    <n v="40"/>
    <n v="0"/>
    <n v="40"/>
    <x v="2"/>
    <s v="AP82"/>
    <s v="ELS"/>
    <s v="324"/>
    <s v="4.0 UN"/>
    <s v="STANDARD"/>
    <s v="N"/>
    <s v="Y"/>
    <s v="N"/>
    <s v="T20"/>
    <s v="Y"/>
    <s v="N"/>
    <s v="Y"/>
    <s v="N"/>
    <s v="A025"/>
    <d v="2016-12-20T00:00:00"/>
    <s v="10"/>
    <s v="TAN"/>
    <s v="OR"/>
    <d v="2016-12-15T00:00:00"/>
    <s v="NE"/>
    <s v="US"/>
    <s v="ZR"/>
    <d v="2016-12-15T00:00:00"/>
  </r>
  <r>
    <x v="0"/>
    <x v="2"/>
    <x v="807"/>
    <x v="24"/>
    <s v="Standard order"/>
    <x v="790"/>
    <x v="790"/>
    <s v="R014"/>
    <s v="CRYSTAL RR014"/>
    <s v="5003091"/>
    <s v="R014 ACH T20 PB SYSTIVA G100"/>
    <n v="452"/>
    <n v="0"/>
    <n v="452"/>
    <x v="2"/>
    <s v="AP82"/>
    <s v="GEM 100"/>
    <s v="324"/>
    <s v="4.0 UN"/>
    <s v="STANDARD"/>
    <s v="N"/>
    <s v="Y"/>
    <s v="N"/>
    <s v="T20"/>
    <s v="Y"/>
    <s v="N"/>
    <s v="Y"/>
    <s v="N"/>
    <s v="A022"/>
    <d v="2016-12-20T00:00:00"/>
    <s v="10"/>
    <s v="TAN"/>
    <s v="OR"/>
    <d v="2016-12-15T00:00:00"/>
    <s v="CO"/>
    <s v="US"/>
    <s v="ZR"/>
    <d v="2016-12-15T00:00:00"/>
  </r>
  <r>
    <x v="0"/>
    <x v="5"/>
    <x v="808"/>
    <x v="21"/>
    <s v="Standard order"/>
    <x v="791"/>
    <x v="791"/>
    <s v="Y400"/>
    <s v="CRYSTAL Y400NT"/>
    <s v="5003735"/>
    <s v="Y400 ACH T20 PB SYSTIVA RP"/>
    <n v="8"/>
    <n v="0"/>
    <n v="8"/>
    <x v="5"/>
    <s v="4TBP"/>
    <s v="RP"/>
    <s v="324"/>
    <s v="4.0 UN"/>
    <s v="STANDARD"/>
    <s v="N"/>
    <s v="Y"/>
    <s v="N"/>
    <s v="T20"/>
    <s v="Y"/>
    <s v="N"/>
    <s v="N"/>
    <s v="N"/>
    <s v="A013"/>
    <d v="2016-12-20T00:00:00"/>
    <s v="10"/>
    <s v="TAN"/>
    <s v="OR"/>
    <d v="2016-12-15T00:00:00"/>
    <s v="MT"/>
    <s v="US"/>
    <s v="ZR"/>
    <d v="2016-12-15T00:00:00"/>
  </r>
  <r>
    <x v="0"/>
    <x v="5"/>
    <x v="809"/>
    <x v="21"/>
    <s v="Standard order"/>
    <x v="792"/>
    <x v="792"/>
    <s v="Y400"/>
    <s v="CRYSTAL Y400NT"/>
    <s v="5003735"/>
    <s v="Y400 ACH T20 PB SYSTIVA RP"/>
    <n v="20"/>
    <n v="0"/>
    <n v="20"/>
    <x v="5"/>
    <s v="4TBP"/>
    <s v="RP"/>
    <s v="324"/>
    <s v="4.0 UN"/>
    <s v="STANDARD"/>
    <s v="N"/>
    <s v="Y"/>
    <s v="N"/>
    <s v="T20"/>
    <s v="Y"/>
    <s v="N"/>
    <s v="N"/>
    <s v="N"/>
    <s v="A013"/>
    <d v="2016-12-20T00:00:00"/>
    <s v="10"/>
    <s v="TAN"/>
    <s v="OR"/>
    <d v="2016-12-15T00:00:00"/>
    <s v="MT"/>
    <s v="US"/>
    <s v="ZR"/>
    <d v="2016-12-15T00:00:00"/>
  </r>
  <r>
    <x v="0"/>
    <x v="0"/>
    <x v="810"/>
    <x v="4"/>
    <s v="Standard order"/>
    <x v="793"/>
    <x v="793"/>
    <s v="G351"/>
    <s v="CRYSTAL G351NT"/>
    <s v="5003398"/>
    <s v="G351 ACH T20 Kabina RP"/>
    <n v="24"/>
    <n v="0"/>
    <n v="24"/>
    <x v="0"/>
    <s v="DA73"/>
    <s v="RP"/>
    <s v="387"/>
    <s v="4.0 UN"/>
    <s v="STANDARD"/>
    <s v="N"/>
    <s v="N"/>
    <s v="Y"/>
    <s v="T20"/>
    <s v="N"/>
    <s v="N"/>
    <s v="N"/>
    <s v="N"/>
    <s v="A035"/>
    <d v="2016-12-20T00:00:00"/>
    <s v="10"/>
    <s v="TAN"/>
    <s v="OR"/>
    <d v="2016-12-15T00:00:00"/>
    <s v="MI"/>
    <s v="US"/>
    <s v="ZR"/>
    <d v="2016-12-15T00:00:00"/>
  </r>
  <r>
    <x v="0"/>
    <x v="0"/>
    <x v="811"/>
    <x v="4"/>
    <s v="Standard order"/>
    <x v="794"/>
    <x v="794"/>
    <s v="R059"/>
    <s v="CRYSTAL RR059"/>
    <s v="5003530"/>
    <s v="R059 ACH T20 Kabina RP"/>
    <n v="52"/>
    <n v="0"/>
    <n v="52"/>
    <x v="0"/>
    <s v="AP73"/>
    <s v="RP"/>
    <s v="387"/>
    <s v="4.0 UN"/>
    <s v="STANDARD"/>
    <s v="N"/>
    <s v="N"/>
    <s v="Y"/>
    <s v="T20"/>
    <s v="N"/>
    <s v="N"/>
    <s v="N"/>
    <s v="N"/>
    <s v="A035"/>
    <d v="2016-12-20T00:00:00"/>
    <s v="10"/>
    <s v="TAN"/>
    <s v="OR"/>
    <d v="2016-12-15T00:00:00"/>
    <s v="MI"/>
    <s v="US"/>
    <s v="ZR"/>
    <d v="2016-12-15T00:00:00"/>
  </r>
  <r>
    <x v="0"/>
    <x v="0"/>
    <x v="811"/>
    <x v="4"/>
    <s v="Standard order"/>
    <x v="794"/>
    <x v="794"/>
    <s v="G333"/>
    <s v="CRYSTAL G333NT"/>
    <s v="5003378"/>
    <s v="G333 ACH T20 Kabina RP"/>
    <n v="8"/>
    <n v="0"/>
    <n v="8"/>
    <x v="0"/>
    <s v="EE73"/>
    <s v="RP"/>
    <s v="387"/>
    <s v="4.0 UN"/>
    <s v="STANDARD"/>
    <s v="N"/>
    <s v="N"/>
    <s v="Y"/>
    <s v="T20"/>
    <s v="N"/>
    <s v="N"/>
    <s v="N"/>
    <s v="N"/>
    <s v="A035"/>
    <d v="2016-12-20T00:00:00"/>
    <s v="20"/>
    <s v="TAN"/>
    <s v="OR"/>
    <d v="2016-12-15T00:00:00"/>
    <s v="MI"/>
    <s v="US"/>
    <s v="ZR"/>
    <d v="2016-12-15T00:00:00"/>
  </r>
  <r>
    <x v="0"/>
    <x v="0"/>
    <x v="811"/>
    <x v="4"/>
    <s v="Standard order"/>
    <x v="794"/>
    <x v="794"/>
    <s v="G351"/>
    <s v="CRYSTAL G351NT"/>
    <s v="5003398"/>
    <s v="G351 ACH T20 Kabina RP"/>
    <n v="8"/>
    <n v="0"/>
    <n v="8"/>
    <x v="0"/>
    <s v="DA73"/>
    <s v="RP"/>
    <s v="387"/>
    <s v="4.0 UN"/>
    <s v="STANDARD"/>
    <s v="N"/>
    <s v="N"/>
    <s v="Y"/>
    <s v="T20"/>
    <s v="N"/>
    <s v="N"/>
    <s v="N"/>
    <s v="N"/>
    <s v="A035"/>
    <d v="2016-12-20T00:00:00"/>
    <s v="30"/>
    <s v="TAN"/>
    <s v="OR"/>
    <d v="2016-12-15T00:00:00"/>
    <s v="MI"/>
    <s v="US"/>
    <s v="ZR"/>
    <d v="2016-12-15T00:00:00"/>
  </r>
  <r>
    <x v="0"/>
    <x v="6"/>
    <x v="812"/>
    <x v="11"/>
    <s v="Standard order"/>
    <x v="795"/>
    <x v="795"/>
    <s v="R081"/>
    <s v="CRYSTAL RR081"/>
    <s v="5003574"/>
    <s v="R081 ACH T20 PB SYSTIVA G100 SSI"/>
    <n v="52"/>
    <n v="0"/>
    <n v="52"/>
    <x v="6"/>
    <s v="AQ82"/>
    <s v="GEM 100"/>
    <s v="324"/>
    <s v="4.0 UN"/>
    <s v="STANDARD"/>
    <s v="N"/>
    <s v="Y"/>
    <s v="N"/>
    <s v="T20"/>
    <s v="Y"/>
    <s v="N"/>
    <s v="Y"/>
    <s v="N"/>
    <s v="A038"/>
    <d v="2016-12-20T00:00:00"/>
    <s v="10"/>
    <s v="TAN"/>
    <s v="OR"/>
    <d v="2016-12-14T00:00:00"/>
    <s v="MT"/>
    <s v="US"/>
    <s v="ZR"/>
    <d v="2016-12-15T00:00:00"/>
  </r>
  <r>
    <x v="0"/>
    <x v="6"/>
    <x v="812"/>
    <x v="11"/>
    <s v="Standard order"/>
    <x v="795"/>
    <x v="795"/>
    <s v="R052"/>
    <s v="CRYSTAL RR052"/>
    <s v="5003513"/>
    <s v="R052 ACH T20 PB SYSTIVA G100"/>
    <n v="44"/>
    <n v="0"/>
    <n v="44"/>
    <x v="6"/>
    <s v="AP82"/>
    <s v="GEM 100"/>
    <s v="324"/>
    <s v="4.0 UN"/>
    <s v="STANDARD"/>
    <s v="N"/>
    <s v="Y"/>
    <s v="N"/>
    <s v="T20"/>
    <s v="Y"/>
    <s v="N"/>
    <s v="Y"/>
    <s v="N"/>
    <s v="A038"/>
    <d v="2016-12-20T00:00:00"/>
    <s v="20"/>
    <s v="TAN"/>
    <s v="OR"/>
    <d v="2016-12-14T00:00:00"/>
    <s v="MT"/>
    <s v="US"/>
    <s v="ZR"/>
    <d v="2016-12-15T00:00:00"/>
  </r>
  <r>
    <x v="0"/>
    <x v="6"/>
    <x v="812"/>
    <x v="11"/>
    <s v="Standard order"/>
    <x v="795"/>
    <x v="795"/>
    <s v="S360"/>
    <s v="CRYSTAL S360NT"/>
    <s v="5003413"/>
    <s v="S360 ACH T20 PB SYSTIVA G100"/>
    <n v="24"/>
    <n v="0"/>
    <n v="24"/>
    <x v="6"/>
    <s v="DVNB"/>
    <s v="GEM 100"/>
    <s v="324"/>
    <s v="4.0 UN"/>
    <s v="STANDARD"/>
    <s v="N"/>
    <s v="Y"/>
    <s v="N"/>
    <s v="T20"/>
    <s v="Y"/>
    <s v="N"/>
    <s v="Y"/>
    <s v="N"/>
    <s v="A038"/>
    <d v="2016-12-20T00:00:00"/>
    <s v="30"/>
    <s v="TAN"/>
    <s v="OR"/>
    <d v="2016-12-14T00:00:00"/>
    <s v="MT"/>
    <s v="US"/>
    <s v="ZR"/>
    <d v="2016-12-15T00:00:00"/>
  </r>
  <r>
    <x v="0"/>
    <x v="6"/>
    <x v="813"/>
    <x v="11"/>
    <s v="Standard order"/>
    <x v="796"/>
    <x v="796"/>
    <s v="S498"/>
    <s v="CRYSTAL S498"/>
    <s v="5003431"/>
    <s v="S498 ACH T20 PB SYSTIVA G100"/>
    <n v="12"/>
    <n v="0"/>
    <n v="12"/>
    <x v="6"/>
    <s v="FE73"/>
    <s v="GEM 100"/>
    <s v="324"/>
    <s v="4.0 UN"/>
    <s v="STANDARD"/>
    <s v="N"/>
    <s v="Y"/>
    <s v="N"/>
    <s v="T20"/>
    <s v="Y"/>
    <s v="N"/>
    <s v="Y"/>
    <s v="N"/>
    <s v="A038"/>
    <d v="2016-12-20T00:00:00"/>
    <s v="10"/>
    <s v="TAN"/>
    <s v="OR"/>
    <d v="2016-12-14T00:00:00"/>
    <s v="MT"/>
    <s v="US"/>
    <s v="ZR"/>
    <d v="2016-12-15T00:00:00"/>
  </r>
  <r>
    <x v="0"/>
    <x v="6"/>
    <x v="813"/>
    <x v="11"/>
    <s v="Standard order"/>
    <x v="796"/>
    <x v="796"/>
    <s v="R052"/>
    <s v="CRYSTAL RR052"/>
    <s v="5003513"/>
    <s v="R052 ACH T20 PB SYSTIVA G100"/>
    <n v="28"/>
    <n v="0"/>
    <n v="28"/>
    <x v="6"/>
    <s v="AP82"/>
    <s v="GEM 100"/>
    <s v="324"/>
    <s v="4.0 UN"/>
    <s v="STANDARD"/>
    <s v="N"/>
    <s v="Y"/>
    <s v="N"/>
    <s v="T20"/>
    <s v="Y"/>
    <s v="N"/>
    <s v="Y"/>
    <s v="N"/>
    <s v="A038"/>
    <d v="2016-12-20T00:00:00"/>
    <s v="20"/>
    <s v="TAN"/>
    <s v="OR"/>
    <d v="2016-12-14T00:00:00"/>
    <s v="MT"/>
    <s v="US"/>
    <s v="ZR"/>
    <d v="2016-12-15T00:00:00"/>
  </r>
  <r>
    <x v="0"/>
    <x v="6"/>
    <x v="814"/>
    <x v="11"/>
    <s v="Standard order"/>
    <x v="797"/>
    <x v="797"/>
    <s v="S517"/>
    <s v="CRYSTAL S517"/>
    <s v="5003468"/>
    <s v="S517 ACH T20 PB SYSTIVA G50"/>
    <n v="20"/>
    <n v="0"/>
    <n v="20"/>
    <x v="6"/>
    <s v="DVNV"/>
    <s v="GEM 50"/>
    <s v="324"/>
    <s v="4.0 UN"/>
    <s v="STANDARD"/>
    <s v="N"/>
    <s v="Y"/>
    <s v="N"/>
    <s v="T20"/>
    <s v="Y"/>
    <s v="N"/>
    <s v="Y"/>
    <s v="N"/>
    <s v="A038"/>
    <d v="2016-12-20T00:00:00"/>
    <s v="10"/>
    <s v="TAN"/>
    <s v="OR"/>
    <d v="2016-12-14T00:00:00"/>
    <s v="MT"/>
    <s v="US"/>
    <s v="ZR"/>
    <d v="2016-12-15T00:00:00"/>
  </r>
  <r>
    <x v="0"/>
    <x v="6"/>
    <x v="814"/>
    <x v="11"/>
    <s v="Standard order"/>
    <x v="797"/>
    <x v="797"/>
    <s v="S360"/>
    <s v="CRYSTAL S360NT"/>
    <s v="5003414"/>
    <s v="S360 ACH T20 PB SYSTIVA G50"/>
    <n v="64"/>
    <n v="0"/>
    <n v="64"/>
    <x v="6"/>
    <s v="DVNB"/>
    <s v="GEM 50"/>
    <s v="324"/>
    <s v="4.0 UN"/>
    <s v="STANDARD"/>
    <s v="N"/>
    <s v="Y"/>
    <s v="N"/>
    <s v="T20"/>
    <s v="Y"/>
    <s v="N"/>
    <s v="Y"/>
    <s v="N"/>
    <s v="A038"/>
    <d v="2016-12-20T00:00:00"/>
    <s v="20"/>
    <s v="TAN"/>
    <s v="OR"/>
    <d v="2016-12-14T00:00:00"/>
    <s v="MT"/>
    <s v="US"/>
    <s v="ZR"/>
    <d v="2016-12-15T00:00:00"/>
  </r>
  <r>
    <x v="0"/>
    <x v="4"/>
    <x v="815"/>
    <x v="20"/>
    <s v="Standard order"/>
    <x v="798"/>
    <x v="798"/>
    <s v="A399"/>
    <s v="CRYSTAL A399NT"/>
    <s v="5002928"/>
    <s v="A399 ACH PB LRG"/>
    <n v="136"/>
    <n v="0"/>
    <n v="136"/>
    <x v="4"/>
    <s v="DP71"/>
    <s v="LARGE"/>
    <s v="314"/>
    <s v="4.0 UN"/>
    <s v="STANDARD"/>
    <s v="N"/>
    <s v="Y"/>
    <s v="N"/>
    <s v="N"/>
    <s v="N"/>
    <s v="N"/>
    <s v="N"/>
    <s v="N"/>
    <s v="A039"/>
    <d v="2016-12-20T00:00:00"/>
    <s v="10"/>
    <s v="TAN"/>
    <s v="OR"/>
    <d v="2016-12-14T00:00:00"/>
    <s v="ID"/>
    <s v="US"/>
    <s v="ZR"/>
    <d v="2016-12-15T00:00:00"/>
  </r>
  <r>
    <x v="0"/>
    <x v="4"/>
    <x v="815"/>
    <x v="20"/>
    <s v="Standard order"/>
    <x v="798"/>
    <x v="798"/>
    <s v="A404"/>
    <s v="CRYSTAL A404NT"/>
    <s v="5002954"/>
    <s v="A404 ACH PB LRG"/>
    <n v="132"/>
    <n v="0"/>
    <n v="132"/>
    <x v="4"/>
    <s v="DPNE"/>
    <s v="LARGE"/>
    <s v="314"/>
    <s v="4.0 UN"/>
    <s v="STANDARD"/>
    <s v="N"/>
    <s v="Y"/>
    <s v="N"/>
    <s v="N"/>
    <s v="N"/>
    <s v="N"/>
    <s v="N"/>
    <s v="N"/>
    <s v="A039"/>
    <d v="2016-12-20T00:00:00"/>
    <s v="20"/>
    <s v="TAN"/>
    <s v="OR"/>
    <d v="2016-12-14T00:00:00"/>
    <s v="ID"/>
    <s v="US"/>
    <s v="ZR"/>
    <d v="2016-12-15T00:00:00"/>
  </r>
  <r>
    <x v="0"/>
    <x v="6"/>
    <x v="816"/>
    <x v="11"/>
    <s v="Standard order"/>
    <x v="799"/>
    <x v="799"/>
    <s v="S517"/>
    <s v="CRYSTAL S517"/>
    <s v="5003467"/>
    <s v="S517 ACH T20 PB SYSTIVA G100"/>
    <n v="12"/>
    <n v="0"/>
    <n v="12"/>
    <x v="6"/>
    <s v="DVNV"/>
    <s v="GEM 100"/>
    <s v="324"/>
    <s v="4.0 UN"/>
    <s v="STANDARD"/>
    <s v="N"/>
    <s v="Y"/>
    <s v="N"/>
    <s v="T20"/>
    <s v="Y"/>
    <s v="N"/>
    <s v="Y"/>
    <s v="N"/>
    <s v="A038"/>
    <d v="2016-12-20T00:00:00"/>
    <s v="10"/>
    <s v="TAN"/>
    <s v="OR"/>
    <d v="2016-12-14T00:00:00"/>
    <s v="MT"/>
    <s v="US"/>
    <s v="ZR"/>
    <d v="2016-12-15T00:00:00"/>
  </r>
  <r>
    <x v="0"/>
    <x v="6"/>
    <x v="816"/>
    <x v="11"/>
    <s v="Standard order"/>
    <x v="799"/>
    <x v="799"/>
    <s v="S498"/>
    <s v="CRYSTAL S498"/>
    <s v="5003431"/>
    <s v="S498 ACH T20 PB SYSTIVA G100"/>
    <n v="16"/>
    <n v="0"/>
    <n v="16"/>
    <x v="6"/>
    <s v="FE73"/>
    <s v="GEM 100"/>
    <s v="324"/>
    <s v="4.0 UN"/>
    <s v="STANDARD"/>
    <s v="N"/>
    <s v="Y"/>
    <s v="N"/>
    <s v="T20"/>
    <s v="Y"/>
    <s v="N"/>
    <s v="Y"/>
    <s v="N"/>
    <s v="A038"/>
    <d v="2016-12-20T00:00:00"/>
    <s v="20"/>
    <s v="TAN"/>
    <s v="OR"/>
    <d v="2016-12-14T00:00:00"/>
    <s v="MT"/>
    <s v="US"/>
    <s v="ZR"/>
    <d v="2016-12-15T00:00:00"/>
  </r>
  <r>
    <x v="0"/>
    <x v="4"/>
    <x v="817"/>
    <x v="19"/>
    <s v="Standard order"/>
    <x v="800"/>
    <x v="800"/>
    <s v="A399"/>
    <s v="CRYSTAL A399NT"/>
    <s v="5002939"/>
    <s v="A399 ACH XL"/>
    <n v="428"/>
    <n v="0"/>
    <n v="428"/>
    <x v="4"/>
    <s v="DP71"/>
    <s v="X-LARGE"/>
    <s v="316"/>
    <s v="4.0 UN"/>
    <s v="STANDARD"/>
    <s v="N"/>
    <s v="N"/>
    <s v="N"/>
    <s v="N"/>
    <s v="N"/>
    <s v="N"/>
    <s v="N"/>
    <s v="N"/>
    <s v="A046"/>
    <d v="2016-12-20T00:00:00"/>
    <s v="10"/>
    <s v="TAN"/>
    <s v="OR"/>
    <d v="2016-12-14T00:00:00"/>
    <s v="ID"/>
    <s v="US"/>
    <s v="ZR"/>
    <d v="2016-12-15T00:00:00"/>
  </r>
  <r>
    <x v="0"/>
    <x v="4"/>
    <x v="818"/>
    <x v="7"/>
    <s v="Standard order"/>
    <x v="801"/>
    <x v="801"/>
    <s v="A399"/>
    <s v="CRYSTAL A399NT"/>
    <s v="5002936"/>
    <s v="A399 ACH T20 PB Kabina MP"/>
    <n v="20"/>
    <n v="0"/>
    <n v="20"/>
    <x v="4"/>
    <s v="DP71"/>
    <s v="MP"/>
    <s v="388"/>
    <s v="4.0 UN"/>
    <s v="STANDARD"/>
    <s v="N"/>
    <s v="Y"/>
    <s v="Y"/>
    <s v="T20"/>
    <s v="N"/>
    <s v="N"/>
    <s v="N"/>
    <s v="N"/>
    <s v="A045"/>
    <d v="2016-12-20T00:00:00"/>
    <s v="10"/>
    <s v="TAN"/>
    <s v="OR"/>
    <d v="2016-12-15T00:00:00"/>
    <s v="ID"/>
    <s v="US"/>
    <s v="ZR"/>
    <d v="2016-12-15T00:00:00"/>
  </r>
  <r>
    <x v="0"/>
    <x v="5"/>
    <x v="819"/>
    <x v="21"/>
    <s v="Standard order"/>
    <x v="802"/>
    <x v="802"/>
    <s v="Y400"/>
    <s v="CRYSTAL Y400NT"/>
    <s v="5003735"/>
    <s v="Y400 ACH T20 PB SYSTIVA RP"/>
    <n v="8"/>
    <n v="0"/>
    <n v="8"/>
    <x v="5"/>
    <s v="4TBP"/>
    <s v="RP"/>
    <s v="324"/>
    <s v="4.0 UN"/>
    <s v="STANDARD"/>
    <s v="N"/>
    <s v="Y"/>
    <s v="N"/>
    <s v="T20"/>
    <s v="Y"/>
    <s v="N"/>
    <s v="N"/>
    <s v="N"/>
    <s v="A013"/>
    <d v="2016-12-20T00:00:00"/>
    <s v="10"/>
    <s v="TAN"/>
    <s v="OR"/>
    <d v="2016-12-15T00:00:00"/>
    <s v="MT"/>
    <s v="US"/>
    <s v="ZR"/>
    <d v="2016-12-15T00:00:00"/>
  </r>
  <r>
    <x v="0"/>
    <x v="0"/>
    <x v="820"/>
    <x v="4"/>
    <s v="Standard order"/>
    <x v="803"/>
    <x v="803"/>
    <s v="R059"/>
    <s v="CRYSTAL RR059"/>
    <s v="5003530"/>
    <s v="R059 ACH T20 Kabina RP"/>
    <n v="20"/>
    <n v="0"/>
    <n v="20"/>
    <x v="0"/>
    <s v="AP73"/>
    <s v="RP"/>
    <s v="387"/>
    <s v="4.0 UN"/>
    <s v="STANDARD"/>
    <s v="N"/>
    <s v="N"/>
    <s v="Y"/>
    <s v="T20"/>
    <s v="N"/>
    <s v="N"/>
    <s v="N"/>
    <s v="N"/>
    <s v="A035"/>
    <d v="2016-12-20T00:00:00"/>
    <s v="10"/>
    <s v="TAN"/>
    <s v="OR"/>
    <d v="2016-12-15T00:00:00"/>
    <s v="MI"/>
    <s v="US"/>
    <s v="ZR"/>
    <d v="2016-12-15T00:00:00"/>
  </r>
  <r>
    <x v="0"/>
    <x v="0"/>
    <x v="820"/>
    <x v="4"/>
    <s v="Standard order"/>
    <x v="803"/>
    <x v="803"/>
    <s v="G515"/>
    <s v="CRYSTAL G515"/>
    <s v="5003019"/>
    <s v="G515 ACH T20 Kabina RP"/>
    <n v="8"/>
    <n v="0"/>
    <n v="8"/>
    <x v="0"/>
    <s v="APND"/>
    <s v="RP"/>
    <s v="387"/>
    <s v="4.0 UN"/>
    <s v="STANDARD"/>
    <s v="N"/>
    <s v="N"/>
    <s v="Y"/>
    <s v="T20"/>
    <s v="N"/>
    <s v="N"/>
    <s v="N"/>
    <s v="N"/>
    <s v="A035"/>
    <d v="2016-12-20T00:00:00"/>
    <s v="20"/>
    <s v="TAN"/>
    <s v="OR"/>
    <d v="2016-12-15T00:00:00"/>
    <s v="MI"/>
    <s v="US"/>
    <s v="ZR"/>
    <d v="2016-12-15T00:00:00"/>
  </r>
  <r>
    <x v="0"/>
    <x v="2"/>
    <x v="821"/>
    <x v="5"/>
    <s v="Standard order"/>
    <x v="804"/>
    <x v="804"/>
    <s v="W322"/>
    <s v="CRYSTAL W322NT"/>
    <s v="5003488"/>
    <s v="W322 ACH T20 PB SYSTIVA G100"/>
    <n v="20"/>
    <n v="0"/>
    <n v="20"/>
    <x v="2"/>
    <s v="EE73"/>
    <s v="GEM 100"/>
    <s v="324"/>
    <s v="4.0 UN"/>
    <s v="STANDARD"/>
    <s v="N"/>
    <s v="Y"/>
    <s v="N"/>
    <s v="T20"/>
    <s v="Y"/>
    <s v="N"/>
    <s v="Y"/>
    <s v="N"/>
    <s v="A020"/>
    <d v="2016-12-20T00:00:00"/>
    <s v="10"/>
    <s v="TAN"/>
    <s v="OR"/>
    <d v="2016-12-14T00:00:00"/>
    <s v="CO"/>
    <s v="US"/>
    <s v="ZR"/>
    <d v="2016-12-15T00:00:00"/>
  </r>
  <r>
    <x v="0"/>
    <x v="2"/>
    <x v="822"/>
    <x v="3"/>
    <s v="Standard order"/>
    <x v="805"/>
    <x v="805"/>
    <s v="R014"/>
    <s v="CRYSTAL RR014"/>
    <s v="5003091"/>
    <s v="R014 ACH T20 PB SYSTIVA G100"/>
    <n v="100"/>
    <n v="0"/>
    <n v="100"/>
    <x v="2"/>
    <s v="AP82"/>
    <s v="GEM 100"/>
    <s v="324"/>
    <s v="4.0 UN"/>
    <s v="STANDARD"/>
    <s v="N"/>
    <s v="Y"/>
    <s v="N"/>
    <s v="T20"/>
    <s v="Y"/>
    <s v="N"/>
    <s v="Y"/>
    <s v="N"/>
    <s v="A024"/>
    <d v="2016-12-20T00:00:00"/>
    <s v="10"/>
    <s v="TAN"/>
    <s v="OR"/>
    <d v="2016-12-15T00:00:00"/>
    <s v="NE"/>
    <s v="US"/>
    <s v="ZR"/>
    <d v="2016-12-15T00:00:00"/>
  </r>
  <r>
    <x v="0"/>
    <x v="0"/>
    <x v="823"/>
    <x v="0"/>
    <s v="Standard order"/>
    <x v="806"/>
    <x v="806"/>
    <s v="R059"/>
    <s v="CRYSTAL RR059"/>
    <s v="5003518"/>
    <s v="R059 ACH CM Vibrance RP"/>
    <n v="8"/>
    <n v="0"/>
    <n v="8"/>
    <x v="0"/>
    <s v="AP73"/>
    <s v="RP"/>
    <s v="393"/>
    <s v="4.0 UN"/>
    <s v="STANDARD"/>
    <s v="Y"/>
    <s v="N"/>
    <s v="N"/>
    <s v="N"/>
    <s v="N"/>
    <s v="N"/>
    <s v="N"/>
    <s v="Y"/>
    <s v="A037"/>
    <d v="2016-12-20T00:00:00"/>
    <s v="10"/>
    <s v="TAN"/>
    <s v="OR"/>
    <d v="2016-12-14T00:00:00"/>
    <s v="ON"/>
    <s v="CA"/>
    <s v="ZR"/>
    <d v="2016-12-15T00:00:00"/>
  </r>
  <r>
    <x v="0"/>
    <x v="0"/>
    <x v="824"/>
    <x v="2"/>
    <s v="Standard order"/>
    <x v="807"/>
    <x v="807"/>
    <s v="G351"/>
    <s v="CRYSTAL G351NT"/>
    <s v="5003397"/>
    <s v="G351 ACH T20 Kabina MP"/>
    <n v="56"/>
    <n v="0"/>
    <n v="56"/>
    <x v="0"/>
    <s v="DA73"/>
    <s v="MP"/>
    <s v="387"/>
    <s v="4.0 UN"/>
    <s v="STANDARD"/>
    <s v="N"/>
    <s v="N"/>
    <s v="Y"/>
    <s v="T20"/>
    <s v="N"/>
    <s v="N"/>
    <s v="N"/>
    <s v="N"/>
    <s v="A034"/>
    <d v="2016-12-20T00:00:00"/>
    <s v="10"/>
    <s v="TAN"/>
    <s v="OR"/>
    <d v="2016-12-14T00:00:00"/>
    <s v="MI"/>
    <s v="US"/>
    <s v="ZR"/>
    <d v="2016-12-15T00:00:00"/>
  </r>
  <r>
    <x v="0"/>
    <x v="2"/>
    <x v="825"/>
    <x v="24"/>
    <s v="Standard order"/>
    <x v="808"/>
    <x v="808"/>
    <s v="R014"/>
    <s v="CRYSTAL RR014"/>
    <s v="5003092"/>
    <s v="R014 ACH T20 PB SYSTIVA G50"/>
    <n v="360"/>
    <n v="0"/>
    <n v="360"/>
    <x v="2"/>
    <s v="AP82"/>
    <s v="GEM 50"/>
    <s v="324"/>
    <s v="4.0 UN"/>
    <s v="STANDARD"/>
    <s v="N"/>
    <s v="Y"/>
    <s v="N"/>
    <s v="T20"/>
    <s v="Y"/>
    <s v="N"/>
    <s v="Y"/>
    <s v="N"/>
    <s v="A022"/>
    <d v="2016-12-20T00:00:00"/>
    <s v="10"/>
    <s v="TAN"/>
    <s v="OR"/>
    <d v="2016-12-14T00:00:00"/>
    <s v="CO"/>
    <s v="US"/>
    <s v="ZR"/>
    <d v="2016-12-15T00:00:00"/>
  </r>
  <r>
    <x v="0"/>
    <x v="2"/>
    <x v="826"/>
    <x v="5"/>
    <s v="Standard order"/>
    <x v="809"/>
    <x v="809"/>
    <s v="W322"/>
    <s v="CRYSTAL W322NT"/>
    <s v="5003488"/>
    <s v="W322 ACH T20 PB SYSTIVA G100"/>
    <n v="16"/>
    <n v="0"/>
    <n v="16"/>
    <x v="2"/>
    <s v="EE73"/>
    <s v="GEM 100"/>
    <s v="324"/>
    <s v="4.0 UN"/>
    <s v="STANDARD"/>
    <s v="N"/>
    <s v="Y"/>
    <s v="N"/>
    <s v="T20"/>
    <s v="Y"/>
    <s v="N"/>
    <s v="Y"/>
    <s v="N"/>
    <s v="A020"/>
    <d v="2016-12-20T00:00:00"/>
    <s v="10"/>
    <s v="TAN"/>
    <s v="OR"/>
    <d v="2016-12-14T00:00:00"/>
    <s v="CO"/>
    <s v="US"/>
    <s v="ZR"/>
    <d v="2016-12-15T00:00:00"/>
  </r>
  <r>
    <x v="0"/>
    <x v="5"/>
    <x v="827"/>
    <x v="9"/>
    <s v="Standard order"/>
    <x v="810"/>
    <x v="810"/>
    <s v="R116"/>
    <s v="CRYSTAL RR116"/>
    <s v="5003105"/>
    <s v="R116 ACH T20 PB SYSTIVA RP"/>
    <n v="60"/>
    <n v="0"/>
    <n v="60"/>
    <x v="5"/>
    <s v="AP71"/>
    <s v="RP"/>
    <s v="324"/>
    <s v="4.0 UN"/>
    <s v="STANDARD"/>
    <s v="N"/>
    <s v="Y"/>
    <s v="N"/>
    <s v="T20"/>
    <s v="Y"/>
    <s v="N"/>
    <s v="N"/>
    <s v="N"/>
    <s v="A016"/>
    <d v="2016-12-20T00:00:00"/>
    <s v="10"/>
    <s v="TAN"/>
    <s v="OR"/>
    <d v="2016-12-15T00:00:00"/>
    <s v="WY"/>
    <s v="US"/>
    <s v="ZR"/>
    <d v="2016-12-15T00:00:00"/>
  </r>
  <r>
    <x v="0"/>
    <x v="0"/>
    <x v="828"/>
    <x v="10"/>
    <s v="Standard order"/>
    <x v="811"/>
    <x v="811"/>
    <s v="R059"/>
    <s v="CRYSTAL RR059"/>
    <s v="5003530"/>
    <s v="R059 ACH T20 Kabina RP"/>
    <n v="88"/>
    <n v="0"/>
    <n v="88"/>
    <x v="0"/>
    <s v="AP73"/>
    <s v="RP"/>
    <s v="387"/>
    <s v="4.0 UN"/>
    <s v="STANDARD"/>
    <s v="N"/>
    <s v="N"/>
    <s v="Y"/>
    <s v="T20"/>
    <s v="N"/>
    <s v="N"/>
    <s v="N"/>
    <s v="N"/>
    <s v="A036"/>
    <d v="2016-12-20T00:00:00"/>
    <s v="10"/>
    <s v="TAN"/>
    <s v="OR"/>
    <d v="2016-12-15T00:00:00"/>
    <s v="MI"/>
    <s v="US"/>
    <s v="ZR"/>
    <d v="2016-12-15T00:00:00"/>
  </r>
  <r>
    <x v="0"/>
    <x v="0"/>
    <x v="828"/>
    <x v="10"/>
    <s v="Standard order"/>
    <x v="811"/>
    <x v="811"/>
    <s v="G333"/>
    <s v="CRYSTAL G333NT"/>
    <s v="5003384"/>
    <s v="G333 ACH T20 SYSTIVA RP"/>
    <n v="48"/>
    <n v="0"/>
    <n v="48"/>
    <x v="0"/>
    <s v="EE73"/>
    <s v="RP"/>
    <s v="328"/>
    <s v="4.0 UN"/>
    <s v="STANDARD"/>
    <s v="N"/>
    <s v="N"/>
    <s v="N"/>
    <s v="T20"/>
    <s v="Y"/>
    <s v="N"/>
    <s v="Y"/>
    <s v="N"/>
    <s v="A036"/>
    <d v="2016-12-20T00:00:00"/>
    <s v="20"/>
    <s v="TAN"/>
    <s v="OR"/>
    <d v="2016-12-15T00:00:00"/>
    <s v="MI"/>
    <s v="US"/>
    <s v="ZR"/>
    <d v="2016-12-15T00:00:00"/>
  </r>
  <r>
    <x v="0"/>
    <x v="0"/>
    <x v="829"/>
    <x v="4"/>
    <s v="Standard order"/>
    <x v="812"/>
    <x v="812"/>
    <s v="R059"/>
    <s v="CRYSTAL RR059"/>
    <s v="5003535"/>
    <s v="R059 ACH T20 SYSTIVA MP"/>
    <n v="56"/>
    <n v="0"/>
    <n v="56"/>
    <x v="0"/>
    <s v="AP73"/>
    <s v="MP"/>
    <s v="328"/>
    <s v="4.0 UN"/>
    <s v="STANDARD"/>
    <s v="N"/>
    <s v="N"/>
    <s v="N"/>
    <s v="T20"/>
    <s v="Y"/>
    <s v="N"/>
    <s v="Y"/>
    <s v="N"/>
    <s v="A035"/>
    <d v="2016-12-20T00:00:00"/>
    <s v="10"/>
    <s v="TAN"/>
    <s v="OR"/>
    <d v="2016-12-15T00:00:00"/>
    <s v="MI"/>
    <s v="US"/>
    <s v="ZR"/>
    <d v="2016-12-15T00:00:00"/>
  </r>
  <r>
    <x v="0"/>
    <x v="0"/>
    <x v="830"/>
    <x v="4"/>
    <s v="Standard order"/>
    <x v="813"/>
    <x v="813"/>
    <s v="G351"/>
    <s v="CRYSTAL G351NT"/>
    <s v="5003398"/>
    <s v="G351 ACH T20 Kabina RP"/>
    <n v="48"/>
    <n v="0"/>
    <n v="48"/>
    <x v="0"/>
    <s v="DA73"/>
    <s v="RP"/>
    <s v="387"/>
    <s v="4.0 UN"/>
    <s v="STANDARD"/>
    <s v="N"/>
    <s v="N"/>
    <s v="Y"/>
    <s v="T20"/>
    <s v="N"/>
    <s v="N"/>
    <s v="N"/>
    <s v="N"/>
    <s v="A035"/>
    <d v="2016-12-20T00:00:00"/>
    <s v="10"/>
    <s v="TAN"/>
    <s v="OR"/>
    <d v="2016-12-15T00:00:00"/>
    <s v="MI"/>
    <s v="US"/>
    <s v="ZR"/>
    <d v="2016-12-15T00:00:00"/>
  </r>
  <r>
    <x v="0"/>
    <x v="0"/>
    <x v="831"/>
    <x v="4"/>
    <s v="Standard order"/>
    <x v="814"/>
    <x v="814"/>
    <s v="G351"/>
    <s v="CRYSTAL G351NT"/>
    <s v="5003398"/>
    <s v="G351 ACH T20 Kabina RP"/>
    <n v="12"/>
    <n v="0"/>
    <n v="12"/>
    <x v="0"/>
    <s v="DA73"/>
    <s v="RP"/>
    <s v="387"/>
    <s v="4.0 UN"/>
    <s v="STANDARD"/>
    <s v="N"/>
    <s v="N"/>
    <s v="Y"/>
    <s v="T20"/>
    <s v="N"/>
    <s v="N"/>
    <s v="N"/>
    <s v="N"/>
    <s v="A035"/>
    <d v="2016-12-20T00:00:00"/>
    <s v="10"/>
    <s v="TAN"/>
    <s v="OR"/>
    <d v="2016-12-15T00:00:00"/>
    <s v="MI"/>
    <s v="US"/>
    <s v="ZR"/>
    <d v="2016-12-15T00:00:00"/>
  </r>
  <r>
    <x v="0"/>
    <x v="4"/>
    <x v="832"/>
    <x v="15"/>
    <s v="Standard order"/>
    <x v="815"/>
    <x v="815"/>
    <s v="A399"/>
    <s v="CRYSTAL A399NT"/>
    <s v="5002928"/>
    <s v="A399 ACH PB LRG"/>
    <n v="500"/>
    <n v="0"/>
    <n v="500"/>
    <x v="4"/>
    <s v="DP71"/>
    <s v="LARGE"/>
    <s v="314"/>
    <s v="4.0 UN"/>
    <s v="STANDARD"/>
    <s v="N"/>
    <s v="Y"/>
    <s v="N"/>
    <s v="N"/>
    <s v="N"/>
    <s v="N"/>
    <s v="N"/>
    <s v="N"/>
    <s v="A043"/>
    <d v="2016-12-20T00:00:00"/>
    <s v="10"/>
    <s v="TAN"/>
    <s v="OR"/>
    <d v="2016-12-15T00:00:00"/>
    <s v="WA"/>
    <s v="US"/>
    <s v="ZR"/>
    <d v="2016-12-15T00:00:00"/>
  </r>
  <r>
    <x v="0"/>
    <x v="4"/>
    <x v="832"/>
    <x v="15"/>
    <s v="Standard order"/>
    <x v="815"/>
    <x v="815"/>
    <s v="A404"/>
    <s v="CRYSTAL A404NT"/>
    <s v="5002954"/>
    <s v="A404 ACH PB LRG"/>
    <n v="200"/>
    <n v="0"/>
    <n v="200"/>
    <x v="4"/>
    <s v="DPNE"/>
    <s v="LARGE"/>
    <s v="314"/>
    <s v="4.0 UN"/>
    <s v="STANDARD"/>
    <s v="N"/>
    <s v="Y"/>
    <s v="N"/>
    <s v="N"/>
    <s v="N"/>
    <s v="N"/>
    <s v="N"/>
    <s v="N"/>
    <s v="A043"/>
    <d v="2016-12-20T00:00:00"/>
    <s v="20"/>
    <s v="TAN"/>
    <s v="OR"/>
    <d v="2016-12-15T00:00:00"/>
    <s v="WA"/>
    <s v="US"/>
    <s v="ZR"/>
    <d v="2016-12-15T00:00:00"/>
  </r>
  <r>
    <x v="0"/>
    <x v="4"/>
    <x v="832"/>
    <x v="15"/>
    <s v="Standard order"/>
    <x v="815"/>
    <x v="815"/>
    <s v="A488"/>
    <s v="CRYSTAL A488NT"/>
    <s v="5002980"/>
    <s v="A488 ACH PB LRG"/>
    <n v="148"/>
    <n v="0"/>
    <n v="148"/>
    <x v="4"/>
    <s v="EENE"/>
    <s v="LARGE"/>
    <s v="314"/>
    <s v="4.0 UN"/>
    <s v="STANDARD"/>
    <s v="N"/>
    <s v="Y"/>
    <s v="N"/>
    <s v="N"/>
    <s v="N"/>
    <s v="N"/>
    <s v="N"/>
    <s v="N"/>
    <s v="A043"/>
    <d v="2016-12-20T00:00:00"/>
    <s v="30"/>
    <s v="TAN"/>
    <s v="OR"/>
    <d v="2016-12-15T00:00:00"/>
    <s v="WA"/>
    <s v="US"/>
    <s v="ZR"/>
    <d v="2016-12-15T00:00:00"/>
  </r>
  <r>
    <x v="0"/>
    <x v="2"/>
    <x v="833"/>
    <x v="5"/>
    <s v="Standard order"/>
    <x v="816"/>
    <x v="816"/>
    <s v="W322"/>
    <s v="CRYSTAL W322NT"/>
    <s v="5003488"/>
    <s v="W322 ACH T20 PB SYSTIVA G100"/>
    <n v="40"/>
    <n v="0"/>
    <n v="40"/>
    <x v="2"/>
    <s v="EE73"/>
    <s v="GEM 100"/>
    <s v="324"/>
    <s v="4.0 UN"/>
    <s v="STANDARD"/>
    <s v="N"/>
    <s v="Y"/>
    <s v="N"/>
    <s v="T20"/>
    <s v="Y"/>
    <s v="N"/>
    <s v="Y"/>
    <s v="N"/>
    <s v="A020"/>
    <d v="2016-12-20T00:00:00"/>
    <s v="10"/>
    <s v="TAN"/>
    <s v="OR"/>
    <d v="2016-12-15T00:00:00"/>
    <s v="CO"/>
    <s v="US"/>
    <s v="ZR"/>
    <d v="2016-12-15T00:00:00"/>
  </r>
  <r>
    <x v="0"/>
    <x v="5"/>
    <x v="834"/>
    <x v="9"/>
    <s v="Standard order"/>
    <x v="817"/>
    <x v="817"/>
    <s v="R116"/>
    <s v="CRYSTAL RR116"/>
    <s v="5003105"/>
    <s v="R116 ACH T20 PB SYSTIVA RP"/>
    <n v="12"/>
    <n v="0"/>
    <n v="12"/>
    <x v="5"/>
    <s v="AP71"/>
    <s v="RP"/>
    <s v="324"/>
    <s v="4.0 UN"/>
    <s v="STANDARD"/>
    <s v="N"/>
    <s v="Y"/>
    <s v="N"/>
    <s v="T20"/>
    <s v="Y"/>
    <s v="N"/>
    <s v="N"/>
    <s v="N"/>
    <s v="A016"/>
    <d v="2016-12-20T00:00:00"/>
    <s v="10"/>
    <s v="TAN"/>
    <s v="OR"/>
    <d v="2016-12-15T00:00:00"/>
    <s v="WY"/>
    <s v="US"/>
    <s v="ZR"/>
    <d v="2016-12-15T00:00:00"/>
  </r>
  <r>
    <x v="0"/>
    <x v="2"/>
    <x v="835"/>
    <x v="5"/>
    <s v="Standard order"/>
    <x v="818"/>
    <x v="818"/>
    <s v="W322"/>
    <s v="CRYSTAL W322NT"/>
    <s v="5003488"/>
    <s v="W322 ACH T20 PB SYSTIVA G100"/>
    <n v="32"/>
    <n v="0"/>
    <n v="32"/>
    <x v="2"/>
    <s v="EE73"/>
    <s v="GEM 100"/>
    <s v="324"/>
    <s v="4.0 UN"/>
    <s v="STANDARD"/>
    <s v="N"/>
    <s v="Y"/>
    <s v="N"/>
    <s v="T20"/>
    <s v="Y"/>
    <s v="N"/>
    <s v="Y"/>
    <s v="N"/>
    <s v="A020"/>
    <d v="2016-12-20T00:00:00"/>
    <s v="10"/>
    <s v="TAN"/>
    <s v="OR"/>
    <d v="2016-12-14T00:00:00"/>
    <s v="CO"/>
    <s v="US"/>
    <s v="ZR"/>
    <d v="2016-12-15T00:00:00"/>
  </r>
  <r>
    <x v="0"/>
    <x v="2"/>
    <x v="836"/>
    <x v="5"/>
    <s v="Standard order"/>
    <x v="819"/>
    <x v="819"/>
    <s v="R014"/>
    <s v="CRYSTAL RR014"/>
    <s v="5003092"/>
    <s v="R014 ACH T20 PB SYSTIVA G50"/>
    <n v="12"/>
    <n v="0"/>
    <n v="12"/>
    <x v="2"/>
    <s v="AP82"/>
    <s v="GEM 50"/>
    <s v="324"/>
    <s v="4.0 UN"/>
    <s v="STANDARD"/>
    <s v="N"/>
    <s v="Y"/>
    <s v="N"/>
    <s v="T20"/>
    <s v="Y"/>
    <s v="N"/>
    <s v="Y"/>
    <s v="N"/>
    <s v="A020"/>
    <d v="2016-12-20T00:00:00"/>
    <s v="10"/>
    <s v="TAN"/>
    <s v="OR"/>
    <d v="2016-12-14T00:00:00"/>
    <s v="CO"/>
    <s v="US"/>
    <s v="ZR"/>
    <d v="2016-12-15T00:00:00"/>
  </r>
  <r>
    <x v="0"/>
    <x v="4"/>
    <x v="837"/>
    <x v="15"/>
    <s v="Standard order"/>
    <x v="820"/>
    <x v="820"/>
    <s v="A404"/>
    <s v="CRYSTAL A404NT"/>
    <s v="5002954"/>
    <s v="A404 ACH PB LRG"/>
    <n v="8"/>
    <n v="0"/>
    <n v="8"/>
    <x v="4"/>
    <s v="DPNE"/>
    <s v="LARGE"/>
    <s v="314"/>
    <s v="4.0 UN"/>
    <s v="STANDARD"/>
    <s v="N"/>
    <s v="Y"/>
    <s v="N"/>
    <s v="N"/>
    <s v="N"/>
    <s v="N"/>
    <s v="N"/>
    <s v="N"/>
    <s v="A043"/>
    <d v="2016-12-20T00:00:00"/>
    <s v="10"/>
    <s v="TAN"/>
    <s v="OR"/>
    <d v="2016-12-14T00:00:00"/>
    <s v="ID"/>
    <s v="US"/>
    <s v="ZR"/>
    <d v="2016-12-15T00:00:00"/>
  </r>
  <r>
    <x v="0"/>
    <x v="2"/>
    <x v="838"/>
    <x v="3"/>
    <s v="Standard order"/>
    <x v="821"/>
    <x v="821"/>
    <s v="R014"/>
    <s v="CRYSTAL RR014"/>
    <s v="5003091"/>
    <s v="R014 ACH T20 PB SYSTIVA G100"/>
    <n v="128"/>
    <n v="0"/>
    <n v="128"/>
    <x v="2"/>
    <s v="AP82"/>
    <s v="GEM 100"/>
    <s v="324"/>
    <s v="4.0 UN"/>
    <s v="STANDARD"/>
    <s v="N"/>
    <s v="Y"/>
    <s v="N"/>
    <s v="T20"/>
    <s v="Y"/>
    <s v="N"/>
    <s v="Y"/>
    <s v="N"/>
    <s v="A024"/>
    <d v="2016-12-20T00:00:00"/>
    <s v="10"/>
    <s v="TAN"/>
    <s v="OR"/>
    <d v="2016-12-15T00:00:00"/>
    <s v="NE"/>
    <s v="US"/>
    <s v="ZR"/>
    <d v="2016-12-15T00:00:00"/>
  </r>
  <r>
    <x v="0"/>
    <x v="2"/>
    <x v="838"/>
    <x v="3"/>
    <s v="Standard order"/>
    <x v="821"/>
    <x v="821"/>
    <s v="R272"/>
    <s v="CRYSTAL RR272"/>
    <s v="5003629"/>
    <s v="R272 ACH T20 PB SYSTIVA G100"/>
    <n v="64"/>
    <n v="0"/>
    <n v="64"/>
    <x v="2"/>
    <s v="DG73"/>
    <s v="GEM 100"/>
    <s v="324"/>
    <s v="4.0 UN"/>
    <s v="STANDARD"/>
    <s v="N"/>
    <s v="Y"/>
    <s v="N"/>
    <s v="T20"/>
    <s v="Y"/>
    <s v="N"/>
    <s v="Y"/>
    <s v="N"/>
    <s v="A024"/>
    <d v="2016-12-20T00:00:00"/>
    <s v="20"/>
    <s v="TAN"/>
    <s v="OR"/>
    <d v="2016-12-15T00:00:00"/>
    <s v="NE"/>
    <s v="US"/>
    <s v="ZR"/>
    <d v="2016-12-15T00:00:00"/>
  </r>
  <r>
    <x v="0"/>
    <x v="2"/>
    <x v="838"/>
    <x v="3"/>
    <s v="Standard order"/>
    <x v="821"/>
    <x v="821"/>
    <s v="W322"/>
    <s v="CRYSTAL W322NT"/>
    <s v="5003488"/>
    <s v="W322 ACH T20 PB SYSTIVA G100"/>
    <n v="64"/>
    <n v="0"/>
    <n v="64"/>
    <x v="2"/>
    <s v="EE73"/>
    <s v="GEM 100"/>
    <s v="324"/>
    <s v="4.0 UN"/>
    <s v="STANDARD"/>
    <s v="N"/>
    <s v="Y"/>
    <s v="N"/>
    <s v="T20"/>
    <s v="Y"/>
    <s v="N"/>
    <s v="Y"/>
    <s v="N"/>
    <s v="A024"/>
    <d v="2016-12-20T00:00:00"/>
    <s v="30"/>
    <s v="TAN"/>
    <s v="OR"/>
    <d v="2016-12-15T00:00:00"/>
    <s v="NE"/>
    <s v="US"/>
    <s v="ZR"/>
    <d v="2016-12-15T00:00:00"/>
  </r>
  <r>
    <x v="0"/>
    <x v="0"/>
    <x v="839"/>
    <x v="10"/>
    <s v="Standard order"/>
    <x v="822"/>
    <x v="822"/>
    <s v="R059"/>
    <s v="CRYSTAL RR059"/>
    <s v="5003748"/>
    <s v="R059 ACH T20 PB Kabina RP"/>
    <n v="28"/>
    <n v="0"/>
    <n v="28"/>
    <x v="0"/>
    <s v="AP73"/>
    <s v="RP"/>
    <s v="388"/>
    <s v="4.0 UN"/>
    <s v="STANDARD"/>
    <s v="N"/>
    <s v="Y"/>
    <s v="Y"/>
    <s v="T20"/>
    <s v="N"/>
    <s v="N"/>
    <s v="N"/>
    <s v="N"/>
    <s v="A036"/>
    <d v="2016-12-20T00:00:00"/>
    <s v="10"/>
    <s v="TAN"/>
    <s v="OR"/>
    <d v="2016-12-14T00:00:00"/>
    <s v="MI"/>
    <s v="US"/>
    <s v="ZR"/>
    <d v="2016-12-15T00:00:00"/>
  </r>
  <r>
    <x v="0"/>
    <x v="0"/>
    <x v="840"/>
    <x v="2"/>
    <s v="Standard order"/>
    <x v="823"/>
    <x v="823"/>
    <s v="R202"/>
    <s v="CRYSTAL RR202"/>
    <s v="5003119"/>
    <s v="R202 ACH T20 Kabina RP"/>
    <n v="12"/>
    <n v="0"/>
    <n v="12"/>
    <x v="0"/>
    <s v="4ULM"/>
    <s v="RP"/>
    <s v="387"/>
    <s v="4.0 UN"/>
    <s v="STANDARD"/>
    <s v="N"/>
    <s v="N"/>
    <s v="Y"/>
    <s v="T20"/>
    <s v="N"/>
    <s v="N"/>
    <s v="N"/>
    <s v="N"/>
    <s v="A034"/>
    <d v="2016-12-20T00:00:00"/>
    <s v="10"/>
    <s v="TAN"/>
    <s v="OR"/>
    <d v="2016-12-15T00:00:00"/>
    <s v="MI"/>
    <s v="US"/>
    <s v="ZR"/>
    <d v="2016-12-15T00:00:00"/>
  </r>
  <r>
    <x v="0"/>
    <x v="0"/>
    <x v="840"/>
    <x v="2"/>
    <s v="Standard order"/>
    <x v="823"/>
    <x v="823"/>
    <s v="R059"/>
    <s v="CRYSTAL RR059"/>
    <s v="5003530"/>
    <s v="R059 ACH T20 Kabina RP"/>
    <n v="32"/>
    <n v="0"/>
    <n v="32"/>
    <x v="0"/>
    <s v="AP73"/>
    <s v="RP"/>
    <s v="387"/>
    <s v="4.0 UN"/>
    <s v="STANDARD"/>
    <s v="N"/>
    <s v="N"/>
    <s v="Y"/>
    <s v="T20"/>
    <s v="N"/>
    <s v="N"/>
    <s v="N"/>
    <s v="N"/>
    <s v="A034"/>
    <d v="2016-12-20T00:00:00"/>
    <s v="20"/>
    <s v="TAN"/>
    <s v="OR"/>
    <d v="2016-12-15T00:00:00"/>
    <s v="MI"/>
    <s v="US"/>
    <s v="ZR"/>
    <d v="2016-12-15T00:00:00"/>
  </r>
  <r>
    <x v="0"/>
    <x v="0"/>
    <x v="841"/>
    <x v="0"/>
    <s v="Standard order"/>
    <x v="824"/>
    <x v="824"/>
    <s v="R059"/>
    <s v="CRYSTAL RR059"/>
    <s v="5003518"/>
    <s v="R059 ACH CM Vibrance RP"/>
    <n v="88"/>
    <n v="0"/>
    <n v="88"/>
    <x v="0"/>
    <s v="AP73"/>
    <s v="RP"/>
    <s v="393"/>
    <s v="4.0 UN"/>
    <s v="STANDARD"/>
    <s v="Y"/>
    <s v="N"/>
    <s v="N"/>
    <s v="N"/>
    <s v="N"/>
    <s v="N"/>
    <s v="N"/>
    <s v="Y"/>
    <s v="A037"/>
    <d v="2016-12-20T00:00:00"/>
    <s v="10"/>
    <s v="TAN"/>
    <s v="OR"/>
    <d v="2016-12-15T00:00:00"/>
    <s v="ON"/>
    <s v="CA"/>
    <s v="ZR"/>
    <d v="2016-12-15T00:00:00"/>
  </r>
  <r>
    <x v="0"/>
    <x v="0"/>
    <x v="841"/>
    <x v="0"/>
    <s v="Standard order"/>
    <x v="824"/>
    <x v="824"/>
    <s v="G515"/>
    <s v="CRYSTAL G515"/>
    <s v="5003007"/>
    <s v="G515 ACH CM Vibrance RP"/>
    <n v="24"/>
    <n v="0"/>
    <n v="24"/>
    <x v="0"/>
    <s v="APND"/>
    <s v="RP"/>
    <s v="393"/>
    <s v="4.0 UN"/>
    <s v="STANDARD"/>
    <s v="Y"/>
    <s v="N"/>
    <s v="N"/>
    <s v="N"/>
    <s v="N"/>
    <s v="N"/>
    <s v="N"/>
    <s v="Y"/>
    <s v="A037"/>
    <d v="2016-12-20T00:00:00"/>
    <s v="20"/>
    <s v="TAN"/>
    <s v="OR"/>
    <d v="2016-12-15T00:00:00"/>
    <s v="ON"/>
    <s v="CA"/>
    <s v="ZR"/>
    <d v="2016-12-15T00:00:00"/>
  </r>
  <r>
    <x v="0"/>
    <x v="0"/>
    <x v="842"/>
    <x v="10"/>
    <s v="Standard order"/>
    <x v="825"/>
    <x v="825"/>
    <s v="R059"/>
    <s v="CRYSTAL RR059"/>
    <s v="5003530"/>
    <s v="R059 ACH T20 Kabina RP"/>
    <n v="192"/>
    <n v="0"/>
    <n v="192"/>
    <x v="0"/>
    <s v="AP73"/>
    <s v="RP"/>
    <s v="387"/>
    <s v="4.0 UN"/>
    <s v="STANDARD"/>
    <s v="N"/>
    <s v="N"/>
    <s v="Y"/>
    <s v="T20"/>
    <s v="N"/>
    <s v="N"/>
    <s v="N"/>
    <s v="N"/>
    <s v="A036"/>
    <d v="2016-12-20T00:00:00"/>
    <s v="10"/>
    <s v="TAN"/>
    <s v="OR"/>
    <d v="2016-12-15T00:00:00"/>
    <s v="MI"/>
    <s v="US"/>
    <s v="ZR"/>
    <d v="2016-12-15T00:00:00"/>
  </r>
  <r>
    <x v="0"/>
    <x v="0"/>
    <x v="843"/>
    <x v="10"/>
    <s v="Standard order"/>
    <x v="826"/>
    <x v="826"/>
    <s v="R059"/>
    <s v="CRYSTAL RR059"/>
    <s v="5003536"/>
    <s v="R059 ACH T20 SYSTIVA RP"/>
    <n v="36"/>
    <n v="0"/>
    <n v="36"/>
    <x v="0"/>
    <s v="AP73"/>
    <s v="RP"/>
    <s v="328"/>
    <s v="4.0 UN"/>
    <s v="STANDARD"/>
    <s v="N"/>
    <s v="N"/>
    <s v="N"/>
    <s v="T20"/>
    <s v="Y"/>
    <s v="N"/>
    <s v="Y"/>
    <s v="N"/>
    <s v="A036"/>
    <d v="2016-12-20T00:00:00"/>
    <s v="10"/>
    <s v="TAN"/>
    <s v="OR"/>
    <d v="2016-12-15T00:00:00"/>
    <s v="MI"/>
    <s v="US"/>
    <s v="ZR"/>
    <d v="2016-12-15T00:00:00"/>
  </r>
  <r>
    <x v="0"/>
    <x v="0"/>
    <x v="844"/>
    <x v="4"/>
    <s v="Standard order"/>
    <x v="827"/>
    <x v="827"/>
    <s v="G333"/>
    <s v="CRYSTAL G333NT"/>
    <s v="5003376"/>
    <s v="G333 ACH T20 Kabina ELS"/>
    <n v="44"/>
    <n v="0"/>
    <n v="44"/>
    <x v="0"/>
    <s v="EE73"/>
    <s v="ELS"/>
    <s v="387"/>
    <s v="4.0 UN"/>
    <s v="STANDARD"/>
    <s v="N"/>
    <s v="N"/>
    <s v="Y"/>
    <s v="T20"/>
    <s v="N"/>
    <s v="N"/>
    <s v="N"/>
    <s v="N"/>
    <s v="A035"/>
    <d v="2016-12-20T00:00:00"/>
    <s v="10"/>
    <s v="TAN"/>
    <s v="OR"/>
    <d v="2016-12-15T00:00:00"/>
    <s v="MI"/>
    <s v="US"/>
    <s v="ZR"/>
    <d v="2016-12-15T00:00:00"/>
  </r>
  <r>
    <x v="0"/>
    <x v="0"/>
    <x v="845"/>
    <x v="10"/>
    <s v="Standard order"/>
    <x v="828"/>
    <x v="828"/>
    <s v="R059"/>
    <s v="CRYSTAL RR059"/>
    <s v="5003528"/>
    <s v="R059 ACH T20 Kabina ELS"/>
    <n v="48"/>
    <n v="0"/>
    <n v="48"/>
    <x v="0"/>
    <s v="AP73"/>
    <s v="ELS"/>
    <s v="387"/>
    <s v="4.0 UN"/>
    <s v="STANDARD"/>
    <s v="N"/>
    <s v="N"/>
    <s v="Y"/>
    <s v="T20"/>
    <s v="N"/>
    <s v="N"/>
    <s v="N"/>
    <s v="N"/>
    <s v="A036"/>
    <d v="2016-12-20T00:00:00"/>
    <s v="10"/>
    <s v="TAN"/>
    <s v="OR"/>
    <d v="2016-12-15T00:00:00"/>
    <s v="MI"/>
    <s v="US"/>
    <s v="ZR"/>
    <d v="2016-12-15T00:00:00"/>
  </r>
  <r>
    <x v="0"/>
    <x v="0"/>
    <x v="846"/>
    <x v="10"/>
    <s v="Standard order"/>
    <x v="829"/>
    <x v="829"/>
    <s v="R059"/>
    <s v="CRYSTAL RR059"/>
    <s v="5003529"/>
    <s v="R059 ACH T20 Kabina MP"/>
    <n v="84"/>
    <n v="0"/>
    <n v="84"/>
    <x v="0"/>
    <s v="AP73"/>
    <s v="MP"/>
    <s v="387"/>
    <s v="4.0 UN"/>
    <s v="STANDARD"/>
    <s v="N"/>
    <s v="N"/>
    <s v="Y"/>
    <s v="T20"/>
    <s v="N"/>
    <s v="N"/>
    <s v="N"/>
    <s v="N"/>
    <s v="A036"/>
    <d v="2016-12-20T00:00:00"/>
    <s v="10"/>
    <s v="TAN"/>
    <s v="OR"/>
    <d v="2016-12-15T00:00:00"/>
    <s v="MI"/>
    <s v="US"/>
    <s v="ZR"/>
    <d v="2016-12-15T00:00:00"/>
  </r>
  <r>
    <x v="0"/>
    <x v="0"/>
    <x v="847"/>
    <x v="0"/>
    <s v="Standard order"/>
    <x v="830"/>
    <x v="830"/>
    <s v="R059"/>
    <s v="CRYSTAL RR059"/>
    <s v="5003518"/>
    <s v="R059 ACH CM Vibrance RP"/>
    <n v="64"/>
    <n v="0"/>
    <n v="64"/>
    <x v="0"/>
    <s v="AP73"/>
    <s v="RP"/>
    <s v="393"/>
    <s v="4.0 UN"/>
    <s v="STANDARD"/>
    <s v="Y"/>
    <s v="N"/>
    <s v="N"/>
    <s v="N"/>
    <s v="N"/>
    <s v="N"/>
    <s v="N"/>
    <s v="Y"/>
    <s v="A037"/>
    <d v="2016-12-20T00:00:00"/>
    <s v="10"/>
    <s v="TAN"/>
    <s v="OR"/>
    <d v="2016-12-15T00:00:00"/>
    <s v="ON"/>
    <s v="CA"/>
    <s v="ZR"/>
    <d v="2016-12-15T00:00:00"/>
  </r>
  <r>
    <x v="0"/>
    <x v="0"/>
    <x v="847"/>
    <x v="0"/>
    <s v="Standard order"/>
    <x v="830"/>
    <x v="830"/>
    <s v="G515"/>
    <s v="CRYSTAL G515"/>
    <s v="5003007"/>
    <s v="G515 ACH CM Vibrance RP"/>
    <n v="16"/>
    <n v="0"/>
    <n v="16"/>
    <x v="0"/>
    <s v="APND"/>
    <s v="RP"/>
    <s v="393"/>
    <s v="4.0 UN"/>
    <s v="STANDARD"/>
    <s v="Y"/>
    <s v="N"/>
    <s v="N"/>
    <s v="N"/>
    <s v="N"/>
    <s v="N"/>
    <s v="N"/>
    <s v="Y"/>
    <s v="A037"/>
    <d v="2016-12-20T00:00:00"/>
    <s v="20"/>
    <s v="TAN"/>
    <s v="OR"/>
    <d v="2016-12-15T00:00:00"/>
    <s v="ON"/>
    <s v="CA"/>
    <s v="ZR"/>
    <d v="2016-12-15T00:00:00"/>
  </r>
  <r>
    <x v="0"/>
    <x v="5"/>
    <x v="848"/>
    <x v="9"/>
    <s v="Standard order"/>
    <x v="27"/>
    <x v="27"/>
    <s v="R116"/>
    <s v="CRYSTAL RR116"/>
    <s v="5003105"/>
    <s v="R116 ACH T20 PB SYSTIVA RP"/>
    <n v="12"/>
    <n v="0"/>
    <n v="12"/>
    <x v="5"/>
    <s v="AP71"/>
    <s v="RP"/>
    <s v="324"/>
    <s v="4.0 UN"/>
    <s v="STANDARD"/>
    <s v="N"/>
    <s v="Y"/>
    <s v="N"/>
    <s v="T20"/>
    <s v="Y"/>
    <s v="N"/>
    <s v="N"/>
    <s v="N"/>
    <s v="A016"/>
    <d v="2016-12-20T00:00:00"/>
    <s v="10"/>
    <s v="TAN"/>
    <s v="OR"/>
    <d v="2016-12-15T00:00:00"/>
    <s v="WY"/>
    <s v="US"/>
    <s v="ZR"/>
    <d v="2016-12-15T00:00:00"/>
  </r>
  <r>
    <x v="0"/>
    <x v="0"/>
    <x v="849"/>
    <x v="10"/>
    <s v="Standard order"/>
    <x v="831"/>
    <x v="831"/>
    <s v="R059"/>
    <s v="CRYSTAL RR059"/>
    <s v="5003530"/>
    <s v="R059 ACH T20 Kabina RP"/>
    <n v="48"/>
    <n v="0"/>
    <n v="48"/>
    <x v="0"/>
    <s v="AP73"/>
    <s v="RP"/>
    <s v="387"/>
    <s v="4.0 UN"/>
    <s v="STANDARD"/>
    <s v="N"/>
    <s v="N"/>
    <s v="Y"/>
    <s v="T20"/>
    <s v="N"/>
    <s v="N"/>
    <s v="N"/>
    <s v="N"/>
    <s v="A036"/>
    <d v="2016-12-20T00:00:00"/>
    <s v="10"/>
    <s v="TAN"/>
    <s v="OR"/>
    <d v="2016-12-14T00:00:00"/>
    <s v="MI"/>
    <s v="US"/>
    <s v="ZR"/>
    <d v="2016-12-15T00:00:00"/>
  </r>
  <r>
    <x v="0"/>
    <x v="0"/>
    <x v="849"/>
    <x v="10"/>
    <s v="Standard order"/>
    <x v="831"/>
    <x v="831"/>
    <s v="G333"/>
    <s v="CRYSTAL G333NT"/>
    <s v="5003378"/>
    <s v="G333 ACH T20 Kabina RP"/>
    <n v="16"/>
    <n v="0"/>
    <n v="16"/>
    <x v="0"/>
    <s v="EE73"/>
    <s v="RP"/>
    <s v="387"/>
    <s v="4.0 UN"/>
    <s v="STANDARD"/>
    <s v="N"/>
    <s v="N"/>
    <s v="Y"/>
    <s v="T20"/>
    <s v="N"/>
    <s v="N"/>
    <s v="N"/>
    <s v="N"/>
    <s v="A036"/>
    <d v="2016-12-20T00:00:00"/>
    <s v="20"/>
    <s v="TAN"/>
    <s v="OR"/>
    <d v="2016-12-14T00:00:00"/>
    <s v="MI"/>
    <s v="US"/>
    <s v="ZR"/>
    <d v="2016-12-15T00:00:00"/>
  </r>
  <r>
    <x v="0"/>
    <x v="0"/>
    <x v="850"/>
    <x v="10"/>
    <s v="Standard order"/>
    <x v="832"/>
    <x v="832"/>
    <s v="R059"/>
    <s v="CRYSTAL RR059"/>
    <s v="5003748"/>
    <s v="R059 ACH T20 PB Kabina RP"/>
    <n v="84"/>
    <n v="0"/>
    <n v="84"/>
    <x v="0"/>
    <s v="AP73"/>
    <s v="RP"/>
    <s v="388"/>
    <s v="4.0 UN"/>
    <s v="STANDARD"/>
    <s v="N"/>
    <s v="Y"/>
    <s v="Y"/>
    <s v="T20"/>
    <s v="N"/>
    <s v="N"/>
    <s v="N"/>
    <s v="N"/>
    <s v="A036"/>
    <d v="2016-12-20T00:00:00"/>
    <s v="10"/>
    <s v="TAN"/>
    <s v="OR"/>
    <d v="2016-12-14T00:00:00"/>
    <s v="MI"/>
    <s v="US"/>
    <s v="ZR"/>
    <d v="2016-12-15T00:00:00"/>
  </r>
  <r>
    <x v="0"/>
    <x v="0"/>
    <x v="851"/>
    <x v="10"/>
    <s v="Standard order"/>
    <x v="833"/>
    <x v="833"/>
    <s v="R059"/>
    <s v="CRYSTAL RR059"/>
    <s v="5003530"/>
    <s v="R059 ACH T20 Kabina RP"/>
    <n v="64"/>
    <n v="0"/>
    <n v="64"/>
    <x v="0"/>
    <s v="AP73"/>
    <s v="RP"/>
    <s v="387"/>
    <s v="4.0 UN"/>
    <s v="STANDARD"/>
    <s v="N"/>
    <s v="N"/>
    <s v="Y"/>
    <s v="T20"/>
    <s v="N"/>
    <s v="N"/>
    <s v="N"/>
    <s v="N"/>
    <s v="A036"/>
    <d v="2016-12-20T00:00:00"/>
    <s v="10"/>
    <s v="TAN"/>
    <s v="OR"/>
    <d v="2016-12-14T00:00:00"/>
    <s v="MI"/>
    <s v="US"/>
    <s v="ZR"/>
    <d v="2016-12-15T00:00:00"/>
  </r>
  <r>
    <x v="0"/>
    <x v="0"/>
    <x v="852"/>
    <x v="0"/>
    <s v="Standard order"/>
    <x v="834"/>
    <x v="834"/>
    <s v="R059"/>
    <s v="CRYSTAL RR059"/>
    <s v="5003518"/>
    <s v="R059 ACH CM Vibrance RP"/>
    <n v="8"/>
    <n v="0"/>
    <n v="8"/>
    <x v="0"/>
    <s v="AP73"/>
    <s v="RP"/>
    <s v="393"/>
    <s v="4.0 UN"/>
    <s v="STANDARD"/>
    <s v="Y"/>
    <s v="N"/>
    <s v="N"/>
    <s v="N"/>
    <s v="N"/>
    <s v="N"/>
    <s v="N"/>
    <s v="Y"/>
    <s v="A037"/>
    <d v="2016-12-20T00:00:00"/>
    <s v="10"/>
    <s v="TAN"/>
    <s v="OR"/>
    <d v="2016-12-15T00:00:00"/>
    <s v="ON"/>
    <s v="CA"/>
    <s v="ZR"/>
    <d v="2016-12-15T00:00:00"/>
  </r>
  <r>
    <x v="0"/>
    <x v="0"/>
    <x v="852"/>
    <x v="0"/>
    <s v="Standard order"/>
    <x v="834"/>
    <x v="834"/>
    <s v="G515"/>
    <s v="CRYSTAL G515"/>
    <s v="5003007"/>
    <s v="G515 ACH CM Vibrance RP"/>
    <n v="8"/>
    <n v="0"/>
    <n v="8"/>
    <x v="0"/>
    <s v="APND"/>
    <s v="RP"/>
    <s v="393"/>
    <s v="4.0 UN"/>
    <s v="STANDARD"/>
    <s v="Y"/>
    <s v="N"/>
    <s v="N"/>
    <s v="N"/>
    <s v="N"/>
    <s v="N"/>
    <s v="N"/>
    <s v="Y"/>
    <s v="A037"/>
    <d v="2016-12-20T00:00:00"/>
    <s v="20"/>
    <s v="TAN"/>
    <s v="OR"/>
    <d v="2016-12-15T00:00:00"/>
    <s v="ON"/>
    <s v="CA"/>
    <s v="ZR"/>
    <d v="2016-12-15T00:00:00"/>
  </r>
  <r>
    <x v="0"/>
    <x v="5"/>
    <x v="853"/>
    <x v="21"/>
    <s v="Standard order"/>
    <x v="835"/>
    <x v="835"/>
    <s v="Y400"/>
    <s v="CRYSTAL Y400NT"/>
    <s v="5003735"/>
    <s v="Y400 ACH T20 PB SYSTIVA RP"/>
    <n v="8"/>
    <n v="0"/>
    <n v="8"/>
    <x v="5"/>
    <s v="4TBP"/>
    <s v="RP"/>
    <s v="324"/>
    <s v="4.0 UN"/>
    <s v="STANDARD"/>
    <s v="N"/>
    <s v="Y"/>
    <s v="N"/>
    <s v="T20"/>
    <s v="Y"/>
    <s v="N"/>
    <s v="N"/>
    <s v="N"/>
    <s v="A013"/>
    <d v="2016-12-20T00:00:00"/>
    <s v="10"/>
    <s v="TAN"/>
    <s v="OR"/>
    <d v="2016-12-15T00:00:00"/>
    <s v="MT"/>
    <s v="US"/>
    <s v="ZR"/>
    <d v="2016-12-15T00:00:00"/>
  </r>
  <r>
    <x v="0"/>
    <x v="2"/>
    <x v="854"/>
    <x v="5"/>
    <s v="Standard order"/>
    <x v="836"/>
    <x v="836"/>
    <s v="W322"/>
    <s v="CRYSTAL W322NT"/>
    <s v="5003487"/>
    <s v="W322 ACH T20 PB SYSTIVA ELS"/>
    <n v="40"/>
    <n v="0"/>
    <n v="40"/>
    <x v="2"/>
    <s v="EE73"/>
    <s v="ELS"/>
    <s v="324"/>
    <s v="4.0 UN"/>
    <s v="STANDARD"/>
    <s v="N"/>
    <s v="Y"/>
    <s v="N"/>
    <s v="T20"/>
    <s v="Y"/>
    <s v="N"/>
    <s v="Y"/>
    <s v="N"/>
    <s v="A020"/>
    <d v="2016-12-20T00:00:00"/>
    <s v="20"/>
    <s v="TAN"/>
    <s v="OR"/>
    <d v="2016-12-15T00:00:00"/>
    <s v="CO"/>
    <s v="US"/>
    <s v="ZR"/>
    <d v="2016-12-15T00:00:00"/>
  </r>
  <r>
    <x v="0"/>
    <x v="0"/>
    <x v="855"/>
    <x v="2"/>
    <s v="Standard order"/>
    <x v="837"/>
    <x v="837"/>
    <s v="G351"/>
    <s v="CRYSTAL G351NT"/>
    <s v="5003397"/>
    <s v="G351 ACH T20 Kabina MP"/>
    <n v="44"/>
    <n v="0"/>
    <n v="44"/>
    <x v="0"/>
    <s v="DA73"/>
    <s v="MP"/>
    <s v="387"/>
    <s v="4.0 UN"/>
    <s v="STANDARD"/>
    <s v="N"/>
    <s v="N"/>
    <s v="Y"/>
    <s v="T20"/>
    <s v="N"/>
    <s v="N"/>
    <s v="N"/>
    <s v="N"/>
    <s v="A034"/>
    <d v="2016-12-20T00:00:00"/>
    <s v="10"/>
    <s v="TAN"/>
    <s v="OR"/>
    <d v="2016-12-14T00:00:00"/>
    <s v="MI"/>
    <s v="US"/>
    <s v="ZR"/>
    <d v="2016-12-15T00:00:00"/>
  </r>
  <r>
    <x v="0"/>
    <x v="0"/>
    <x v="856"/>
    <x v="10"/>
    <s v="Standard order"/>
    <x v="838"/>
    <x v="838"/>
    <s v="R059"/>
    <s v="CRYSTAL RR059"/>
    <s v="5003528"/>
    <s v="R059 ACH T20 Kabina ELS"/>
    <n v="112"/>
    <n v="0"/>
    <n v="112"/>
    <x v="0"/>
    <s v="AP73"/>
    <s v="ELS"/>
    <s v="387"/>
    <s v="4.0 UN"/>
    <s v="STANDARD"/>
    <s v="N"/>
    <s v="N"/>
    <s v="Y"/>
    <s v="T20"/>
    <s v="N"/>
    <s v="N"/>
    <s v="N"/>
    <s v="N"/>
    <s v="A036"/>
    <d v="2016-12-20T00:00:00"/>
    <s v="10"/>
    <s v="TAN"/>
    <s v="OR"/>
    <d v="2016-12-15T00:00:00"/>
    <s v="MI"/>
    <s v="US"/>
    <s v="ZR"/>
    <d v="2016-12-15T00:00:00"/>
  </r>
  <r>
    <x v="0"/>
    <x v="0"/>
    <x v="856"/>
    <x v="10"/>
    <s v="Standard order"/>
    <x v="838"/>
    <x v="838"/>
    <s v="G333"/>
    <s v="CRYSTAL G333NT"/>
    <s v="5003376"/>
    <s v="G333 ACH T20 Kabina ELS"/>
    <n v="80"/>
    <n v="0"/>
    <n v="80"/>
    <x v="0"/>
    <s v="EE73"/>
    <s v="ELS"/>
    <s v="387"/>
    <s v="4.0 UN"/>
    <s v="STANDARD"/>
    <s v="N"/>
    <s v="N"/>
    <s v="Y"/>
    <s v="T20"/>
    <s v="N"/>
    <s v="N"/>
    <s v="N"/>
    <s v="N"/>
    <s v="A036"/>
    <d v="2016-12-20T00:00:00"/>
    <s v="20"/>
    <s v="TAN"/>
    <s v="OR"/>
    <d v="2016-12-15T00:00:00"/>
    <s v="MI"/>
    <s v="US"/>
    <s v="ZR"/>
    <d v="2016-12-15T00:00:00"/>
  </r>
  <r>
    <x v="0"/>
    <x v="0"/>
    <x v="857"/>
    <x v="10"/>
    <s v="Standard order"/>
    <x v="839"/>
    <x v="839"/>
    <s v="R059"/>
    <s v="CRYSTAL RR059"/>
    <s v="5003536"/>
    <s v="R059 ACH T20 SYSTIVA RP"/>
    <n v="24"/>
    <n v="0"/>
    <n v="24"/>
    <x v="0"/>
    <s v="AP73"/>
    <s v="RP"/>
    <s v="328"/>
    <s v="4.0 UN"/>
    <s v="STANDARD"/>
    <s v="N"/>
    <s v="N"/>
    <s v="N"/>
    <s v="T20"/>
    <s v="Y"/>
    <s v="N"/>
    <s v="Y"/>
    <s v="N"/>
    <s v="A036"/>
    <d v="2016-12-20T00:00:00"/>
    <s v="10"/>
    <s v="TAN"/>
    <s v="OR"/>
    <d v="2016-12-15T00:00:00"/>
    <s v="MI"/>
    <s v="US"/>
    <s v="ZR"/>
    <d v="2016-12-15T00:00:00"/>
  </r>
  <r>
    <x v="0"/>
    <x v="2"/>
    <x v="858"/>
    <x v="5"/>
    <s v="Standard order"/>
    <x v="840"/>
    <x v="840"/>
    <s v="W322"/>
    <s v="CRYSTAL W322NT"/>
    <s v="5003487"/>
    <s v="W322 ACH T20 PB SYSTIVA ELS"/>
    <n v="52"/>
    <n v="0"/>
    <n v="52"/>
    <x v="2"/>
    <s v="EE73"/>
    <s v="ELS"/>
    <s v="324"/>
    <s v="4.0 UN"/>
    <s v="STANDARD"/>
    <s v="N"/>
    <s v="Y"/>
    <s v="N"/>
    <s v="T20"/>
    <s v="Y"/>
    <s v="N"/>
    <s v="Y"/>
    <s v="N"/>
    <s v="A020"/>
    <d v="2016-12-21T00:00:00"/>
    <s v="10"/>
    <s v="TAN"/>
    <s v="OR"/>
    <d v="2016-12-15T00:00:00"/>
    <s v="CO"/>
    <s v="US"/>
    <s v="ZR"/>
    <d v="2016-12-16T00:00:00"/>
  </r>
  <r>
    <x v="0"/>
    <x v="4"/>
    <x v="859"/>
    <x v="17"/>
    <s v="Standard order"/>
    <x v="841"/>
    <x v="841"/>
    <s v="A501"/>
    <s v="CRYSTAL A501"/>
    <s v="5003308"/>
    <s v="A501 ACH PB XL"/>
    <n v="32"/>
    <n v="0"/>
    <n v="32"/>
    <x v="4"/>
    <s v="EZPB"/>
    <s v="X-LARGE"/>
    <s v="314"/>
    <s v="4.0 UN"/>
    <s v="STANDARD"/>
    <s v="N"/>
    <s v="Y"/>
    <s v="N"/>
    <s v="N"/>
    <s v="N"/>
    <s v="N"/>
    <s v="N"/>
    <s v="N"/>
    <s v="A040"/>
    <d v="2016-12-21T00:00:00"/>
    <s v="10"/>
    <s v="TAN"/>
    <s v="OR"/>
    <d v="2016-12-16T00:00:00"/>
    <s v="ID"/>
    <s v="US"/>
    <s v="ZR"/>
    <d v="2016-12-16T00:00:00"/>
  </r>
  <r>
    <x v="0"/>
    <x v="4"/>
    <x v="859"/>
    <x v="17"/>
    <s v="Standard order"/>
    <x v="841"/>
    <x v="841"/>
    <s v="A399"/>
    <s v="CRYSTAL A399NT"/>
    <s v="5002931"/>
    <s v="A399 ACH PB XL"/>
    <n v="20"/>
    <n v="0"/>
    <n v="20"/>
    <x v="4"/>
    <s v="DP71"/>
    <s v="X-LARGE"/>
    <s v="314"/>
    <s v="4.0 UN"/>
    <s v="STANDARD"/>
    <s v="N"/>
    <s v="Y"/>
    <s v="N"/>
    <s v="N"/>
    <s v="N"/>
    <s v="N"/>
    <s v="N"/>
    <s v="N"/>
    <s v="A040"/>
    <d v="2016-12-21T00:00:00"/>
    <s v="20"/>
    <s v="TAN"/>
    <s v="OR"/>
    <d v="2016-12-16T00:00:00"/>
    <s v="ID"/>
    <s v="US"/>
    <s v="ZR"/>
    <d v="2016-12-16T00:00:00"/>
  </r>
  <r>
    <x v="0"/>
    <x v="4"/>
    <x v="859"/>
    <x v="17"/>
    <s v="Standard order"/>
    <x v="841"/>
    <x v="841"/>
    <s v="A404"/>
    <s v="CRYSTAL A404NT"/>
    <s v="5002957"/>
    <s v="A404 ACH PB XL"/>
    <n v="16"/>
    <n v="0"/>
    <n v="16"/>
    <x v="4"/>
    <s v="DPNE"/>
    <s v="X-LARGE"/>
    <s v="314"/>
    <s v="4.0 UN"/>
    <s v="STANDARD"/>
    <s v="N"/>
    <s v="Y"/>
    <s v="N"/>
    <s v="N"/>
    <s v="N"/>
    <s v="N"/>
    <s v="N"/>
    <s v="N"/>
    <s v="A040"/>
    <d v="2016-12-21T00:00:00"/>
    <s v="30"/>
    <s v="TAN"/>
    <s v="OR"/>
    <d v="2016-12-16T00:00:00"/>
    <s v="ID"/>
    <s v="US"/>
    <s v="ZR"/>
    <d v="2016-12-16T00:00:00"/>
  </r>
  <r>
    <x v="0"/>
    <x v="4"/>
    <x v="860"/>
    <x v="17"/>
    <s v="Standard order"/>
    <x v="842"/>
    <x v="842"/>
    <s v="A399"/>
    <s v="CRYSTAL A399NT"/>
    <s v="5002931"/>
    <s v="A399 ACH PB XL"/>
    <n v="80"/>
    <n v="0"/>
    <n v="80"/>
    <x v="4"/>
    <s v="DP71"/>
    <s v="X-LARGE"/>
    <s v="314"/>
    <s v="4.0 UN"/>
    <s v="STANDARD"/>
    <s v="N"/>
    <s v="Y"/>
    <s v="N"/>
    <s v="N"/>
    <s v="N"/>
    <s v="N"/>
    <s v="N"/>
    <s v="N"/>
    <s v="A040"/>
    <d v="2016-12-21T00:00:00"/>
    <s v="10"/>
    <s v="TAN"/>
    <s v="OR"/>
    <d v="2016-12-16T00:00:00"/>
    <s v="ID"/>
    <s v="US"/>
    <s v="ZR"/>
    <d v="2016-12-16T00:00:00"/>
  </r>
  <r>
    <x v="0"/>
    <x v="4"/>
    <x v="860"/>
    <x v="17"/>
    <s v="Standard order"/>
    <x v="842"/>
    <x v="842"/>
    <s v="A404"/>
    <s v="CRYSTAL A404NT"/>
    <s v="5002957"/>
    <s v="A404 ACH PB XL"/>
    <n v="80"/>
    <n v="0"/>
    <n v="80"/>
    <x v="4"/>
    <s v="DPNE"/>
    <s v="X-LARGE"/>
    <s v="314"/>
    <s v="4.0 UN"/>
    <s v="STANDARD"/>
    <s v="N"/>
    <s v="Y"/>
    <s v="N"/>
    <s v="N"/>
    <s v="N"/>
    <s v="N"/>
    <s v="N"/>
    <s v="N"/>
    <s v="A040"/>
    <d v="2016-12-21T00:00:00"/>
    <s v="20"/>
    <s v="TAN"/>
    <s v="OR"/>
    <d v="2016-12-16T00:00:00"/>
    <s v="ID"/>
    <s v="US"/>
    <s v="ZR"/>
    <d v="2016-12-16T00:00:00"/>
  </r>
  <r>
    <x v="0"/>
    <x v="0"/>
    <x v="861"/>
    <x v="4"/>
    <s v="Standard order"/>
    <x v="843"/>
    <x v="843"/>
    <s v="G333"/>
    <s v="CRYSTAL G333NT"/>
    <s v="5003376"/>
    <s v="G333 ACH T20 Kabina ELS"/>
    <n v="40"/>
    <n v="0"/>
    <n v="40"/>
    <x v="0"/>
    <s v="EE73"/>
    <s v="ELS"/>
    <s v="387"/>
    <s v="4.0 UN"/>
    <s v="STANDARD"/>
    <s v="N"/>
    <s v="N"/>
    <s v="Y"/>
    <s v="T20"/>
    <s v="N"/>
    <s v="N"/>
    <s v="N"/>
    <s v="N"/>
    <s v="A035"/>
    <d v="2016-12-21T00:00:00"/>
    <s v="10"/>
    <s v="TAN"/>
    <s v="OR"/>
    <d v="2016-12-16T00:00:00"/>
    <s v="MI"/>
    <s v="US"/>
    <s v="ZR"/>
    <d v="2016-12-16T00:00:00"/>
  </r>
  <r>
    <x v="0"/>
    <x v="0"/>
    <x v="861"/>
    <x v="4"/>
    <s v="Standard order"/>
    <x v="843"/>
    <x v="843"/>
    <s v="R202"/>
    <s v="CRYSTAL RR202"/>
    <s v="5003117"/>
    <s v="R202 ACH T20 Kabina ELS"/>
    <n v="20"/>
    <n v="0"/>
    <n v="20"/>
    <x v="0"/>
    <s v="4ULM"/>
    <s v="ELS"/>
    <s v="387"/>
    <s v="4.0 UN"/>
    <s v="STANDARD"/>
    <s v="N"/>
    <s v="N"/>
    <s v="Y"/>
    <s v="T20"/>
    <s v="N"/>
    <s v="N"/>
    <s v="N"/>
    <s v="N"/>
    <s v="A035"/>
    <d v="2016-12-21T00:00:00"/>
    <s v="20"/>
    <s v="TAN"/>
    <s v="OR"/>
    <d v="2016-12-16T00:00:00"/>
    <s v="MI"/>
    <s v="US"/>
    <s v="ZR"/>
    <d v="2016-12-16T00:00:00"/>
  </r>
  <r>
    <x v="0"/>
    <x v="0"/>
    <x v="861"/>
    <x v="4"/>
    <s v="Standard order"/>
    <x v="843"/>
    <x v="843"/>
    <s v="G515"/>
    <s v="CRYSTAL G515"/>
    <s v="5003017"/>
    <s v="G515 ACH T20 Kabina ELS"/>
    <n v="24"/>
    <n v="0"/>
    <n v="24"/>
    <x v="0"/>
    <s v="APND"/>
    <s v="ELS"/>
    <s v="387"/>
    <s v="4.0 UN"/>
    <s v="STANDARD"/>
    <s v="N"/>
    <s v="N"/>
    <s v="Y"/>
    <s v="T20"/>
    <s v="N"/>
    <s v="N"/>
    <s v="N"/>
    <s v="N"/>
    <s v="A035"/>
    <d v="2016-12-21T00:00:00"/>
    <s v="30"/>
    <s v="TAN"/>
    <s v="OR"/>
    <d v="2016-12-16T00:00:00"/>
    <s v="MI"/>
    <s v="US"/>
    <s v="ZR"/>
    <d v="2016-12-16T00:00:00"/>
  </r>
  <r>
    <x v="0"/>
    <x v="0"/>
    <x v="861"/>
    <x v="4"/>
    <s v="Standard order"/>
    <x v="843"/>
    <x v="843"/>
    <s v="R059"/>
    <s v="CRYSTAL RR059"/>
    <s v="5003528"/>
    <s v="R059 ACH T20 Kabina ELS"/>
    <n v="20"/>
    <n v="0"/>
    <n v="20"/>
    <x v="0"/>
    <s v="AP73"/>
    <s v="ELS"/>
    <s v="387"/>
    <s v="4.0 UN"/>
    <s v="STANDARD"/>
    <s v="N"/>
    <s v="N"/>
    <s v="Y"/>
    <s v="T20"/>
    <s v="N"/>
    <s v="N"/>
    <s v="N"/>
    <s v="N"/>
    <s v="A035"/>
    <d v="2016-12-21T00:00:00"/>
    <s v="40"/>
    <s v="TAN"/>
    <s v="OR"/>
    <d v="2016-12-16T00:00:00"/>
    <s v="MI"/>
    <s v="US"/>
    <s v="ZR"/>
    <d v="2016-12-16T00:00:00"/>
  </r>
  <r>
    <x v="0"/>
    <x v="0"/>
    <x v="862"/>
    <x v="4"/>
    <s v="Standard order"/>
    <x v="844"/>
    <x v="844"/>
    <s v="G351"/>
    <s v="CRYSTAL G351NT"/>
    <s v="5003398"/>
    <s v="G351 ACH T20 Kabina RP"/>
    <n v="20"/>
    <n v="0"/>
    <n v="20"/>
    <x v="0"/>
    <s v="DA73"/>
    <s v="RP"/>
    <s v="387"/>
    <s v="4.0 UN"/>
    <s v="STANDARD"/>
    <s v="N"/>
    <s v="N"/>
    <s v="Y"/>
    <s v="T20"/>
    <s v="N"/>
    <s v="N"/>
    <s v="N"/>
    <s v="N"/>
    <s v="A035"/>
    <d v="2016-12-21T00:00:00"/>
    <s v="10"/>
    <s v="TAN"/>
    <s v="OR"/>
    <d v="2016-12-16T00:00:00"/>
    <s v="MI"/>
    <s v="US"/>
    <s v="ZR"/>
    <d v="2016-12-16T00:00:00"/>
  </r>
  <r>
    <x v="0"/>
    <x v="2"/>
    <x v="863"/>
    <x v="25"/>
    <s v="Standard order"/>
    <x v="845"/>
    <x v="845"/>
    <s v="W322"/>
    <s v="CRYSTAL W322NT"/>
    <s v="5003488"/>
    <s v="W322 ACH T20 PB SYSTIVA G100"/>
    <n v="4"/>
    <n v="0"/>
    <n v="4"/>
    <x v="2"/>
    <s v="EE73"/>
    <s v="GEM 100"/>
    <s v="324"/>
    <s v="4.0 UN"/>
    <s v="STANDARD"/>
    <s v="N"/>
    <s v="Y"/>
    <s v="N"/>
    <s v="T20"/>
    <s v="Y"/>
    <s v="N"/>
    <s v="Y"/>
    <s v="N"/>
    <s v="A021"/>
    <d v="2016-12-21T00:00:00"/>
    <s v="10"/>
    <s v="TAN"/>
    <s v="OR"/>
    <d v="2016-12-16T00:00:00"/>
    <s v="CO"/>
    <s v="US"/>
    <s v="ZR"/>
    <d v="2016-12-16T00:00:00"/>
  </r>
  <r>
    <x v="0"/>
    <x v="2"/>
    <x v="864"/>
    <x v="22"/>
    <s v="Standard order"/>
    <x v="846"/>
    <x v="846"/>
    <s v="R014"/>
    <s v="CRYSTAL RR014"/>
    <s v="5003091"/>
    <s v="R014 ACH T20 PB SYSTIVA G100"/>
    <n v="12"/>
    <n v="0"/>
    <n v="12"/>
    <x v="2"/>
    <s v="AP82"/>
    <s v="GEM 100"/>
    <s v="324"/>
    <s v="4.0 UN"/>
    <s v="STANDARD"/>
    <s v="N"/>
    <s v="Y"/>
    <s v="N"/>
    <s v="T20"/>
    <s v="Y"/>
    <s v="N"/>
    <s v="Y"/>
    <s v="N"/>
    <s v="A018"/>
    <d v="2016-12-21T00:00:00"/>
    <s v="10"/>
    <s v="TAN"/>
    <s v="OR"/>
    <d v="2016-12-15T00:00:00"/>
    <s v="CO"/>
    <s v="US"/>
    <s v="ZR"/>
    <d v="2016-12-16T00:00:00"/>
  </r>
  <r>
    <x v="0"/>
    <x v="0"/>
    <x v="865"/>
    <x v="10"/>
    <s v="Standard order"/>
    <x v="847"/>
    <x v="847"/>
    <s v="R059"/>
    <s v="CRYSTAL RR059"/>
    <s v="5003530"/>
    <s v="R059 ACH T20 Kabina RP"/>
    <n v="32"/>
    <n v="0"/>
    <n v="32"/>
    <x v="0"/>
    <s v="AP73"/>
    <s v="RP"/>
    <s v="387"/>
    <s v="4.0 UN"/>
    <s v="STANDARD"/>
    <s v="N"/>
    <s v="N"/>
    <s v="Y"/>
    <s v="T20"/>
    <s v="N"/>
    <s v="N"/>
    <s v="N"/>
    <s v="N"/>
    <s v="A036"/>
    <d v="2016-12-21T00:00:00"/>
    <s v="10"/>
    <s v="TAN"/>
    <s v="OR"/>
    <d v="2016-12-15T00:00:00"/>
    <s v="MI"/>
    <s v="US"/>
    <s v="ZR"/>
    <d v="2016-12-16T00:00:00"/>
  </r>
  <r>
    <x v="0"/>
    <x v="0"/>
    <x v="866"/>
    <x v="10"/>
    <s v="Standard order"/>
    <x v="848"/>
    <x v="848"/>
    <s v="R059"/>
    <s v="CRYSTAL RR059"/>
    <s v="5003530"/>
    <s v="R059 ACH T20 Kabina RP"/>
    <n v="100"/>
    <n v="0"/>
    <n v="100"/>
    <x v="0"/>
    <s v="AP73"/>
    <s v="RP"/>
    <s v="387"/>
    <s v="4.0 UN"/>
    <s v="STANDARD"/>
    <s v="N"/>
    <s v="N"/>
    <s v="Y"/>
    <s v="T20"/>
    <s v="N"/>
    <s v="N"/>
    <s v="N"/>
    <s v="N"/>
    <s v="A036"/>
    <d v="2016-12-21T00:00:00"/>
    <s v="10"/>
    <s v="TAN"/>
    <s v="OR"/>
    <d v="2016-12-15T00:00:00"/>
    <s v="MI"/>
    <s v="US"/>
    <s v="ZR"/>
    <d v="2016-12-16T00:00:00"/>
  </r>
  <r>
    <x v="0"/>
    <x v="0"/>
    <x v="867"/>
    <x v="10"/>
    <s v="Standard order"/>
    <x v="849"/>
    <x v="849"/>
    <s v="R059"/>
    <s v="CRYSTAL RR059"/>
    <s v="5003530"/>
    <s v="R059 ACH T20 Kabina RP"/>
    <n v="48"/>
    <n v="0"/>
    <n v="48"/>
    <x v="0"/>
    <s v="AP73"/>
    <s v="RP"/>
    <s v="387"/>
    <s v="4.0 UN"/>
    <s v="STANDARD"/>
    <s v="N"/>
    <s v="N"/>
    <s v="Y"/>
    <s v="T20"/>
    <s v="N"/>
    <s v="N"/>
    <s v="N"/>
    <s v="N"/>
    <s v="A036"/>
    <d v="2016-12-21T00:00:00"/>
    <s v="10"/>
    <s v="TAN"/>
    <s v="OR"/>
    <d v="2016-12-15T00:00:00"/>
    <s v="MI"/>
    <s v="US"/>
    <s v="ZR"/>
    <d v="2016-12-16T00:00:00"/>
  </r>
  <r>
    <x v="0"/>
    <x v="2"/>
    <x v="868"/>
    <x v="22"/>
    <s v="Standard order"/>
    <x v="850"/>
    <x v="850"/>
    <s v="R014"/>
    <s v="CRYSTAL RR014"/>
    <s v="5003092"/>
    <s v="R014 ACH T20 PB SYSTIVA G50"/>
    <n v="64"/>
    <n v="0"/>
    <n v="64"/>
    <x v="2"/>
    <s v="AP82"/>
    <s v="GEM 50"/>
    <s v="324"/>
    <s v="4.0 UN"/>
    <s v="STANDARD"/>
    <s v="N"/>
    <s v="Y"/>
    <s v="N"/>
    <s v="T20"/>
    <s v="Y"/>
    <s v="N"/>
    <s v="Y"/>
    <s v="N"/>
    <s v="A018"/>
    <d v="2016-12-21T00:00:00"/>
    <s v="10"/>
    <s v="TAN"/>
    <s v="OR"/>
    <d v="2016-12-16T00:00:00"/>
    <s v="CO"/>
    <s v="US"/>
    <s v="ZR"/>
    <d v="2016-12-16T00:00:00"/>
  </r>
  <r>
    <x v="0"/>
    <x v="4"/>
    <x v="869"/>
    <x v="19"/>
    <s v="Standard order"/>
    <x v="851"/>
    <x v="851"/>
    <s v="R933"/>
    <s v="CRYSTAL RR933"/>
    <s v="5003686"/>
    <s v="R933 ACH PB LRG"/>
    <n v="84"/>
    <n v="0"/>
    <n v="84"/>
    <x v="4"/>
    <s v="3571"/>
    <s v="LARGE"/>
    <s v="314"/>
    <s v="4.0 UN"/>
    <s v="STANDARD"/>
    <s v="N"/>
    <s v="Y"/>
    <s v="N"/>
    <s v="N"/>
    <s v="N"/>
    <s v="N"/>
    <s v="N"/>
    <s v="N"/>
    <s v="A046"/>
    <d v="2016-12-21T00:00:00"/>
    <s v="10"/>
    <s v="TAN"/>
    <s v="OR"/>
    <d v="2016-12-15T00:00:00"/>
    <s v="ID"/>
    <s v="US"/>
    <s v="ZR"/>
    <d v="2016-12-16T00:00:00"/>
  </r>
  <r>
    <x v="0"/>
    <x v="4"/>
    <x v="869"/>
    <x v="19"/>
    <s v="Standard order"/>
    <x v="851"/>
    <x v="851"/>
    <s v="R275"/>
    <s v="CRYSTAL RR275"/>
    <s v="5003644"/>
    <s v="R275 ACH PB LRG"/>
    <n v="64"/>
    <n v="0"/>
    <n v="64"/>
    <x v="4"/>
    <s v="5CAY"/>
    <s v="LARGE"/>
    <s v="314"/>
    <s v="4.0 UN"/>
    <s v="STANDARD"/>
    <s v="N"/>
    <s v="Y"/>
    <s v="N"/>
    <s v="N"/>
    <s v="N"/>
    <s v="N"/>
    <s v="N"/>
    <s v="N"/>
    <s v="A046"/>
    <d v="2016-12-21T00:00:00"/>
    <s v="20"/>
    <s v="TAN"/>
    <s v="OR"/>
    <d v="2016-12-15T00:00:00"/>
    <s v="ID"/>
    <s v="US"/>
    <s v="ZR"/>
    <d v="2016-12-16T00:00:00"/>
  </r>
  <r>
    <x v="0"/>
    <x v="0"/>
    <x v="870"/>
    <x v="10"/>
    <s v="Standard order"/>
    <x v="852"/>
    <x v="852"/>
    <s v="R059"/>
    <s v="CRYSTAL RR059"/>
    <s v="5003528"/>
    <s v="R059 ACH T20 Kabina ELS"/>
    <n v="28"/>
    <n v="0"/>
    <n v="28"/>
    <x v="0"/>
    <s v="AP73"/>
    <s v="ELS"/>
    <s v="387"/>
    <s v="4.0 UN"/>
    <s v="STANDARD"/>
    <s v="N"/>
    <s v="N"/>
    <s v="Y"/>
    <s v="T20"/>
    <s v="N"/>
    <s v="N"/>
    <s v="N"/>
    <s v="N"/>
    <s v="A036"/>
    <d v="2016-12-21T00:00:00"/>
    <s v="30"/>
    <s v="TAN"/>
    <s v="OR"/>
    <d v="2016-12-16T00:00:00"/>
    <s v="MI"/>
    <s v="US"/>
    <s v="ZR"/>
    <d v="2016-12-16T00:00:00"/>
  </r>
  <r>
    <x v="0"/>
    <x v="0"/>
    <x v="871"/>
    <x v="4"/>
    <s v="Standard order"/>
    <x v="853"/>
    <x v="853"/>
    <s v="G515"/>
    <s v="CRYSTAL G515"/>
    <s v="5003019"/>
    <s v="G515 ACH T20 Kabina RP"/>
    <n v="12"/>
    <n v="0"/>
    <n v="12"/>
    <x v="0"/>
    <s v="APND"/>
    <s v="RP"/>
    <s v="387"/>
    <s v="4.0 UN"/>
    <s v="STANDARD"/>
    <s v="N"/>
    <s v="N"/>
    <s v="Y"/>
    <s v="T20"/>
    <s v="N"/>
    <s v="N"/>
    <s v="N"/>
    <s v="N"/>
    <s v="A035"/>
    <d v="2016-12-21T00:00:00"/>
    <s v="10"/>
    <s v="TAN"/>
    <s v="OR"/>
    <d v="2016-12-16T00:00:00"/>
    <s v="MI"/>
    <s v="US"/>
    <s v="ZR"/>
    <d v="2016-12-16T00:00:00"/>
  </r>
  <r>
    <x v="0"/>
    <x v="0"/>
    <x v="871"/>
    <x v="4"/>
    <s v="Standard order"/>
    <x v="853"/>
    <x v="853"/>
    <s v="R059"/>
    <s v="CRYSTAL RR059"/>
    <s v="5003530"/>
    <s v="R059 ACH T20 Kabina RP"/>
    <n v="148"/>
    <n v="0"/>
    <n v="148"/>
    <x v="0"/>
    <s v="AP73"/>
    <s v="RP"/>
    <s v="387"/>
    <s v="4.0 UN"/>
    <s v="STANDARD"/>
    <s v="N"/>
    <s v="N"/>
    <s v="Y"/>
    <s v="T20"/>
    <s v="N"/>
    <s v="N"/>
    <s v="N"/>
    <s v="N"/>
    <s v="A035"/>
    <d v="2016-12-21T00:00:00"/>
    <s v="20"/>
    <s v="TAN"/>
    <s v="OR"/>
    <d v="2016-12-16T00:00:00"/>
    <s v="MI"/>
    <s v="US"/>
    <s v="ZR"/>
    <d v="2016-12-16T00:00:00"/>
  </r>
  <r>
    <x v="0"/>
    <x v="0"/>
    <x v="872"/>
    <x v="2"/>
    <s v="Standard order"/>
    <x v="854"/>
    <x v="854"/>
    <s v="R059"/>
    <s v="CRYSTAL RR059"/>
    <s v="5003530"/>
    <s v="R059 ACH T20 Kabina RP"/>
    <n v="44"/>
    <n v="0"/>
    <n v="44"/>
    <x v="0"/>
    <s v="AP73"/>
    <s v="RP"/>
    <s v="387"/>
    <s v="4.0 UN"/>
    <s v="STANDARD"/>
    <s v="N"/>
    <s v="N"/>
    <s v="Y"/>
    <s v="T20"/>
    <s v="N"/>
    <s v="N"/>
    <s v="N"/>
    <s v="N"/>
    <s v="A034"/>
    <d v="2016-12-21T00:00:00"/>
    <s v="10"/>
    <s v="TAN"/>
    <s v="OR"/>
    <d v="2016-12-16T00:00:00"/>
    <s v="MI"/>
    <s v="US"/>
    <s v="ZR"/>
    <d v="2016-12-16T00:00:00"/>
  </r>
  <r>
    <x v="0"/>
    <x v="0"/>
    <x v="873"/>
    <x v="2"/>
    <s v="Standard order"/>
    <x v="855"/>
    <x v="855"/>
    <s v="G333"/>
    <s v="CRYSTAL G333NT"/>
    <s v="5003376"/>
    <s v="G333 ACH T20 Kabina ELS"/>
    <n v="24"/>
    <n v="0"/>
    <n v="24"/>
    <x v="0"/>
    <s v="EE73"/>
    <s v="ELS"/>
    <s v="387"/>
    <s v="4.0 UN"/>
    <s v="STANDARD"/>
    <s v="N"/>
    <s v="N"/>
    <s v="Y"/>
    <s v="T20"/>
    <s v="N"/>
    <s v="N"/>
    <s v="N"/>
    <s v="N"/>
    <s v="A034"/>
    <d v="2016-12-21T00:00:00"/>
    <s v="10"/>
    <s v="TAN"/>
    <s v="OR"/>
    <d v="2016-12-16T00:00:00"/>
    <s v="MI"/>
    <s v="US"/>
    <s v="ZR"/>
    <d v="2016-12-16T00:00:00"/>
  </r>
  <r>
    <x v="0"/>
    <x v="0"/>
    <x v="873"/>
    <x v="2"/>
    <s v="Standard order"/>
    <x v="855"/>
    <x v="855"/>
    <s v="G351"/>
    <s v="CRYSTAL G351NT"/>
    <s v="5003396"/>
    <s v="G351 ACH T20 Kabina ELS"/>
    <n v="20"/>
    <n v="0"/>
    <n v="20"/>
    <x v="0"/>
    <s v="DA73"/>
    <s v="ELS"/>
    <s v="387"/>
    <s v="4.0 UN"/>
    <s v="STANDARD"/>
    <s v="N"/>
    <s v="N"/>
    <s v="Y"/>
    <s v="T20"/>
    <s v="N"/>
    <s v="N"/>
    <s v="N"/>
    <s v="N"/>
    <s v="A034"/>
    <d v="2016-12-21T00:00:00"/>
    <s v="20"/>
    <s v="TAN"/>
    <s v="OR"/>
    <d v="2016-12-16T00:00:00"/>
    <s v="MI"/>
    <s v="US"/>
    <s v="ZR"/>
    <d v="2016-12-16T00:00:00"/>
  </r>
  <r>
    <x v="0"/>
    <x v="0"/>
    <x v="873"/>
    <x v="2"/>
    <s v="Standard order"/>
    <x v="855"/>
    <x v="855"/>
    <s v="G515"/>
    <s v="CRYSTAL G515"/>
    <s v="5003017"/>
    <s v="G515 ACH T20 Kabina ELS"/>
    <n v="12"/>
    <n v="0"/>
    <n v="12"/>
    <x v="0"/>
    <s v="APND"/>
    <s v="ELS"/>
    <s v="387"/>
    <s v="4.0 UN"/>
    <s v="STANDARD"/>
    <s v="N"/>
    <s v="N"/>
    <s v="Y"/>
    <s v="T20"/>
    <s v="N"/>
    <s v="N"/>
    <s v="N"/>
    <s v="N"/>
    <s v="A034"/>
    <d v="2016-12-21T00:00:00"/>
    <s v="30"/>
    <s v="TAN"/>
    <s v="OR"/>
    <d v="2016-12-16T00:00:00"/>
    <s v="MI"/>
    <s v="US"/>
    <s v="ZR"/>
    <d v="2016-12-16T00:00:00"/>
  </r>
  <r>
    <x v="0"/>
    <x v="0"/>
    <x v="873"/>
    <x v="2"/>
    <s v="Standard order"/>
    <x v="855"/>
    <x v="855"/>
    <s v="R059"/>
    <s v="CRYSTAL RR059"/>
    <s v="5003528"/>
    <s v="R059 ACH T20 Kabina ELS"/>
    <n v="32"/>
    <n v="0"/>
    <n v="32"/>
    <x v="0"/>
    <s v="AP73"/>
    <s v="ELS"/>
    <s v="387"/>
    <s v="4.0 UN"/>
    <s v="STANDARD"/>
    <s v="N"/>
    <s v="N"/>
    <s v="Y"/>
    <s v="T20"/>
    <s v="N"/>
    <s v="N"/>
    <s v="N"/>
    <s v="N"/>
    <s v="A034"/>
    <d v="2016-12-21T00:00:00"/>
    <s v="40"/>
    <s v="TAN"/>
    <s v="OR"/>
    <d v="2016-12-16T00:00:00"/>
    <s v="MI"/>
    <s v="US"/>
    <s v="ZR"/>
    <d v="2016-12-16T00:00:00"/>
  </r>
  <r>
    <x v="0"/>
    <x v="0"/>
    <x v="874"/>
    <x v="2"/>
    <s v="Standard order"/>
    <x v="856"/>
    <x v="856"/>
    <s v="R059"/>
    <s v="CRYSTAL RR059"/>
    <s v="5003528"/>
    <s v="R059 ACH T20 Kabina ELS"/>
    <n v="52"/>
    <n v="0"/>
    <n v="52"/>
    <x v="0"/>
    <s v="AP73"/>
    <s v="ELS"/>
    <s v="387"/>
    <s v="4.0 UN"/>
    <s v="STANDARD"/>
    <s v="N"/>
    <s v="N"/>
    <s v="Y"/>
    <s v="T20"/>
    <s v="N"/>
    <s v="N"/>
    <s v="N"/>
    <s v="N"/>
    <s v="A034"/>
    <d v="2016-12-21T00:00:00"/>
    <s v="10"/>
    <s v="TAN"/>
    <s v="OR"/>
    <d v="2016-12-16T00:00:00"/>
    <s v="MI"/>
    <s v="US"/>
    <s v="ZR"/>
    <d v="2016-12-16T00:00:00"/>
  </r>
  <r>
    <x v="0"/>
    <x v="4"/>
    <x v="875"/>
    <x v="17"/>
    <s v="Standard order"/>
    <x v="857"/>
    <x v="857"/>
    <s v="A404"/>
    <s v="CRYSTAL A404NT"/>
    <s v="5002955"/>
    <s v="A404 ACH PB MED"/>
    <n v="160"/>
    <n v="0"/>
    <n v="160"/>
    <x v="4"/>
    <s v="DPNE"/>
    <s v="MEDIUM"/>
    <s v="314"/>
    <s v="4.0 UN"/>
    <s v="STANDARD"/>
    <s v="N"/>
    <s v="Y"/>
    <s v="N"/>
    <s v="N"/>
    <s v="N"/>
    <s v="N"/>
    <s v="N"/>
    <s v="N"/>
    <s v="A040"/>
    <d v="2016-12-21T00:00:00"/>
    <s v="10"/>
    <s v="TAN"/>
    <s v="OR"/>
    <d v="2016-12-16T00:00:00"/>
    <s v="ID"/>
    <s v="US"/>
    <s v="ZR"/>
    <d v="2016-12-16T00:00:00"/>
  </r>
  <r>
    <x v="0"/>
    <x v="4"/>
    <x v="875"/>
    <x v="17"/>
    <s v="Standard order"/>
    <x v="857"/>
    <x v="857"/>
    <s v="R933"/>
    <s v="CRYSTAL RR933"/>
    <s v="5003687"/>
    <s v="R933 ACH PB MED"/>
    <n v="40"/>
    <n v="0"/>
    <n v="40"/>
    <x v="4"/>
    <s v="3571"/>
    <s v="MEDIUM"/>
    <s v="314"/>
    <s v="4.0 UN"/>
    <s v="STANDARD"/>
    <s v="N"/>
    <s v="Y"/>
    <s v="N"/>
    <s v="N"/>
    <s v="N"/>
    <s v="N"/>
    <s v="N"/>
    <s v="N"/>
    <s v="A040"/>
    <d v="2016-12-21T00:00:00"/>
    <s v="20"/>
    <s v="TAN"/>
    <s v="OR"/>
    <d v="2016-12-16T00:00:00"/>
    <s v="ID"/>
    <s v="US"/>
    <s v="ZR"/>
    <d v="2016-12-16T00:00:00"/>
  </r>
  <r>
    <x v="0"/>
    <x v="2"/>
    <x v="876"/>
    <x v="22"/>
    <s v="Standard order"/>
    <x v="858"/>
    <x v="858"/>
    <s v="W322"/>
    <s v="CRYSTAL W322NT"/>
    <s v="5003488"/>
    <s v="W322 ACH T20 PB SYSTIVA G100"/>
    <n v="12"/>
    <n v="0"/>
    <n v="12"/>
    <x v="2"/>
    <s v="EE73"/>
    <s v="GEM 100"/>
    <s v="324"/>
    <s v="4.0 UN"/>
    <s v="STANDARD"/>
    <s v="N"/>
    <s v="Y"/>
    <s v="N"/>
    <s v="T20"/>
    <s v="Y"/>
    <s v="N"/>
    <s v="Y"/>
    <s v="N"/>
    <s v="A018"/>
    <d v="2016-12-21T00:00:00"/>
    <s v="10"/>
    <s v="TAN"/>
    <s v="OR"/>
    <d v="2016-12-16T00:00:00"/>
    <s v="CO"/>
    <s v="US"/>
    <s v="ZR"/>
    <d v="2016-12-16T00:00:00"/>
  </r>
  <r>
    <x v="0"/>
    <x v="0"/>
    <x v="877"/>
    <x v="4"/>
    <s v="Standard order"/>
    <x v="859"/>
    <x v="859"/>
    <s v="G333"/>
    <s v="CRYSTAL G333NT"/>
    <s v="5003377"/>
    <s v="G333 ACH T20 Kabina MP"/>
    <n v="44"/>
    <n v="0"/>
    <n v="44"/>
    <x v="0"/>
    <s v="EE73"/>
    <s v="MP"/>
    <s v="387"/>
    <s v="4.0 UN"/>
    <s v="STANDARD"/>
    <s v="N"/>
    <s v="N"/>
    <s v="Y"/>
    <s v="T20"/>
    <s v="N"/>
    <s v="N"/>
    <s v="N"/>
    <s v="N"/>
    <s v="A035"/>
    <d v="2016-12-21T00:00:00"/>
    <s v="10"/>
    <s v="TAN"/>
    <s v="OR"/>
    <d v="2016-12-16T00:00:00"/>
    <s v="MI"/>
    <s v="US"/>
    <s v="ZR"/>
    <d v="2016-12-16T00:00:00"/>
  </r>
  <r>
    <x v="0"/>
    <x v="0"/>
    <x v="878"/>
    <x v="2"/>
    <s v="Standard order"/>
    <x v="860"/>
    <x v="860"/>
    <s v="R059"/>
    <s v="CRYSTAL RR059"/>
    <s v="5003530"/>
    <s v="R059 ACH T20 Kabina RP"/>
    <n v="60"/>
    <n v="0"/>
    <n v="60"/>
    <x v="0"/>
    <s v="AP73"/>
    <s v="RP"/>
    <s v="387"/>
    <s v="4.0 UN"/>
    <s v="STANDARD"/>
    <s v="N"/>
    <s v="N"/>
    <s v="Y"/>
    <s v="T20"/>
    <s v="N"/>
    <s v="N"/>
    <s v="N"/>
    <s v="N"/>
    <s v="A034"/>
    <d v="2016-12-21T00:00:00"/>
    <s v="10"/>
    <s v="TAN"/>
    <s v="OR"/>
    <d v="2016-12-16T00:00:00"/>
    <s v="MI"/>
    <s v="US"/>
    <s v="ZR"/>
    <d v="2016-12-16T00:00:00"/>
  </r>
  <r>
    <x v="0"/>
    <x v="0"/>
    <x v="878"/>
    <x v="2"/>
    <s v="Standard order"/>
    <x v="860"/>
    <x v="860"/>
    <s v="G515"/>
    <s v="CRYSTAL G515"/>
    <s v="5003019"/>
    <s v="G515 ACH T20 Kabina RP"/>
    <n v="20"/>
    <n v="0"/>
    <n v="20"/>
    <x v="0"/>
    <s v="APND"/>
    <s v="RP"/>
    <s v="387"/>
    <s v="4.0 UN"/>
    <s v="STANDARD"/>
    <s v="N"/>
    <s v="N"/>
    <s v="Y"/>
    <s v="T20"/>
    <s v="N"/>
    <s v="N"/>
    <s v="N"/>
    <s v="N"/>
    <s v="A034"/>
    <d v="2016-12-21T00:00:00"/>
    <s v="20"/>
    <s v="TAN"/>
    <s v="OR"/>
    <d v="2016-12-16T00:00:00"/>
    <s v="MI"/>
    <s v="US"/>
    <s v="ZR"/>
    <d v="2016-12-16T00:00:00"/>
  </r>
  <r>
    <x v="0"/>
    <x v="0"/>
    <x v="878"/>
    <x v="2"/>
    <s v="Standard order"/>
    <x v="860"/>
    <x v="860"/>
    <s v="G333"/>
    <s v="CRYSTAL G333NT"/>
    <s v="5003378"/>
    <s v="G333 ACH T20 Kabina RP"/>
    <n v="40"/>
    <n v="0"/>
    <n v="40"/>
    <x v="0"/>
    <s v="EE73"/>
    <s v="RP"/>
    <s v="387"/>
    <s v="4.0 UN"/>
    <s v="STANDARD"/>
    <s v="N"/>
    <s v="N"/>
    <s v="Y"/>
    <s v="T20"/>
    <s v="N"/>
    <s v="N"/>
    <s v="N"/>
    <s v="N"/>
    <s v="A034"/>
    <d v="2016-12-21T00:00:00"/>
    <s v="30"/>
    <s v="TAN"/>
    <s v="OR"/>
    <d v="2016-12-16T00:00:00"/>
    <s v="MI"/>
    <s v="US"/>
    <s v="ZR"/>
    <d v="2016-12-16T00:00:00"/>
  </r>
  <r>
    <x v="0"/>
    <x v="0"/>
    <x v="879"/>
    <x v="2"/>
    <s v="Standard order"/>
    <x v="861"/>
    <x v="861"/>
    <s v="R059"/>
    <s v="CRYSTAL RR059"/>
    <s v="5003530"/>
    <s v="R059 ACH T20 Kabina RP"/>
    <n v="24"/>
    <n v="0"/>
    <n v="24"/>
    <x v="0"/>
    <s v="AP73"/>
    <s v="RP"/>
    <s v="387"/>
    <s v="4.0 UN"/>
    <s v="STANDARD"/>
    <s v="N"/>
    <s v="N"/>
    <s v="Y"/>
    <s v="T20"/>
    <s v="N"/>
    <s v="N"/>
    <s v="N"/>
    <s v="N"/>
    <s v="A034"/>
    <d v="2016-12-21T00:00:00"/>
    <s v="10"/>
    <s v="TAN"/>
    <s v="OR"/>
    <d v="2016-12-16T00:00:00"/>
    <s v="MI"/>
    <s v="US"/>
    <s v="ZR"/>
    <d v="2016-12-16T00:00:00"/>
  </r>
  <r>
    <x v="0"/>
    <x v="4"/>
    <x v="880"/>
    <x v="7"/>
    <s v="Standard order"/>
    <x v="862"/>
    <x v="862"/>
    <s v="A501"/>
    <s v="CRYSTAL A501"/>
    <s v="5003305"/>
    <s v="A501 ACH PB LRG"/>
    <n v="4"/>
    <n v="0"/>
    <n v="4"/>
    <x v="4"/>
    <s v="EZPB"/>
    <s v="LARGE"/>
    <s v="314"/>
    <s v="4.0 UN"/>
    <s v="STANDARD"/>
    <s v="N"/>
    <s v="Y"/>
    <s v="N"/>
    <s v="N"/>
    <s v="N"/>
    <s v="N"/>
    <s v="N"/>
    <s v="N"/>
    <s v="A045"/>
    <d v="2016-12-21T00:00:00"/>
    <s v="10"/>
    <s v="TAN"/>
    <s v="OR"/>
    <d v="2016-12-16T00:00:00"/>
    <s v="OR"/>
    <s v="US"/>
    <s v="ZR"/>
    <d v="2016-12-16T00:00:00"/>
  </r>
  <r>
    <x v="0"/>
    <x v="4"/>
    <x v="880"/>
    <x v="7"/>
    <s v="Standard order"/>
    <x v="862"/>
    <x v="862"/>
    <s v="R933"/>
    <s v="CRYSTAL RR933"/>
    <s v="5003686"/>
    <s v="R933 ACH PB LRG"/>
    <n v="32"/>
    <n v="0"/>
    <n v="32"/>
    <x v="4"/>
    <s v="3571"/>
    <s v="LARGE"/>
    <s v="314"/>
    <s v="4.0 UN"/>
    <s v="STANDARD"/>
    <s v="N"/>
    <s v="Y"/>
    <s v="N"/>
    <s v="N"/>
    <s v="N"/>
    <s v="N"/>
    <s v="N"/>
    <s v="N"/>
    <s v="A045"/>
    <d v="2016-12-21T00:00:00"/>
    <s v="20"/>
    <s v="TAN"/>
    <s v="OR"/>
    <d v="2016-12-16T00:00:00"/>
    <s v="OR"/>
    <s v="US"/>
    <s v="ZR"/>
    <d v="2016-12-16T00:00:00"/>
  </r>
  <r>
    <x v="0"/>
    <x v="4"/>
    <x v="880"/>
    <x v="7"/>
    <s v="Standard order"/>
    <x v="862"/>
    <x v="862"/>
    <s v="A399"/>
    <s v="CRYSTAL A399NT"/>
    <s v="5002928"/>
    <s v="A399 ACH PB LRG"/>
    <n v="8"/>
    <n v="0"/>
    <n v="8"/>
    <x v="4"/>
    <s v="DP71"/>
    <s v="LARGE"/>
    <s v="314"/>
    <s v="4.0 UN"/>
    <s v="STANDARD"/>
    <s v="N"/>
    <s v="Y"/>
    <s v="N"/>
    <s v="N"/>
    <s v="N"/>
    <s v="N"/>
    <s v="N"/>
    <s v="N"/>
    <s v="A045"/>
    <d v="2016-12-21T00:00:00"/>
    <s v="30"/>
    <s v="TAN"/>
    <s v="OR"/>
    <d v="2016-12-16T00:00:00"/>
    <s v="OR"/>
    <s v="US"/>
    <s v="ZR"/>
    <d v="2016-12-16T00:00:00"/>
  </r>
  <r>
    <x v="0"/>
    <x v="4"/>
    <x v="880"/>
    <x v="7"/>
    <s v="Standard order"/>
    <x v="862"/>
    <x v="862"/>
    <s v="A404"/>
    <s v="CRYSTAL A404NT"/>
    <s v="5002954"/>
    <s v="A404 ACH PB LRG"/>
    <n v="8"/>
    <n v="0"/>
    <n v="8"/>
    <x v="4"/>
    <s v="DPNE"/>
    <s v="LARGE"/>
    <s v="314"/>
    <s v="4.0 UN"/>
    <s v="STANDARD"/>
    <s v="N"/>
    <s v="Y"/>
    <s v="N"/>
    <s v="N"/>
    <s v="N"/>
    <s v="N"/>
    <s v="N"/>
    <s v="N"/>
    <s v="A045"/>
    <d v="2016-12-21T00:00:00"/>
    <s v="40"/>
    <s v="TAN"/>
    <s v="OR"/>
    <d v="2016-12-16T00:00:00"/>
    <s v="OR"/>
    <s v="US"/>
    <s v="ZR"/>
    <d v="2016-12-16T00:00:00"/>
  </r>
  <r>
    <x v="0"/>
    <x v="2"/>
    <x v="881"/>
    <x v="3"/>
    <s v="Standard order"/>
    <x v="863"/>
    <x v="863"/>
    <s v="R014"/>
    <s v="CRYSTAL RR014"/>
    <s v="5003090"/>
    <s v="R014 ACH T20 PB SYSTIVA ELS"/>
    <n v="156"/>
    <n v="0"/>
    <n v="156"/>
    <x v="2"/>
    <s v="AP82"/>
    <s v="ELS"/>
    <s v="324"/>
    <s v="4.0 UN"/>
    <s v="STANDARD"/>
    <s v="N"/>
    <s v="Y"/>
    <s v="N"/>
    <s v="T20"/>
    <s v="Y"/>
    <s v="N"/>
    <s v="Y"/>
    <s v="N"/>
    <s v="A024"/>
    <d v="2016-12-21T00:00:00"/>
    <s v="10"/>
    <s v="TAN"/>
    <s v="OR"/>
    <d v="2016-12-16T00:00:00"/>
    <s v="NE"/>
    <s v="US"/>
    <s v="ZR"/>
    <d v="2016-12-16T00:00:00"/>
  </r>
  <r>
    <x v="0"/>
    <x v="4"/>
    <x v="882"/>
    <x v="20"/>
    <s v="Standard order"/>
    <x v="864"/>
    <x v="864"/>
    <s v="A488"/>
    <s v="CRYSTAL A488NT"/>
    <s v="5002980"/>
    <s v="A488 ACH PB LRG"/>
    <n v="136"/>
    <n v="0"/>
    <n v="136"/>
    <x v="4"/>
    <s v="EENE"/>
    <s v="LARGE"/>
    <s v="314"/>
    <s v="4.0 UN"/>
    <s v="STANDARD"/>
    <s v="N"/>
    <s v="Y"/>
    <s v="N"/>
    <s v="N"/>
    <s v="N"/>
    <s v="N"/>
    <s v="N"/>
    <s v="N"/>
    <s v="A039"/>
    <d v="2016-12-21T00:00:00"/>
    <s v="10"/>
    <s v="TAN"/>
    <s v="OR"/>
    <d v="2016-12-16T00:00:00"/>
    <s v="ID"/>
    <s v="US"/>
    <s v="ZR"/>
    <d v="2016-12-16T00:00:00"/>
  </r>
  <r>
    <x v="0"/>
    <x v="0"/>
    <x v="883"/>
    <x v="10"/>
    <s v="Standard order"/>
    <x v="865"/>
    <x v="865"/>
    <s v="R059"/>
    <s v="CRYSTAL RR059"/>
    <s v="5003529"/>
    <s v="R059 ACH T20 Kabina MP"/>
    <n v="40"/>
    <n v="0"/>
    <n v="40"/>
    <x v="0"/>
    <s v="AP73"/>
    <s v="MP"/>
    <s v="387"/>
    <s v="4.0 UN"/>
    <s v="STANDARD"/>
    <s v="N"/>
    <s v="N"/>
    <s v="Y"/>
    <s v="T20"/>
    <s v="N"/>
    <s v="N"/>
    <s v="N"/>
    <s v="N"/>
    <s v="A036"/>
    <d v="2016-12-21T00:00:00"/>
    <s v="10"/>
    <s v="TAN"/>
    <s v="OR"/>
    <d v="2016-12-16T00:00:00"/>
    <s v="MI"/>
    <s v="US"/>
    <s v="ZR"/>
    <d v="2016-12-16T00:00:00"/>
  </r>
  <r>
    <x v="0"/>
    <x v="2"/>
    <x v="884"/>
    <x v="22"/>
    <s v="Standard order"/>
    <x v="850"/>
    <x v="850"/>
    <s v="R272"/>
    <s v="CRYSTAL RR272"/>
    <s v="5003630"/>
    <s v="R272 ACH T20 PB SYSTIVA G50"/>
    <n v="16"/>
    <n v="0"/>
    <n v="16"/>
    <x v="2"/>
    <s v="DG73"/>
    <s v="GEM 50"/>
    <s v="324"/>
    <s v="4.0 UN"/>
    <s v="STANDARD"/>
    <s v="N"/>
    <s v="Y"/>
    <s v="N"/>
    <s v="T20"/>
    <s v="Y"/>
    <s v="N"/>
    <s v="Y"/>
    <s v="N"/>
    <s v="A018"/>
    <d v="2016-12-21T00:00:00"/>
    <s v="10"/>
    <s v="TAN"/>
    <s v="OR"/>
    <d v="2016-12-16T00:00:00"/>
    <s v="CO"/>
    <s v="US"/>
    <s v="ZR"/>
    <d v="2016-12-16T00:00:00"/>
  </r>
  <r>
    <x v="0"/>
    <x v="2"/>
    <x v="885"/>
    <x v="22"/>
    <s v="Standard order"/>
    <x v="866"/>
    <x v="866"/>
    <s v="R014"/>
    <s v="CRYSTAL RR014"/>
    <s v="5003091"/>
    <s v="R014 ACH T20 PB SYSTIVA G100"/>
    <n v="44"/>
    <n v="0"/>
    <n v="44"/>
    <x v="2"/>
    <s v="AP82"/>
    <s v="GEM 100"/>
    <s v="324"/>
    <s v="4.0 UN"/>
    <s v="STANDARD"/>
    <s v="N"/>
    <s v="Y"/>
    <s v="N"/>
    <s v="T20"/>
    <s v="Y"/>
    <s v="N"/>
    <s v="Y"/>
    <s v="N"/>
    <s v="A018"/>
    <d v="2016-12-21T00:00:00"/>
    <s v="10"/>
    <s v="TAN"/>
    <s v="OR"/>
    <d v="2016-12-15T00:00:00"/>
    <s v="CO"/>
    <s v="US"/>
    <s v="ZR"/>
    <d v="2016-12-16T00:00:00"/>
  </r>
  <r>
    <x v="0"/>
    <x v="0"/>
    <x v="886"/>
    <x v="10"/>
    <s v="Standard order"/>
    <x v="867"/>
    <x v="867"/>
    <s v="R059"/>
    <s v="CRYSTAL RR059"/>
    <s v="5003530"/>
    <s v="R059 ACH T20 Kabina RP"/>
    <n v="28"/>
    <n v="0"/>
    <n v="28"/>
    <x v="0"/>
    <s v="AP73"/>
    <s v="RP"/>
    <s v="387"/>
    <s v="4.0 UN"/>
    <s v="STANDARD"/>
    <s v="N"/>
    <s v="N"/>
    <s v="Y"/>
    <s v="T20"/>
    <s v="N"/>
    <s v="N"/>
    <s v="N"/>
    <s v="N"/>
    <s v="A036"/>
    <d v="2016-12-21T00:00:00"/>
    <s v="10"/>
    <s v="TAN"/>
    <s v="OR"/>
    <d v="2016-12-15T00:00:00"/>
    <s v="MI"/>
    <s v="US"/>
    <s v="ZR"/>
    <d v="2016-12-16T00:00:00"/>
  </r>
  <r>
    <x v="0"/>
    <x v="0"/>
    <x v="887"/>
    <x v="0"/>
    <s v="Standard order"/>
    <x v="868"/>
    <x v="868"/>
    <s v="R059"/>
    <s v="CRYSTAL RR059"/>
    <s v="5003537"/>
    <s v="R059 ACH Vibrance RP"/>
    <n v="104"/>
    <n v="0"/>
    <n v="104"/>
    <x v="0"/>
    <s v="AP73"/>
    <s v="RP"/>
    <s v="392"/>
    <s v="4.0 UN"/>
    <s v="STANDARD"/>
    <s v="N"/>
    <s v="N"/>
    <s v="N"/>
    <s v="N"/>
    <s v="N"/>
    <s v="N"/>
    <s v="N"/>
    <s v="Y"/>
    <s v="A037"/>
    <d v="2016-12-21T00:00:00"/>
    <s v="10"/>
    <s v="TAN"/>
    <s v="OR"/>
    <d v="2016-12-15T00:00:00"/>
    <s v="ON"/>
    <s v="CA"/>
    <s v="ZR"/>
    <d v="2016-12-16T00:00:00"/>
  </r>
  <r>
    <x v="0"/>
    <x v="0"/>
    <x v="887"/>
    <x v="0"/>
    <s v="Standard order"/>
    <x v="868"/>
    <x v="868"/>
    <s v="G515"/>
    <s v="CRYSTAL G515"/>
    <s v="5003026"/>
    <s v="G515 ACH Vibrance RP"/>
    <n v="28"/>
    <n v="0"/>
    <n v="28"/>
    <x v="0"/>
    <s v="APND"/>
    <s v="RP"/>
    <s v="392"/>
    <s v="4.0 UN"/>
    <s v="STANDARD"/>
    <s v="N"/>
    <s v="N"/>
    <s v="N"/>
    <s v="N"/>
    <s v="N"/>
    <s v="N"/>
    <s v="N"/>
    <s v="Y"/>
    <s v="A037"/>
    <d v="2016-12-21T00:00:00"/>
    <s v="20"/>
    <s v="TAN"/>
    <s v="OR"/>
    <d v="2016-12-15T00:00:00"/>
    <s v="ON"/>
    <s v="CA"/>
    <s v="ZR"/>
    <d v="2016-12-16T00:00:00"/>
  </r>
  <r>
    <x v="0"/>
    <x v="4"/>
    <x v="888"/>
    <x v="18"/>
    <s v="Standard order"/>
    <x v="869"/>
    <x v="869"/>
    <s v="A399"/>
    <s v="CRYSTAL A399NT"/>
    <s v="5002931"/>
    <s v="A399 ACH PB XL"/>
    <n v="36"/>
    <n v="0"/>
    <n v="36"/>
    <x v="4"/>
    <s v="DP71"/>
    <s v="X-LARGE"/>
    <s v="314"/>
    <s v="4.0 UN"/>
    <s v="STANDARD"/>
    <s v="N"/>
    <s v="Y"/>
    <s v="N"/>
    <s v="N"/>
    <s v="N"/>
    <s v="N"/>
    <s v="N"/>
    <s v="N"/>
    <s v="A041"/>
    <d v="2016-12-21T00:00:00"/>
    <s v="10"/>
    <s v="TAN"/>
    <s v="OR"/>
    <d v="2016-12-15T00:00:00"/>
    <s v="ID"/>
    <s v="US"/>
    <s v="ZR"/>
    <d v="2016-12-16T00:00:00"/>
  </r>
  <r>
    <x v="0"/>
    <x v="4"/>
    <x v="888"/>
    <x v="18"/>
    <s v="Standard order"/>
    <x v="869"/>
    <x v="869"/>
    <s v="R081"/>
    <s v="CRYSTAL RR081"/>
    <s v="5003554"/>
    <s v="R081 ACH PB XL IDH"/>
    <n v="96"/>
    <n v="0"/>
    <n v="96"/>
    <x v="4"/>
    <s v="AQ82"/>
    <s v="X-LARGE"/>
    <s v="314"/>
    <s v="4.0 UN"/>
    <s v="STANDARD"/>
    <s v="N"/>
    <s v="Y"/>
    <s v="N"/>
    <s v="N"/>
    <s v="N"/>
    <s v="N"/>
    <s v="N"/>
    <s v="N"/>
    <s v="A041"/>
    <d v="2016-12-21T00:00:00"/>
    <s v="20"/>
    <s v="TAN"/>
    <s v="OR"/>
    <d v="2016-12-15T00:00:00"/>
    <s v="ID"/>
    <s v="US"/>
    <s v="ZR"/>
    <d v="2016-12-16T00:00:00"/>
  </r>
  <r>
    <x v="0"/>
    <x v="4"/>
    <x v="888"/>
    <x v="18"/>
    <s v="Standard order"/>
    <x v="869"/>
    <x v="869"/>
    <s v="A501"/>
    <s v="CRYSTAL A501"/>
    <s v="5003308"/>
    <s v="A501 ACH PB XL"/>
    <n v="48"/>
    <n v="0"/>
    <n v="48"/>
    <x v="4"/>
    <s v="EZPB"/>
    <s v="X-LARGE"/>
    <s v="314"/>
    <s v="4.0 UN"/>
    <s v="STANDARD"/>
    <s v="N"/>
    <s v="Y"/>
    <s v="N"/>
    <s v="N"/>
    <s v="N"/>
    <s v="N"/>
    <s v="N"/>
    <s v="N"/>
    <s v="A041"/>
    <d v="2016-12-21T00:00:00"/>
    <s v="30"/>
    <s v="TAN"/>
    <s v="OR"/>
    <d v="2016-12-15T00:00:00"/>
    <s v="ID"/>
    <s v="US"/>
    <s v="ZR"/>
    <d v="2016-12-16T00:00:00"/>
  </r>
  <r>
    <x v="0"/>
    <x v="0"/>
    <x v="889"/>
    <x v="2"/>
    <s v="Standard order"/>
    <x v="870"/>
    <x v="870"/>
    <s v="R059"/>
    <s v="CRYSTAL RR059"/>
    <s v="5003536"/>
    <s v="R059 ACH T20 SYSTIVA RP"/>
    <n v="128"/>
    <n v="0"/>
    <n v="128"/>
    <x v="0"/>
    <s v="AP73"/>
    <s v="RP"/>
    <s v="328"/>
    <s v="4.0 UN"/>
    <s v="STANDARD"/>
    <s v="N"/>
    <s v="N"/>
    <s v="N"/>
    <s v="T20"/>
    <s v="Y"/>
    <s v="N"/>
    <s v="Y"/>
    <s v="N"/>
    <s v="A034"/>
    <d v="2016-12-21T00:00:00"/>
    <s v="10"/>
    <s v="TAN"/>
    <s v="OR"/>
    <d v="2016-12-15T00:00:00"/>
    <s v="MI"/>
    <s v="US"/>
    <s v="ZR"/>
    <d v="2016-12-16T00:00:00"/>
  </r>
  <r>
    <x v="0"/>
    <x v="6"/>
    <x v="890"/>
    <x v="11"/>
    <s v="Standard order"/>
    <x v="871"/>
    <x v="871"/>
    <s v="S517"/>
    <s v="CRYSTAL S517"/>
    <s v="5003467"/>
    <s v="S517 ACH T20 PB SYSTIVA G100"/>
    <n v="24"/>
    <n v="0"/>
    <n v="24"/>
    <x v="6"/>
    <s v="DVNV"/>
    <s v="GEM 100"/>
    <s v="324"/>
    <s v="4.0 UN"/>
    <s v="STANDARD"/>
    <s v="N"/>
    <s v="Y"/>
    <s v="N"/>
    <s v="T20"/>
    <s v="Y"/>
    <s v="N"/>
    <s v="Y"/>
    <s v="N"/>
    <s v="A038"/>
    <d v="2016-12-21T00:00:00"/>
    <s v="10"/>
    <s v="TAN"/>
    <s v="OR"/>
    <d v="2016-12-15T00:00:00"/>
    <s v="MT"/>
    <s v="US"/>
    <s v="ZR"/>
    <d v="2016-12-16T00:00:00"/>
  </r>
  <r>
    <x v="0"/>
    <x v="6"/>
    <x v="890"/>
    <x v="11"/>
    <s v="Standard order"/>
    <x v="871"/>
    <x v="871"/>
    <s v="S360"/>
    <s v="CRYSTAL S360NT"/>
    <s v="5003413"/>
    <s v="S360 ACH T20 PB SYSTIVA G100"/>
    <n v="68"/>
    <n v="0"/>
    <n v="68"/>
    <x v="6"/>
    <s v="DVNB"/>
    <s v="GEM 100"/>
    <s v="324"/>
    <s v="4.0 UN"/>
    <s v="STANDARD"/>
    <s v="N"/>
    <s v="Y"/>
    <s v="N"/>
    <s v="T20"/>
    <s v="Y"/>
    <s v="N"/>
    <s v="Y"/>
    <s v="N"/>
    <s v="A038"/>
    <d v="2016-12-21T00:00:00"/>
    <s v="20"/>
    <s v="TAN"/>
    <s v="OR"/>
    <d v="2016-12-15T00:00:00"/>
    <s v="MT"/>
    <s v="US"/>
    <s v="ZR"/>
    <d v="2016-12-16T00:00:00"/>
  </r>
  <r>
    <x v="0"/>
    <x v="6"/>
    <x v="890"/>
    <x v="11"/>
    <s v="Standard order"/>
    <x v="871"/>
    <x v="871"/>
    <s v="S498"/>
    <s v="CRYSTAL S498"/>
    <s v="5003419"/>
    <s v="S498 ACH T20 PB CL SYSTIVA G100"/>
    <n v="96"/>
    <n v="0"/>
    <n v="96"/>
    <x v="6"/>
    <s v="FE73"/>
    <s v="GEM 100"/>
    <s v="321"/>
    <s v="4.0 UN"/>
    <s v="STANDARD"/>
    <s v="N"/>
    <s v="N"/>
    <s v="N"/>
    <s v="T20"/>
    <s v="Y"/>
    <s v="N"/>
    <s v="Y"/>
    <s v="N"/>
    <s v="A038"/>
    <d v="2016-12-21T00:00:00"/>
    <s v="30"/>
    <s v="TAN"/>
    <s v="OR"/>
    <d v="2016-12-15T00:00:00"/>
    <s v="MT"/>
    <s v="US"/>
    <s v="ZR"/>
    <d v="2016-12-16T00:00:00"/>
  </r>
  <r>
    <x v="0"/>
    <x v="6"/>
    <x v="890"/>
    <x v="11"/>
    <s v="Standard order"/>
    <x v="871"/>
    <x v="871"/>
    <s v="R081"/>
    <s v="CRYSTAL RR081"/>
    <s v="5003558"/>
    <s v="R081 ACH T20 PB CL SYSTIVA G100 SSI"/>
    <n v="28"/>
    <n v="0"/>
    <n v="28"/>
    <x v="6"/>
    <s v="AQ82"/>
    <s v="GEM 100"/>
    <s v="321"/>
    <s v="4.0 UN"/>
    <s v="STANDARD"/>
    <s v="N"/>
    <s v="N"/>
    <s v="N"/>
    <s v="T20"/>
    <s v="Y"/>
    <s v="N"/>
    <s v="Y"/>
    <s v="N"/>
    <s v="A038"/>
    <d v="2016-12-21T00:00:00"/>
    <s v="40"/>
    <s v="TAN"/>
    <s v="OR"/>
    <d v="2016-12-15T00:00:00"/>
    <s v="MT"/>
    <s v="US"/>
    <s v="ZR"/>
    <d v="2016-12-16T00:00:00"/>
  </r>
  <r>
    <x v="0"/>
    <x v="6"/>
    <x v="890"/>
    <x v="11"/>
    <s v="Standard order"/>
    <x v="871"/>
    <x v="871"/>
    <s v="R052"/>
    <s v="CRYSTAL RR052"/>
    <s v="5003501"/>
    <s v="R052 ACH T20 PB CL SYSTIVA G100"/>
    <n v="40"/>
    <n v="0"/>
    <n v="40"/>
    <x v="6"/>
    <s v="AP82"/>
    <s v="GEM 100"/>
    <s v="321"/>
    <s v="4.0 UN"/>
    <s v="STANDARD"/>
    <s v="N"/>
    <s v="N"/>
    <s v="N"/>
    <s v="T20"/>
    <s v="Y"/>
    <s v="N"/>
    <s v="Y"/>
    <s v="N"/>
    <s v="A038"/>
    <d v="2016-12-21T00:00:00"/>
    <s v="50"/>
    <s v="TAN"/>
    <s v="OR"/>
    <d v="2016-12-15T00:00:00"/>
    <s v="MT"/>
    <s v="US"/>
    <s v="ZR"/>
    <d v="2016-12-16T00:00:00"/>
  </r>
  <r>
    <x v="0"/>
    <x v="6"/>
    <x v="891"/>
    <x v="11"/>
    <s v="Standard order"/>
    <x v="872"/>
    <x v="872"/>
    <s v="R052"/>
    <s v="CRYSTAL RR052"/>
    <s v="5003513"/>
    <s v="R052 ACH T20 PB SYSTIVA G100"/>
    <n v="48"/>
    <n v="0"/>
    <n v="48"/>
    <x v="6"/>
    <s v="AP82"/>
    <s v="GEM 100"/>
    <s v="324"/>
    <s v="4.0 UN"/>
    <s v="STANDARD"/>
    <s v="N"/>
    <s v="Y"/>
    <s v="N"/>
    <s v="T20"/>
    <s v="Y"/>
    <s v="N"/>
    <s v="Y"/>
    <s v="N"/>
    <s v="A038"/>
    <d v="2016-12-21T00:00:00"/>
    <s v="10"/>
    <s v="TAN"/>
    <s v="OR"/>
    <d v="2016-12-15T00:00:00"/>
    <s v="MT"/>
    <s v="US"/>
    <s v="ZR"/>
    <d v="2016-12-16T00:00:00"/>
  </r>
  <r>
    <x v="0"/>
    <x v="6"/>
    <x v="891"/>
    <x v="11"/>
    <s v="Standard order"/>
    <x v="872"/>
    <x v="872"/>
    <s v="S360"/>
    <s v="CRYSTAL S360NT"/>
    <s v="5003413"/>
    <s v="S360 ACH T20 PB SYSTIVA G100"/>
    <n v="96"/>
    <n v="0"/>
    <n v="96"/>
    <x v="6"/>
    <s v="DVNB"/>
    <s v="GEM 100"/>
    <s v="324"/>
    <s v="4.0 UN"/>
    <s v="STANDARD"/>
    <s v="N"/>
    <s v="Y"/>
    <s v="N"/>
    <s v="T20"/>
    <s v="Y"/>
    <s v="N"/>
    <s v="Y"/>
    <s v="N"/>
    <s v="A038"/>
    <d v="2016-12-21T00:00:00"/>
    <s v="20"/>
    <s v="TAN"/>
    <s v="OR"/>
    <d v="2016-12-15T00:00:00"/>
    <s v="MT"/>
    <s v="US"/>
    <s v="ZR"/>
    <d v="2016-12-16T00:00:00"/>
  </r>
  <r>
    <x v="0"/>
    <x v="6"/>
    <x v="891"/>
    <x v="11"/>
    <s v="Standard order"/>
    <x v="872"/>
    <x v="872"/>
    <s v="S517"/>
    <s v="CRYSTAL S517"/>
    <s v="5003467"/>
    <s v="S517 ACH T20 PB SYSTIVA G100"/>
    <n v="24"/>
    <n v="0"/>
    <n v="24"/>
    <x v="6"/>
    <s v="DVNV"/>
    <s v="GEM 100"/>
    <s v="324"/>
    <s v="4.0 UN"/>
    <s v="STANDARD"/>
    <s v="N"/>
    <s v="Y"/>
    <s v="N"/>
    <s v="T20"/>
    <s v="Y"/>
    <s v="N"/>
    <s v="Y"/>
    <s v="N"/>
    <s v="A038"/>
    <d v="2016-12-21T00:00:00"/>
    <s v="30"/>
    <s v="TAN"/>
    <s v="OR"/>
    <d v="2016-12-15T00:00:00"/>
    <s v="MT"/>
    <s v="US"/>
    <s v="ZR"/>
    <d v="2016-12-16T00:00:00"/>
  </r>
  <r>
    <x v="0"/>
    <x v="6"/>
    <x v="891"/>
    <x v="11"/>
    <s v="Standard order"/>
    <x v="872"/>
    <x v="872"/>
    <s v="R081"/>
    <s v="CRYSTAL RR081"/>
    <s v="5003574"/>
    <s v="R081 ACH T20 PB SYSTIVA G100 SSI"/>
    <n v="48"/>
    <n v="0"/>
    <n v="48"/>
    <x v="6"/>
    <s v="AQ82"/>
    <s v="GEM 100"/>
    <s v="324"/>
    <s v="4.0 UN"/>
    <s v="STANDARD"/>
    <s v="N"/>
    <s v="Y"/>
    <s v="N"/>
    <s v="T20"/>
    <s v="Y"/>
    <s v="N"/>
    <s v="Y"/>
    <s v="N"/>
    <s v="A038"/>
    <d v="2016-12-21T00:00:00"/>
    <s v="40"/>
    <s v="TAN"/>
    <s v="OR"/>
    <d v="2016-12-15T00:00:00"/>
    <s v="MT"/>
    <s v="US"/>
    <s v="ZR"/>
    <d v="2016-12-16T00:00:00"/>
  </r>
  <r>
    <x v="0"/>
    <x v="6"/>
    <x v="891"/>
    <x v="11"/>
    <s v="Standard order"/>
    <x v="872"/>
    <x v="872"/>
    <s v="S498"/>
    <s v="CRYSTAL S498"/>
    <s v="5003431"/>
    <s v="S498 ACH T20 PB SYSTIVA G100"/>
    <n v="48"/>
    <n v="0"/>
    <n v="48"/>
    <x v="6"/>
    <s v="FE73"/>
    <s v="GEM 100"/>
    <s v="324"/>
    <s v="4.0 UN"/>
    <s v="STANDARD"/>
    <s v="N"/>
    <s v="Y"/>
    <s v="N"/>
    <s v="T20"/>
    <s v="Y"/>
    <s v="N"/>
    <s v="Y"/>
    <s v="N"/>
    <s v="A038"/>
    <d v="2016-12-21T00:00:00"/>
    <s v="50"/>
    <s v="TAN"/>
    <s v="OR"/>
    <d v="2016-12-15T00:00:00"/>
    <s v="MT"/>
    <s v="US"/>
    <s v="ZR"/>
    <d v="2016-12-16T00:00:00"/>
  </r>
  <r>
    <x v="0"/>
    <x v="6"/>
    <x v="892"/>
    <x v="11"/>
    <s v="Standard order"/>
    <x v="873"/>
    <x v="873"/>
    <s v="S517"/>
    <s v="CRYSTAL S517"/>
    <s v="5003467"/>
    <s v="S517 ACH T20 PB SYSTIVA G100"/>
    <n v="24"/>
    <n v="0"/>
    <n v="24"/>
    <x v="6"/>
    <s v="DVNV"/>
    <s v="GEM 100"/>
    <s v="324"/>
    <s v="4.0 UN"/>
    <s v="STANDARD"/>
    <s v="N"/>
    <s v="Y"/>
    <s v="N"/>
    <s v="T20"/>
    <s v="Y"/>
    <s v="N"/>
    <s v="Y"/>
    <s v="N"/>
    <s v="A038"/>
    <d v="2016-12-21T00:00:00"/>
    <s v="10"/>
    <s v="TAN"/>
    <s v="OR"/>
    <d v="2016-12-15T00:00:00"/>
    <s v="MT"/>
    <s v="US"/>
    <s v="ZR"/>
    <d v="2016-12-16T00:00:00"/>
  </r>
  <r>
    <x v="0"/>
    <x v="6"/>
    <x v="892"/>
    <x v="11"/>
    <s v="Standard order"/>
    <x v="873"/>
    <x v="873"/>
    <s v="S498"/>
    <s v="CRYSTAL S498"/>
    <s v="5003431"/>
    <s v="S498 ACH T20 PB SYSTIVA G100"/>
    <n v="16"/>
    <n v="0"/>
    <n v="16"/>
    <x v="6"/>
    <s v="FE73"/>
    <s v="GEM 100"/>
    <s v="324"/>
    <s v="4.0 UN"/>
    <s v="STANDARD"/>
    <s v="N"/>
    <s v="Y"/>
    <s v="N"/>
    <s v="T20"/>
    <s v="Y"/>
    <s v="N"/>
    <s v="Y"/>
    <s v="N"/>
    <s v="A038"/>
    <d v="2016-12-21T00:00:00"/>
    <s v="20"/>
    <s v="TAN"/>
    <s v="OR"/>
    <d v="2016-12-15T00:00:00"/>
    <s v="MT"/>
    <s v="US"/>
    <s v="ZR"/>
    <d v="2016-12-16T00:00:00"/>
  </r>
  <r>
    <x v="0"/>
    <x v="6"/>
    <x v="892"/>
    <x v="11"/>
    <s v="Standard order"/>
    <x v="873"/>
    <x v="873"/>
    <s v="S360"/>
    <s v="CRYSTAL S360NT"/>
    <s v="5003413"/>
    <s v="S360 ACH T20 PB SYSTIVA G100"/>
    <n v="20"/>
    <n v="0"/>
    <n v="20"/>
    <x v="6"/>
    <s v="DVNB"/>
    <s v="GEM 100"/>
    <s v="324"/>
    <s v="4.0 UN"/>
    <s v="STANDARD"/>
    <s v="N"/>
    <s v="Y"/>
    <s v="N"/>
    <s v="T20"/>
    <s v="Y"/>
    <s v="N"/>
    <s v="Y"/>
    <s v="N"/>
    <s v="A038"/>
    <d v="2016-12-21T00:00:00"/>
    <s v="30"/>
    <s v="TAN"/>
    <s v="OR"/>
    <d v="2016-12-15T00:00:00"/>
    <s v="MT"/>
    <s v="US"/>
    <s v="ZR"/>
    <d v="2016-12-16T00:00:00"/>
  </r>
  <r>
    <x v="0"/>
    <x v="2"/>
    <x v="893"/>
    <x v="22"/>
    <s v="Standard order"/>
    <x v="874"/>
    <x v="874"/>
    <s v="W322"/>
    <s v="CRYSTAL W322NT"/>
    <s v="5003488"/>
    <s v="W322 ACH T20 PB SYSTIVA G100"/>
    <n v="16"/>
    <n v="0"/>
    <n v="16"/>
    <x v="2"/>
    <s v="EE73"/>
    <s v="GEM 100"/>
    <s v="324"/>
    <s v="4.0 UN"/>
    <s v="STANDARD"/>
    <s v="N"/>
    <s v="Y"/>
    <s v="N"/>
    <s v="T20"/>
    <s v="Y"/>
    <s v="N"/>
    <s v="Y"/>
    <s v="N"/>
    <s v="A018"/>
    <d v="2016-12-21T00:00:00"/>
    <s v="10"/>
    <s v="TAN"/>
    <s v="OR"/>
    <d v="2016-12-15T00:00:00"/>
    <s v="CO"/>
    <s v="US"/>
    <s v="ZR"/>
    <d v="2016-12-16T00:00:00"/>
  </r>
  <r>
    <x v="0"/>
    <x v="4"/>
    <x v="894"/>
    <x v="19"/>
    <s v="Standard order"/>
    <x v="875"/>
    <x v="875"/>
    <s v="A399"/>
    <s v="CRYSTAL A399NT"/>
    <s v="5002939"/>
    <s v="A399 ACH XL"/>
    <n v="232"/>
    <n v="0"/>
    <n v="232"/>
    <x v="4"/>
    <s v="DP71"/>
    <s v="X-LARGE"/>
    <s v="316"/>
    <s v="4.0 UN"/>
    <s v="STANDARD"/>
    <s v="N"/>
    <s v="N"/>
    <s v="N"/>
    <s v="N"/>
    <s v="N"/>
    <s v="N"/>
    <s v="N"/>
    <s v="N"/>
    <s v="A046"/>
    <d v="2016-12-21T00:00:00"/>
    <s v="10"/>
    <s v="TAN"/>
    <s v="OR"/>
    <d v="2016-12-16T00:00:00"/>
    <s v="ID"/>
    <s v="US"/>
    <s v="ZR"/>
    <d v="2016-12-16T00:00:00"/>
  </r>
  <r>
    <x v="0"/>
    <x v="0"/>
    <x v="895"/>
    <x v="10"/>
    <s v="Standard order"/>
    <x v="876"/>
    <x v="876"/>
    <s v="R059"/>
    <s v="CRYSTAL RR059"/>
    <s v="5003530"/>
    <s v="R059 ACH T20 Kabina RP"/>
    <n v="20"/>
    <n v="0"/>
    <n v="20"/>
    <x v="0"/>
    <s v="AP73"/>
    <s v="RP"/>
    <s v="387"/>
    <s v="4.0 UN"/>
    <s v="STANDARD"/>
    <s v="N"/>
    <s v="N"/>
    <s v="Y"/>
    <s v="T20"/>
    <s v="N"/>
    <s v="N"/>
    <s v="N"/>
    <s v="N"/>
    <s v="A036"/>
    <d v="2016-12-21T00:00:00"/>
    <s v="10"/>
    <s v="TAN"/>
    <s v="OR"/>
    <d v="2016-12-16T00:00:00"/>
    <s v="MI"/>
    <s v="US"/>
    <s v="ZR"/>
    <d v="2016-12-16T00:00:00"/>
  </r>
  <r>
    <x v="0"/>
    <x v="0"/>
    <x v="896"/>
    <x v="10"/>
    <s v="Standard order"/>
    <x v="877"/>
    <x v="877"/>
    <s v="R059"/>
    <s v="CRYSTAL RR059"/>
    <s v="5003530"/>
    <s v="R059 ACH T20 Kabina RP"/>
    <n v="20"/>
    <n v="0"/>
    <n v="20"/>
    <x v="0"/>
    <s v="AP73"/>
    <s v="RP"/>
    <s v="387"/>
    <s v="4.0 UN"/>
    <s v="STANDARD"/>
    <s v="N"/>
    <s v="N"/>
    <s v="Y"/>
    <s v="T20"/>
    <s v="N"/>
    <s v="N"/>
    <s v="N"/>
    <s v="N"/>
    <s v="A036"/>
    <d v="2016-12-21T00:00:00"/>
    <s v="10"/>
    <s v="TAN"/>
    <s v="OR"/>
    <d v="2016-12-16T00:00:00"/>
    <s v="MI"/>
    <s v="US"/>
    <s v="ZR"/>
    <d v="2016-12-16T00:00:00"/>
  </r>
  <r>
    <x v="0"/>
    <x v="0"/>
    <x v="897"/>
    <x v="4"/>
    <s v="Standard order"/>
    <x v="878"/>
    <x v="878"/>
    <s v="R059"/>
    <s v="CRYSTAL RR059"/>
    <s v="5003529"/>
    <s v="R059 ACH T20 Kabina MP"/>
    <n v="8"/>
    <n v="0"/>
    <n v="8"/>
    <x v="0"/>
    <s v="AP73"/>
    <s v="MP"/>
    <s v="387"/>
    <s v="4.0 UN"/>
    <s v="STANDARD"/>
    <s v="N"/>
    <s v="N"/>
    <s v="Y"/>
    <s v="T20"/>
    <s v="N"/>
    <s v="N"/>
    <s v="N"/>
    <s v="N"/>
    <s v="A035"/>
    <d v="2016-12-21T00:00:00"/>
    <s v="10"/>
    <s v="TAN"/>
    <s v="OR"/>
    <d v="2016-12-15T00:00:00"/>
    <s v="MI"/>
    <s v="US"/>
    <s v="ZR"/>
    <d v="2016-12-16T00:00:00"/>
  </r>
  <r>
    <x v="0"/>
    <x v="0"/>
    <x v="897"/>
    <x v="4"/>
    <s v="Standard order"/>
    <x v="878"/>
    <x v="878"/>
    <s v="G515"/>
    <s v="CRYSTAL G515"/>
    <s v="5003018"/>
    <s v="G515 ACH T20 Kabina MP"/>
    <n v="8"/>
    <n v="0"/>
    <n v="8"/>
    <x v="0"/>
    <s v="APND"/>
    <s v="MP"/>
    <s v="387"/>
    <s v="4.0 UN"/>
    <s v="STANDARD"/>
    <s v="N"/>
    <s v="N"/>
    <s v="Y"/>
    <s v="T20"/>
    <s v="N"/>
    <s v="N"/>
    <s v="N"/>
    <s v="N"/>
    <s v="A035"/>
    <d v="2016-12-21T00:00:00"/>
    <s v="20"/>
    <s v="TAN"/>
    <s v="OR"/>
    <d v="2016-12-15T00:00:00"/>
    <s v="MI"/>
    <s v="US"/>
    <s v="ZR"/>
    <d v="2016-12-16T00:00:00"/>
  </r>
  <r>
    <x v="0"/>
    <x v="0"/>
    <x v="898"/>
    <x v="10"/>
    <s v="Standard order"/>
    <x v="879"/>
    <x v="879"/>
    <s v="R059"/>
    <s v="CRYSTAL RR059"/>
    <s v="5003530"/>
    <s v="R059 ACH T20 Kabina RP"/>
    <n v="28"/>
    <n v="0"/>
    <n v="28"/>
    <x v="0"/>
    <s v="AP73"/>
    <s v="RP"/>
    <s v="387"/>
    <s v="4.0 UN"/>
    <s v="STANDARD"/>
    <s v="N"/>
    <s v="N"/>
    <s v="Y"/>
    <s v="T20"/>
    <s v="N"/>
    <s v="N"/>
    <s v="N"/>
    <s v="N"/>
    <s v="A036"/>
    <d v="2016-12-21T00:00:00"/>
    <s v="10"/>
    <s v="TAN"/>
    <s v="OR"/>
    <d v="2016-12-15T00:00:00"/>
    <s v="MI"/>
    <s v="US"/>
    <s v="ZR"/>
    <d v="2016-12-16T00:00:00"/>
  </r>
  <r>
    <x v="0"/>
    <x v="5"/>
    <x v="899"/>
    <x v="9"/>
    <s v="Standard order"/>
    <x v="880"/>
    <x v="880"/>
    <s v="R116"/>
    <s v="CRYSTAL RR116"/>
    <s v="5003105"/>
    <s v="R116 ACH T20 PB SYSTIVA RP"/>
    <n v="32"/>
    <n v="0"/>
    <n v="32"/>
    <x v="5"/>
    <s v="AP71"/>
    <s v="RP"/>
    <s v="324"/>
    <s v="4.0 UN"/>
    <s v="STANDARD"/>
    <s v="N"/>
    <s v="Y"/>
    <s v="N"/>
    <s v="T20"/>
    <s v="Y"/>
    <s v="N"/>
    <s v="N"/>
    <s v="N"/>
    <s v="A016"/>
    <d v="2016-12-21T00:00:00"/>
    <s v="10"/>
    <s v="TAN"/>
    <s v="OR"/>
    <d v="2016-12-16T00:00:00"/>
    <s v="WY"/>
    <s v="US"/>
    <s v="ZR"/>
    <d v="2016-12-17T00:00:00"/>
  </r>
  <r>
    <x v="0"/>
    <x v="5"/>
    <x v="900"/>
    <x v="9"/>
    <s v="Standard order"/>
    <x v="881"/>
    <x v="881"/>
    <s v="Y400"/>
    <s v="CRYSTAL Y400NT"/>
    <s v="5003735"/>
    <s v="Y400 ACH T20 PB SYSTIVA RP"/>
    <n v="16"/>
    <n v="0"/>
    <n v="16"/>
    <x v="5"/>
    <s v="4TBP"/>
    <s v="RP"/>
    <s v="324"/>
    <s v="4.0 UN"/>
    <s v="STANDARD"/>
    <s v="N"/>
    <s v="Y"/>
    <s v="N"/>
    <s v="T20"/>
    <s v="Y"/>
    <s v="N"/>
    <s v="N"/>
    <s v="N"/>
    <s v="A016"/>
    <d v="2016-12-21T00:00:00"/>
    <s v="10"/>
    <s v="TAN"/>
    <s v="OR"/>
    <d v="2016-12-16T00:00:00"/>
    <s v="WY"/>
    <s v="US"/>
    <s v="ZR"/>
    <d v="2016-12-17T00:00:00"/>
  </r>
  <r>
    <x v="0"/>
    <x v="2"/>
    <x v="901"/>
    <x v="22"/>
    <s v="Standard order"/>
    <x v="882"/>
    <x v="882"/>
    <s v="W322"/>
    <s v="CRYSTAL W322NT"/>
    <s v="5003488"/>
    <s v="W322 ACH T20 PB SYSTIVA G100"/>
    <n v="36"/>
    <n v="0"/>
    <n v="36"/>
    <x v="2"/>
    <s v="EE73"/>
    <s v="GEM 100"/>
    <s v="324"/>
    <s v="4.0 UN"/>
    <s v="STANDARD"/>
    <s v="N"/>
    <s v="Y"/>
    <s v="N"/>
    <s v="T20"/>
    <s v="Y"/>
    <s v="N"/>
    <s v="Y"/>
    <s v="N"/>
    <s v="A018"/>
    <d v="2016-12-21T00:00:00"/>
    <s v="10"/>
    <s v="TAN"/>
    <s v="OR"/>
    <d v="2016-12-16T00:00:00"/>
    <s v="CO"/>
    <s v="US"/>
    <s v="ZR"/>
    <d v="2016-12-17T00:00:00"/>
  </r>
  <r>
    <x v="0"/>
    <x v="2"/>
    <x v="901"/>
    <x v="22"/>
    <s v="Standard order"/>
    <x v="882"/>
    <x v="882"/>
    <s v="R014"/>
    <s v="CRYSTAL RR014"/>
    <s v="5003091"/>
    <s v="R014 ACH T20 PB SYSTIVA G100"/>
    <n v="20"/>
    <n v="0"/>
    <n v="20"/>
    <x v="2"/>
    <s v="AP82"/>
    <s v="GEM 100"/>
    <s v="324"/>
    <s v="4.0 UN"/>
    <s v="STANDARD"/>
    <s v="N"/>
    <s v="Y"/>
    <s v="N"/>
    <s v="T20"/>
    <s v="Y"/>
    <s v="N"/>
    <s v="Y"/>
    <s v="N"/>
    <s v="A018"/>
    <d v="2016-12-21T00:00:00"/>
    <s v="20"/>
    <s v="TAN"/>
    <s v="OR"/>
    <d v="2016-12-16T00:00:00"/>
    <s v="CO"/>
    <s v="US"/>
    <s v="ZR"/>
    <d v="2016-12-17T00:00:00"/>
  </r>
  <r>
    <x v="0"/>
    <x v="0"/>
    <x v="902"/>
    <x v="2"/>
    <s v="Standard order"/>
    <x v="883"/>
    <x v="883"/>
    <s v="R059"/>
    <s v="CRYSTAL RR059"/>
    <s v="5003536"/>
    <s v="R059 ACH T20 SYSTIVA RP"/>
    <n v="64"/>
    <n v="0"/>
    <n v="64"/>
    <x v="0"/>
    <s v="AP73"/>
    <s v="RP"/>
    <s v="328"/>
    <s v="4.0 UN"/>
    <s v="STANDARD"/>
    <s v="N"/>
    <s v="N"/>
    <s v="N"/>
    <s v="T20"/>
    <s v="Y"/>
    <s v="N"/>
    <s v="Y"/>
    <s v="N"/>
    <s v="A034"/>
    <d v="2016-12-21T00:00:00"/>
    <s v="10"/>
    <s v="TAN"/>
    <s v="OR"/>
    <d v="2016-12-17T00:00:00"/>
    <s v="MI"/>
    <s v="US"/>
    <s v="ZR"/>
    <d v="2016-12-17T00:00:00"/>
  </r>
  <r>
    <x v="0"/>
    <x v="0"/>
    <x v="902"/>
    <x v="2"/>
    <s v="Standard order"/>
    <x v="883"/>
    <x v="883"/>
    <s v="G515"/>
    <s v="CRYSTAL G515"/>
    <s v="5003106"/>
    <s v="G515 ACH T20 PB Kabina RP"/>
    <n v="8"/>
    <n v="0"/>
    <n v="8"/>
    <x v="0"/>
    <s v="APND"/>
    <s v="RP"/>
    <s v="388"/>
    <s v="4.0 UN"/>
    <s v="STANDARD"/>
    <s v="N"/>
    <s v="Y"/>
    <s v="Y"/>
    <s v="T20"/>
    <s v="N"/>
    <s v="N"/>
    <s v="N"/>
    <s v="N"/>
    <s v="A034"/>
    <d v="2016-12-21T00:00:00"/>
    <s v="20"/>
    <s v="TAN"/>
    <s v="OR"/>
    <d v="2016-12-17T00:00:00"/>
    <s v="MI"/>
    <s v="US"/>
    <s v="ZR"/>
    <d v="2016-12-17T00:00:00"/>
  </r>
  <r>
    <x v="0"/>
    <x v="0"/>
    <x v="902"/>
    <x v="2"/>
    <s v="Standard order"/>
    <x v="883"/>
    <x v="883"/>
    <s v="R059"/>
    <s v="CRYSTAL RR059"/>
    <s v="5003748"/>
    <s v="R059 ACH T20 PB Kabina RP"/>
    <n v="8"/>
    <n v="0"/>
    <n v="8"/>
    <x v="0"/>
    <s v="AP73"/>
    <s v="RP"/>
    <s v="388"/>
    <s v="4.0 UN"/>
    <s v="STANDARD"/>
    <s v="N"/>
    <s v="Y"/>
    <s v="Y"/>
    <s v="T20"/>
    <s v="N"/>
    <s v="N"/>
    <s v="N"/>
    <s v="N"/>
    <s v="A034"/>
    <d v="2016-12-21T00:00:00"/>
    <s v="30"/>
    <s v="TAN"/>
    <s v="OR"/>
    <d v="2016-12-17T00:00:00"/>
    <s v="MI"/>
    <s v="US"/>
    <s v="ZR"/>
    <d v="2016-12-17T00:00:00"/>
  </r>
  <r>
    <x v="0"/>
    <x v="0"/>
    <x v="903"/>
    <x v="2"/>
    <s v="Standard order"/>
    <x v="884"/>
    <x v="884"/>
    <s v="R059"/>
    <s v="CRYSTAL RR059"/>
    <s v="5003530"/>
    <s v="R059 ACH T20 Kabina RP"/>
    <n v="44"/>
    <n v="0"/>
    <n v="44"/>
    <x v="0"/>
    <s v="AP73"/>
    <s v="RP"/>
    <s v="387"/>
    <s v="4.0 UN"/>
    <s v="STANDARD"/>
    <s v="N"/>
    <s v="N"/>
    <s v="Y"/>
    <s v="T20"/>
    <s v="N"/>
    <s v="N"/>
    <s v="N"/>
    <s v="N"/>
    <s v="A034"/>
    <d v="2016-12-21T00:00:00"/>
    <s v="10"/>
    <s v="TAN"/>
    <s v="OR"/>
    <d v="2016-12-16T00:00:00"/>
    <s v="MI"/>
    <s v="US"/>
    <s v="ZR"/>
    <d v="2016-12-17T00:00:00"/>
  </r>
  <r>
    <x v="0"/>
    <x v="0"/>
    <x v="903"/>
    <x v="2"/>
    <s v="Standard order"/>
    <x v="884"/>
    <x v="884"/>
    <s v="G351"/>
    <s v="CRYSTAL G351NT"/>
    <s v="5003398"/>
    <s v="G351 ACH T20 Kabina RP"/>
    <n v="40"/>
    <n v="0"/>
    <n v="40"/>
    <x v="0"/>
    <s v="DA73"/>
    <s v="RP"/>
    <s v="387"/>
    <s v="4.0 UN"/>
    <s v="STANDARD"/>
    <s v="N"/>
    <s v="N"/>
    <s v="Y"/>
    <s v="T20"/>
    <s v="N"/>
    <s v="N"/>
    <s v="N"/>
    <s v="N"/>
    <s v="A034"/>
    <d v="2016-12-21T00:00:00"/>
    <s v="20"/>
    <s v="TAN"/>
    <s v="OR"/>
    <d v="2016-12-16T00:00:00"/>
    <s v="MI"/>
    <s v="US"/>
    <s v="ZR"/>
    <d v="2016-12-17T00:00:00"/>
  </r>
  <r>
    <x v="0"/>
    <x v="0"/>
    <x v="903"/>
    <x v="2"/>
    <s v="Standard order"/>
    <x v="884"/>
    <x v="884"/>
    <s v="G333"/>
    <s v="CRYSTAL G333NT"/>
    <s v="5003378"/>
    <s v="G333 ACH T20 Kabina RP"/>
    <n v="24"/>
    <n v="0"/>
    <n v="24"/>
    <x v="0"/>
    <s v="EE73"/>
    <s v="RP"/>
    <s v="387"/>
    <s v="4.0 UN"/>
    <s v="STANDARD"/>
    <s v="N"/>
    <s v="N"/>
    <s v="Y"/>
    <s v="T20"/>
    <s v="N"/>
    <s v="N"/>
    <s v="N"/>
    <s v="N"/>
    <s v="A034"/>
    <d v="2016-12-21T00:00:00"/>
    <s v="30"/>
    <s v="TAN"/>
    <s v="OR"/>
    <d v="2016-12-16T00:00:00"/>
    <s v="MI"/>
    <s v="US"/>
    <s v="ZR"/>
    <d v="2016-12-17T00:00:00"/>
  </r>
  <r>
    <x v="0"/>
    <x v="0"/>
    <x v="904"/>
    <x v="2"/>
    <s v="Standard order"/>
    <x v="885"/>
    <x v="885"/>
    <s v="R059"/>
    <s v="CRYSTAL RR059"/>
    <s v="5003536"/>
    <s v="R059 ACH T20 SYSTIVA RP"/>
    <n v="72"/>
    <n v="0"/>
    <n v="72"/>
    <x v="0"/>
    <s v="AP73"/>
    <s v="RP"/>
    <s v="328"/>
    <s v="4.0 UN"/>
    <s v="STANDARD"/>
    <s v="N"/>
    <s v="N"/>
    <s v="N"/>
    <s v="T20"/>
    <s v="Y"/>
    <s v="N"/>
    <s v="Y"/>
    <s v="N"/>
    <s v="A034"/>
    <d v="2016-12-21T00:00:00"/>
    <s v="10"/>
    <s v="TAN"/>
    <s v="OR"/>
    <d v="2016-12-16T00:00:00"/>
    <s v="MI"/>
    <s v="US"/>
    <s v="ZR"/>
    <d v="2016-12-17T00:00:00"/>
  </r>
  <r>
    <x v="0"/>
    <x v="0"/>
    <x v="905"/>
    <x v="2"/>
    <s v="Standard order"/>
    <x v="886"/>
    <x v="886"/>
    <s v="R059"/>
    <s v="CRYSTAL RR059"/>
    <s v="5003530"/>
    <s v="R059 ACH T20 Kabina RP"/>
    <n v="64"/>
    <n v="0"/>
    <n v="64"/>
    <x v="0"/>
    <s v="AP73"/>
    <s v="RP"/>
    <s v="387"/>
    <s v="4.0 UN"/>
    <s v="STANDARD"/>
    <s v="N"/>
    <s v="N"/>
    <s v="Y"/>
    <s v="T20"/>
    <s v="N"/>
    <s v="N"/>
    <s v="N"/>
    <s v="N"/>
    <s v="A034"/>
    <d v="2016-12-21T00:00:00"/>
    <s v="10"/>
    <s v="TAN"/>
    <s v="OR"/>
    <d v="2016-12-16T00:00:00"/>
    <s v="MI"/>
    <s v="US"/>
    <s v="ZR"/>
    <d v="2016-12-17T00:00:00"/>
  </r>
  <r>
    <x v="0"/>
    <x v="0"/>
    <x v="905"/>
    <x v="2"/>
    <s v="Standard order"/>
    <x v="886"/>
    <x v="886"/>
    <s v="G333"/>
    <s v="CRYSTAL G333NT"/>
    <s v="5003378"/>
    <s v="G333 ACH T20 Kabina RP"/>
    <n v="24"/>
    <n v="0"/>
    <n v="24"/>
    <x v="0"/>
    <s v="EE73"/>
    <s v="RP"/>
    <s v="387"/>
    <s v="4.0 UN"/>
    <s v="STANDARD"/>
    <s v="N"/>
    <s v="N"/>
    <s v="Y"/>
    <s v="T20"/>
    <s v="N"/>
    <s v="N"/>
    <s v="N"/>
    <s v="N"/>
    <s v="A034"/>
    <d v="2016-12-21T00:00:00"/>
    <s v="20"/>
    <s v="TAN"/>
    <s v="OR"/>
    <d v="2016-12-16T00:00:00"/>
    <s v="MI"/>
    <s v="US"/>
    <s v="ZR"/>
    <d v="2016-12-17T00:00:00"/>
  </r>
  <r>
    <x v="0"/>
    <x v="6"/>
    <x v="906"/>
    <x v="11"/>
    <s v="Standard order"/>
    <x v="887"/>
    <x v="887"/>
    <s v="S498"/>
    <s v="CRYSTAL S498"/>
    <s v="5003431"/>
    <s v="S498 ACH T20 PB SYSTIVA G100"/>
    <n v="32"/>
    <n v="0"/>
    <n v="32"/>
    <x v="6"/>
    <s v="FE73"/>
    <s v="GEM 100"/>
    <s v="324"/>
    <s v="4.0 UN"/>
    <s v="STANDARD"/>
    <s v="N"/>
    <s v="Y"/>
    <s v="N"/>
    <s v="T20"/>
    <s v="Y"/>
    <s v="N"/>
    <s v="Y"/>
    <s v="N"/>
    <s v="A038"/>
    <d v="2016-12-21T00:00:00"/>
    <s v="10"/>
    <s v="TAN"/>
    <s v="OR"/>
    <d v="2016-12-16T00:00:00"/>
    <s v="MT"/>
    <s v="US"/>
    <s v="ZR"/>
    <d v="2016-12-17T00:00:00"/>
  </r>
  <r>
    <x v="0"/>
    <x v="6"/>
    <x v="907"/>
    <x v="11"/>
    <s v="Standard order"/>
    <x v="888"/>
    <x v="888"/>
    <s v="S517"/>
    <s v="CRYSTAL S517"/>
    <s v="5003467"/>
    <s v="S517 ACH T20 PB SYSTIVA G100"/>
    <n v="24"/>
    <n v="0"/>
    <n v="24"/>
    <x v="6"/>
    <s v="DVNV"/>
    <s v="GEM 100"/>
    <s v="324"/>
    <s v="4.0 UN"/>
    <s v="STANDARD"/>
    <s v="N"/>
    <s v="Y"/>
    <s v="N"/>
    <s v="T20"/>
    <s v="Y"/>
    <s v="N"/>
    <s v="Y"/>
    <s v="N"/>
    <s v="A038"/>
    <d v="2016-12-21T00:00:00"/>
    <s v="10"/>
    <s v="TAN"/>
    <s v="OR"/>
    <d v="2016-12-16T00:00:00"/>
    <s v="MT"/>
    <s v="US"/>
    <s v="ZR"/>
    <d v="2016-12-17T00:00:00"/>
  </r>
  <r>
    <x v="0"/>
    <x v="6"/>
    <x v="907"/>
    <x v="11"/>
    <s v="Standard order"/>
    <x v="888"/>
    <x v="888"/>
    <s v="R052"/>
    <s v="CRYSTAL RR052"/>
    <s v="5003513"/>
    <s v="R052 ACH T20 PB SYSTIVA G100"/>
    <n v="24"/>
    <n v="0"/>
    <n v="24"/>
    <x v="6"/>
    <s v="AP82"/>
    <s v="GEM 100"/>
    <s v="324"/>
    <s v="4.0 UN"/>
    <s v="STANDARD"/>
    <s v="N"/>
    <s v="Y"/>
    <s v="N"/>
    <s v="T20"/>
    <s v="Y"/>
    <s v="N"/>
    <s v="Y"/>
    <s v="N"/>
    <s v="A038"/>
    <d v="2016-12-21T00:00:00"/>
    <s v="20"/>
    <s v="TAN"/>
    <s v="OR"/>
    <d v="2016-12-16T00:00:00"/>
    <s v="MT"/>
    <s v="US"/>
    <s v="ZR"/>
    <d v="2016-12-17T00:00:00"/>
  </r>
  <r>
    <x v="0"/>
    <x v="6"/>
    <x v="907"/>
    <x v="11"/>
    <s v="Standard order"/>
    <x v="888"/>
    <x v="888"/>
    <s v="S498"/>
    <s v="CRYSTAL S498"/>
    <s v="5003431"/>
    <s v="S498 ACH T20 PB SYSTIVA G100"/>
    <n v="56"/>
    <n v="0"/>
    <n v="56"/>
    <x v="6"/>
    <s v="FE73"/>
    <s v="GEM 100"/>
    <s v="324"/>
    <s v="4.0 UN"/>
    <s v="STANDARD"/>
    <s v="N"/>
    <s v="Y"/>
    <s v="N"/>
    <s v="T20"/>
    <s v="Y"/>
    <s v="N"/>
    <s v="Y"/>
    <s v="N"/>
    <s v="A038"/>
    <d v="2016-12-21T00:00:00"/>
    <s v="30"/>
    <s v="TAN"/>
    <s v="OR"/>
    <d v="2016-12-16T00:00:00"/>
    <s v="MT"/>
    <s v="US"/>
    <s v="ZR"/>
    <d v="2016-12-17T00:00:00"/>
  </r>
  <r>
    <x v="0"/>
    <x v="0"/>
    <x v="908"/>
    <x v="10"/>
    <s v="Standard order"/>
    <x v="889"/>
    <x v="889"/>
    <s v="R059"/>
    <s v="CRYSTAL RR059"/>
    <s v="5003528"/>
    <s v="R059 ACH T20 Kabina ELS"/>
    <n v="24"/>
    <n v="0"/>
    <n v="24"/>
    <x v="0"/>
    <s v="AP73"/>
    <s v="ELS"/>
    <s v="387"/>
    <s v="4.0 UN"/>
    <s v="STANDARD"/>
    <s v="N"/>
    <s v="N"/>
    <s v="Y"/>
    <s v="T20"/>
    <s v="N"/>
    <s v="N"/>
    <s v="N"/>
    <s v="N"/>
    <s v="A036"/>
    <d v="2016-12-21T00:00:00"/>
    <s v="10"/>
    <s v="TAN"/>
    <s v="OR"/>
    <d v="2016-12-16T00:00:00"/>
    <s v="MI"/>
    <s v="US"/>
    <s v="ZR"/>
    <d v="2016-12-17T00:00:00"/>
  </r>
  <r>
    <x v="0"/>
    <x v="0"/>
    <x v="909"/>
    <x v="10"/>
    <s v="Standard order"/>
    <x v="890"/>
    <x v="890"/>
    <s v="G351"/>
    <s v="CRYSTAL G351NT"/>
    <s v="5003396"/>
    <s v="G351 ACH T20 Kabina ELS"/>
    <n v="100"/>
    <n v="0"/>
    <n v="100"/>
    <x v="0"/>
    <s v="DA73"/>
    <s v="ELS"/>
    <s v="387"/>
    <s v="4.0 UN"/>
    <s v="STANDARD"/>
    <s v="N"/>
    <s v="N"/>
    <s v="Y"/>
    <s v="T20"/>
    <s v="N"/>
    <s v="N"/>
    <s v="N"/>
    <s v="N"/>
    <s v="A036"/>
    <d v="2016-12-21T00:00:00"/>
    <s v="10"/>
    <s v="TAN"/>
    <s v="OR"/>
    <d v="2016-12-16T00:00:00"/>
    <s v="MI"/>
    <s v="US"/>
    <s v="ZR"/>
    <d v="2016-12-17T00:00:00"/>
  </r>
  <r>
    <x v="0"/>
    <x v="5"/>
    <x v="910"/>
    <x v="9"/>
    <s v="Standard order"/>
    <x v="891"/>
    <x v="891"/>
    <s v="R116"/>
    <s v="CRYSTAL RR116"/>
    <s v="5003101"/>
    <s v="R116 ACH T20 PB SYSTIVA ELS"/>
    <n v="36"/>
    <n v="0"/>
    <n v="36"/>
    <x v="5"/>
    <s v="AP71"/>
    <s v="ELS"/>
    <s v="324"/>
    <s v="4.0 UN"/>
    <s v="STANDARD"/>
    <s v="N"/>
    <s v="Y"/>
    <s v="N"/>
    <s v="T20"/>
    <s v="Y"/>
    <s v="N"/>
    <s v="N"/>
    <s v="N"/>
    <s v="A016"/>
    <d v="2016-12-21T00:00:00"/>
    <s v="10"/>
    <s v="TAN"/>
    <s v="OR"/>
    <d v="2016-12-16T00:00:00"/>
    <s v="WY"/>
    <s v="US"/>
    <s v="ZR"/>
    <d v="2016-12-17T00:00:00"/>
  </r>
  <r>
    <x v="0"/>
    <x v="5"/>
    <x v="911"/>
    <x v="9"/>
    <s v="Standard order"/>
    <x v="892"/>
    <x v="892"/>
    <s v="Y400"/>
    <s v="CRYSTAL Y400NT"/>
    <s v="5003735"/>
    <s v="Y400 ACH T20 PB SYSTIVA RP"/>
    <n v="24"/>
    <n v="0"/>
    <n v="24"/>
    <x v="5"/>
    <s v="4TBP"/>
    <s v="RP"/>
    <s v="324"/>
    <s v="4.0 UN"/>
    <s v="STANDARD"/>
    <s v="N"/>
    <s v="Y"/>
    <s v="N"/>
    <s v="T20"/>
    <s v="Y"/>
    <s v="N"/>
    <s v="N"/>
    <s v="N"/>
    <s v="A016"/>
    <d v="2016-12-21T00:00:00"/>
    <s v="10"/>
    <s v="TAN"/>
    <s v="OR"/>
    <d v="2016-12-16T00:00:00"/>
    <s v="WY"/>
    <s v="US"/>
    <s v="ZR"/>
    <d v="2016-12-17T00:00:00"/>
  </r>
  <r>
    <x v="0"/>
    <x v="5"/>
    <x v="911"/>
    <x v="9"/>
    <s v="Standard order"/>
    <x v="892"/>
    <x v="892"/>
    <s v="R116"/>
    <s v="CRYSTAL RR116"/>
    <s v="5003105"/>
    <s v="R116 ACH T20 PB SYSTIVA RP"/>
    <n v="92"/>
    <n v="0"/>
    <n v="92"/>
    <x v="5"/>
    <s v="AP71"/>
    <s v="RP"/>
    <s v="324"/>
    <s v="4.0 UN"/>
    <s v="STANDARD"/>
    <s v="N"/>
    <s v="Y"/>
    <s v="N"/>
    <s v="T20"/>
    <s v="Y"/>
    <s v="N"/>
    <s v="N"/>
    <s v="N"/>
    <s v="A016"/>
    <d v="2016-12-21T00:00:00"/>
    <s v="20"/>
    <s v="TAN"/>
    <s v="OR"/>
    <d v="2016-12-16T00:00:00"/>
    <s v="WY"/>
    <s v="US"/>
    <s v="ZR"/>
    <d v="2016-12-17T00:00:00"/>
  </r>
  <r>
    <x v="0"/>
    <x v="5"/>
    <x v="912"/>
    <x v="9"/>
    <s v="Standard order"/>
    <x v="893"/>
    <x v="893"/>
    <s v="R116"/>
    <s v="CRYSTAL RR116"/>
    <s v="5003105"/>
    <s v="R116 ACH T20 PB SYSTIVA RP"/>
    <n v="12"/>
    <n v="0"/>
    <n v="12"/>
    <x v="5"/>
    <s v="AP71"/>
    <s v="RP"/>
    <s v="324"/>
    <s v="4.0 UN"/>
    <s v="STANDARD"/>
    <s v="N"/>
    <s v="Y"/>
    <s v="N"/>
    <s v="T20"/>
    <s v="Y"/>
    <s v="N"/>
    <s v="N"/>
    <s v="N"/>
    <s v="A016"/>
    <d v="2016-12-21T00:00:00"/>
    <s v="10"/>
    <s v="TAN"/>
    <s v="OR"/>
    <d v="2016-12-16T00:00:00"/>
    <s v="WY"/>
    <s v="US"/>
    <s v="ZR"/>
    <d v="2016-12-17T00:00:00"/>
  </r>
  <r>
    <x v="0"/>
    <x v="0"/>
    <x v="913"/>
    <x v="2"/>
    <s v="Standard order"/>
    <x v="894"/>
    <x v="894"/>
    <s v="G333"/>
    <s v="CRYSTAL G333NT"/>
    <s v="5003377"/>
    <s v="G333 ACH T20 Kabina MP"/>
    <n v="24"/>
    <n v="0"/>
    <n v="24"/>
    <x v="0"/>
    <s v="EE73"/>
    <s v="MP"/>
    <s v="387"/>
    <s v="4.0 UN"/>
    <s v="STANDARD"/>
    <s v="N"/>
    <s v="N"/>
    <s v="Y"/>
    <s v="T20"/>
    <s v="N"/>
    <s v="N"/>
    <s v="N"/>
    <s v="N"/>
    <s v="A034"/>
    <d v="2016-12-21T00:00:00"/>
    <s v="10"/>
    <s v="TAN"/>
    <s v="OR"/>
    <d v="2016-12-17T00:00:00"/>
    <s v="MI"/>
    <s v="US"/>
    <s v="ZR"/>
    <d v="2016-12-17T00:00:00"/>
  </r>
  <r>
    <x v="0"/>
    <x v="0"/>
    <x v="913"/>
    <x v="2"/>
    <s v="Standard order"/>
    <x v="894"/>
    <x v="894"/>
    <s v="G351"/>
    <s v="CRYSTAL G351NT"/>
    <s v="5003397"/>
    <s v="G351 ACH T20 Kabina MP"/>
    <n v="24"/>
    <n v="0"/>
    <n v="24"/>
    <x v="0"/>
    <s v="DA73"/>
    <s v="MP"/>
    <s v="387"/>
    <s v="4.0 UN"/>
    <s v="STANDARD"/>
    <s v="N"/>
    <s v="N"/>
    <s v="Y"/>
    <s v="T20"/>
    <s v="N"/>
    <s v="N"/>
    <s v="N"/>
    <s v="N"/>
    <s v="A034"/>
    <d v="2016-12-21T00:00:00"/>
    <s v="20"/>
    <s v="TAN"/>
    <s v="OR"/>
    <d v="2016-12-17T00:00:00"/>
    <s v="MI"/>
    <s v="US"/>
    <s v="ZR"/>
    <d v="2016-12-17T00:00:00"/>
  </r>
  <r>
    <x v="0"/>
    <x v="0"/>
    <x v="913"/>
    <x v="2"/>
    <s v="Standard order"/>
    <x v="894"/>
    <x v="894"/>
    <s v="R059"/>
    <s v="CRYSTAL RR059"/>
    <s v="5003529"/>
    <s v="R059 ACH T20 Kabina MP"/>
    <n v="84"/>
    <n v="0"/>
    <n v="84"/>
    <x v="0"/>
    <s v="AP73"/>
    <s v="MP"/>
    <s v="387"/>
    <s v="4.0 UN"/>
    <s v="STANDARD"/>
    <s v="N"/>
    <s v="N"/>
    <s v="Y"/>
    <s v="T20"/>
    <s v="N"/>
    <s v="N"/>
    <s v="N"/>
    <s v="N"/>
    <s v="A034"/>
    <d v="2016-12-21T00:00:00"/>
    <s v="30"/>
    <s v="TAN"/>
    <s v="OR"/>
    <d v="2016-12-17T00:00:00"/>
    <s v="MI"/>
    <s v="US"/>
    <s v="ZR"/>
    <d v="2016-12-17T00:00:00"/>
  </r>
  <r>
    <x v="0"/>
    <x v="4"/>
    <x v="914"/>
    <x v="15"/>
    <s v="Standard order"/>
    <x v="895"/>
    <x v="895"/>
    <s v="A488"/>
    <s v="CRYSTAL A488NT"/>
    <s v="5002983"/>
    <s v="A488 ACH PB XL"/>
    <n v="36"/>
    <n v="0"/>
    <n v="36"/>
    <x v="4"/>
    <s v="EENE"/>
    <s v="X-LARGE"/>
    <s v="314"/>
    <s v="4.0 UN"/>
    <s v="STANDARD"/>
    <s v="N"/>
    <s v="Y"/>
    <s v="N"/>
    <s v="N"/>
    <s v="N"/>
    <s v="N"/>
    <s v="N"/>
    <s v="N"/>
    <s v="A043"/>
    <d v="2016-12-21T00:00:00"/>
    <s v="10"/>
    <s v="TAN"/>
    <s v="OR"/>
    <d v="2016-12-16T00:00:00"/>
    <s v="ID"/>
    <s v="US"/>
    <s v="ZR"/>
    <d v="2016-12-17T00:00:00"/>
  </r>
  <r>
    <x v="0"/>
    <x v="4"/>
    <x v="915"/>
    <x v="15"/>
    <s v="Standard order"/>
    <x v="896"/>
    <x v="896"/>
    <s v="A488"/>
    <s v="CRYSTAL A488NT"/>
    <s v="5002983"/>
    <s v="A488 ACH PB XL"/>
    <n v="36"/>
    <n v="0"/>
    <n v="36"/>
    <x v="4"/>
    <s v="EENE"/>
    <s v="X-LARGE"/>
    <s v="314"/>
    <s v="4.0 UN"/>
    <s v="STANDARD"/>
    <s v="N"/>
    <s v="Y"/>
    <s v="N"/>
    <s v="N"/>
    <s v="N"/>
    <s v="N"/>
    <s v="N"/>
    <s v="N"/>
    <s v="A043"/>
    <d v="2016-12-21T00:00:00"/>
    <s v="10"/>
    <s v="TAN"/>
    <s v="OR"/>
    <d v="2016-12-16T00:00:00"/>
    <s v="ID"/>
    <s v="US"/>
    <s v="ZR"/>
    <d v="2016-12-17T00:00:00"/>
  </r>
  <r>
    <x v="0"/>
    <x v="2"/>
    <x v="916"/>
    <x v="24"/>
    <s v="Standard order"/>
    <x v="897"/>
    <x v="897"/>
    <s v="R014"/>
    <s v="CRYSTAL RR014"/>
    <s v="5003092"/>
    <s v="R014 ACH T20 PB SYSTIVA G50"/>
    <n v="20"/>
    <n v="0"/>
    <n v="20"/>
    <x v="2"/>
    <s v="AP82"/>
    <s v="GEM 50"/>
    <s v="324"/>
    <s v="4.0 UN"/>
    <s v="STANDARD"/>
    <s v="N"/>
    <s v="Y"/>
    <s v="N"/>
    <s v="T20"/>
    <s v="Y"/>
    <s v="N"/>
    <s v="Y"/>
    <s v="N"/>
    <s v="A022"/>
    <d v="2016-12-21T00:00:00"/>
    <s v="10"/>
    <s v="TAN"/>
    <s v="OR"/>
    <d v="2016-12-17T00:00:00"/>
    <s v="CO"/>
    <s v="US"/>
    <s v="ZR"/>
    <d v="2016-12-17T00:00:00"/>
  </r>
  <r>
    <x v="0"/>
    <x v="0"/>
    <x v="917"/>
    <x v="2"/>
    <s v="Standard order"/>
    <x v="898"/>
    <x v="898"/>
    <s v="R059"/>
    <s v="CRYSTAL RR059"/>
    <s v="5003528"/>
    <s v="R059 ACH T20 Kabina ELS"/>
    <n v="84"/>
    <n v="0"/>
    <n v="84"/>
    <x v="0"/>
    <s v="AP73"/>
    <s v="ELS"/>
    <s v="387"/>
    <s v="4.0 UN"/>
    <s v="STANDARD"/>
    <s v="N"/>
    <s v="N"/>
    <s v="Y"/>
    <s v="T20"/>
    <s v="N"/>
    <s v="N"/>
    <s v="N"/>
    <s v="N"/>
    <s v="A034"/>
    <d v="2016-12-21T00:00:00"/>
    <s v="10"/>
    <s v="TAN"/>
    <s v="OR"/>
    <d v="2016-12-17T00:00:00"/>
    <s v="MI"/>
    <s v="US"/>
    <s v="ZR"/>
    <d v="2016-12-17T00:00:00"/>
  </r>
  <r>
    <x v="0"/>
    <x v="0"/>
    <x v="918"/>
    <x v="4"/>
    <s v="Standard order"/>
    <x v="899"/>
    <x v="899"/>
    <s v="R059"/>
    <s v="CRYSTAL RR059"/>
    <s v="5003529"/>
    <s v="R059 ACH T20 Kabina MP"/>
    <n v="40"/>
    <n v="0"/>
    <n v="40"/>
    <x v="0"/>
    <s v="AP73"/>
    <s v="MP"/>
    <s v="387"/>
    <s v="4.0 UN"/>
    <s v="STANDARD"/>
    <s v="N"/>
    <s v="N"/>
    <s v="Y"/>
    <s v="T20"/>
    <s v="N"/>
    <s v="N"/>
    <s v="N"/>
    <s v="N"/>
    <s v="A035"/>
    <d v="2016-12-21T00:00:00"/>
    <s v="10"/>
    <s v="TAN"/>
    <s v="OR"/>
    <d v="2016-12-17T00:00:00"/>
    <s v="MI"/>
    <s v="US"/>
    <s v="ZR"/>
    <d v="2016-12-17T00:00:00"/>
  </r>
  <r>
    <x v="0"/>
    <x v="0"/>
    <x v="919"/>
    <x v="4"/>
    <s v="Standard order"/>
    <x v="900"/>
    <x v="900"/>
    <s v="R059"/>
    <s v="CRYSTAL RR059"/>
    <s v="5003529"/>
    <s v="R059 ACH T20 Kabina MP"/>
    <n v="40"/>
    <n v="0"/>
    <n v="40"/>
    <x v="0"/>
    <s v="AP73"/>
    <s v="MP"/>
    <s v="387"/>
    <s v="4.0 UN"/>
    <s v="STANDARD"/>
    <s v="N"/>
    <s v="N"/>
    <s v="Y"/>
    <s v="T20"/>
    <s v="N"/>
    <s v="N"/>
    <s v="N"/>
    <s v="N"/>
    <s v="A035"/>
    <d v="2016-12-21T00:00:00"/>
    <s v="10"/>
    <s v="TAN"/>
    <s v="OR"/>
    <d v="2016-12-17T00:00:00"/>
    <s v="MI"/>
    <s v="US"/>
    <s v="ZR"/>
    <d v="2016-12-17T00:00:00"/>
  </r>
  <r>
    <x v="0"/>
    <x v="0"/>
    <x v="919"/>
    <x v="4"/>
    <s v="Standard order"/>
    <x v="900"/>
    <x v="900"/>
    <s v="G515"/>
    <s v="CRYSTAL G515"/>
    <s v="5003018"/>
    <s v="G515 ACH T20 Kabina MP"/>
    <n v="20"/>
    <n v="0"/>
    <n v="20"/>
    <x v="0"/>
    <s v="APND"/>
    <s v="MP"/>
    <s v="387"/>
    <s v="4.0 UN"/>
    <s v="STANDARD"/>
    <s v="N"/>
    <s v="N"/>
    <s v="Y"/>
    <s v="T20"/>
    <s v="N"/>
    <s v="N"/>
    <s v="N"/>
    <s v="N"/>
    <s v="A035"/>
    <d v="2016-12-21T00:00:00"/>
    <s v="20"/>
    <s v="TAN"/>
    <s v="OR"/>
    <d v="2016-12-17T00:00:00"/>
    <s v="MI"/>
    <s v="US"/>
    <s v="ZR"/>
    <d v="2016-12-17T00:00:00"/>
  </r>
  <r>
    <x v="0"/>
    <x v="0"/>
    <x v="920"/>
    <x v="4"/>
    <s v="Standard order"/>
    <x v="901"/>
    <x v="901"/>
    <s v="R059"/>
    <s v="CRYSTAL RR059"/>
    <s v="5003529"/>
    <s v="R059 ACH T20 Kabina MP"/>
    <n v="32"/>
    <n v="0"/>
    <n v="32"/>
    <x v="0"/>
    <s v="AP73"/>
    <s v="MP"/>
    <s v="387"/>
    <s v="4.0 UN"/>
    <s v="STANDARD"/>
    <s v="N"/>
    <s v="N"/>
    <s v="Y"/>
    <s v="T20"/>
    <s v="N"/>
    <s v="N"/>
    <s v="N"/>
    <s v="N"/>
    <s v="A035"/>
    <d v="2016-12-21T00:00:00"/>
    <s v="10"/>
    <s v="TAN"/>
    <s v="OR"/>
    <d v="2016-12-17T00:00:00"/>
    <s v="MI"/>
    <s v="US"/>
    <s v="ZR"/>
    <d v="2016-12-17T00:00:00"/>
  </r>
  <r>
    <x v="0"/>
    <x v="0"/>
    <x v="921"/>
    <x v="10"/>
    <s v="Standard order"/>
    <x v="902"/>
    <x v="902"/>
    <s v="R059"/>
    <s v="CRYSTAL RR059"/>
    <s v="5003530"/>
    <s v="R059 ACH T20 Kabina RP"/>
    <n v="12"/>
    <n v="0"/>
    <n v="12"/>
    <x v="0"/>
    <s v="AP73"/>
    <s v="RP"/>
    <s v="387"/>
    <s v="4.0 UN"/>
    <s v="STANDARD"/>
    <s v="N"/>
    <s v="N"/>
    <s v="Y"/>
    <s v="T20"/>
    <s v="N"/>
    <s v="N"/>
    <s v="N"/>
    <s v="N"/>
    <s v="A036"/>
    <d v="2016-12-21T00:00:00"/>
    <s v="10"/>
    <s v="TAN"/>
    <s v="OR"/>
    <d v="2016-12-17T00:00:00"/>
    <s v="MI"/>
    <s v="US"/>
    <s v="ZR"/>
    <d v="2016-12-17T00:00:00"/>
  </r>
  <r>
    <x v="0"/>
    <x v="0"/>
    <x v="922"/>
    <x v="10"/>
    <s v="Standard order"/>
    <x v="903"/>
    <x v="903"/>
    <s v="R059"/>
    <s v="CRYSTAL RR059"/>
    <s v="5003530"/>
    <s v="R059 ACH T20 Kabina RP"/>
    <n v="40"/>
    <n v="0"/>
    <n v="40"/>
    <x v="0"/>
    <s v="AP73"/>
    <s v="RP"/>
    <s v="387"/>
    <s v="4.0 UN"/>
    <s v="STANDARD"/>
    <s v="N"/>
    <s v="N"/>
    <s v="Y"/>
    <s v="T20"/>
    <s v="N"/>
    <s v="N"/>
    <s v="N"/>
    <s v="N"/>
    <s v="A036"/>
    <d v="2016-12-21T00:00:00"/>
    <s v="10"/>
    <s v="TAN"/>
    <s v="OR"/>
    <d v="2016-12-16T00:00:00"/>
    <s v="MI"/>
    <s v="US"/>
    <s v="ZR"/>
    <d v="2016-12-17T00:00:00"/>
  </r>
  <r>
    <x v="0"/>
    <x v="0"/>
    <x v="922"/>
    <x v="10"/>
    <s v="Standard order"/>
    <x v="903"/>
    <x v="903"/>
    <s v="G515"/>
    <s v="CRYSTAL G515"/>
    <s v="5003019"/>
    <s v="G515 ACH T20 Kabina RP"/>
    <n v="28"/>
    <n v="0"/>
    <n v="28"/>
    <x v="0"/>
    <s v="APND"/>
    <s v="RP"/>
    <s v="387"/>
    <s v="4.0 UN"/>
    <s v="STANDARD"/>
    <s v="N"/>
    <s v="N"/>
    <s v="Y"/>
    <s v="T20"/>
    <s v="N"/>
    <s v="N"/>
    <s v="N"/>
    <s v="N"/>
    <s v="A036"/>
    <d v="2016-12-21T00:00:00"/>
    <s v="20"/>
    <s v="TAN"/>
    <s v="OR"/>
    <d v="2016-12-16T00:00:00"/>
    <s v="MI"/>
    <s v="US"/>
    <s v="ZR"/>
    <d v="2016-12-17T00:00:00"/>
  </r>
  <r>
    <x v="0"/>
    <x v="0"/>
    <x v="923"/>
    <x v="4"/>
    <s v="Standard order"/>
    <x v="904"/>
    <x v="904"/>
    <s v="R059"/>
    <s v="CRYSTAL RR059"/>
    <s v="5003536"/>
    <s v="R059 ACH T20 SYSTIVA RP"/>
    <n v="56"/>
    <n v="0"/>
    <n v="56"/>
    <x v="0"/>
    <s v="AP73"/>
    <s v="RP"/>
    <s v="328"/>
    <s v="4.0 UN"/>
    <s v="STANDARD"/>
    <s v="N"/>
    <s v="N"/>
    <s v="N"/>
    <s v="T20"/>
    <s v="Y"/>
    <s v="N"/>
    <s v="Y"/>
    <s v="N"/>
    <s v="A035"/>
    <d v="2016-12-21T00:00:00"/>
    <s v="10"/>
    <s v="TAN"/>
    <s v="OR"/>
    <d v="2016-12-17T00:00:00"/>
    <s v="MI"/>
    <s v="US"/>
    <s v="ZR"/>
    <d v="2016-12-17T00:00:00"/>
  </r>
  <r>
    <x v="0"/>
    <x v="0"/>
    <x v="924"/>
    <x v="10"/>
    <s v="Standard order"/>
    <x v="905"/>
    <x v="905"/>
    <s v="R059"/>
    <s v="CRYSTAL RR059"/>
    <s v="5003530"/>
    <s v="R059 ACH T20 Kabina RP"/>
    <n v="52"/>
    <n v="0"/>
    <n v="52"/>
    <x v="0"/>
    <s v="AP73"/>
    <s v="RP"/>
    <s v="387"/>
    <s v="4.0 UN"/>
    <s v="STANDARD"/>
    <s v="N"/>
    <s v="N"/>
    <s v="Y"/>
    <s v="T20"/>
    <s v="N"/>
    <s v="N"/>
    <s v="N"/>
    <s v="N"/>
    <s v="A036"/>
    <d v="2016-12-21T00:00:00"/>
    <s v="10"/>
    <s v="TAN"/>
    <s v="OR"/>
    <d v="2016-12-17T00:00:00"/>
    <s v="MI"/>
    <s v="US"/>
    <s v="ZR"/>
    <d v="2016-12-17T00:00:00"/>
  </r>
  <r>
    <x v="0"/>
    <x v="0"/>
    <x v="924"/>
    <x v="10"/>
    <s v="Standard order"/>
    <x v="905"/>
    <x v="905"/>
    <s v="G515"/>
    <s v="CRYSTAL G515"/>
    <s v="5003019"/>
    <s v="G515 ACH T20 Kabina RP"/>
    <n v="12"/>
    <n v="0"/>
    <n v="12"/>
    <x v="0"/>
    <s v="APND"/>
    <s v="RP"/>
    <s v="387"/>
    <s v="4.0 UN"/>
    <s v="STANDARD"/>
    <s v="N"/>
    <s v="N"/>
    <s v="Y"/>
    <s v="T20"/>
    <s v="N"/>
    <s v="N"/>
    <s v="N"/>
    <s v="N"/>
    <s v="A036"/>
    <d v="2016-12-21T00:00:00"/>
    <s v="20"/>
    <s v="TAN"/>
    <s v="OR"/>
    <d v="2016-12-17T00:00:00"/>
    <s v="MI"/>
    <s v="US"/>
    <s v="ZR"/>
    <d v="2016-12-17T00:00:00"/>
  </r>
  <r>
    <x v="0"/>
    <x v="0"/>
    <x v="925"/>
    <x v="0"/>
    <s v="Standard order"/>
    <x v="906"/>
    <x v="906"/>
    <s v="G515"/>
    <s v="CRYSTAL G515"/>
    <s v="5003007"/>
    <s v="G515 ACH CM Vibrance RP"/>
    <n v="20"/>
    <n v="0"/>
    <n v="20"/>
    <x v="0"/>
    <s v="APND"/>
    <s v="RP"/>
    <s v="393"/>
    <s v="4.0 UN"/>
    <s v="STANDARD"/>
    <s v="Y"/>
    <s v="N"/>
    <s v="N"/>
    <s v="N"/>
    <s v="N"/>
    <s v="N"/>
    <s v="N"/>
    <s v="Y"/>
    <s v="A037"/>
    <d v="2016-12-22T00:00:00"/>
    <s v="10"/>
    <s v="TAN"/>
    <s v="OR"/>
    <d v="2016-12-19T00:00:00"/>
    <s v="ON"/>
    <s v="CA"/>
    <s v="ZR"/>
    <d v="2016-12-19T00:00:00"/>
  </r>
  <r>
    <x v="0"/>
    <x v="0"/>
    <x v="926"/>
    <x v="10"/>
    <s v="Standard order"/>
    <x v="907"/>
    <x v="907"/>
    <s v="R059"/>
    <s v="CRYSTAL RR059"/>
    <s v="5003530"/>
    <s v="R059 ACH T20 Kabina RP"/>
    <n v="20"/>
    <n v="0"/>
    <n v="20"/>
    <x v="0"/>
    <s v="AP73"/>
    <s v="RP"/>
    <s v="387"/>
    <s v="4.0 UN"/>
    <s v="STANDARD"/>
    <s v="N"/>
    <s v="N"/>
    <s v="Y"/>
    <s v="T20"/>
    <s v="N"/>
    <s v="N"/>
    <s v="N"/>
    <s v="N"/>
    <s v="A036"/>
    <d v="2016-12-22T00:00:00"/>
    <s v="10"/>
    <s v="TAN"/>
    <s v="OR"/>
    <d v="2016-12-19T00:00:00"/>
    <s v="MI"/>
    <s v="US"/>
    <s v="ZR"/>
    <d v="2016-12-19T00:00:00"/>
  </r>
  <r>
    <x v="0"/>
    <x v="5"/>
    <x v="927"/>
    <x v="12"/>
    <s v="Standard order"/>
    <x v="908"/>
    <x v="908"/>
    <s v="Y400"/>
    <s v="CRYSTAL Y400NT"/>
    <s v="5003731"/>
    <s v="Y400 ACH T20 PB SYSTIVA ELS"/>
    <n v="16"/>
    <n v="0"/>
    <n v="16"/>
    <x v="5"/>
    <s v="4TBP"/>
    <s v="ELS"/>
    <s v="324"/>
    <s v="4.0 UN"/>
    <s v="STANDARD"/>
    <s v="N"/>
    <s v="Y"/>
    <s v="N"/>
    <s v="T20"/>
    <s v="Y"/>
    <s v="N"/>
    <s v="N"/>
    <s v="N"/>
    <s v="A014"/>
    <d v="2016-12-22T00:00:00"/>
    <s v="10"/>
    <s v="TAN"/>
    <s v="OR"/>
    <d v="2016-12-19T00:00:00"/>
    <s v="MT"/>
    <s v="US"/>
    <s v="ZR"/>
    <d v="2016-12-19T00:00:00"/>
  </r>
  <r>
    <x v="0"/>
    <x v="2"/>
    <x v="928"/>
    <x v="3"/>
    <s v="Standard order"/>
    <x v="909"/>
    <x v="909"/>
    <s v="R014"/>
    <s v="CRYSTAL RR014"/>
    <s v="5003090"/>
    <s v="R014 ACH T20 PB SYSTIVA ELS"/>
    <n v="64"/>
    <n v="0"/>
    <n v="64"/>
    <x v="2"/>
    <s v="AP82"/>
    <s v="ELS"/>
    <s v="324"/>
    <s v="4.0 UN"/>
    <s v="STANDARD"/>
    <s v="N"/>
    <s v="Y"/>
    <s v="N"/>
    <s v="T20"/>
    <s v="Y"/>
    <s v="N"/>
    <s v="Y"/>
    <s v="N"/>
    <s v="A024"/>
    <d v="2016-12-22T00:00:00"/>
    <s v="10"/>
    <s v="TAN"/>
    <s v="OR"/>
    <d v="2016-12-19T00:00:00"/>
    <s v="NE"/>
    <s v="US"/>
    <s v="ZR"/>
    <d v="2016-12-19T00:00:00"/>
  </r>
  <r>
    <x v="0"/>
    <x v="2"/>
    <x v="928"/>
    <x v="3"/>
    <s v="Standard order"/>
    <x v="909"/>
    <x v="909"/>
    <s v="R272"/>
    <s v="CRYSTAL RR272"/>
    <s v="5003628"/>
    <s v="R272 ACH T20 PB SYSTIVA ELS"/>
    <n v="32"/>
    <n v="0"/>
    <n v="32"/>
    <x v="2"/>
    <s v="DG73"/>
    <s v="ELS"/>
    <s v="324"/>
    <s v="4.0 UN"/>
    <s v="STANDARD"/>
    <s v="N"/>
    <s v="Y"/>
    <s v="N"/>
    <s v="T20"/>
    <s v="Y"/>
    <s v="N"/>
    <s v="Y"/>
    <s v="N"/>
    <s v="A024"/>
    <d v="2016-12-22T00:00:00"/>
    <s v="20"/>
    <s v="TAN"/>
    <s v="OR"/>
    <d v="2016-12-19T00:00:00"/>
    <s v="NE"/>
    <s v="US"/>
    <s v="ZR"/>
    <d v="2016-12-19T00:00:00"/>
  </r>
  <r>
    <x v="0"/>
    <x v="0"/>
    <x v="929"/>
    <x v="4"/>
    <s v="Standard order"/>
    <x v="910"/>
    <x v="910"/>
    <s v="R059"/>
    <s v="CRYSTAL RR059"/>
    <s v="5003528"/>
    <s v="R059 ACH T20 Kabina ELS"/>
    <n v="112"/>
    <n v="0"/>
    <n v="112"/>
    <x v="0"/>
    <s v="AP73"/>
    <s v="ELS"/>
    <s v="387"/>
    <s v="4.0 UN"/>
    <s v="STANDARD"/>
    <s v="N"/>
    <s v="N"/>
    <s v="Y"/>
    <s v="T20"/>
    <s v="N"/>
    <s v="N"/>
    <s v="N"/>
    <s v="N"/>
    <s v="A035"/>
    <d v="2016-12-22T00:00:00"/>
    <s v="10"/>
    <s v="TAN"/>
    <s v="OR"/>
    <d v="2016-12-19T00:00:00"/>
    <s v="MI"/>
    <s v="US"/>
    <s v="ZR"/>
    <d v="2016-12-19T00:00:00"/>
  </r>
  <r>
    <x v="0"/>
    <x v="0"/>
    <x v="929"/>
    <x v="4"/>
    <s v="Standard order"/>
    <x v="910"/>
    <x v="910"/>
    <s v="G515"/>
    <s v="CRYSTAL G515"/>
    <s v="5003017"/>
    <s v="G515 ACH T20 Kabina ELS"/>
    <n v="24"/>
    <n v="0"/>
    <n v="24"/>
    <x v="0"/>
    <s v="APND"/>
    <s v="ELS"/>
    <s v="387"/>
    <s v="4.0 UN"/>
    <s v="STANDARD"/>
    <s v="N"/>
    <s v="N"/>
    <s v="Y"/>
    <s v="T20"/>
    <s v="N"/>
    <s v="N"/>
    <s v="N"/>
    <s v="N"/>
    <s v="A035"/>
    <d v="2016-12-22T00:00:00"/>
    <s v="20"/>
    <s v="TAN"/>
    <s v="OR"/>
    <d v="2016-12-19T00:00:00"/>
    <s v="MI"/>
    <s v="US"/>
    <s v="ZR"/>
    <d v="2016-12-19T00:00:00"/>
  </r>
  <r>
    <x v="0"/>
    <x v="0"/>
    <x v="930"/>
    <x v="0"/>
    <s v="Standard order"/>
    <x v="911"/>
    <x v="911"/>
    <s v="R059"/>
    <s v="CRYSTAL RR059"/>
    <s v="5003518"/>
    <s v="R059 ACH CM Vibrance RP"/>
    <n v="8"/>
    <n v="0"/>
    <n v="8"/>
    <x v="0"/>
    <s v="AP73"/>
    <s v="RP"/>
    <s v="393"/>
    <s v="4.0 UN"/>
    <s v="STANDARD"/>
    <s v="Y"/>
    <s v="N"/>
    <s v="N"/>
    <s v="N"/>
    <s v="N"/>
    <s v="N"/>
    <s v="N"/>
    <s v="Y"/>
    <s v="A037"/>
    <d v="2016-12-22T00:00:00"/>
    <s v="10"/>
    <s v="TAN"/>
    <s v="OR"/>
    <d v="2016-12-19T00:00:00"/>
    <s v="ON"/>
    <s v="CA"/>
    <s v="ZR"/>
    <d v="2016-12-19T00:00:00"/>
  </r>
  <r>
    <x v="0"/>
    <x v="0"/>
    <x v="930"/>
    <x v="0"/>
    <s v="Standard order"/>
    <x v="911"/>
    <x v="911"/>
    <s v="G515"/>
    <s v="CRYSTAL G515"/>
    <s v="5003007"/>
    <s v="G515 ACH CM Vibrance RP"/>
    <n v="4"/>
    <n v="0"/>
    <n v="4"/>
    <x v="0"/>
    <s v="APND"/>
    <s v="RP"/>
    <s v="393"/>
    <s v="4.0 UN"/>
    <s v="STANDARD"/>
    <s v="Y"/>
    <s v="N"/>
    <s v="N"/>
    <s v="N"/>
    <s v="N"/>
    <s v="N"/>
    <s v="N"/>
    <s v="Y"/>
    <s v="A037"/>
    <d v="2016-12-22T00:00:00"/>
    <s v="20"/>
    <s v="TAN"/>
    <s v="OR"/>
    <d v="2016-12-19T00:00:00"/>
    <s v="ON"/>
    <s v="CA"/>
    <s v="ZR"/>
    <d v="2016-12-19T00:00:00"/>
  </r>
  <r>
    <x v="0"/>
    <x v="0"/>
    <x v="931"/>
    <x v="2"/>
    <s v="Standard order"/>
    <x v="912"/>
    <x v="912"/>
    <s v="G333"/>
    <s v="CRYSTAL G333NT"/>
    <s v="5003378"/>
    <s v="G333 ACH T20 Kabina RP"/>
    <n v="52"/>
    <n v="0"/>
    <n v="52"/>
    <x v="0"/>
    <s v="EE73"/>
    <s v="RP"/>
    <s v="387"/>
    <s v="4.0 UN"/>
    <s v="STANDARD"/>
    <s v="N"/>
    <s v="N"/>
    <s v="Y"/>
    <s v="T20"/>
    <s v="N"/>
    <s v="N"/>
    <s v="N"/>
    <s v="N"/>
    <s v="A034"/>
    <d v="2016-12-22T00:00:00"/>
    <s v="10"/>
    <s v="TAN"/>
    <s v="OR"/>
    <d v="2016-12-19T00:00:00"/>
    <s v="MI"/>
    <s v="US"/>
    <s v="ZR"/>
    <d v="2016-12-19T00:00:00"/>
  </r>
  <r>
    <x v="0"/>
    <x v="0"/>
    <x v="931"/>
    <x v="2"/>
    <s v="Standard order"/>
    <x v="912"/>
    <x v="912"/>
    <s v="G351"/>
    <s v="CRYSTAL G351NT"/>
    <s v="5003398"/>
    <s v="G351 ACH T20 Kabina RP"/>
    <n v="64"/>
    <n v="0"/>
    <n v="64"/>
    <x v="0"/>
    <s v="DA73"/>
    <s v="RP"/>
    <s v="387"/>
    <s v="4.0 UN"/>
    <s v="STANDARD"/>
    <s v="N"/>
    <s v="N"/>
    <s v="Y"/>
    <s v="T20"/>
    <s v="N"/>
    <s v="N"/>
    <s v="N"/>
    <s v="N"/>
    <s v="A034"/>
    <d v="2016-12-22T00:00:00"/>
    <s v="20"/>
    <s v="TAN"/>
    <s v="OR"/>
    <d v="2016-12-19T00:00:00"/>
    <s v="MI"/>
    <s v="US"/>
    <s v="ZR"/>
    <d v="2016-12-19T00:00:00"/>
  </r>
  <r>
    <x v="0"/>
    <x v="0"/>
    <x v="932"/>
    <x v="2"/>
    <s v="Standard order"/>
    <x v="913"/>
    <x v="913"/>
    <s v="G333"/>
    <s v="CRYSTAL G333NT"/>
    <s v="5003378"/>
    <s v="G333 ACH T20 Kabina RP"/>
    <n v="28"/>
    <n v="0"/>
    <n v="28"/>
    <x v="0"/>
    <s v="EE73"/>
    <s v="RP"/>
    <s v="387"/>
    <s v="4.0 UN"/>
    <s v="STANDARD"/>
    <s v="N"/>
    <s v="N"/>
    <s v="Y"/>
    <s v="T20"/>
    <s v="N"/>
    <s v="N"/>
    <s v="N"/>
    <s v="N"/>
    <s v="A034"/>
    <d v="2016-12-22T00:00:00"/>
    <s v="10"/>
    <s v="TAN"/>
    <s v="OR"/>
    <d v="2016-12-19T00:00:00"/>
    <s v="MI"/>
    <s v="US"/>
    <s v="ZR"/>
    <d v="2016-12-19T00:00:00"/>
  </r>
  <r>
    <x v="0"/>
    <x v="0"/>
    <x v="932"/>
    <x v="2"/>
    <s v="Standard order"/>
    <x v="913"/>
    <x v="913"/>
    <s v="G351"/>
    <s v="CRYSTAL G351NT"/>
    <s v="5003398"/>
    <s v="G351 ACH T20 Kabina RP"/>
    <n v="24"/>
    <n v="0"/>
    <n v="24"/>
    <x v="0"/>
    <s v="DA73"/>
    <s v="RP"/>
    <s v="387"/>
    <s v="4.0 UN"/>
    <s v="STANDARD"/>
    <s v="N"/>
    <s v="N"/>
    <s v="Y"/>
    <s v="T20"/>
    <s v="N"/>
    <s v="N"/>
    <s v="N"/>
    <s v="N"/>
    <s v="A034"/>
    <d v="2016-12-22T00:00:00"/>
    <s v="20"/>
    <s v="TAN"/>
    <s v="OR"/>
    <d v="2016-12-19T00:00:00"/>
    <s v="MI"/>
    <s v="US"/>
    <s v="ZR"/>
    <d v="2016-12-19T00:00:00"/>
  </r>
  <r>
    <x v="0"/>
    <x v="5"/>
    <x v="933"/>
    <x v="12"/>
    <s v="Standard order"/>
    <x v="914"/>
    <x v="914"/>
    <s v="Y400"/>
    <s v="CRYSTAL Y400NT"/>
    <s v="5003731"/>
    <s v="Y400 ACH T20 PB SYSTIVA ELS"/>
    <n v="24"/>
    <n v="0"/>
    <n v="24"/>
    <x v="5"/>
    <s v="4TBP"/>
    <s v="ELS"/>
    <s v="324"/>
    <s v="4.0 UN"/>
    <s v="STANDARD"/>
    <s v="N"/>
    <s v="Y"/>
    <s v="N"/>
    <s v="T20"/>
    <s v="Y"/>
    <s v="N"/>
    <s v="N"/>
    <s v="N"/>
    <s v="A014"/>
    <d v="2016-12-22T00:00:00"/>
    <s v="10"/>
    <s v="TAN"/>
    <s v="OR"/>
    <d v="2016-12-19T00:00:00"/>
    <s v="MT"/>
    <s v="US"/>
    <s v="ZR"/>
    <d v="2016-12-19T00:00:00"/>
  </r>
  <r>
    <x v="0"/>
    <x v="4"/>
    <x v="934"/>
    <x v="19"/>
    <s v="Standard order"/>
    <x v="915"/>
    <x v="915"/>
    <s v="A501"/>
    <s v="CRYSTAL A501"/>
    <s v="5003308"/>
    <s v="A501 ACH PB XL"/>
    <n v="20"/>
    <n v="0"/>
    <n v="20"/>
    <x v="4"/>
    <s v="EZPB"/>
    <s v="X-LARGE"/>
    <s v="314"/>
    <s v="4.0 UN"/>
    <s v="STANDARD"/>
    <s v="N"/>
    <s v="Y"/>
    <s v="N"/>
    <s v="N"/>
    <s v="N"/>
    <s v="N"/>
    <s v="N"/>
    <s v="N"/>
    <s v="A046"/>
    <d v="2016-12-22T00:00:00"/>
    <s v="20"/>
    <s v="TAN"/>
    <s v="OR"/>
    <d v="2016-12-19T00:00:00"/>
    <s v="ID"/>
    <s v="US"/>
    <s v="ZR"/>
    <d v="2016-12-19T00:00:00"/>
  </r>
  <r>
    <x v="0"/>
    <x v="4"/>
    <x v="934"/>
    <x v="19"/>
    <s v="Standard order"/>
    <x v="915"/>
    <x v="915"/>
    <s v="A399"/>
    <s v="CRYSTAL A399NT"/>
    <s v="5002939"/>
    <s v="A399 ACH XL"/>
    <n v="100"/>
    <n v="0"/>
    <n v="100"/>
    <x v="4"/>
    <s v="DP71"/>
    <s v="X-LARGE"/>
    <s v="316"/>
    <s v="4.0 UN"/>
    <s v="STANDARD"/>
    <s v="N"/>
    <s v="N"/>
    <s v="N"/>
    <s v="N"/>
    <s v="N"/>
    <s v="N"/>
    <s v="N"/>
    <s v="N"/>
    <s v="A046"/>
    <d v="2016-12-22T00:00:00"/>
    <s v="10"/>
    <s v="TAN"/>
    <s v="OR"/>
    <d v="2016-12-19T00:00:00"/>
    <s v="ID"/>
    <s v="US"/>
    <s v="ZR"/>
    <d v="2016-12-19T00:00:00"/>
  </r>
  <r>
    <x v="0"/>
    <x v="0"/>
    <x v="935"/>
    <x v="10"/>
    <s v="Standard order"/>
    <x v="916"/>
    <x v="916"/>
    <s v="R059"/>
    <s v="CRYSTAL RR059"/>
    <s v="5003530"/>
    <s v="R059 ACH T20 Kabina RP"/>
    <n v="56"/>
    <n v="0"/>
    <n v="56"/>
    <x v="0"/>
    <s v="AP73"/>
    <s v="RP"/>
    <s v="387"/>
    <s v="4.0 UN"/>
    <s v="STANDARD"/>
    <s v="N"/>
    <s v="N"/>
    <s v="Y"/>
    <s v="T20"/>
    <s v="N"/>
    <s v="N"/>
    <s v="N"/>
    <s v="N"/>
    <s v="A036"/>
    <d v="2016-12-22T00:00:00"/>
    <s v="10"/>
    <s v="TAN"/>
    <s v="OR"/>
    <d v="2016-12-19T00:00:00"/>
    <s v="MI"/>
    <s v="US"/>
    <s v="ZR"/>
    <d v="2016-12-19T00:00:00"/>
  </r>
  <r>
    <x v="0"/>
    <x v="0"/>
    <x v="935"/>
    <x v="10"/>
    <s v="Standard order"/>
    <x v="916"/>
    <x v="916"/>
    <s v="G515"/>
    <s v="CRYSTAL G515"/>
    <s v="5003019"/>
    <s v="G515 ACH T20 Kabina RP"/>
    <n v="16"/>
    <n v="0"/>
    <n v="16"/>
    <x v="0"/>
    <s v="APND"/>
    <s v="RP"/>
    <s v="387"/>
    <s v="4.0 UN"/>
    <s v="STANDARD"/>
    <s v="N"/>
    <s v="N"/>
    <s v="Y"/>
    <s v="T20"/>
    <s v="N"/>
    <s v="N"/>
    <s v="N"/>
    <s v="N"/>
    <s v="A036"/>
    <d v="2016-12-22T00:00:00"/>
    <s v="20"/>
    <s v="TAN"/>
    <s v="OR"/>
    <d v="2016-12-19T00:00:00"/>
    <s v="MI"/>
    <s v="US"/>
    <s v="ZR"/>
    <d v="2016-12-19T00:00:00"/>
  </r>
  <r>
    <x v="0"/>
    <x v="4"/>
    <x v="936"/>
    <x v="15"/>
    <s v="Standard order"/>
    <x v="917"/>
    <x v="917"/>
    <s v="A399"/>
    <s v="CRYSTAL A399NT"/>
    <s v="5002935"/>
    <s v="A399 ACH T20 PB Kabina CL MP"/>
    <n v="16"/>
    <n v="0"/>
    <n v="16"/>
    <x v="4"/>
    <s v="DP71"/>
    <s v="MP"/>
    <s v="323"/>
    <s v="4.0 UN"/>
    <s v="STANDARD"/>
    <s v="N"/>
    <s v="Y"/>
    <s v="Y"/>
    <s v="T20"/>
    <s v="N"/>
    <s v="N"/>
    <s v="N"/>
    <s v="N"/>
    <s v="A043"/>
    <d v="2016-12-22T00:00:00"/>
    <s v="10"/>
    <s v="TAN"/>
    <s v="OR"/>
    <d v="2016-12-19T00:00:00"/>
    <s v="ID"/>
    <s v="US"/>
    <s v="ZR"/>
    <d v="2016-12-19T00:00:00"/>
  </r>
  <r>
    <x v="0"/>
    <x v="4"/>
    <x v="936"/>
    <x v="15"/>
    <s v="Standard order"/>
    <x v="917"/>
    <x v="917"/>
    <s v="A404"/>
    <s v="CRYSTAL A404NT"/>
    <s v="5002961"/>
    <s v="A404 ACH T20 PB Kabina CL MP"/>
    <n v="20"/>
    <n v="0"/>
    <n v="20"/>
    <x v="4"/>
    <s v="DPNE"/>
    <s v="MP"/>
    <s v="323"/>
    <s v="4.0 UN"/>
    <s v="STANDARD"/>
    <s v="N"/>
    <s v="Y"/>
    <s v="Y"/>
    <s v="T20"/>
    <s v="N"/>
    <s v="N"/>
    <s v="N"/>
    <s v="N"/>
    <s v="A043"/>
    <d v="2016-12-22T00:00:00"/>
    <s v="20"/>
    <s v="TAN"/>
    <s v="OR"/>
    <d v="2016-12-19T00:00:00"/>
    <s v="ID"/>
    <s v="US"/>
    <s v="ZR"/>
    <d v="2016-12-19T00:00:00"/>
  </r>
  <r>
    <x v="0"/>
    <x v="4"/>
    <x v="936"/>
    <x v="15"/>
    <s v="Standard order"/>
    <x v="917"/>
    <x v="917"/>
    <s v="A399"/>
    <s v="CRYSTAL A399NT"/>
    <s v="5002928"/>
    <s v="A399 ACH PB LRG"/>
    <n v="36"/>
    <n v="0"/>
    <n v="36"/>
    <x v="4"/>
    <s v="DP71"/>
    <s v="LARGE"/>
    <s v="314"/>
    <s v="4.0 UN"/>
    <s v="STANDARD"/>
    <s v="N"/>
    <s v="Y"/>
    <s v="N"/>
    <s v="N"/>
    <s v="N"/>
    <s v="N"/>
    <s v="N"/>
    <s v="N"/>
    <s v="A043"/>
    <d v="2016-12-22T00:00:00"/>
    <s v="30"/>
    <s v="TAN"/>
    <s v="OR"/>
    <d v="2016-12-19T00:00:00"/>
    <s v="ID"/>
    <s v="US"/>
    <s v="ZR"/>
    <d v="2016-12-19T00:00:00"/>
  </r>
  <r>
    <x v="0"/>
    <x v="4"/>
    <x v="936"/>
    <x v="15"/>
    <s v="Standard order"/>
    <x v="917"/>
    <x v="917"/>
    <s v="A404"/>
    <s v="CRYSTAL A404NT"/>
    <s v="5002954"/>
    <s v="A404 ACH PB LRG"/>
    <n v="36"/>
    <n v="0"/>
    <n v="36"/>
    <x v="4"/>
    <s v="DPNE"/>
    <s v="LARGE"/>
    <s v="314"/>
    <s v="4.0 UN"/>
    <s v="STANDARD"/>
    <s v="N"/>
    <s v="Y"/>
    <s v="N"/>
    <s v="N"/>
    <s v="N"/>
    <s v="N"/>
    <s v="N"/>
    <s v="N"/>
    <s v="A043"/>
    <d v="2016-12-22T00:00:00"/>
    <s v="40"/>
    <s v="TAN"/>
    <s v="OR"/>
    <d v="2016-12-19T00:00:00"/>
    <s v="ID"/>
    <s v="US"/>
    <s v="ZR"/>
    <d v="2016-12-19T00:00:00"/>
  </r>
  <r>
    <x v="0"/>
    <x v="4"/>
    <x v="937"/>
    <x v="7"/>
    <s v="Standard order"/>
    <x v="918"/>
    <x v="918"/>
    <s v="A399"/>
    <s v="CRYSTAL A399NT"/>
    <s v="5002936"/>
    <s v="A399 ACH T20 PB Kabina MP"/>
    <n v="144"/>
    <n v="0"/>
    <n v="144"/>
    <x v="4"/>
    <s v="DP71"/>
    <s v="MP"/>
    <s v="388"/>
    <s v="4.0 UN"/>
    <s v="STANDARD"/>
    <s v="N"/>
    <s v="Y"/>
    <s v="Y"/>
    <s v="T20"/>
    <s v="N"/>
    <s v="N"/>
    <s v="N"/>
    <s v="N"/>
    <s v="A045"/>
    <d v="2016-12-22T00:00:00"/>
    <s v="10"/>
    <s v="TAN"/>
    <s v="OR"/>
    <d v="2016-12-19T00:00:00"/>
    <s v="OR"/>
    <s v="US"/>
    <s v="ZR"/>
    <d v="2016-12-19T00:00:00"/>
  </r>
  <r>
    <x v="0"/>
    <x v="2"/>
    <x v="938"/>
    <x v="6"/>
    <s v="Standard order"/>
    <x v="919"/>
    <x v="919"/>
    <s v="R014"/>
    <s v="CRYSTAL RR014"/>
    <s v="5003091"/>
    <s v="R014 ACH T20 PB SYSTIVA G100"/>
    <n v="64"/>
    <n v="0"/>
    <n v="64"/>
    <x v="2"/>
    <s v="AP82"/>
    <s v="GEM 100"/>
    <s v="324"/>
    <s v="4.0 UN"/>
    <s v="STANDARD"/>
    <s v="N"/>
    <s v="Y"/>
    <s v="N"/>
    <s v="T20"/>
    <s v="Y"/>
    <s v="N"/>
    <s v="Y"/>
    <s v="N"/>
    <s v="A025"/>
    <d v="2016-12-22T00:00:00"/>
    <s v="10"/>
    <s v="TAN"/>
    <s v="OR"/>
    <d v="2016-12-19T00:00:00"/>
    <s v="NE"/>
    <s v="US"/>
    <s v="ZR"/>
    <d v="2016-12-19T00:00:00"/>
  </r>
  <r>
    <x v="0"/>
    <x v="2"/>
    <x v="938"/>
    <x v="6"/>
    <s v="Standard order"/>
    <x v="919"/>
    <x v="919"/>
    <s v="R272"/>
    <s v="CRYSTAL RR272"/>
    <s v="5003629"/>
    <s v="R272 ACH T20 PB SYSTIVA G100"/>
    <n v="68"/>
    <n v="0"/>
    <n v="68"/>
    <x v="2"/>
    <s v="DG73"/>
    <s v="GEM 100"/>
    <s v="324"/>
    <s v="4.0 UN"/>
    <s v="STANDARD"/>
    <s v="N"/>
    <s v="Y"/>
    <s v="N"/>
    <s v="T20"/>
    <s v="Y"/>
    <s v="N"/>
    <s v="Y"/>
    <s v="N"/>
    <s v="A025"/>
    <d v="2016-12-22T00:00:00"/>
    <s v="20"/>
    <s v="TAN"/>
    <s v="OR"/>
    <d v="2016-12-19T00:00:00"/>
    <s v="NE"/>
    <s v="US"/>
    <s v="ZR"/>
    <d v="2016-12-19T00:00:00"/>
  </r>
  <r>
    <x v="0"/>
    <x v="2"/>
    <x v="938"/>
    <x v="6"/>
    <s v="Standard order"/>
    <x v="919"/>
    <x v="919"/>
    <s v="W322"/>
    <s v="CRYSTAL W322NT"/>
    <s v="5003488"/>
    <s v="W322 ACH T20 PB SYSTIVA G100"/>
    <n v="40"/>
    <n v="0"/>
    <n v="40"/>
    <x v="2"/>
    <s v="EE73"/>
    <s v="GEM 100"/>
    <s v="324"/>
    <s v="4.0 UN"/>
    <s v="STANDARD"/>
    <s v="N"/>
    <s v="Y"/>
    <s v="N"/>
    <s v="T20"/>
    <s v="Y"/>
    <s v="N"/>
    <s v="Y"/>
    <s v="N"/>
    <s v="A025"/>
    <d v="2016-12-22T00:00:00"/>
    <s v="30"/>
    <s v="TAN"/>
    <s v="OR"/>
    <d v="2016-12-19T00:00:00"/>
    <s v="NE"/>
    <s v="US"/>
    <s v="ZR"/>
    <d v="2016-12-19T00:00:00"/>
  </r>
  <r>
    <x v="0"/>
    <x v="0"/>
    <x v="939"/>
    <x v="10"/>
    <s v="Standard order"/>
    <x v="920"/>
    <x v="920"/>
    <s v="R059"/>
    <s v="CRYSTAL RR059"/>
    <s v="5003530"/>
    <s v="R059 ACH T20 Kabina RP"/>
    <n v="20"/>
    <n v="0"/>
    <n v="20"/>
    <x v="0"/>
    <s v="AP73"/>
    <s v="RP"/>
    <s v="387"/>
    <s v="4.0 UN"/>
    <s v="STANDARD"/>
    <s v="N"/>
    <s v="N"/>
    <s v="Y"/>
    <s v="T20"/>
    <s v="N"/>
    <s v="N"/>
    <s v="N"/>
    <s v="N"/>
    <s v="A036"/>
    <d v="2016-12-22T00:00:00"/>
    <s v="10"/>
    <s v="TAN"/>
    <s v="OR"/>
    <d v="2016-12-19T00:00:00"/>
    <s v="MI"/>
    <s v="US"/>
    <s v="ZR"/>
    <d v="2016-12-19T00:00:00"/>
  </r>
  <r>
    <x v="0"/>
    <x v="0"/>
    <x v="940"/>
    <x v="10"/>
    <s v="Standard order"/>
    <x v="921"/>
    <x v="921"/>
    <s v="R059"/>
    <s v="CRYSTAL RR059"/>
    <s v="5003530"/>
    <s v="R059 ACH T20 Kabina RP"/>
    <n v="28"/>
    <n v="0"/>
    <n v="28"/>
    <x v="0"/>
    <s v="AP73"/>
    <s v="RP"/>
    <s v="387"/>
    <s v="4.0 UN"/>
    <s v="STANDARD"/>
    <s v="N"/>
    <s v="N"/>
    <s v="Y"/>
    <s v="T20"/>
    <s v="N"/>
    <s v="N"/>
    <s v="N"/>
    <s v="N"/>
    <s v="A036"/>
    <d v="2016-12-22T00:00:00"/>
    <s v="10"/>
    <s v="TAN"/>
    <s v="OR"/>
    <d v="2016-12-19T00:00:00"/>
    <s v="MI"/>
    <s v="US"/>
    <s v="ZR"/>
    <d v="2016-12-19T00:00:00"/>
  </r>
  <r>
    <x v="0"/>
    <x v="0"/>
    <x v="941"/>
    <x v="10"/>
    <s v="Standard order"/>
    <x v="922"/>
    <x v="922"/>
    <s v="R059"/>
    <s v="CRYSTAL RR059"/>
    <s v="5003530"/>
    <s v="R059 ACH T20 Kabina RP"/>
    <n v="12"/>
    <n v="0"/>
    <n v="12"/>
    <x v="0"/>
    <s v="AP73"/>
    <s v="RP"/>
    <s v="387"/>
    <s v="4.0 UN"/>
    <s v="STANDARD"/>
    <s v="N"/>
    <s v="N"/>
    <s v="Y"/>
    <s v="T20"/>
    <s v="N"/>
    <s v="N"/>
    <s v="N"/>
    <s v="N"/>
    <s v="A036"/>
    <d v="2016-12-22T00:00:00"/>
    <s v="10"/>
    <s v="TAN"/>
    <s v="OR"/>
    <d v="2016-12-19T00:00:00"/>
    <s v="MI"/>
    <s v="US"/>
    <s v="ZR"/>
    <d v="2016-12-19T00:00:00"/>
  </r>
  <r>
    <x v="0"/>
    <x v="0"/>
    <x v="942"/>
    <x v="10"/>
    <s v="Standard order"/>
    <x v="923"/>
    <x v="923"/>
    <s v="R059"/>
    <s v="CRYSTAL RR059"/>
    <s v="5003530"/>
    <s v="R059 ACH T20 Kabina RP"/>
    <n v="12"/>
    <n v="0"/>
    <n v="12"/>
    <x v="0"/>
    <s v="AP73"/>
    <s v="RP"/>
    <s v="387"/>
    <s v="4.0 UN"/>
    <s v="STANDARD"/>
    <s v="N"/>
    <s v="N"/>
    <s v="Y"/>
    <s v="T20"/>
    <s v="N"/>
    <s v="N"/>
    <s v="N"/>
    <s v="N"/>
    <s v="A036"/>
    <d v="2016-12-22T00:00:00"/>
    <s v="10"/>
    <s v="TAN"/>
    <s v="OR"/>
    <d v="2016-12-19T00:00:00"/>
    <s v="MI"/>
    <s v="US"/>
    <s v="ZR"/>
    <d v="2016-12-19T00:00:00"/>
  </r>
  <r>
    <x v="0"/>
    <x v="0"/>
    <x v="943"/>
    <x v="10"/>
    <s v="Standard order"/>
    <x v="924"/>
    <x v="924"/>
    <s v="R059"/>
    <s v="CRYSTAL RR059"/>
    <s v="5003530"/>
    <s v="R059 ACH T20 Kabina RP"/>
    <n v="8"/>
    <n v="0"/>
    <n v="8"/>
    <x v="0"/>
    <s v="AP73"/>
    <s v="RP"/>
    <s v="387"/>
    <s v="4.0 UN"/>
    <s v="STANDARD"/>
    <s v="N"/>
    <s v="N"/>
    <s v="Y"/>
    <s v="T20"/>
    <s v="N"/>
    <s v="N"/>
    <s v="N"/>
    <s v="N"/>
    <s v="A036"/>
    <d v="2016-12-22T00:00:00"/>
    <s v="10"/>
    <s v="TAN"/>
    <s v="OR"/>
    <d v="2016-12-19T00:00:00"/>
    <s v="MI"/>
    <s v="US"/>
    <s v="ZR"/>
    <d v="2016-12-19T00:00:00"/>
  </r>
  <r>
    <x v="0"/>
    <x v="0"/>
    <x v="944"/>
    <x v="10"/>
    <s v="Standard order"/>
    <x v="925"/>
    <x v="925"/>
    <s v="R059"/>
    <s v="CRYSTAL RR059"/>
    <s v="5003529"/>
    <s v="R059 ACH T20 Kabina MP"/>
    <n v="96"/>
    <n v="0"/>
    <n v="96"/>
    <x v="0"/>
    <s v="AP73"/>
    <s v="MP"/>
    <s v="387"/>
    <s v="4.0 UN"/>
    <s v="STANDARD"/>
    <s v="N"/>
    <s v="N"/>
    <s v="Y"/>
    <s v="T20"/>
    <s v="N"/>
    <s v="N"/>
    <s v="N"/>
    <s v="N"/>
    <s v="A036"/>
    <d v="2016-12-22T00:00:00"/>
    <s v="10"/>
    <s v="TAN"/>
    <s v="OR"/>
    <d v="2016-12-19T00:00:00"/>
    <s v="MI"/>
    <s v="US"/>
    <s v="ZR"/>
    <d v="2016-12-19T00:00:00"/>
  </r>
  <r>
    <x v="0"/>
    <x v="0"/>
    <x v="945"/>
    <x v="10"/>
    <s v="Standard order"/>
    <x v="926"/>
    <x v="926"/>
    <s v="R059"/>
    <s v="CRYSTAL RR059"/>
    <s v="5003530"/>
    <s v="R059 ACH T20 Kabina RP"/>
    <n v="8"/>
    <n v="0"/>
    <n v="8"/>
    <x v="0"/>
    <s v="AP73"/>
    <s v="RP"/>
    <s v="387"/>
    <s v="4.0 UN"/>
    <s v="STANDARD"/>
    <s v="N"/>
    <s v="N"/>
    <s v="Y"/>
    <s v="T20"/>
    <s v="N"/>
    <s v="N"/>
    <s v="N"/>
    <s v="N"/>
    <s v="A036"/>
    <d v="2016-12-22T00:00:00"/>
    <s v="10"/>
    <s v="TAN"/>
    <s v="OR"/>
    <d v="2016-12-19T00:00:00"/>
    <s v="MI"/>
    <s v="US"/>
    <s v="ZR"/>
    <d v="2016-12-19T00:00:00"/>
  </r>
  <r>
    <x v="0"/>
    <x v="0"/>
    <x v="946"/>
    <x v="10"/>
    <s v="Standard order"/>
    <x v="927"/>
    <x v="927"/>
    <s v="R059"/>
    <s v="CRYSTAL RR059"/>
    <s v="5003529"/>
    <s v="R059 ACH T20 Kabina MP"/>
    <n v="88"/>
    <n v="0"/>
    <n v="88"/>
    <x v="0"/>
    <s v="AP73"/>
    <s v="MP"/>
    <s v="387"/>
    <s v="4.0 UN"/>
    <s v="STANDARD"/>
    <s v="N"/>
    <s v="N"/>
    <s v="Y"/>
    <s v="T20"/>
    <s v="N"/>
    <s v="N"/>
    <s v="N"/>
    <s v="N"/>
    <s v="A036"/>
    <d v="2016-12-22T00:00:00"/>
    <s v="10"/>
    <s v="TAN"/>
    <s v="OR"/>
    <d v="2016-12-19T00:00:00"/>
    <s v="MI"/>
    <s v="US"/>
    <s v="ZR"/>
    <d v="2016-12-19T00:00:00"/>
  </r>
  <r>
    <x v="0"/>
    <x v="0"/>
    <x v="947"/>
    <x v="10"/>
    <s v="Standard order"/>
    <x v="928"/>
    <x v="928"/>
    <s v="R059"/>
    <s v="CRYSTAL RR059"/>
    <s v="5003529"/>
    <s v="R059 ACH T20 Kabina MP"/>
    <n v="52"/>
    <n v="0"/>
    <n v="52"/>
    <x v="0"/>
    <s v="AP73"/>
    <s v="MP"/>
    <s v="387"/>
    <s v="4.0 UN"/>
    <s v="STANDARD"/>
    <s v="N"/>
    <s v="N"/>
    <s v="Y"/>
    <s v="T20"/>
    <s v="N"/>
    <s v="N"/>
    <s v="N"/>
    <s v="N"/>
    <s v="A036"/>
    <d v="2016-12-22T00:00:00"/>
    <s v="10"/>
    <s v="TAN"/>
    <s v="OR"/>
    <d v="2016-12-19T00:00:00"/>
    <s v="MI"/>
    <s v="US"/>
    <s v="ZR"/>
    <d v="2016-12-19T00:00:00"/>
  </r>
  <r>
    <x v="0"/>
    <x v="0"/>
    <x v="948"/>
    <x v="10"/>
    <s v="Standard order"/>
    <x v="929"/>
    <x v="929"/>
    <s v="R059"/>
    <s v="CRYSTAL RR059"/>
    <s v="5003529"/>
    <s v="R059 ACH T20 Kabina MP"/>
    <n v="24"/>
    <n v="0"/>
    <n v="24"/>
    <x v="0"/>
    <s v="AP73"/>
    <s v="MP"/>
    <s v="387"/>
    <s v="4.0 UN"/>
    <s v="STANDARD"/>
    <s v="N"/>
    <s v="N"/>
    <s v="Y"/>
    <s v="T20"/>
    <s v="N"/>
    <s v="N"/>
    <s v="N"/>
    <s v="N"/>
    <s v="A036"/>
    <d v="2016-12-22T00:00:00"/>
    <s v="10"/>
    <s v="TAN"/>
    <s v="OR"/>
    <d v="2016-12-19T00:00:00"/>
    <s v="MI"/>
    <s v="US"/>
    <s v="ZR"/>
    <d v="2016-12-19T00:00:00"/>
  </r>
  <r>
    <x v="0"/>
    <x v="4"/>
    <x v="949"/>
    <x v="15"/>
    <s v="Standard order"/>
    <x v="930"/>
    <x v="930"/>
    <s v="A399"/>
    <s v="CRYSTAL A399NT"/>
    <s v="5002928"/>
    <s v="A399 ACH PB LRG"/>
    <n v="24"/>
    <n v="0"/>
    <n v="24"/>
    <x v="4"/>
    <s v="DP71"/>
    <s v="LARGE"/>
    <s v="314"/>
    <s v="4.0 UN"/>
    <s v="STANDARD"/>
    <s v="N"/>
    <s v="Y"/>
    <s v="N"/>
    <s v="N"/>
    <s v="N"/>
    <s v="N"/>
    <s v="N"/>
    <s v="N"/>
    <s v="A043"/>
    <d v="2016-12-22T00:00:00"/>
    <s v="10"/>
    <s v="TAN"/>
    <s v="OR"/>
    <d v="2016-12-19T00:00:00"/>
    <s v="ID"/>
    <s v="US"/>
    <s v="ZR"/>
    <d v="2016-12-19T00:00:00"/>
  </r>
  <r>
    <x v="0"/>
    <x v="5"/>
    <x v="950"/>
    <x v="12"/>
    <s v="Standard order"/>
    <x v="931"/>
    <x v="931"/>
    <s v="R116"/>
    <s v="CRYSTAL RR116"/>
    <s v="5003101"/>
    <s v="R116 ACH T20 PB SYSTIVA ELS"/>
    <n v="40"/>
    <n v="0"/>
    <n v="40"/>
    <x v="5"/>
    <s v="AP71"/>
    <s v="ELS"/>
    <s v="324"/>
    <s v="4.0 UN"/>
    <s v="STANDARD"/>
    <s v="N"/>
    <s v="Y"/>
    <s v="N"/>
    <s v="T20"/>
    <s v="Y"/>
    <s v="N"/>
    <s v="N"/>
    <s v="N"/>
    <s v="A014"/>
    <d v="2016-12-22T00:00:00"/>
    <s v="10"/>
    <s v="TAN"/>
    <s v="OR"/>
    <d v="2016-12-19T00:00:00"/>
    <s v="MT"/>
    <s v="US"/>
    <s v="ZR"/>
    <d v="2016-12-19T00:00:00"/>
  </r>
  <r>
    <x v="0"/>
    <x v="2"/>
    <x v="951"/>
    <x v="3"/>
    <s v="Standard order"/>
    <x v="932"/>
    <x v="932"/>
    <s v="R014"/>
    <s v="CRYSTAL RR014"/>
    <s v="5003091"/>
    <s v="R014 ACH T20 PB SYSTIVA G100"/>
    <n v="172"/>
    <n v="0"/>
    <n v="172"/>
    <x v="2"/>
    <s v="AP82"/>
    <s v="GEM 100"/>
    <s v="324"/>
    <s v="4.0 UN"/>
    <s v="STANDARD"/>
    <s v="N"/>
    <s v="Y"/>
    <s v="N"/>
    <s v="T20"/>
    <s v="Y"/>
    <s v="N"/>
    <s v="Y"/>
    <s v="N"/>
    <s v="A024"/>
    <d v="2016-12-22T00:00:00"/>
    <s v="10"/>
    <s v="TAN"/>
    <s v="OR"/>
    <d v="2016-12-19T00:00:00"/>
    <s v="NE"/>
    <s v="US"/>
    <s v="ZR"/>
    <d v="2016-12-19T00:00:00"/>
  </r>
  <r>
    <x v="0"/>
    <x v="2"/>
    <x v="951"/>
    <x v="3"/>
    <s v="Standard order"/>
    <x v="932"/>
    <x v="932"/>
    <s v="W322"/>
    <s v="CRYSTAL W322NT"/>
    <s v="5003488"/>
    <s v="W322 ACH T20 PB SYSTIVA G100"/>
    <n v="68"/>
    <n v="0"/>
    <n v="68"/>
    <x v="2"/>
    <s v="EE73"/>
    <s v="GEM 100"/>
    <s v="324"/>
    <s v="4.0 UN"/>
    <s v="STANDARD"/>
    <s v="N"/>
    <s v="Y"/>
    <s v="N"/>
    <s v="T20"/>
    <s v="Y"/>
    <s v="N"/>
    <s v="Y"/>
    <s v="N"/>
    <s v="A024"/>
    <d v="2016-12-22T00:00:00"/>
    <s v="20"/>
    <s v="TAN"/>
    <s v="OR"/>
    <d v="2016-12-19T00:00:00"/>
    <s v="NE"/>
    <s v="US"/>
    <s v="ZR"/>
    <d v="2016-12-19T00:00:00"/>
  </r>
  <r>
    <x v="0"/>
    <x v="0"/>
    <x v="952"/>
    <x v="4"/>
    <s v="Standard order"/>
    <x v="933"/>
    <x v="933"/>
    <s v="R059"/>
    <s v="CRYSTAL RR059"/>
    <s v="5003535"/>
    <s v="R059 ACH T20 SYSTIVA MP"/>
    <n v="48"/>
    <n v="0"/>
    <n v="48"/>
    <x v="0"/>
    <s v="AP73"/>
    <s v="MP"/>
    <s v="328"/>
    <s v="4.0 UN"/>
    <s v="STANDARD"/>
    <s v="N"/>
    <s v="N"/>
    <s v="N"/>
    <s v="T20"/>
    <s v="Y"/>
    <s v="N"/>
    <s v="Y"/>
    <s v="N"/>
    <s v="A035"/>
    <d v="2016-12-22T00:00:00"/>
    <s v="10"/>
    <s v="TAN"/>
    <s v="OR"/>
    <d v="2016-12-19T00:00:00"/>
    <s v="MI"/>
    <s v="US"/>
    <s v="ZR"/>
    <d v="2016-12-19T00:00:00"/>
  </r>
  <r>
    <x v="0"/>
    <x v="0"/>
    <x v="952"/>
    <x v="4"/>
    <s v="Standard order"/>
    <x v="933"/>
    <x v="933"/>
    <s v="G515"/>
    <s v="CRYSTAL G515"/>
    <s v="5003018"/>
    <s v="G515 ACH T20 Kabina MP"/>
    <n v="24"/>
    <n v="0"/>
    <n v="24"/>
    <x v="0"/>
    <s v="APND"/>
    <s v="MP"/>
    <s v="387"/>
    <s v="4.0 UN"/>
    <s v="STANDARD"/>
    <s v="N"/>
    <s v="N"/>
    <s v="Y"/>
    <s v="T20"/>
    <s v="N"/>
    <s v="N"/>
    <s v="N"/>
    <s v="N"/>
    <s v="A035"/>
    <d v="2016-12-22T00:00:00"/>
    <s v="20"/>
    <s v="TAN"/>
    <s v="OR"/>
    <d v="2016-12-19T00:00:00"/>
    <s v="MI"/>
    <s v="US"/>
    <s v="ZR"/>
    <d v="2016-12-19T00:00:00"/>
  </r>
  <r>
    <x v="0"/>
    <x v="0"/>
    <x v="953"/>
    <x v="4"/>
    <s v="Standard order"/>
    <x v="934"/>
    <x v="934"/>
    <s v="R059"/>
    <s v="CRYSTAL RR059"/>
    <s v="5003528"/>
    <s v="R059 ACH T20 Kabina ELS"/>
    <n v="68"/>
    <n v="0"/>
    <n v="68"/>
    <x v="0"/>
    <s v="AP73"/>
    <s v="ELS"/>
    <s v="387"/>
    <s v="4.0 UN"/>
    <s v="STANDARD"/>
    <s v="N"/>
    <s v="N"/>
    <s v="Y"/>
    <s v="T20"/>
    <s v="N"/>
    <s v="N"/>
    <s v="N"/>
    <s v="N"/>
    <s v="A035"/>
    <d v="2016-12-22T00:00:00"/>
    <s v="10"/>
    <s v="TAN"/>
    <s v="OR"/>
    <d v="2016-12-19T00:00:00"/>
    <s v="MI"/>
    <s v="US"/>
    <s v="ZR"/>
    <d v="2016-12-19T00:00:00"/>
  </r>
  <r>
    <x v="0"/>
    <x v="0"/>
    <x v="953"/>
    <x v="4"/>
    <s v="Standard order"/>
    <x v="934"/>
    <x v="934"/>
    <s v="G333"/>
    <s v="CRYSTAL G333NT"/>
    <s v="5003376"/>
    <s v="G333 ACH T20 Kabina ELS"/>
    <n v="28"/>
    <n v="0"/>
    <n v="28"/>
    <x v="0"/>
    <s v="EE73"/>
    <s v="ELS"/>
    <s v="387"/>
    <s v="4.0 UN"/>
    <s v="STANDARD"/>
    <s v="N"/>
    <s v="N"/>
    <s v="Y"/>
    <s v="T20"/>
    <s v="N"/>
    <s v="N"/>
    <s v="N"/>
    <s v="N"/>
    <s v="A035"/>
    <d v="2016-12-22T00:00:00"/>
    <s v="20"/>
    <s v="TAN"/>
    <s v="OR"/>
    <d v="2016-12-19T00:00:00"/>
    <s v="MI"/>
    <s v="US"/>
    <s v="ZR"/>
    <d v="2016-12-19T00:00:00"/>
  </r>
  <r>
    <x v="0"/>
    <x v="0"/>
    <x v="953"/>
    <x v="4"/>
    <s v="Standard order"/>
    <x v="934"/>
    <x v="934"/>
    <s v="G515"/>
    <s v="CRYSTAL G515"/>
    <s v="5003017"/>
    <s v="G515 ACH T20 Kabina ELS"/>
    <n v="16"/>
    <n v="0"/>
    <n v="16"/>
    <x v="0"/>
    <s v="APND"/>
    <s v="ELS"/>
    <s v="387"/>
    <s v="4.0 UN"/>
    <s v="STANDARD"/>
    <s v="N"/>
    <s v="N"/>
    <s v="Y"/>
    <s v="T20"/>
    <s v="N"/>
    <s v="N"/>
    <s v="N"/>
    <s v="N"/>
    <s v="A035"/>
    <d v="2016-12-22T00:00:00"/>
    <s v="30"/>
    <s v="TAN"/>
    <s v="OR"/>
    <d v="2016-12-19T00:00:00"/>
    <s v="MI"/>
    <s v="US"/>
    <s v="ZR"/>
    <d v="2016-12-19T00:00:00"/>
  </r>
  <r>
    <x v="0"/>
    <x v="4"/>
    <x v="954"/>
    <x v="15"/>
    <s v="Standard order"/>
    <x v="935"/>
    <x v="935"/>
    <s v="A399"/>
    <s v="CRYSTAL A399NT"/>
    <s v="5002929"/>
    <s v="A399 ACH PB MED"/>
    <n v="40"/>
    <n v="0"/>
    <n v="40"/>
    <x v="4"/>
    <s v="DP71"/>
    <s v="MEDIUM"/>
    <s v="314"/>
    <s v="4.0 UN"/>
    <s v="STANDARD"/>
    <s v="N"/>
    <s v="Y"/>
    <s v="N"/>
    <s v="N"/>
    <s v="N"/>
    <s v="N"/>
    <s v="N"/>
    <s v="N"/>
    <s v="A043"/>
    <d v="2016-12-22T00:00:00"/>
    <s v="10"/>
    <s v="TAN"/>
    <s v="OR"/>
    <d v="2016-12-19T00:00:00"/>
    <s v="ID"/>
    <s v="US"/>
    <s v="ZR"/>
    <d v="2016-12-19T00:00:00"/>
  </r>
  <r>
    <x v="0"/>
    <x v="4"/>
    <x v="954"/>
    <x v="15"/>
    <s v="Standard order"/>
    <x v="935"/>
    <x v="935"/>
    <s v="A404"/>
    <s v="CRYSTAL A404NT"/>
    <s v="5002955"/>
    <s v="A404 ACH PB MED"/>
    <n v="84"/>
    <n v="0"/>
    <n v="84"/>
    <x v="4"/>
    <s v="DPNE"/>
    <s v="MEDIUM"/>
    <s v="314"/>
    <s v="4.0 UN"/>
    <s v="STANDARD"/>
    <s v="N"/>
    <s v="Y"/>
    <s v="N"/>
    <s v="N"/>
    <s v="N"/>
    <s v="N"/>
    <s v="N"/>
    <s v="N"/>
    <s v="A043"/>
    <d v="2016-12-22T00:00:00"/>
    <s v="20"/>
    <s v="TAN"/>
    <s v="OR"/>
    <d v="2016-12-19T00:00:00"/>
    <s v="ID"/>
    <s v="US"/>
    <s v="ZR"/>
    <d v="2016-12-19T00:00:00"/>
  </r>
  <r>
    <x v="0"/>
    <x v="2"/>
    <x v="955"/>
    <x v="3"/>
    <s v="Standard order"/>
    <x v="936"/>
    <x v="936"/>
    <s v="R014"/>
    <s v="CRYSTAL RR014"/>
    <s v="5003091"/>
    <s v="R014 ACH T20 PB SYSTIVA G100"/>
    <n v="144"/>
    <n v="0"/>
    <n v="144"/>
    <x v="2"/>
    <s v="AP82"/>
    <s v="GEM 100"/>
    <s v="324"/>
    <s v="4.0 UN"/>
    <s v="STANDARD"/>
    <s v="N"/>
    <s v="Y"/>
    <s v="N"/>
    <s v="T20"/>
    <s v="Y"/>
    <s v="N"/>
    <s v="Y"/>
    <s v="N"/>
    <s v="A024"/>
    <d v="2016-12-22T00:00:00"/>
    <s v="10"/>
    <s v="TAN"/>
    <s v="OR"/>
    <d v="2016-12-19T00:00:00"/>
    <s v="NE"/>
    <s v="US"/>
    <s v="ZR"/>
    <d v="2016-12-19T00:00:00"/>
  </r>
  <r>
    <x v="0"/>
    <x v="0"/>
    <x v="956"/>
    <x v="10"/>
    <s v="Standard order"/>
    <x v="937"/>
    <x v="937"/>
    <s v="R059"/>
    <s v="CRYSTAL RR059"/>
    <s v="5003529"/>
    <s v="R059 ACH T20 Kabina MP"/>
    <n v="24"/>
    <n v="0"/>
    <n v="24"/>
    <x v="0"/>
    <s v="AP73"/>
    <s v="MP"/>
    <s v="387"/>
    <s v="4.0 UN"/>
    <s v="STANDARD"/>
    <s v="N"/>
    <s v="N"/>
    <s v="Y"/>
    <s v="T20"/>
    <s v="N"/>
    <s v="N"/>
    <s v="N"/>
    <s v="N"/>
    <s v="A036"/>
    <d v="2016-12-22T00:00:00"/>
    <s v="10"/>
    <s v="TAN"/>
    <s v="OR"/>
    <d v="2016-12-19T00:00:00"/>
    <s v="MI"/>
    <s v="US"/>
    <s v="ZR"/>
    <d v="2016-12-19T00:00:00"/>
  </r>
  <r>
    <x v="0"/>
    <x v="0"/>
    <x v="956"/>
    <x v="10"/>
    <s v="Standard order"/>
    <x v="937"/>
    <x v="937"/>
    <s v="G515"/>
    <s v="CRYSTAL G515"/>
    <s v="5003018"/>
    <s v="G515 ACH T20 Kabina MP"/>
    <n v="12"/>
    <n v="0"/>
    <n v="12"/>
    <x v="0"/>
    <s v="APND"/>
    <s v="MP"/>
    <s v="387"/>
    <s v="4.0 UN"/>
    <s v="STANDARD"/>
    <s v="N"/>
    <s v="N"/>
    <s v="Y"/>
    <s v="T20"/>
    <s v="N"/>
    <s v="N"/>
    <s v="N"/>
    <s v="N"/>
    <s v="A036"/>
    <d v="2016-12-22T00:00:00"/>
    <s v="20"/>
    <s v="TAN"/>
    <s v="OR"/>
    <d v="2016-12-19T00:00:00"/>
    <s v="MI"/>
    <s v="US"/>
    <s v="ZR"/>
    <d v="2016-12-19T00:00:00"/>
  </r>
  <r>
    <x v="0"/>
    <x v="0"/>
    <x v="957"/>
    <x v="10"/>
    <s v="Standard order"/>
    <x v="938"/>
    <x v="938"/>
    <s v="R059"/>
    <s v="CRYSTAL RR059"/>
    <s v="5003529"/>
    <s v="R059 ACH T20 Kabina MP"/>
    <n v="56"/>
    <n v="0"/>
    <n v="56"/>
    <x v="0"/>
    <s v="AP73"/>
    <s v="MP"/>
    <s v="387"/>
    <s v="4.0 UN"/>
    <s v="STANDARD"/>
    <s v="N"/>
    <s v="N"/>
    <s v="Y"/>
    <s v="T20"/>
    <s v="N"/>
    <s v="N"/>
    <s v="N"/>
    <s v="N"/>
    <s v="A036"/>
    <d v="2016-12-22T00:00:00"/>
    <s v="10"/>
    <s v="TAN"/>
    <s v="OR"/>
    <d v="2016-12-19T00:00:00"/>
    <s v="MI"/>
    <s v="US"/>
    <s v="ZR"/>
    <d v="2016-12-19T00:00:00"/>
  </r>
  <r>
    <x v="0"/>
    <x v="0"/>
    <x v="957"/>
    <x v="10"/>
    <s v="Standard order"/>
    <x v="938"/>
    <x v="938"/>
    <s v="G333"/>
    <s v="CRYSTAL G333NT"/>
    <s v="5003377"/>
    <s v="G333 ACH T20 Kabina MP"/>
    <n v="8"/>
    <n v="0"/>
    <n v="8"/>
    <x v="0"/>
    <s v="EE73"/>
    <s v="MP"/>
    <s v="387"/>
    <s v="4.0 UN"/>
    <s v="STANDARD"/>
    <s v="N"/>
    <s v="N"/>
    <s v="Y"/>
    <s v="T20"/>
    <s v="N"/>
    <s v="N"/>
    <s v="N"/>
    <s v="N"/>
    <s v="A036"/>
    <d v="2016-12-22T00:00:00"/>
    <s v="20"/>
    <s v="TAN"/>
    <s v="OR"/>
    <d v="2016-12-19T00:00:00"/>
    <s v="MI"/>
    <s v="US"/>
    <s v="ZR"/>
    <d v="2016-12-19T00:00:00"/>
  </r>
  <r>
    <x v="0"/>
    <x v="0"/>
    <x v="958"/>
    <x v="10"/>
    <s v="Standard order"/>
    <x v="939"/>
    <x v="939"/>
    <s v="R059"/>
    <s v="CRYSTAL RR059"/>
    <s v="5003536"/>
    <s v="R059 ACH T20 SYSTIVA RP"/>
    <n v="16"/>
    <n v="0"/>
    <n v="16"/>
    <x v="0"/>
    <s v="AP73"/>
    <s v="RP"/>
    <s v="328"/>
    <s v="4.0 UN"/>
    <s v="STANDARD"/>
    <s v="N"/>
    <s v="N"/>
    <s v="N"/>
    <s v="T20"/>
    <s v="Y"/>
    <s v="N"/>
    <s v="Y"/>
    <s v="N"/>
    <s v="A036"/>
    <d v="2016-12-22T00:00:00"/>
    <s v="10"/>
    <s v="TAN"/>
    <s v="OR"/>
    <d v="2016-12-19T00:00:00"/>
    <s v="MI"/>
    <s v="US"/>
    <s v="ZR"/>
    <d v="2016-12-19T00:00:00"/>
  </r>
  <r>
    <x v="0"/>
    <x v="0"/>
    <x v="959"/>
    <x v="10"/>
    <s v="Standard order"/>
    <x v="940"/>
    <x v="940"/>
    <s v="R059"/>
    <s v="CRYSTAL RR059"/>
    <s v="5003530"/>
    <s v="R059 ACH T20 Kabina RP"/>
    <n v="36"/>
    <n v="0"/>
    <n v="36"/>
    <x v="0"/>
    <s v="AP73"/>
    <s v="RP"/>
    <s v="387"/>
    <s v="4.0 UN"/>
    <s v="STANDARD"/>
    <s v="N"/>
    <s v="N"/>
    <s v="Y"/>
    <s v="T20"/>
    <s v="N"/>
    <s v="N"/>
    <s v="N"/>
    <s v="N"/>
    <s v="A036"/>
    <d v="2016-12-22T00:00:00"/>
    <s v="10"/>
    <s v="TAN"/>
    <s v="OR"/>
    <d v="2016-12-19T00:00:00"/>
    <s v="MI"/>
    <s v="US"/>
    <s v="ZR"/>
    <d v="2016-12-19T00:00:00"/>
  </r>
  <r>
    <x v="0"/>
    <x v="4"/>
    <x v="960"/>
    <x v="7"/>
    <s v="Standard order"/>
    <x v="941"/>
    <x v="941"/>
    <s v="A404"/>
    <s v="CRYSTAL A404NT"/>
    <s v="5002954"/>
    <s v="A404 ACH PB LRG"/>
    <n v="64"/>
    <n v="0"/>
    <n v="64"/>
    <x v="4"/>
    <s v="DPNE"/>
    <s v="LARGE"/>
    <s v="314"/>
    <s v="4.0 UN"/>
    <s v="STANDARD"/>
    <s v="N"/>
    <s v="Y"/>
    <s v="N"/>
    <s v="N"/>
    <s v="N"/>
    <s v="N"/>
    <s v="N"/>
    <s v="N"/>
    <s v="A045"/>
    <d v="2016-12-22T00:00:00"/>
    <s v="10"/>
    <s v="TAN"/>
    <s v="OR"/>
    <d v="2016-12-19T00:00:00"/>
    <s v="OR"/>
    <s v="US"/>
    <s v="ZR"/>
    <d v="2016-12-19T00:00:00"/>
  </r>
  <r>
    <x v="0"/>
    <x v="0"/>
    <x v="961"/>
    <x v="4"/>
    <s v="Standard order"/>
    <x v="942"/>
    <x v="942"/>
    <s v="G515"/>
    <s v="CRYSTAL G515"/>
    <s v="5003019"/>
    <s v="G515 ACH T20 Kabina RP"/>
    <n v="24"/>
    <n v="0"/>
    <n v="24"/>
    <x v="0"/>
    <s v="APND"/>
    <s v="RP"/>
    <s v="387"/>
    <s v="4.0 UN"/>
    <s v="STANDARD"/>
    <s v="N"/>
    <s v="N"/>
    <s v="Y"/>
    <s v="T20"/>
    <s v="N"/>
    <s v="N"/>
    <s v="N"/>
    <s v="N"/>
    <s v="A035"/>
    <d v="2016-12-22T00:00:00"/>
    <s v="10"/>
    <s v="TAN"/>
    <s v="OR"/>
    <d v="2016-12-19T00:00:00"/>
    <s v="MI"/>
    <s v="US"/>
    <s v="ZR"/>
    <d v="2016-12-19T00:00:00"/>
  </r>
  <r>
    <x v="0"/>
    <x v="0"/>
    <x v="961"/>
    <x v="4"/>
    <s v="Standard order"/>
    <x v="942"/>
    <x v="942"/>
    <s v="R059"/>
    <s v="CRYSTAL RR059"/>
    <s v="5003530"/>
    <s v="R059 ACH T20 Kabina RP"/>
    <n v="188"/>
    <n v="0"/>
    <n v="188"/>
    <x v="0"/>
    <s v="AP73"/>
    <s v="RP"/>
    <s v="387"/>
    <s v="4.0 UN"/>
    <s v="STANDARD"/>
    <s v="N"/>
    <s v="N"/>
    <s v="Y"/>
    <s v="T20"/>
    <s v="N"/>
    <s v="N"/>
    <s v="N"/>
    <s v="N"/>
    <s v="A035"/>
    <d v="2016-12-22T00:00:00"/>
    <s v="20"/>
    <s v="TAN"/>
    <s v="OR"/>
    <d v="2016-12-19T00:00:00"/>
    <s v="MI"/>
    <s v="US"/>
    <s v="ZR"/>
    <d v="2016-12-19T00:00:00"/>
  </r>
  <r>
    <x v="0"/>
    <x v="2"/>
    <x v="962"/>
    <x v="6"/>
    <s v="Standard order"/>
    <x v="943"/>
    <x v="943"/>
    <s v="R014"/>
    <s v="CRYSTAL RR014"/>
    <s v="5003090"/>
    <s v="R014 ACH T20 PB SYSTIVA ELS"/>
    <n v="44"/>
    <n v="0"/>
    <n v="44"/>
    <x v="2"/>
    <s v="AP82"/>
    <s v="ELS"/>
    <s v="324"/>
    <s v="4.0 UN"/>
    <s v="STANDARD"/>
    <s v="N"/>
    <s v="Y"/>
    <s v="N"/>
    <s v="T20"/>
    <s v="Y"/>
    <s v="N"/>
    <s v="Y"/>
    <s v="N"/>
    <s v="A025"/>
    <d v="2016-12-22T00:00:00"/>
    <s v="10"/>
    <s v="TAN"/>
    <s v="OR"/>
    <d v="2016-12-19T00:00:00"/>
    <s v="NE"/>
    <s v="US"/>
    <s v="ZR"/>
    <d v="2016-12-19T00:00:00"/>
  </r>
  <r>
    <x v="0"/>
    <x v="2"/>
    <x v="963"/>
    <x v="3"/>
    <s v="Standard order"/>
    <x v="944"/>
    <x v="944"/>
    <s v="R014"/>
    <s v="CRYSTAL RR014"/>
    <s v="5003091"/>
    <s v="R014 ACH T20 PB SYSTIVA G100"/>
    <n v="32"/>
    <n v="0"/>
    <n v="32"/>
    <x v="2"/>
    <s v="AP82"/>
    <s v="GEM 100"/>
    <s v="324"/>
    <s v="4.0 UN"/>
    <s v="STANDARD"/>
    <s v="N"/>
    <s v="Y"/>
    <s v="N"/>
    <s v="T20"/>
    <s v="Y"/>
    <s v="N"/>
    <s v="Y"/>
    <s v="N"/>
    <s v="A024"/>
    <d v="2016-12-22T00:00:00"/>
    <s v="10"/>
    <s v="TAN"/>
    <s v="OR"/>
    <d v="2016-12-19T00:00:00"/>
    <s v="NE"/>
    <s v="US"/>
    <s v="ZR"/>
    <d v="2016-12-19T00:00:00"/>
  </r>
  <r>
    <x v="0"/>
    <x v="0"/>
    <x v="964"/>
    <x v="4"/>
    <s v="Standard order"/>
    <x v="945"/>
    <x v="945"/>
    <s v="G515"/>
    <s v="CRYSTAL G515"/>
    <s v="5003019"/>
    <s v="G515 ACH T20 Kabina RP"/>
    <n v="24"/>
    <n v="0"/>
    <n v="24"/>
    <x v="0"/>
    <s v="APND"/>
    <s v="RP"/>
    <s v="387"/>
    <s v="4.0 UN"/>
    <s v="STANDARD"/>
    <s v="N"/>
    <s v="N"/>
    <s v="Y"/>
    <s v="T20"/>
    <s v="N"/>
    <s v="N"/>
    <s v="N"/>
    <s v="N"/>
    <s v="A035"/>
    <d v="2016-12-22T00:00:00"/>
    <s v="20"/>
    <s v="TAN"/>
    <s v="OR"/>
    <d v="2016-12-19T00:00:00"/>
    <s v="MI"/>
    <s v="US"/>
    <s v="ZR"/>
    <d v="2016-12-19T00:00:00"/>
  </r>
  <r>
    <x v="0"/>
    <x v="0"/>
    <x v="964"/>
    <x v="4"/>
    <s v="Standard order"/>
    <x v="945"/>
    <x v="945"/>
    <s v="R059"/>
    <s v="CRYSTAL RR059"/>
    <s v="5003530"/>
    <s v="R059 ACH T20 Kabina RP"/>
    <n v="100"/>
    <n v="0"/>
    <n v="100"/>
    <x v="0"/>
    <s v="AP73"/>
    <s v="RP"/>
    <s v="387"/>
    <s v="4.0 UN"/>
    <s v="STANDARD"/>
    <s v="N"/>
    <s v="N"/>
    <s v="Y"/>
    <s v="T20"/>
    <s v="N"/>
    <s v="N"/>
    <s v="N"/>
    <s v="N"/>
    <s v="A035"/>
    <d v="2016-12-22T00:00:00"/>
    <s v="10"/>
    <s v="TAN"/>
    <s v="OR"/>
    <d v="2016-12-19T00:00:00"/>
    <s v="MI"/>
    <s v="US"/>
    <s v="ZR"/>
    <d v="2016-12-19T00:00:00"/>
  </r>
  <r>
    <x v="0"/>
    <x v="0"/>
    <x v="965"/>
    <x v="10"/>
    <s v="Standard order"/>
    <x v="946"/>
    <x v="946"/>
    <s v="G351"/>
    <s v="CRYSTAL G351NT"/>
    <s v="5003396"/>
    <s v="G351 ACH T20 Kabina ELS"/>
    <n v="12"/>
    <n v="0"/>
    <n v="12"/>
    <x v="0"/>
    <s v="DA73"/>
    <s v="ELS"/>
    <s v="387"/>
    <s v="4.0 UN"/>
    <s v="STANDARD"/>
    <s v="N"/>
    <s v="N"/>
    <s v="Y"/>
    <s v="T20"/>
    <s v="N"/>
    <s v="N"/>
    <s v="N"/>
    <s v="N"/>
    <s v="A036"/>
    <d v="2016-12-22T00:00:00"/>
    <s v="10"/>
    <s v="TAN"/>
    <s v="OR"/>
    <d v="2016-12-19T00:00:00"/>
    <s v="MI"/>
    <s v="US"/>
    <s v="ZR"/>
    <d v="2016-12-19T00:00:00"/>
  </r>
  <r>
    <x v="0"/>
    <x v="0"/>
    <x v="965"/>
    <x v="10"/>
    <s v="Standard order"/>
    <x v="946"/>
    <x v="946"/>
    <s v="R059"/>
    <s v="CRYSTAL RR059"/>
    <s v="5003528"/>
    <s v="R059 ACH T20 Kabina ELS"/>
    <n v="16"/>
    <n v="0"/>
    <n v="16"/>
    <x v="0"/>
    <s v="AP73"/>
    <s v="ELS"/>
    <s v="387"/>
    <s v="4.0 UN"/>
    <s v="STANDARD"/>
    <s v="N"/>
    <s v="N"/>
    <s v="Y"/>
    <s v="T20"/>
    <s v="N"/>
    <s v="N"/>
    <s v="N"/>
    <s v="N"/>
    <s v="A036"/>
    <d v="2016-12-22T00:00:00"/>
    <s v="20"/>
    <s v="TAN"/>
    <s v="OR"/>
    <d v="2016-12-19T00:00:00"/>
    <s v="MI"/>
    <s v="US"/>
    <s v="ZR"/>
    <d v="2016-12-19T00:00:00"/>
  </r>
  <r>
    <x v="0"/>
    <x v="4"/>
    <x v="966"/>
    <x v="16"/>
    <s v="Standard order"/>
    <x v="947"/>
    <x v="947"/>
    <s v="A399"/>
    <s v="CRYSTAL A399NT"/>
    <s v="5002928"/>
    <s v="A399 ACH PB LRG"/>
    <n v="52"/>
    <n v="0"/>
    <n v="52"/>
    <x v="4"/>
    <s v="DP71"/>
    <s v="LARGE"/>
    <s v="314"/>
    <s v="4.0 UN"/>
    <s v="STANDARD"/>
    <s v="N"/>
    <s v="Y"/>
    <s v="N"/>
    <s v="N"/>
    <s v="N"/>
    <s v="N"/>
    <s v="N"/>
    <s v="N"/>
    <s v="A042"/>
    <d v="2016-12-22T00:00:00"/>
    <s v="10"/>
    <s v="TAN"/>
    <s v="OR"/>
    <d v="2016-12-19T00:00:00"/>
    <s v="ID"/>
    <s v="US"/>
    <s v="ZR"/>
    <d v="2016-12-19T00:00:00"/>
  </r>
  <r>
    <x v="0"/>
    <x v="0"/>
    <x v="967"/>
    <x v="0"/>
    <s v="Standard order"/>
    <x v="948"/>
    <x v="948"/>
    <s v="R059"/>
    <s v="CRYSTAL RR059"/>
    <s v="5003518"/>
    <s v="R059 ACH CM Vibrance RP"/>
    <n v="12"/>
    <n v="0"/>
    <n v="12"/>
    <x v="0"/>
    <s v="AP73"/>
    <s v="RP"/>
    <s v="393"/>
    <s v="4.0 UN"/>
    <s v="STANDARD"/>
    <s v="Y"/>
    <s v="N"/>
    <s v="N"/>
    <s v="N"/>
    <s v="N"/>
    <s v="N"/>
    <s v="N"/>
    <s v="Y"/>
    <s v="A037"/>
    <d v="2016-12-22T00:00:00"/>
    <s v="10"/>
    <s v="TAN"/>
    <s v="OR"/>
    <d v="2016-12-19T00:00:00"/>
    <s v="ON"/>
    <s v="CA"/>
    <s v="ZR"/>
    <d v="2016-12-19T00:00:00"/>
  </r>
  <r>
    <x v="0"/>
    <x v="0"/>
    <x v="967"/>
    <x v="0"/>
    <s v="Standard order"/>
    <x v="948"/>
    <x v="948"/>
    <s v="G515"/>
    <s v="CRYSTAL G515"/>
    <s v="5003007"/>
    <s v="G515 ACH CM Vibrance RP"/>
    <n v="4"/>
    <n v="0"/>
    <n v="4"/>
    <x v="0"/>
    <s v="APND"/>
    <s v="RP"/>
    <s v="393"/>
    <s v="4.0 UN"/>
    <s v="STANDARD"/>
    <s v="Y"/>
    <s v="N"/>
    <s v="N"/>
    <s v="N"/>
    <s v="N"/>
    <s v="N"/>
    <s v="N"/>
    <s v="Y"/>
    <s v="A037"/>
    <d v="2016-12-22T00:00:00"/>
    <s v="20"/>
    <s v="TAN"/>
    <s v="OR"/>
    <d v="2016-12-19T00:00:00"/>
    <s v="ON"/>
    <s v="CA"/>
    <s v="ZR"/>
    <d v="2016-12-19T00:00:00"/>
  </r>
  <r>
    <x v="0"/>
    <x v="0"/>
    <x v="968"/>
    <x v="0"/>
    <s v="Standard order"/>
    <x v="949"/>
    <x v="949"/>
    <s v="R059"/>
    <s v="CRYSTAL RR059"/>
    <s v="5003518"/>
    <s v="R059 ACH CM Vibrance RP"/>
    <n v="124"/>
    <n v="0"/>
    <n v="124"/>
    <x v="0"/>
    <s v="AP73"/>
    <s v="RP"/>
    <s v="393"/>
    <s v="4.0 UN"/>
    <s v="STANDARD"/>
    <s v="Y"/>
    <s v="N"/>
    <s v="N"/>
    <s v="N"/>
    <s v="N"/>
    <s v="N"/>
    <s v="N"/>
    <s v="Y"/>
    <s v="A037"/>
    <d v="2016-12-22T00:00:00"/>
    <s v="10"/>
    <s v="TAN"/>
    <s v="OR"/>
    <d v="2016-12-19T00:00:00"/>
    <s v="ON"/>
    <s v="CA"/>
    <s v="ZR"/>
    <d v="2016-12-19T00:00:00"/>
  </r>
  <r>
    <x v="0"/>
    <x v="0"/>
    <x v="968"/>
    <x v="0"/>
    <s v="Standard order"/>
    <x v="949"/>
    <x v="949"/>
    <s v="G515"/>
    <s v="CRYSTAL G515"/>
    <s v="5003007"/>
    <s v="G515 ACH CM Vibrance RP"/>
    <n v="40"/>
    <n v="0"/>
    <n v="40"/>
    <x v="0"/>
    <s v="APND"/>
    <s v="RP"/>
    <s v="393"/>
    <s v="4.0 UN"/>
    <s v="STANDARD"/>
    <s v="Y"/>
    <s v="N"/>
    <s v="N"/>
    <s v="N"/>
    <s v="N"/>
    <s v="N"/>
    <s v="N"/>
    <s v="Y"/>
    <s v="A037"/>
    <d v="2016-12-22T00:00:00"/>
    <s v="20"/>
    <s v="TAN"/>
    <s v="OR"/>
    <d v="2016-12-19T00:00:00"/>
    <s v="ON"/>
    <s v="CA"/>
    <s v="ZR"/>
    <d v="2016-12-19T00:00:00"/>
  </r>
  <r>
    <x v="0"/>
    <x v="0"/>
    <x v="969"/>
    <x v="4"/>
    <s v="Standard order"/>
    <x v="950"/>
    <x v="950"/>
    <s v="R059"/>
    <s v="CRYSTAL RR059"/>
    <s v="5003536"/>
    <s v="R059 ACH T20 SYSTIVA RP"/>
    <n v="56"/>
    <n v="0"/>
    <n v="56"/>
    <x v="0"/>
    <s v="AP73"/>
    <s v="RP"/>
    <s v="328"/>
    <s v="4.0 UN"/>
    <s v="STANDARD"/>
    <s v="N"/>
    <s v="N"/>
    <s v="N"/>
    <s v="T20"/>
    <s v="Y"/>
    <s v="N"/>
    <s v="Y"/>
    <s v="N"/>
    <s v="A035"/>
    <d v="2016-12-22T00:00:00"/>
    <s v="10"/>
    <s v="TAN"/>
    <s v="OR"/>
    <d v="2016-12-19T00:00:00"/>
    <s v="MI"/>
    <s v="US"/>
    <s v="ZR"/>
    <d v="2016-12-19T00:00:00"/>
  </r>
  <r>
    <x v="0"/>
    <x v="0"/>
    <x v="970"/>
    <x v="10"/>
    <s v="Standard order"/>
    <x v="951"/>
    <x v="951"/>
    <s v="R059"/>
    <s v="CRYSTAL RR059"/>
    <s v="5003530"/>
    <s v="R059 ACH T20 Kabina RP"/>
    <n v="32"/>
    <n v="0"/>
    <n v="32"/>
    <x v="0"/>
    <s v="AP73"/>
    <s v="RP"/>
    <s v="387"/>
    <s v="4.0 UN"/>
    <s v="STANDARD"/>
    <s v="N"/>
    <s v="N"/>
    <s v="Y"/>
    <s v="T20"/>
    <s v="N"/>
    <s v="N"/>
    <s v="N"/>
    <s v="N"/>
    <s v="A036"/>
    <d v="2016-12-22T00:00:00"/>
    <s v="10"/>
    <s v="TAN"/>
    <s v="OR"/>
    <d v="2016-12-19T00:00:00"/>
    <s v="MI"/>
    <s v="US"/>
    <s v="ZR"/>
    <d v="2016-12-19T00:00:00"/>
  </r>
  <r>
    <x v="0"/>
    <x v="4"/>
    <x v="971"/>
    <x v="7"/>
    <s v="Standard order"/>
    <x v="952"/>
    <x v="952"/>
    <s v="R081"/>
    <s v="CRYSTAL RR081"/>
    <s v="5003572"/>
    <s v="R081 ACH T20 PB MP IDH"/>
    <n v="16"/>
    <n v="0"/>
    <n v="16"/>
    <x v="4"/>
    <s v="AQ82"/>
    <s v="MP"/>
    <s v="318"/>
    <s v="4.0 UN"/>
    <s v="STANDARD"/>
    <s v="N"/>
    <s v="Y"/>
    <s v="N"/>
    <s v="T20"/>
    <s v="N"/>
    <s v="N"/>
    <s v="N"/>
    <s v="N"/>
    <s v="A045"/>
    <d v="2016-12-22T00:00:00"/>
    <s v="10"/>
    <s v="TAN"/>
    <s v="OR"/>
    <d v="2016-12-19T00:00:00"/>
    <s v="ID"/>
    <s v="US"/>
    <s v="ZR"/>
    <d v="2016-12-19T00:00:00"/>
  </r>
  <r>
    <x v="0"/>
    <x v="4"/>
    <x v="971"/>
    <x v="7"/>
    <s v="Standard order"/>
    <x v="952"/>
    <x v="952"/>
    <s v="A399"/>
    <s v="CRYSTAL A399NT"/>
    <s v="5002936"/>
    <s v="A399 ACH T20 PB Kabina MP"/>
    <n v="36"/>
    <n v="0"/>
    <n v="36"/>
    <x v="4"/>
    <s v="DP71"/>
    <s v="MP"/>
    <s v="388"/>
    <s v="4.0 UN"/>
    <s v="STANDARD"/>
    <s v="N"/>
    <s v="Y"/>
    <s v="Y"/>
    <s v="T20"/>
    <s v="N"/>
    <s v="N"/>
    <s v="N"/>
    <s v="N"/>
    <s v="A045"/>
    <d v="2016-12-22T00:00:00"/>
    <s v="20"/>
    <s v="TAN"/>
    <s v="OR"/>
    <d v="2016-12-19T00:00:00"/>
    <s v="ID"/>
    <s v="US"/>
    <s v="ZR"/>
    <d v="2016-12-19T00:00:00"/>
  </r>
  <r>
    <x v="0"/>
    <x v="4"/>
    <x v="971"/>
    <x v="7"/>
    <s v="Standard order"/>
    <x v="952"/>
    <x v="952"/>
    <s v="A399"/>
    <s v="CRYSTAL A399NT"/>
    <s v="5002930"/>
    <s v="A399 ACH PB MP"/>
    <n v="4"/>
    <n v="0"/>
    <n v="4"/>
    <x v="4"/>
    <s v="DP71"/>
    <s v="MP"/>
    <s v="314"/>
    <s v="4.0 UN"/>
    <s v="STANDARD"/>
    <s v="N"/>
    <s v="Y"/>
    <s v="N"/>
    <s v="N"/>
    <s v="N"/>
    <s v="N"/>
    <s v="N"/>
    <s v="N"/>
    <s v="A045"/>
    <d v="2016-12-22T00:00:00"/>
    <s v="30"/>
    <s v="TAN"/>
    <s v="OR"/>
    <d v="2016-12-19T00:00:00"/>
    <s v="ID"/>
    <s v="US"/>
    <s v="ZR"/>
    <d v="2016-12-19T00:00:00"/>
  </r>
  <r>
    <x v="0"/>
    <x v="2"/>
    <x v="972"/>
    <x v="6"/>
    <s v="Standard order"/>
    <x v="953"/>
    <x v="953"/>
    <s v="R014"/>
    <s v="CRYSTAL RR014"/>
    <s v="5003090"/>
    <s v="R014 ACH T20 PB SYSTIVA ELS"/>
    <n v="84"/>
    <n v="0"/>
    <n v="84"/>
    <x v="2"/>
    <s v="AP82"/>
    <s v="ELS"/>
    <s v="324"/>
    <s v="4.0 UN"/>
    <s v="STANDARD"/>
    <s v="N"/>
    <s v="Y"/>
    <s v="N"/>
    <s v="T20"/>
    <s v="Y"/>
    <s v="N"/>
    <s v="Y"/>
    <s v="N"/>
    <s v="A025"/>
    <d v="2016-12-22T00:00:00"/>
    <s v="10"/>
    <s v="TAN"/>
    <s v="OR"/>
    <d v="2016-12-19T00:00:00"/>
    <s v="NE"/>
    <s v="US"/>
    <s v="ZR"/>
    <d v="2016-12-19T00:00:00"/>
  </r>
  <r>
    <x v="0"/>
    <x v="4"/>
    <x v="973"/>
    <x v="16"/>
    <s v="Standard order"/>
    <x v="954"/>
    <x v="954"/>
    <s v="A399"/>
    <s v="CRYSTAL A399NT"/>
    <s v="5002920"/>
    <s v="A399 ACH LRG"/>
    <n v="28"/>
    <n v="0"/>
    <n v="28"/>
    <x v="4"/>
    <s v="DP71"/>
    <s v="LARGE"/>
    <s v="316"/>
    <s v="4.0 UN"/>
    <s v="STANDARD"/>
    <s v="N"/>
    <s v="N"/>
    <s v="N"/>
    <s v="N"/>
    <s v="N"/>
    <s v="N"/>
    <s v="N"/>
    <s v="N"/>
    <s v="A042"/>
    <d v="2016-12-22T00:00:00"/>
    <s v="10"/>
    <s v="TAN"/>
    <s v="OR"/>
    <d v="2016-12-19T00:00:00"/>
    <s v="ID"/>
    <s v="US"/>
    <s v="ZR"/>
    <d v="2016-12-19T00:00:00"/>
  </r>
  <r>
    <x v="0"/>
    <x v="0"/>
    <x v="974"/>
    <x v="10"/>
    <s v="Standard order"/>
    <x v="955"/>
    <x v="955"/>
    <s v="G515"/>
    <s v="CRYSTAL G515"/>
    <s v="5003019"/>
    <s v="G515 ACH T20 Kabina RP"/>
    <n v="16"/>
    <n v="0"/>
    <n v="16"/>
    <x v="0"/>
    <s v="APND"/>
    <s v="RP"/>
    <s v="387"/>
    <s v="4.0 UN"/>
    <s v="STANDARD"/>
    <s v="N"/>
    <s v="N"/>
    <s v="Y"/>
    <s v="T20"/>
    <s v="N"/>
    <s v="N"/>
    <s v="N"/>
    <s v="N"/>
    <s v="A036"/>
    <d v="2016-12-22T00:00:00"/>
    <s v="20"/>
    <s v="TAN"/>
    <s v="OR"/>
    <d v="2016-12-19T00:00:00"/>
    <s v="MI"/>
    <s v="US"/>
    <s v="ZR"/>
    <d v="2016-12-19T00:00:00"/>
  </r>
  <r>
    <x v="0"/>
    <x v="0"/>
    <x v="974"/>
    <x v="10"/>
    <s v="Standard order"/>
    <x v="955"/>
    <x v="955"/>
    <s v="R059"/>
    <s v="CRYSTAL RR059"/>
    <s v="5003530"/>
    <s v="R059 ACH T20 Kabina RP"/>
    <n v="28"/>
    <n v="0"/>
    <n v="28"/>
    <x v="0"/>
    <s v="AP73"/>
    <s v="RP"/>
    <s v="387"/>
    <s v="4.0 UN"/>
    <s v="STANDARD"/>
    <s v="N"/>
    <s v="N"/>
    <s v="Y"/>
    <s v="T20"/>
    <s v="N"/>
    <s v="N"/>
    <s v="N"/>
    <s v="N"/>
    <s v="A036"/>
    <d v="2016-12-22T00:00:00"/>
    <s v="10"/>
    <s v="TAN"/>
    <s v="OR"/>
    <d v="2016-12-19T00:00:00"/>
    <s v="MI"/>
    <s v="US"/>
    <s v="ZR"/>
    <d v="2016-12-19T00:00:00"/>
  </r>
  <r>
    <x v="0"/>
    <x v="0"/>
    <x v="975"/>
    <x v="10"/>
    <s v="Standard order"/>
    <x v="956"/>
    <x v="956"/>
    <s v="R059"/>
    <s v="CRYSTAL RR059"/>
    <s v="5003535"/>
    <s v="R059 ACH T20 SYSTIVA MP"/>
    <n v="12"/>
    <n v="0"/>
    <n v="12"/>
    <x v="0"/>
    <s v="AP73"/>
    <s v="MP"/>
    <s v="328"/>
    <s v="4.0 UN"/>
    <s v="STANDARD"/>
    <s v="N"/>
    <s v="N"/>
    <s v="N"/>
    <s v="T20"/>
    <s v="Y"/>
    <s v="N"/>
    <s v="Y"/>
    <s v="N"/>
    <s v="A036"/>
    <d v="2016-12-22T00:00:00"/>
    <s v="10"/>
    <s v="TAN"/>
    <s v="OR"/>
    <d v="2016-12-19T00:00:00"/>
    <s v="MI"/>
    <s v="US"/>
    <s v="ZR"/>
    <d v="2016-12-19T00:00:00"/>
  </r>
  <r>
    <x v="0"/>
    <x v="0"/>
    <x v="975"/>
    <x v="10"/>
    <s v="Standard order"/>
    <x v="956"/>
    <x v="956"/>
    <s v="R059"/>
    <s v="CRYSTAL RR059"/>
    <s v="5003529"/>
    <s v="R059 ACH T20 Kabina MP"/>
    <n v="36"/>
    <n v="0"/>
    <n v="36"/>
    <x v="0"/>
    <s v="AP73"/>
    <s v="MP"/>
    <s v="387"/>
    <s v="4.0 UN"/>
    <s v="STANDARD"/>
    <s v="N"/>
    <s v="N"/>
    <s v="Y"/>
    <s v="T20"/>
    <s v="N"/>
    <s v="N"/>
    <s v="N"/>
    <s v="N"/>
    <s v="A036"/>
    <d v="2016-12-22T00:00:00"/>
    <s v="20"/>
    <s v="TAN"/>
    <s v="OR"/>
    <d v="2016-12-19T00:00:00"/>
    <s v="MI"/>
    <s v="US"/>
    <s v="ZR"/>
    <d v="2016-12-19T00:00:00"/>
  </r>
  <r>
    <x v="0"/>
    <x v="2"/>
    <x v="976"/>
    <x v="6"/>
    <s v="Standard order"/>
    <x v="957"/>
    <x v="957"/>
    <s v="W322"/>
    <s v="CRYSTAL W322NT"/>
    <s v="5003488"/>
    <s v="W322 ACH T20 PB SYSTIVA G100"/>
    <n v="20"/>
    <n v="0"/>
    <n v="20"/>
    <x v="2"/>
    <s v="EE73"/>
    <s v="GEM 100"/>
    <s v="324"/>
    <s v="4.0 UN"/>
    <s v="STANDARD"/>
    <s v="N"/>
    <s v="Y"/>
    <s v="N"/>
    <s v="T20"/>
    <s v="Y"/>
    <s v="N"/>
    <s v="Y"/>
    <s v="N"/>
    <s v="A025"/>
    <d v="2016-12-23T00:00:00"/>
    <s v="20"/>
    <s v="TAN"/>
    <s v="OR"/>
    <d v="2016-12-19T00:00:00"/>
    <s v="NE"/>
    <s v="US"/>
    <s v="ZR"/>
    <d v="2016-12-20T00:00:00"/>
  </r>
  <r>
    <x v="0"/>
    <x v="2"/>
    <x v="976"/>
    <x v="6"/>
    <s v="Standard order"/>
    <x v="957"/>
    <x v="957"/>
    <s v="R014"/>
    <s v="CRYSTAL RR014"/>
    <s v="5003091"/>
    <s v="R014 ACH T20 PB SYSTIVA G100"/>
    <n v="36"/>
    <n v="0"/>
    <n v="36"/>
    <x v="2"/>
    <s v="AP82"/>
    <s v="GEM 100"/>
    <s v="324"/>
    <s v="4.0 UN"/>
    <s v="STANDARD"/>
    <s v="N"/>
    <s v="Y"/>
    <s v="N"/>
    <s v="T20"/>
    <s v="Y"/>
    <s v="N"/>
    <s v="Y"/>
    <s v="N"/>
    <s v="A025"/>
    <d v="2016-12-23T00:00:00"/>
    <s v="40"/>
    <s v="TAN"/>
    <s v="OR"/>
    <d v="2016-12-19T00:00:00"/>
    <s v="NE"/>
    <s v="US"/>
    <s v="ZR"/>
    <d v="2016-12-20T00:00:00"/>
  </r>
  <r>
    <x v="0"/>
    <x v="0"/>
    <x v="977"/>
    <x v="4"/>
    <s v="Standard order"/>
    <x v="958"/>
    <x v="958"/>
    <s v="G515"/>
    <s v="CRYSTAL G515"/>
    <s v="5003018"/>
    <s v="G515 ACH T20 Kabina MP"/>
    <n v="48"/>
    <n v="0"/>
    <n v="48"/>
    <x v="0"/>
    <s v="APND"/>
    <s v="MP"/>
    <s v="387"/>
    <s v="4.0 UN"/>
    <s v="STANDARD"/>
    <s v="N"/>
    <s v="N"/>
    <s v="Y"/>
    <s v="T20"/>
    <s v="N"/>
    <s v="N"/>
    <s v="N"/>
    <s v="N"/>
    <s v="A035"/>
    <d v="2016-12-23T00:00:00"/>
    <s v="10"/>
    <s v="TAN"/>
    <s v="OR"/>
    <d v="2016-12-20T00:00:00"/>
    <s v="MI"/>
    <s v="US"/>
    <s v="ZR"/>
    <d v="2016-12-20T00:00:00"/>
  </r>
  <r>
    <x v="0"/>
    <x v="0"/>
    <x v="977"/>
    <x v="4"/>
    <s v="Standard order"/>
    <x v="958"/>
    <x v="958"/>
    <s v="G333"/>
    <s v="CRYSTAL G333NT"/>
    <s v="5003377"/>
    <s v="G333 ACH T20 Kabina MP"/>
    <n v="48"/>
    <n v="0"/>
    <n v="48"/>
    <x v="0"/>
    <s v="EE73"/>
    <s v="MP"/>
    <s v="387"/>
    <s v="4.0 UN"/>
    <s v="STANDARD"/>
    <s v="N"/>
    <s v="N"/>
    <s v="Y"/>
    <s v="T20"/>
    <s v="N"/>
    <s v="N"/>
    <s v="N"/>
    <s v="N"/>
    <s v="A035"/>
    <d v="2016-12-23T00:00:00"/>
    <s v="20"/>
    <s v="TAN"/>
    <s v="OR"/>
    <d v="2016-12-20T00:00:00"/>
    <s v="MI"/>
    <s v="US"/>
    <s v="ZR"/>
    <d v="2016-12-20T00:00:00"/>
  </r>
  <r>
    <x v="0"/>
    <x v="0"/>
    <x v="977"/>
    <x v="4"/>
    <s v="Standard order"/>
    <x v="958"/>
    <x v="958"/>
    <s v="R059"/>
    <s v="CRYSTAL RR059"/>
    <s v="5003529"/>
    <s v="R059 ACH T20 Kabina MP"/>
    <n v="152"/>
    <n v="0"/>
    <n v="152"/>
    <x v="0"/>
    <s v="AP73"/>
    <s v="MP"/>
    <s v="387"/>
    <s v="4.0 UN"/>
    <s v="STANDARD"/>
    <s v="N"/>
    <s v="N"/>
    <s v="Y"/>
    <s v="T20"/>
    <s v="N"/>
    <s v="N"/>
    <s v="N"/>
    <s v="N"/>
    <s v="A035"/>
    <d v="2016-12-23T00:00:00"/>
    <s v="30"/>
    <s v="TAN"/>
    <s v="OR"/>
    <d v="2016-12-20T00:00:00"/>
    <s v="MI"/>
    <s v="US"/>
    <s v="ZR"/>
    <d v="2016-12-20T00:00:00"/>
  </r>
  <r>
    <x v="0"/>
    <x v="2"/>
    <x v="978"/>
    <x v="6"/>
    <s v="Standard order"/>
    <x v="959"/>
    <x v="959"/>
    <s v="W322"/>
    <s v="CRYSTAL W322NT"/>
    <s v="5003488"/>
    <s v="W322 ACH T20 PB SYSTIVA G100"/>
    <n v="20"/>
    <n v="0"/>
    <n v="20"/>
    <x v="2"/>
    <s v="EE73"/>
    <s v="GEM 100"/>
    <s v="324"/>
    <s v="4.0 UN"/>
    <s v="STANDARD"/>
    <s v="N"/>
    <s v="Y"/>
    <s v="N"/>
    <s v="T20"/>
    <s v="Y"/>
    <s v="N"/>
    <s v="Y"/>
    <s v="N"/>
    <s v="A025"/>
    <d v="2016-12-23T00:00:00"/>
    <s v="10"/>
    <s v="TAN"/>
    <s v="OR"/>
    <d v="2016-12-20T00:00:00"/>
    <s v="NE"/>
    <s v="US"/>
    <s v="ZR"/>
    <d v="2016-12-20T00:00:00"/>
  </r>
  <r>
    <x v="0"/>
    <x v="4"/>
    <x v="979"/>
    <x v="16"/>
    <s v="Standard order"/>
    <x v="960"/>
    <x v="960"/>
    <s v="R933"/>
    <s v="CRYSTAL RR933"/>
    <s v="5003678"/>
    <s v="R933 ACH LRG"/>
    <n v="8"/>
    <n v="0"/>
    <n v="8"/>
    <x v="4"/>
    <s v="3571"/>
    <s v="LARGE"/>
    <s v="316"/>
    <s v="4.0 UN"/>
    <s v="STANDARD"/>
    <s v="N"/>
    <s v="N"/>
    <s v="N"/>
    <s v="N"/>
    <s v="N"/>
    <s v="N"/>
    <s v="N"/>
    <s v="N"/>
    <s v="A042"/>
    <d v="2016-12-23T00:00:00"/>
    <s v="20"/>
    <s v="TAN"/>
    <s v="OR"/>
    <d v="2016-12-20T00:00:00"/>
    <s v="ID"/>
    <s v="US"/>
    <s v="ZR"/>
    <d v="2016-12-20T00:00:00"/>
  </r>
  <r>
    <x v="0"/>
    <x v="4"/>
    <x v="979"/>
    <x v="16"/>
    <s v="Standard order"/>
    <x v="960"/>
    <x v="960"/>
    <s v="A399"/>
    <s v="CRYSTAL A399NT"/>
    <s v="5002920"/>
    <s v="A399 ACH LRG"/>
    <n v="100"/>
    <n v="0"/>
    <n v="100"/>
    <x v="4"/>
    <s v="DP71"/>
    <s v="LARGE"/>
    <s v="316"/>
    <s v="4.0 UN"/>
    <s v="STANDARD"/>
    <s v="N"/>
    <s v="N"/>
    <s v="N"/>
    <s v="N"/>
    <s v="N"/>
    <s v="N"/>
    <s v="N"/>
    <s v="N"/>
    <s v="A042"/>
    <d v="2016-12-23T00:00:00"/>
    <s v="30"/>
    <s v="TAN"/>
    <s v="OR"/>
    <d v="2016-12-20T00:00:00"/>
    <s v="ID"/>
    <s v="US"/>
    <s v="ZR"/>
    <d v="2016-12-20T00:00:00"/>
  </r>
  <r>
    <x v="0"/>
    <x v="0"/>
    <x v="980"/>
    <x v="2"/>
    <s v="Standard order"/>
    <x v="961"/>
    <x v="961"/>
    <s v="G333"/>
    <s v="CRYSTAL G333NT"/>
    <s v="5003378"/>
    <s v="G333 ACH T20 Kabina RP"/>
    <n v="20"/>
    <n v="0"/>
    <n v="20"/>
    <x v="0"/>
    <s v="EE73"/>
    <s v="RP"/>
    <s v="387"/>
    <s v="4.0 UN"/>
    <s v="STANDARD"/>
    <s v="N"/>
    <s v="N"/>
    <s v="Y"/>
    <s v="T20"/>
    <s v="N"/>
    <s v="N"/>
    <s v="N"/>
    <s v="N"/>
    <s v="A034"/>
    <d v="2016-12-23T00:00:00"/>
    <s v="10"/>
    <s v="TAN"/>
    <s v="OR"/>
    <d v="2016-12-20T00:00:00"/>
    <s v="MI"/>
    <s v="US"/>
    <s v="ZR"/>
    <d v="2016-12-20T00:00:00"/>
  </r>
  <r>
    <x v="0"/>
    <x v="0"/>
    <x v="980"/>
    <x v="2"/>
    <s v="Standard order"/>
    <x v="961"/>
    <x v="961"/>
    <s v="G351"/>
    <s v="CRYSTAL G351NT"/>
    <s v="5003398"/>
    <s v="G351 ACH T20 Kabina RP"/>
    <n v="16"/>
    <n v="0"/>
    <n v="16"/>
    <x v="0"/>
    <s v="DA73"/>
    <s v="RP"/>
    <s v="387"/>
    <s v="4.0 UN"/>
    <s v="STANDARD"/>
    <s v="N"/>
    <s v="N"/>
    <s v="Y"/>
    <s v="T20"/>
    <s v="N"/>
    <s v="N"/>
    <s v="N"/>
    <s v="N"/>
    <s v="A034"/>
    <d v="2016-12-23T00:00:00"/>
    <s v="20"/>
    <s v="TAN"/>
    <s v="OR"/>
    <d v="2016-12-20T00:00:00"/>
    <s v="MI"/>
    <s v="US"/>
    <s v="ZR"/>
    <d v="2016-12-20T00:00:00"/>
  </r>
  <r>
    <x v="0"/>
    <x v="2"/>
    <x v="981"/>
    <x v="25"/>
    <s v="Standard order"/>
    <x v="962"/>
    <x v="962"/>
    <s v="W322"/>
    <s v="CRYSTAL W322NT"/>
    <s v="5003488"/>
    <s v="W322 ACH T20 PB SYSTIVA G100"/>
    <n v="108"/>
    <n v="0"/>
    <n v="108"/>
    <x v="2"/>
    <s v="EE73"/>
    <s v="GEM 100"/>
    <s v="324"/>
    <s v="4.0 UN"/>
    <s v="STANDARD"/>
    <s v="N"/>
    <s v="Y"/>
    <s v="N"/>
    <s v="T20"/>
    <s v="Y"/>
    <s v="N"/>
    <s v="Y"/>
    <s v="N"/>
    <s v="A021"/>
    <d v="2016-12-23T00:00:00"/>
    <s v="10"/>
    <s v="TAN"/>
    <s v="OR"/>
    <d v="2016-12-20T00:00:00"/>
    <s v="CO"/>
    <s v="US"/>
    <s v="ZR"/>
    <d v="2016-12-20T00:00:00"/>
  </r>
  <r>
    <x v="0"/>
    <x v="2"/>
    <x v="982"/>
    <x v="5"/>
    <s v="Standard order"/>
    <x v="963"/>
    <x v="963"/>
    <s v="R014"/>
    <s v="CRYSTAL RR014"/>
    <s v="5003091"/>
    <s v="R014 ACH T20 PB SYSTIVA G100"/>
    <n v="28"/>
    <n v="0"/>
    <n v="28"/>
    <x v="2"/>
    <s v="AP82"/>
    <s v="GEM 100"/>
    <s v="324"/>
    <s v="4.0 UN"/>
    <s v="STANDARD"/>
    <s v="N"/>
    <s v="Y"/>
    <s v="N"/>
    <s v="T20"/>
    <s v="Y"/>
    <s v="N"/>
    <s v="Y"/>
    <s v="N"/>
    <s v="A020"/>
    <d v="2016-12-23T00:00:00"/>
    <s v="10"/>
    <s v="TAN"/>
    <s v="OR"/>
    <d v="2016-12-20T00:00:00"/>
    <s v="CO"/>
    <s v="US"/>
    <s v="ZR"/>
    <d v="2016-12-20T00:00:00"/>
  </r>
  <r>
    <x v="0"/>
    <x v="2"/>
    <x v="983"/>
    <x v="23"/>
    <s v="Standard order"/>
    <x v="964"/>
    <x v="964"/>
    <s v="R014"/>
    <s v="CRYSTAL RR014"/>
    <s v="5003091"/>
    <s v="R014 ACH T20 PB SYSTIVA G100"/>
    <n v="24"/>
    <n v="0"/>
    <n v="24"/>
    <x v="2"/>
    <s v="AP82"/>
    <s v="GEM 100"/>
    <s v="324"/>
    <s v="4.0 UN"/>
    <s v="STANDARD"/>
    <s v="N"/>
    <s v="Y"/>
    <s v="N"/>
    <s v="T20"/>
    <s v="Y"/>
    <s v="N"/>
    <s v="Y"/>
    <s v="N"/>
    <s v="A055"/>
    <d v="2016-12-23T00:00:00"/>
    <s v="10"/>
    <s v="TAN"/>
    <s v="OR"/>
    <d v="2016-12-20T00:00:00"/>
    <s v="WY"/>
    <s v="US"/>
    <s v="ZR"/>
    <d v="2016-12-20T00:00:00"/>
  </r>
  <r>
    <x v="0"/>
    <x v="2"/>
    <x v="983"/>
    <x v="23"/>
    <s v="Standard order"/>
    <x v="964"/>
    <x v="964"/>
    <s v="W322"/>
    <s v="CRYSTAL W322NT"/>
    <s v="5003488"/>
    <s v="W322 ACH T20 PB SYSTIVA G100"/>
    <n v="24"/>
    <n v="0"/>
    <n v="24"/>
    <x v="2"/>
    <s v="EE73"/>
    <s v="GEM 100"/>
    <s v="324"/>
    <s v="4.0 UN"/>
    <s v="STANDARD"/>
    <s v="N"/>
    <s v="Y"/>
    <s v="N"/>
    <s v="T20"/>
    <s v="Y"/>
    <s v="N"/>
    <s v="Y"/>
    <s v="N"/>
    <s v="A055"/>
    <d v="2016-12-23T00:00:00"/>
    <s v="20"/>
    <s v="TAN"/>
    <s v="OR"/>
    <d v="2016-12-20T00:00:00"/>
    <s v="WY"/>
    <s v="US"/>
    <s v="ZR"/>
    <d v="2016-12-20T00:00:00"/>
  </r>
  <r>
    <x v="0"/>
    <x v="4"/>
    <x v="984"/>
    <x v="7"/>
    <s v="Standard order"/>
    <x v="965"/>
    <x v="965"/>
    <s v="R933"/>
    <s v="CRYSTAL RR933"/>
    <s v="5003694"/>
    <s v="R933 ACH T20 PB Kabina MP"/>
    <n v="20"/>
    <n v="0"/>
    <n v="20"/>
    <x v="4"/>
    <s v="3571"/>
    <s v="MP"/>
    <s v="388"/>
    <s v="4.0 UN"/>
    <s v="STANDARD"/>
    <s v="N"/>
    <s v="Y"/>
    <s v="Y"/>
    <s v="T20"/>
    <s v="N"/>
    <s v="N"/>
    <s v="N"/>
    <s v="N"/>
    <s v="A045"/>
    <d v="2016-12-23T00:00:00"/>
    <s v="10"/>
    <s v="TAN"/>
    <s v="OR"/>
    <d v="2016-12-20T00:00:00"/>
    <s v="ID"/>
    <s v="US"/>
    <s v="ZR"/>
    <d v="2016-12-20T00:00:00"/>
  </r>
  <r>
    <x v="0"/>
    <x v="0"/>
    <x v="985"/>
    <x v="4"/>
    <s v="Standard order"/>
    <x v="966"/>
    <x v="966"/>
    <s v="R202"/>
    <s v="CRYSTAL RR202"/>
    <s v="5003118"/>
    <s v="R202 ACH T20 Kabina MP"/>
    <n v="4"/>
    <n v="0"/>
    <n v="4"/>
    <x v="0"/>
    <s v="4ULM"/>
    <s v="MP"/>
    <s v="387"/>
    <s v="4.0 UN"/>
    <s v="STANDARD"/>
    <s v="N"/>
    <s v="N"/>
    <s v="Y"/>
    <s v="T20"/>
    <s v="N"/>
    <s v="N"/>
    <s v="N"/>
    <s v="N"/>
    <s v="A035"/>
    <d v="2016-12-23T00:00:00"/>
    <s v="10"/>
    <s v="TAN"/>
    <s v="OR"/>
    <d v="2016-12-20T00:00:00"/>
    <s v="MI"/>
    <s v="US"/>
    <s v="ZR"/>
    <d v="2016-12-20T00:00:00"/>
  </r>
  <r>
    <x v="0"/>
    <x v="0"/>
    <x v="985"/>
    <x v="4"/>
    <s v="Standard order"/>
    <x v="966"/>
    <x v="966"/>
    <s v="R059"/>
    <s v="CRYSTAL RR059"/>
    <s v="5003535"/>
    <s v="R059 ACH T20 SYSTIVA MP"/>
    <n v="8"/>
    <n v="0"/>
    <n v="8"/>
    <x v="0"/>
    <s v="AP73"/>
    <s v="MP"/>
    <s v="328"/>
    <s v="4.0 UN"/>
    <s v="STANDARD"/>
    <s v="N"/>
    <s v="N"/>
    <s v="N"/>
    <s v="T20"/>
    <s v="Y"/>
    <s v="N"/>
    <s v="Y"/>
    <s v="N"/>
    <s v="A035"/>
    <d v="2016-12-23T00:00:00"/>
    <s v="20"/>
    <s v="TAN"/>
    <s v="OR"/>
    <d v="2016-12-20T00:00:00"/>
    <s v="MI"/>
    <s v="US"/>
    <s v="ZR"/>
    <d v="2016-12-20T00:00:00"/>
  </r>
  <r>
    <x v="0"/>
    <x v="0"/>
    <x v="986"/>
    <x v="4"/>
    <s v="Standard order"/>
    <x v="967"/>
    <x v="967"/>
    <s v="R059"/>
    <s v="CRYSTAL RR059"/>
    <s v="5003536"/>
    <s v="R059 ACH T20 SYSTIVA RP"/>
    <n v="12"/>
    <n v="0"/>
    <n v="12"/>
    <x v="0"/>
    <s v="AP73"/>
    <s v="RP"/>
    <s v="328"/>
    <s v="4.0 UN"/>
    <s v="STANDARD"/>
    <s v="N"/>
    <s v="N"/>
    <s v="N"/>
    <s v="T20"/>
    <s v="Y"/>
    <s v="N"/>
    <s v="Y"/>
    <s v="N"/>
    <s v="A035"/>
    <d v="2016-12-23T00:00:00"/>
    <s v="10"/>
    <s v="TAN"/>
    <s v="OR"/>
    <d v="2016-12-20T00:00:00"/>
    <s v="MI"/>
    <s v="US"/>
    <s v="ZR"/>
    <d v="2016-12-20T00:00:00"/>
  </r>
  <r>
    <x v="0"/>
    <x v="2"/>
    <x v="987"/>
    <x v="25"/>
    <s v="Standard order"/>
    <x v="968"/>
    <x v="968"/>
    <s v="W322"/>
    <s v="CRYSTAL W322NT"/>
    <s v="5003488"/>
    <s v="W322 ACH T20 PB SYSTIVA G100"/>
    <n v="32"/>
    <n v="0"/>
    <n v="32"/>
    <x v="2"/>
    <s v="EE73"/>
    <s v="GEM 100"/>
    <s v="324"/>
    <s v="4.0 UN"/>
    <s v="STANDARD"/>
    <s v="N"/>
    <s v="Y"/>
    <s v="N"/>
    <s v="T20"/>
    <s v="Y"/>
    <s v="N"/>
    <s v="Y"/>
    <s v="N"/>
    <s v="A021"/>
    <d v="2016-12-23T00:00:00"/>
    <s v="10"/>
    <s v="TAN"/>
    <s v="OR"/>
    <d v="2016-12-20T00:00:00"/>
    <s v="CO"/>
    <s v="US"/>
    <s v="ZR"/>
    <d v="2016-12-20T00:00:00"/>
  </r>
  <r>
    <x v="0"/>
    <x v="2"/>
    <x v="987"/>
    <x v="25"/>
    <s v="Standard order"/>
    <x v="968"/>
    <x v="968"/>
    <s v="R014"/>
    <s v="CRYSTAL RR014"/>
    <s v="5003091"/>
    <s v="R014 ACH T20 PB SYSTIVA G100"/>
    <n v="32"/>
    <n v="0"/>
    <n v="32"/>
    <x v="2"/>
    <s v="AP82"/>
    <s v="GEM 100"/>
    <s v="324"/>
    <s v="4.0 UN"/>
    <s v="STANDARD"/>
    <s v="N"/>
    <s v="Y"/>
    <s v="N"/>
    <s v="T20"/>
    <s v="Y"/>
    <s v="N"/>
    <s v="Y"/>
    <s v="N"/>
    <s v="A021"/>
    <d v="2016-12-23T00:00:00"/>
    <s v="20"/>
    <s v="TAN"/>
    <s v="OR"/>
    <d v="2016-12-20T00:00:00"/>
    <s v="CO"/>
    <s v="US"/>
    <s v="ZR"/>
    <d v="2016-12-20T00:00:00"/>
  </r>
  <r>
    <x v="0"/>
    <x v="2"/>
    <x v="987"/>
    <x v="25"/>
    <s v="Standard order"/>
    <x v="968"/>
    <x v="968"/>
    <s v="R272"/>
    <s v="CRYSTAL RR272"/>
    <s v="5003629"/>
    <s v="R272 ACH T20 PB SYSTIVA G100"/>
    <n v="24"/>
    <n v="0"/>
    <n v="24"/>
    <x v="2"/>
    <s v="DG73"/>
    <s v="GEM 100"/>
    <s v="324"/>
    <s v="4.0 UN"/>
    <s v="STANDARD"/>
    <s v="N"/>
    <s v="Y"/>
    <s v="N"/>
    <s v="T20"/>
    <s v="Y"/>
    <s v="N"/>
    <s v="Y"/>
    <s v="N"/>
    <s v="A021"/>
    <d v="2016-12-23T00:00:00"/>
    <s v="30"/>
    <s v="TAN"/>
    <s v="OR"/>
    <d v="2016-12-20T00:00:00"/>
    <s v="CO"/>
    <s v="US"/>
    <s v="ZR"/>
    <d v="2016-12-20T00:00:00"/>
  </r>
  <r>
    <x v="0"/>
    <x v="4"/>
    <x v="988"/>
    <x v="17"/>
    <s v="Standard order"/>
    <x v="969"/>
    <x v="969"/>
    <s v="A501"/>
    <s v="CRYSTAL A501"/>
    <s v="5003308"/>
    <s v="A501 ACH PB XL"/>
    <n v="52"/>
    <n v="0"/>
    <n v="52"/>
    <x v="4"/>
    <s v="EZPB"/>
    <s v="X-LARGE"/>
    <s v="314"/>
    <s v="4.0 UN"/>
    <s v="STANDARD"/>
    <s v="N"/>
    <s v="Y"/>
    <s v="N"/>
    <s v="N"/>
    <s v="N"/>
    <s v="N"/>
    <s v="N"/>
    <s v="N"/>
    <s v="A040"/>
    <d v="2016-12-23T00:00:00"/>
    <s v="10"/>
    <s v="TAN"/>
    <s v="OR"/>
    <d v="2016-12-20T00:00:00"/>
    <s v="ID"/>
    <s v="US"/>
    <s v="ZR"/>
    <d v="2016-12-20T00:00:00"/>
  </r>
  <r>
    <x v="0"/>
    <x v="4"/>
    <x v="988"/>
    <x v="17"/>
    <s v="Standard order"/>
    <x v="969"/>
    <x v="969"/>
    <s v="A399"/>
    <s v="CRYSTAL A399NT"/>
    <s v="5002931"/>
    <s v="A399 ACH PB XL"/>
    <n v="108"/>
    <n v="0"/>
    <n v="108"/>
    <x v="4"/>
    <s v="DP71"/>
    <s v="X-LARGE"/>
    <s v="314"/>
    <s v="4.0 UN"/>
    <s v="STANDARD"/>
    <s v="N"/>
    <s v="Y"/>
    <s v="N"/>
    <s v="N"/>
    <s v="N"/>
    <s v="N"/>
    <s v="N"/>
    <s v="N"/>
    <s v="A040"/>
    <d v="2016-12-23T00:00:00"/>
    <s v="20"/>
    <s v="TAN"/>
    <s v="OR"/>
    <d v="2016-12-20T00:00:00"/>
    <s v="ID"/>
    <s v="US"/>
    <s v="ZR"/>
    <d v="2016-12-20T00:00:00"/>
  </r>
  <r>
    <x v="0"/>
    <x v="4"/>
    <x v="988"/>
    <x v="17"/>
    <s v="Standard order"/>
    <x v="969"/>
    <x v="969"/>
    <s v="A488"/>
    <s v="CRYSTAL A488NT"/>
    <s v="5002983"/>
    <s v="A488 ACH PB XL"/>
    <n v="108"/>
    <n v="0"/>
    <n v="108"/>
    <x v="4"/>
    <s v="EENE"/>
    <s v="X-LARGE"/>
    <s v="314"/>
    <s v="4.0 UN"/>
    <s v="STANDARD"/>
    <s v="N"/>
    <s v="Y"/>
    <s v="N"/>
    <s v="N"/>
    <s v="N"/>
    <s v="N"/>
    <s v="N"/>
    <s v="N"/>
    <s v="A040"/>
    <d v="2016-12-23T00:00:00"/>
    <s v="30"/>
    <s v="TAN"/>
    <s v="OR"/>
    <d v="2016-12-20T00:00:00"/>
    <s v="ID"/>
    <s v="US"/>
    <s v="ZR"/>
    <d v="2016-12-20T00:00:00"/>
  </r>
  <r>
    <x v="0"/>
    <x v="4"/>
    <x v="988"/>
    <x v="17"/>
    <s v="Standard order"/>
    <x v="969"/>
    <x v="969"/>
    <s v="R240"/>
    <s v="CRYSTAL RR240NT"/>
    <s v="5003162"/>
    <s v="R240 ACH PB XL"/>
    <n v="108"/>
    <n v="0"/>
    <n v="108"/>
    <x v="4"/>
    <s v="BHMP"/>
    <s v="X-LARGE"/>
    <s v="314"/>
    <s v="4.0 UN"/>
    <s v="STANDARD"/>
    <s v="N"/>
    <s v="Y"/>
    <s v="N"/>
    <s v="N"/>
    <s v="N"/>
    <s v="N"/>
    <s v="N"/>
    <s v="N"/>
    <s v="A040"/>
    <d v="2016-12-23T00:00:00"/>
    <s v="40"/>
    <s v="TAN"/>
    <s v="OR"/>
    <d v="2016-12-20T00:00:00"/>
    <s v="ID"/>
    <s v="US"/>
    <s v="ZR"/>
    <d v="2016-12-20T00:00:00"/>
  </r>
  <r>
    <x v="0"/>
    <x v="4"/>
    <x v="988"/>
    <x v="17"/>
    <s v="Standard order"/>
    <x v="969"/>
    <x v="969"/>
    <s v="A404"/>
    <s v="CRYSTAL A404NT"/>
    <s v="5002957"/>
    <s v="A404 ACH PB XL"/>
    <n v="72"/>
    <n v="0"/>
    <n v="72"/>
    <x v="4"/>
    <s v="DPNE"/>
    <s v="X-LARGE"/>
    <s v="314"/>
    <s v="4.0 UN"/>
    <s v="STANDARD"/>
    <s v="N"/>
    <s v="Y"/>
    <s v="N"/>
    <s v="N"/>
    <s v="N"/>
    <s v="N"/>
    <s v="N"/>
    <s v="N"/>
    <s v="A040"/>
    <d v="2016-12-23T00:00:00"/>
    <s v="50"/>
    <s v="TAN"/>
    <s v="OR"/>
    <d v="2016-12-20T00:00:00"/>
    <s v="ID"/>
    <s v="US"/>
    <s v="ZR"/>
    <d v="2016-12-20T00:00:00"/>
  </r>
  <r>
    <x v="0"/>
    <x v="4"/>
    <x v="989"/>
    <x v="17"/>
    <s v="Standard order"/>
    <x v="970"/>
    <x v="970"/>
    <s v="A399"/>
    <s v="CRYSTAL A399NT"/>
    <s v="5002931"/>
    <s v="A399 ACH PB XL"/>
    <n v="36"/>
    <n v="0"/>
    <n v="36"/>
    <x v="4"/>
    <s v="DP71"/>
    <s v="X-LARGE"/>
    <s v="314"/>
    <s v="4.0 UN"/>
    <s v="STANDARD"/>
    <s v="N"/>
    <s v="Y"/>
    <s v="N"/>
    <s v="N"/>
    <s v="N"/>
    <s v="N"/>
    <s v="N"/>
    <s v="N"/>
    <s v="A040"/>
    <d v="2016-12-23T00:00:00"/>
    <s v="10"/>
    <s v="TAN"/>
    <s v="OR"/>
    <d v="2016-12-20T00:00:00"/>
    <s v="ID"/>
    <s v="US"/>
    <s v="ZR"/>
    <d v="2016-12-20T00:00:00"/>
  </r>
  <r>
    <x v="0"/>
    <x v="4"/>
    <x v="989"/>
    <x v="17"/>
    <s v="Standard order"/>
    <x v="970"/>
    <x v="970"/>
    <s v="R240"/>
    <s v="CRYSTAL RR240NT"/>
    <s v="5003162"/>
    <s v="R240 ACH PB XL"/>
    <n v="36"/>
    <n v="0"/>
    <n v="36"/>
    <x v="4"/>
    <s v="BHMP"/>
    <s v="X-LARGE"/>
    <s v="314"/>
    <s v="4.0 UN"/>
    <s v="STANDARD"/>
    <s v="N"/>
    <s v="Y"/>
    <s v="N"/>
    <s v="N"/>
    <s v="N"/>
    <s v="N"/>
    <s v="N"/>
    <s v="N"/>
    <s v="A040"/>
    <d v="2016-12-23T00:00:00"/>
    <s v="20"/>
    <s v="TAN"/>
    <s v="OR"/>
    <d v="2016-12-20T00:00:00"/>
    <s v="ID"/>
    <s v="US"/>
    <s v="ZR"/>
    <d v="2016-12-20T00:00:00"/>
  </r>
  <r>
    <x v="0"/>
    <x v="0"/>
    <x v="990"/>
    <x v="4"/>
    <s v="Standard order"/>
    <x v="971"/>
    <x v="971"/>
    <s v="R059"/>
    <s v="CRYSTAL RR059"/>
    <s v="5003530"/>
    <s v="R059 ACH T20 Kabina RP"/>
    <n v="8"/>
    <n v="0"/>
    <n v="8"/>
    <x v="0"/>
    <s v="AP73"/>
    <s v="RP"/>
    <s v="387"/>
    <s v="4.0 UN"/>
    <s v="STANDARD"/>
    <s v="N"/>
    <s v="N"/>
    <s v="Y"/>
    <s v="T20"/>
    <s v="N"/>
    <s v="N"/>
    <s v="N"/>
    <s v="N"/>
    <s v="A035"/>
    <d v="2016-12-23T00:00:00"/>
    <s v="10"/>
    <s v="TAN"/>
    <s v="OR"/>
    <d v="2016-12-20T00:00:00"/>
    <s v="MI"/>
    <s v="US"/>
    <s v="ZR"/>
    <d v="2016-12-20T00:00:00"/>
  </r>
  <r>
    <x v="0"/>
    <x v="2"/>
    <x v="991"/>
    <x v="25"/>
    <s v="Standard order"/>
    <x v="972"/>
    <x v="972"/>
    <s v="R272"/>
    <s v="CRYSTAL RR272"/>
    <s v="5003629"/>
    <s v="R272 ACH T20 PB SYSTIVA G100"/>
    <n v="24"/>
    <n v="0"/>
    <n v="24"/>
    <x v="2"/>
    <s v="DG73"/>
    <s v="GEM 100"/>
    <s v="324"/>
    <s v="4.0 UN"/>
    <s v="STANDARD"/>
    <s v="N"/>
    <s v="Y"/>
    <s v="N"/>
    <s v="T20"/>
    <s v="Y"/>
    <s v="N"/>
    <s v="Y"/>
    <s v="N"/>
    <s v="A021"/>
    <d v="2016-12-23T00:00:00"/>
    <s v="10"/>
    <s v="TAN"/>
    <s v="OR"/>
    <d v="2016-12-20T00:00:00"/>
    <s v="CO"/>
    <s v="US"/>
    <s v="ZR"/>
    <d v="2016-12-20T00:00:00"/>
  </r>
  <r>
    <x v="0"/>
    <x v="0"/>
    <x v="992"/>
    <x v="4"/>
    <s v="Standard order"/>
    <x v="973"/>
    <x v="973"/>
    <s v="R202"/>
    <s v="CRYSTAL RR202"/>
    <s v="5003119"/>
    <s v="R202 ACH T20 Kabina RP"/>
    <n v="32"/>
    <n v="0"/>
    <n v="32"/>
    <x v="0"/>
    <s v="4ULM"/>
    <s v="RP"/>
    <s v="387"/>
    <s v="4.0 UN"/>
    <s v="STANDARD"/>
    <s v="N"/>
    <s v="N"/>
    <s v="Y"/>
    <s v="T20"/>
    <s v="N"/>
    <s v="N"/>
    <s v="N"/>
    <s v="N"/>
    <s v="A035"/>
    <d v="2016-12-23T00:00:00"/>
    <s v="10"/>
    <s v="TAN"/>
    <s v="OR"/>
    <d v="2016-12-20T00:00:00"/>
    <s v="MI"/>
    <s v="US"/>
    <s v="ZR"/>
    <d v="2016-12-20T00:00:00"/>
  </r>
  <r>
    <x v="0"/>
    <x v="0"/>
    <x v="993"/>
    <x v="4"/>
    <s v="Standard order"/>
    <x v="974"/>
    <x v="974"/>
    <s v="R059"/>
    <s v="CRYSTAL RR059"/>
    <s v="5003535"/>
    <s v="R059 ACH T20 SYSTIVA MP"/>
    <n v="4"/>
    <n v="0"/>
    <n v="4"/>
    <x v="0"/>
    <s v="AP73"/>
    <s v="MP"/>
    <s v="328"/>
    <s v="4.0 UN"/>
    <s v="STANDARD"/>
    <s v="N"/>
    <s v="N"/>
    <s v="N"/>
    <s v="T20"/>
    <s v="Y"/>
    <s v="N"/>
    <s v="Y"/>
    <s v="N"/>
    <s v="A035"/>
    <d v="2016-12-23T00:00:00"/>
    <s v="10"/>
    <s v="TAN"/>
    <s v="OR"/>
    <d v="2016-12-20T00:00:00"/>
    <s v="MI"/>
    <s v="US"/>
    <s v="ZR"/>
    <d v="2016-12-20T00:00:00"/>
  </r>
  <r>
    <x v="0"/>
    <x v="0"/>
    <x v="993"/>
    <x v="4"/>
    <s v="Standard order"/>
    <x v="974"/>
    <x v="974"/>
    <s v="R202"/>
    <s v="CRYSTAL RR202"/>
    <s v="5003118"/>
    <s v="R202 ACH T20 Kabina MP"/>
    <n v="4"/>
    <n v="0"/>
    <n v="4"/>
    <x v="0"/>
    <s v="4ULM"/>
    <s v="MP"/>
    <s v="387"/>
    <s v="4.0 UN"/>
    <s v="STANDARD"/>
    <s v="N"/>
    <s v="N"/>
    <s v="Y"/>
    <s v="T20"/>
    <s v="N"/>
    <s v="N"/>
    <s v="N"/>
    <s v="N"/>
    <s v="A035"/>
    <d v="2016-12-23T00:00:00"/>
    <s v="20"/>
    <s v="TAN"/>
    <s v="OR"/>
    <d v="2016-12-20T00:00:00"/>
    <s v="MI"/>
    <s v="US"/>
    <s v="ZR"/>
    <d v="2016-12-20T00:00:00"/>
  </r>
  <r>
    <x v="0"/>
    <x v="0"/>
    <x v="994"/>
    <x v="4"/>
    <s v="Standard order"/>
    <x v="975"/>
    <x v="975"/>
    <s v="R059"/>
    <s v="CRYSTAL RR059"/>
    <s v="5003530"/>
    <s v="R059 ACH T20 Kabina RP"/>
    <n v="36"/>
    <n v="0"/>
    <n v="36"/>
    <x v="0"/>
    <s v="AP73"/>
    <s v="RP"/>
    <s v="387"/>
    <s v="4.0 UN"/>
    <s v="STANDARD"/>
    <s v="N"/>
    <s v="N"/>
    <s v="Y"/>
    <s v="T20"/>
    <s v="N"/>
    <s v="N"/>
    <s v="N"/>
    <s v="N"/>
    <s v="A035"/>
    <d v="2016-12-23T00:00:00"/>
    <s v="10"/>
    <s v="TAN"/>
    <s v="OR"/>
    <d v="2016-12-20T00:00:00"/>
    <s v="MI"/>
    <s v="US"/>
    <s v="ZR"/>
    <d v="2016-12-20T00:00:00"/>
  </r>
  <r>
    <x v="0"/>
    <x v="4"/>
    <x v="995"/>
    <x v="18"/>
    <s v="Standard order"/>
    <x v="976"/>
    <x v="976"/>
    <s v="A501"/>
    <s v="CRYSTAL A501"/>
    <s v="5003308"/>
    <s v="A501 ACH PB XL"/>
    <n v="76"/>
    <n v="0"/>
    <n v="76"/>
    <x v="4"/>
    <s v="EZPB"/>
    <s v="X-LARGE"/>
    <s v="314"/>
    <s v="4.0 UN"/>
    <s v="STANDARD"/>
    <s v="N"/>
    <s v="Y"/>
    <s v="N"/>
    <s v="N"/>
    <s v="N"/>
    <s v="N"/>
    <s v="N"/>
    <s v="N"/>
    <s v="A041"/>
    <d v="2016-12-23T00:00:00"/>
    <s v="10"/>
    <s v="TAN"/>
    <s v="OR"/>
    <d v="2016-12-20T00:00:00"/>
    <s v="ID"/>
    <s v="US"/>
    <s v="ZR"/>
    <d v="2016-12-20T00:00:00"/>
  </r>
  <r>
    <x v="0"/>
    <x v="4"/>
    <x v="995"/>
    <x v="18"/>
    <s v="Standard order"/>
    <x v="976"/>
    <x v="976"/>
    <s v="R081"/>
    <s v="CRYSTAL RR081"/>
    <s v="5003554"/>
    <s v="R081 ACH PB XL IDH"/>
    <n v="76"/>
    <n v="0"/>
    <n v="76"/>
    <x v="4"/>
    <s v="AQ82"/>
    <s v="X-LARGE"/>
    <s v="314"/>
    <s v="4.0 UN"/>
    <s v="STANDARD"/>
    <s v="N"/>
    <s v="Y"/>
    <s v="N"/>
    <s v="N"/>
    <s v="N"/>
    <s v="N"/>
    <s v="N"/>
    <s v="N"/>
    <s v="A041"/>
    <d v="2016-12-23T00:00:00"/>
    <s v="20"/>
    <s v="TAN"/>
    <s v="OR"/>
    <d v="2016-12-20T00:00:00"/>
    <s v="ID"/>
    <s v="US"/>
    <s v="ZR"/>
    <d v="2016-12-20T00:00:00"/>
  </r>
  <r>
    <x v="0"/>
    <x v="0"/>
    <x v="996"/>
    <x v="4"/>
    <s v="Standard order"/>
    <x v="977"/>
    <x v="977"/>
    <s v="G515"/>
    <s v="CRYSTAL G515"/>
    <s v="5003019"/>
    <s v="G515 ACH T20 Kabina RP"/>
    <n v="8"/>
    <n v="0"/>
    <n v="8"/>
    <x v="0"/>
    <s v="APND"/>
    <s v="RP"/>
    <s v="387"/>
    <s v="4.0 UN"/>
    <s v="STANDARD"/>
    <s v="N"/>
    <s v="N"/>
    <s v="Y"/>
    <s v="T20"/>
    <s v="N"/>
    <s v="N"/>
    <s v="N"/>
    <s v="N"/>
    <s v="A035"/>
    <d v="2016-12-23T00:00:00"/>
    <s v="10"/>
    <s v="TAN"/>
    <s v="OR"/>
    <d v="2016-12-20T00:00:00"/>
    <s v="MI"/>
    <s v="US"/>
    <s v="ZR"/>
    <d v="2016-12-20T00:00:00"/>
  </r>
  <r>
    <x v="0"/>
    <x v="0"/>
    <x v="996"/>
    <x v="4"/>
    <s v="Standard order"/>
    <x v="977"/>
    <x v="977"/>
    <s v="R059"/>
    <s v="CRYSTAL RR059"/>
    <s v="5003536"/>
    <s v="R059 ACH T20 SYSTIVA RP"/>
    <n v="16"/>
    <n v="0"/>
    <n v="16"/>
    <x v="0"/>
    <s v="AP73"/>
    <s v="RP"/>
    <s v="328"/>
    <s v="4.0 UN"/>
    <s v="STANDARD"/>
    <s v="N"/>
    <s v="N"/>
    <s v="N"/>
    <s v="T20"/>
    <s v="Y"/>
    <s v="N"/>
    <s v="Y"/>
    <s v="N"/>
    <s v="A035"/>
    <d v="2016-12-23T00:00:00"/>
    <s v="20"/>
    <s v="TAN"/>
    <s v="OR"/>
    <d v="2016-12-20T00:00:00"/>
    <s v="MI"/>
    <s v="US"/>
    <s v="ZR"/>
    <d v="2016-12-20T00:00:00"/>
  </r>
  <r>
    <x v="0"/>
    <x v="0"/>
    <x v="997"/>
    <x v="2"/>
    <s v="Standard order"/>
    <x v="978"/>
    <x v="978"/>
    <s v="R059"/>
    <s v="CRYSTAL RR059"/>
    <s v="5003536"/>
    <s v="R059 ACH T20 SYSTIVA RP"/>
    <n v="36"/>
    <n v="0"/>
    <n v="36"/>
    <x v="0"/>
    <s v="AP73"/>
    <s v="RP"/>
    <s v="328"/>
    <s v="4.0 UN"/>
    <s v="STANDARD"/>
    <s v="N"/>
    <s v="N"/>
    <s v="N"/>
    <s v="T20"/>
    <s v="Y"/>
    <s v="N"/>
    <s v="Y"/>
    <s v="N"/>
    <s v="A034"/>
    <d v="2016-12-23T00:00:00"/>
    <s v="10"/>
    <s v="TAN"/>
    <s v="OR"/>
    <d v="2016-12-19T00:00:00"/>
    <s v="MI"/>
    <s v="US"/>
    <s v="ZR"/>
    <d v="2016-12-20T00:00:00"/>
  </r>
  <r>
    <x v="0"/>
    <x v="0"/>
    <x v="998"/>
    <x v="2"/>
    <s v="Standard order"/>
    <x v="979"/>
    <x v="979"/>
    <s v="G333"/>
    <s v="CRYSTAL G333NT"/>
    <s v="5003382"/>
    <s v="G333 ACH T20 SYSTIVA ELS"/>
    <n v="32"/>
    <n v="0"/>
    <n v="32"/>
    <x v="0"/>
    <s v="EE73"/>
    <s v="ELS"/>
    <s v="328"/>
    <s v="4.0 UN"/>
    <s v="STANDARD"/>
    <s v="N"/>
    <s v="N"/>
    <s v="N"/>
    <s v="T20"/>
    <s v="Y"/>
    <s v="N"/>
    <s v="Y"/>
    <s v="N"/>
    <s v="A034"/>
    <d v="2016-12-23T00:00:00"/>
    <s v="10"/>
    <s v="TAN"/>
    <s v="OR"/>
    <d v="2016-12-19T00:00:00"/>
    <s v="MI"/>
    <s v="US"/>
    <s v="ZR"/>
    <d v="2016-12-20T00:00:00"/>
  </r>
  <r>
    <x v="0"/>
    <x v="2"/>
    <x v="999"/>
    <x v="3"/>
    <s v="Standard order"/>
    <x v="980"/>
    <x v="980"/>
    <s v="R014"/>
    <s v="CRYSTAL RR014"/>
    <s v="5003091"/>
    <s v="R014 ACH T20 PB SYSTIVA G100"/>
    <n v="32"/>
    <n v="0"/>
    <n v="32"/>
    <x v="2"/>
    <s v="AP82"/>
    <s v="GEM 100"/>
    <s v="324"/>
    <s v="4.0 UN"/>
    <s v="STANDARD"/>
    <s v="N"/>
    <s v="Y"/>
    <s v="N"/>
    <s v="T20"/>
    <s v="Y"/>
    <s v="N"/>
    <s v="Y"/>
    <s v="N"/>
    <s v="A024"/>
    <d v="2016-12-23T00:00:00"/>
    <s v="10"/>
    <s v="TAN"/>
    <s v="OR"/>
    <d v="2016-12-20T00:00:00"/>
    <s v="NE"/>
    <s v="US"/>
    <s v="ZR"/>
    <d v="2016-12-20T00:00:00"/>
  </r>
  <r>
    <x v="0"/>
    <x v="0"/>
    <x v="1000"/>
    <x v="2"/>
    <s v="Standard order"/>
    <x v="981"/>
    <x v="981"/>
    <s v="G351"/>
    <s v="CRYSTAL G351NT"/>
    <s v="5003398"/>
    <s v="G351 ACH T20 Kabina RP"/>
    <n v="20"/>
    <n v="0"/>
    <n v="20"/>
    <x v="0"/>
    <s v="DA73"/>
    <s v="RP"/>
    <s v="387"/>
    <s v="4.0 UN"/>
    <s v="STANDARD"/>
    <s v="N"/>
    <s v="N"/>
    <s v="Y"/>
    <s v="T20"/>
    <s v="N"/>
    <s v="N"/>
    <s v="N"/>
    <s v="N"/>
    <s v="A034"/>
    <d v="2016-12-23T00:00:00"/>
    <s v="10"/>
    <s v="TAN"/>
    <s v="OR"/>
    <d v="2016-12-19T00:00:00"/>
    <s v="MI"/>
    <s v="US"/>
    <s v="ZR"/>
    <d v="2016-12-20T00:00:00"/>
  </r>
  <r>
    <x v="0"/>
    <x v="0"/>
    <x v="1000"/>
    <x v="2"/>
    <s v="Standard order"/>
    <x v="981"/>
    <x v="981"/>
    <s v="G333"/>
    <s v="CRYSTAL G333NT"/>
    <s v="5003378"/>
    <s v="G333 ACH T20 Kabina RP"/>
    <n v="4"/>
    <n v="0"/>
    <n v="4"/>
    <x v="0"/>
    <s v="EE73"/>
    <s v="RP"/>
    <s v="387"/>
    <s v="4.0 UN"/>
    <s v="STANDARD"/>
    <s v="N"/>
    <s v="N"/>
    <s v="Y"/>
    <s v="T20"/>
    <s v="N"/>
    <s v="N"/>
    <s v="N"/>
    <s v="N"/>
    <s v="A034"/>
    <d v="2016-12-23T00:00:00"/>
    <s v="20"/>
    <s v="TAN"/>
    <s v="OR"/>
    <d v="2016-12-19T00:00:00"/>
    <s v="MI"/>
    <s v="US"/>
    <s v="ZR"/>
    <d v="2016-12-20T00:00:00"/>
  </r>
  <r>
    <x v="0"/>
    <x v="0"/>
    <x v="1001"/>
    <x v="2"/>
    <s v="Standard order"/>
    <x v="982"/>
    <x v="982"/>
    <s v="R059"/>
    <s v="CRYSTAL RR059"/>
    <s v="5003534"/>
    <s v="R059 ACH T20 SYSTIVA ELS"/>
    <n v="16"/>
    <n v="0"/>
    <n v="16"/>
    <x v="0"/>
    <s v="AP73"/>
    <s v="ELS"/>
    <s v="328"/>
    <s v="4.0 UN"/>
    <s v="STANDARD"/>
    <s v="N"/>
    <s v="N"/>
    <s v="N"/>
    <s v="T20"/>
    <s v="Y"/>
    <s v="N"/>
    <s v="Y"/>
    <s v="N"/>
    <s v="A034"/>
    <d v="2016-12-23T00:00:00"/>
    <s v="10"/>
    <s v="TAN"/>
    <s v="OR"/>
    <d v="2016-12-19T00:00:00"/>
    <s v="MI"/>
    <s v="US"/>
    <s v="ZR"/>
    <d v="2016-12-20T00:00:00"/>
  </r>
  <r>
    <x v="0"/>
    <x v="0"/>
    <x v="1002"/>
    <x v="2"/>
    <s v="Standard order"/>
    <x v="983"/>
    <x v="983"/>
    <s v="R059"/>
    <s v="CRYSTAL RR059"/>
    <s v="5003536"/>
    <s v="R059 ACH T20 SYSTIVA RP"/>
    <n v="24"/>
    <n v="0"/>
    <n v="24"/>
    <x v="0"/>
    <s v="AP73"/>
    <s v="RP"/>
    <s v="328"/>
    <s v="4.0 UN"/>
    <s v="STANDARD"/>
    <s v="N"/>
    <s v="N"/>
    <s v="N"/>
    <s v="T20"/>
    <s v="Y"/>
    <s v="N"/>
    <s v="Y"/>
    <s v="N"/>
    <s v="A034"/>
    <d v="2016-12-23T00:00:00"/>
    <s v="10"/>
    <s v="TAN"/>
    <s v="OR"/>
    <d v="2016-12-19T00:00:00"/>
    <s v="MI"/>
    <s v="US"/>
    <s v="ZR"/>
    <d v="2016-12-20T00:00:00"/>
  </r>
  <r>
    <x v="0"/>
    <x v="4"/>
    <x v="1003"/>
    <x v="7"/>
    <s v="Standard order"/>
    <x v="984"/>
    <x v="984"/>
    <s v="R933"/>
    <s v="CRYSTAL RR933"/>
    <s v="5003694"/>
    <s v="R933 ACH T20 PB Kabina MP"/>
    <n v="12"/>
    <n v="0"/>
    <n v="12"/>
    <x v="4"/>
    <s v="3571"/>
    <s v="MP"/>
    <s v="388"/>
    <s v="4.0 UN"/>
    <s v="STANDARD"/>
    <s v="N"/>
    <s v="Y"/>
    <s v="Y"/>
    <s v="T20"/>
    <s v="N"/>
    <s v="N"/>
    <s v="N"/>
    <s v="N"/>
    <s v="A045"/>
    <d v="2016-12-23T00:00:00"/>
    <s v="10"/>
    <s v="TAN"/>
    <s v="OR"/>
    <d v="2016-12-20T00:00:00"/>
    <s v="ID"/>
    <s v="US"/>
    <s v="ZR"/>
    <d v="2016-12-20T00:00:00"/>
  </r>
  <r>
    <x v="0"/>
    <x v="0"/>
    <x v="1004"/>
    <x v="2"/>
    <s v="Standard order"/>
    <x v="985"/>
    <x v="985"/>
    <s v="R059"/>
    <s v="CRYSTAL RR059"/>
    <s v="5003534"/>
    <s v="R059 ACH T20 SYSTIVA ELS"/>
    <n v="76"/>
    <n v="0"/>
    <n v="76"/>
    <x v="0"/>
    <s v="AP73"/>
    <s v="ELS"/>
    <s v="328"/>
    <s v="4.0 UN"/>
    <s v="STANDARD"/>
    <s v="N"/>
    <s v="N"/>
    <s v="N"/>
    <s v="T20"/>
    <s v="Y"/>
    <s v="N"/>
    <s v="Y"/>
    <s v="N"/>
    <s v="A034"/>
    <d v="2016-12-23T00:00:00"/>
    <s v="10"/>
    <s v="TAN"/>
    <s v="OR"/>
    <d v="2016-12-20T00:00:00"/>
    <s v="MI"/>
    <s v="US"/>
    <s v="ZR"/>
    <d v="2016-12-20T00:00:00"/>
  </r>
  <r>
    <x v="0"/>
    <x v="0"/>
    <x v="1005"/>
    <x v="2"/>
    <s v="Standard order"/>
    <x v="986"/>
    <x v="986"/>
    <s v="G351"/>
    <s v="CRYSTAL G351NT"/>
    <s v="5003398"/>
    <s v="G351 ACH T20 Kabina RP"/>
    <n v="20"/>
    <n v="0"/>
    <n v="20"/>
    <x v="0"/>
    <s v="DA73"/>
    <s v="RP"/>
    <s v="387"/>
    <s v="4.0 UN"/>
    <s v="STANDARD"/>
    <s v="N"/>
    <s v="N"/>
    <s v="Y"/>
    <s v="T20"/>
    <s v="N"/>
    <s v="N"/>
    <s v="N"/>
    <s v="N"/>
    <s v="A034"/>
    <d v="2016-12-23T00:00:00"/>
    <s v="10"/>
    <s v="TAN"/>
    <s v="OR"/>
    <d v="2016-12-20T00:00:00"/>
    <s v="MI"/>
    <s v="US"/>
    <s v="ZR"/>
    <d v="2016-12-20T00:00:00"/>
  </r>
  <r>
    <x v="0"/>
    <x v="0"/>
    <x v="1005"/>
    <x v="2"/>
    <s v="Standard order"/>
    <x v="986"/>
    <x v="986"/>
    <s v="G333"/>
    <s v="CRYSTAL G333NT"/>
    <s v="5003378"/>
    <s v="G333 ACH T20 Kabina RP"/>
    <n v="20"/>
    <n v="0"/>
    <n v="20"/>
    <x v="0"/>
    <s v="EE73"/>
    <s v="RP"/>
    <s v="387"/>
    <s v="4.0 UN"/>
    <s v="STANDARD"/>
    <s v="N"/>
    <s v="N"/>
    <s v="Y"/>
    <s v="T20"/>
    <s v="N"/>
    <s v="N"/>
    <s v="N"/>
    <s v="N"/>
    <s v="A034"/>
    <d v="2016-12-23T00:00:00"/>
    <s v="20"/>
    <s v="TAN"/>
    <s v="OR"/>
    <d v="2016-12-20T00:00:00"/>
    <s v="MI"/>
    <s v="US"/>
    <s v="ZR"/>
    <d v="2016-12-20T00:00:00"/>
  </r>
  <r>
    <x v="0"/>
    <x v="4"/>
    <x v="1006"/>
    <x v="7"/>
    <s v="Standard order"/>
    <x v="987"/>
    <x v="987"/>
    <s v="R933"/>
    <s v="CRYSTAL RR933"/>
    <s v="5003694"/>
    <s v="R933 ACH T20 PB Kabina MP"/>
    <n v="20"/>
    <n v="0"/>
    <n v="20"/>
    <x v="4"/>
    <s v="3571"/>
    <s v="MP"/>
    <s v="388"/>
    <s v="4.0 UN"/>
    <s v="STANDARD"/>
    <s v="N"/>
    <s v="Y"/>
    <s v="Y"/>
    <s v="T20"/>
    <s v="N"/>
    <s v="N"/>
    <s v="N"/>
    <s v="N"/>
    <s v="A045"/>
    <d v="2016-12-23T00:00:00"/>
    <s v="10"/>
    <s v="TAN"/>
    <s v="OR"/>
    <d v="2016-12-20T00:00:00"/>
    <s v="ID"/>
    <s v="US"/>
    <s v="ZR"/>
    <d v="2016-12-20T00:00:00"/>
  </r>
  <r>
    <x v="0"/>
    <x v="2"/>
    <x v="1007"/>
    <x v="3"/>
    <s v="Standard order"/>
    <x v="988"/>
    <x v="988"/>
    <s v="R014"/>
    <s v="CRYSTAL RR014"/>
    <s v="5003091"/>
    <s v="R014 ACH T20 PB SYSTIVA G100"/>
    <n v="32"/>
    <n v="0"/>
    <n v="32"/>
    <x v="2"/>
    <s v="AP82"/>
    <s v="GEM 100"/>
    <s v="324"/>
    <s v="4.0 UN"/>
    <s v="STANDARD"/>
    <s v="N"/>
    <s v="Y"/>
    <s v="N"/>
    <s v="T20"/>
    <s v="Y"/>
    <s v="N"/>
    <s v="Y"/>
    <s v="N"/>
    <s v="A024"/>
    <d v="2016-12-23T00:00:00"/>
    <s v="10"/>
    <s v="TAN"/>
    <s v="OR"/>
    <d v="2016-12-20T00:00:00"/>
    <s v="NE"/>
    <s v="US"/>
    <s v="ZR"/>
    <d v="2016-12-20T00:00:00"/>
  </r>
  <r>
    <x v="0"/>
    <x v="2"/>
    <x v="1008"/>
    <x v="24"/>
    <s v="Standard order"/>
    <x v="989"/>
    <x v="989"/>
    <s v="R014"/>
    <s v="CRYSTAL RR014"/>
    <s v="5003092"/>
    <s v="R014 ACH T20 PB SYSTIVA G50"/>
    <n v="52"/>
    <n v="0"/>
    <n v="52"/>
    <x v="2"/>
    <s v="AP82"/>
    <s v="GEM 50"/>
    <s v="324"/>
    <s v="4.0 UN"/>
    <s v="STANDARD"/>
    <s v="N"/>
    <s v="Y"/>
    <s v="N"/>
    <s v="T20"/>
    <s v="Y"/>
    <s v="N"/>
    <s v="Y"/>
    <s v="N"/>
    <s v="A022"/>
    <d v="2016-12-23T00:00:00"/>
    <s v="10"/>
    <s v="TAN"/>
    <s v="OR"/>
    <d v="2016-12-20T00:00:00"/>
    <s v="CO"/>
    <s v="US"/>
    <s v="ZR"/>
    <d v="2016-12-20T00:00:00"/>
  </r>
  <r>
    <x v="0"/>
    <x v="0"/>
    <x v="1009"/>
    <x v="2"/>
    <s v="Standard order"/>
    <x v="990"/>
    <x v="990"/>
    <s v="R059"/>
    <s v="CRYSTAL RR059"/>
    <s v="5003529"/>
    <s v="R059 ACH T20 Kabina MP"/>
    <n v="168"/>
    <n v="0"/>
    <n v="168"/>
    <x v="0"/>
    <s v="AP73"/>
    <s v="MP"/>
    <s v="387"/>
    <s v="4.0 UN"/>
    <s v="STANDARD"/>
    <s v="N"/>
    <s v="N"/>
    <s v="Y"/>
    <s v="T20"/>
    <s v="N"/>
    <s v="N"/>
    <s v="N"/>
    <s v="N"/>
    <s v="A034"/>
    <d v="2016-12-23T00:00:00"/>
    <s v="10"/>
    <s v="TAN"/>
    <s v="OR"/>
    <d v="2016-12-19T00:00:00"/>
    <s v="MI"/>
    <s v="US"/>
    <s v="ZR"/>
    <d v="2016-12-20T00:00:00"/>
  </r>
  <r>
    <x v="0"/>
    <x v="0"/>
    <x v="1010"/>
    <x v="2"/>
    <s v="Standard order"/>
    <x v="991"/>
    <x v="991"/>
    <s v="R059"/>
    <s v="CRYSTAL RR059"/>
    <s v="5003536"/>
    <s v="R059 ACH T20 SYSTIVA RP"/>
    <n v="20"/>
    <n v="0"/>
    <n v="20"/>
    <x v="0"/>
    <s v="AP73"/>
    <s v="RP"/>
    <s v="328"/>
    <s v="4.0 UN"/>
    <s v="STANDARD"/>
    <s v="N"/>
    <s v="N"/>
    <s v="N"/>
    <s v="T20"/>
    <s v="Y"/>
    <s v="N"/>
    <s v="Y"/>
    <s v="N"/>
    <s v="A034"/>
    <d v="2016-12-23T00:00:00"/>
    <s v="10"/>
    <s v="TAN"/>
    <s v="OR"/>
    <d v="2016-12-19T00:00:00"/>
    <s v="MI"/>
    <s v="US"/>
    <s v="ZR"/>
    <d v="2016-12-20T00:00:00"/>
  </r>
  <r>
    <x v="0"/>
    <x v="0"/>
    <x v="1011"/>
    <x v="2"/>
    <s v="Standard order"/>
    <x v="992"/>
    <x v="992"/>
    <s v="R059"/>
    <s v="CRYSTAL RR059"/>
    <s v="5003536"/>
    <s v="R059 ACH T20 SYSTIVA RP"/>
    <n v="8"/>
    <n v="0"/>
    <n v="8"/>
    <x v="0"/>
    <s v="AP73"/>
    <s v="RP"/>
    <s v="328"/>
    <s v="4.0 UN"/>
    <s v="STANDARD"/>
    <s v="N"/>
    <s v="N"/>
    <s v="N"/>
    <s v="T20"/>
    <s v="Y"/>
    <s v="N"/>
    <s v="Y"/>
    <s v="N"/>
    <s v="A034"/>
    <d v="2016-12-23T00:00:00"/>
    <s v="10"/>
    <s v="TAN"/>
    <s v="OR"/>
    <d v="2016-12-19T00:00:00"/>
    <s v="MI"/>
    <s v="US"/>
    <s v="ZR"/>
    <d v="2016-12-20T00:00:00"/>
  </r>
  <r>
    <x v="0"/>
    <x v="0"/>
    <x v="1012"/>
    <x v="2"/>
    <s v="Standard order"/>
    <x v="993"/>
    <x v="993"/>
    <s v="R059"/>
    <s v="CRYSTAL RR059"/>
    <s v="5003536"/>
    <s v="R059 ACH T20 SYSTIVA RP"/>
    <n v="12"/>
    <n v="0"/>
    <n v="12"/>
    <x v="0"/>
    <s v="AP73"/>
    <s v="RP"/>
    <s v="328"/>
    <s v="4.0 UN"/>
    <s v="STANDARD"/>
    <s v="N"/>
    <s v="N"/>
    <s v="N"/>
    <s v="T20"/>
    <s v="Y"/>
    <s v="N"/>
    <s v="Y"/>
    <s v="N"/>
    <s v="A034"/>
    <d v="2016-12-23T00:00:00"/>
    <s v="10"/>
    <s v="TAN"/>
    <s v="OR"/>
    <d v="2016-12-19T00:00:00"/>
    <s v="MI"/>
    <s v="US"/>
    <s v="ZR"/>
    <d v="2016-12-20T00:00:00"/>
  </r>
  <r>
    <x v="0"/>
    <x v="0"/>
    <x v="1012"/>
    <x v="2"/>
    <s v="Standard order"/>
    <x v="993"/>
    <x v="993"/>
    <s v="G333"/>
    <s v="CRYSTAL G333NT"/>
    <s v="5003384"/>
    <s v="G333 ACH T20 SYSTIVA RP"/>
    <n v="12"/>
    <n v="0"/>
    <n v="12"/>
    <x v="0"/>
    <s v="EE73"/>
    <s v="RP"/>
    <s v="328"/>
    <s v="4.0 UN"/>
    <s v="STANDARD"/>
    <s v="N"/>
    <s v="N"/>
    <s v="N"/>
    <s v="T20"/>
    <s v="Y"/>
    <s v="N"/>
    <s v="Y"/>
    <s v="N"/>
    <s v="A034"/>
    <d v="2016-12-23T00:00:00"/>
    <s v="20"/>
    <s v="TAN"/>
    <s v="OR"/>
    <d v="2016-12-19T00:00:00"/>
    <s v="MI"/>
    <s v="US"/>
    <s v="ZR"/>
    <d v="2016-12-20T00:00:00"/>
  </r>
  <r>
    <x v="0"/>
    <x v="6"/>
    <x v="1013"/>
    <x v="11"/>
    <s v="Standard order"/>
    <x v="994"/>
    <x v="994"/>
    <s v="S517"/>
    <s v="CRYSTAL S517"/>
    <s v="5003467"/>
    <s v="S517 ACH T20 PB SYSTIVA G100"/>
    <n v="24"/>
    <n v="0"/>
    <n v="24"/>
    <x v="6"/>
    <s v="DVNV"/>
    <s v="GEM 100"/>
    <s v="324"/>
    <s v="4.0 UN"/>
    <s v="STANDARD"/>
    <s v="N"/>
    <s v="Y"/>
    <s v="N"/>
    <s v="T20"/>
    <s v="Y"/>
    <s v="N"/>
    <s v="Y"/>
    <s v="N"/>
    <s v="A038"/>
    <d v="2016-12-23T00:00:00"/>
    <s v="10"/>
    <s v="TAN"/>
    <s v="OR"/>
    <d v="2016-12-19T00:00:00"/>
    <s v="MT"/>
    <s v="US"/>
    <s v="ZR"/>
    <d v="2016-12-20T00:00:00"/>
  </r>
  <r>
    <x v="0"/>
    <x v="6"/>
    <x v="1013"/>
    <x v="11"/>
    <s v="Standard order"/>
    <x v="994"/>
    <x v="994"/>
    <s v="S360"/>
    <s v="CRYSTAL S360NT"/>
    <s v="5003413"/>
    <s v="S360 ACH T20 PB SYSTIVA G100"/>
    <n v="20"/>
    <n v="0"/>
    <n v="20"/>
    <x v="6"/>
    <s v="DVNB"/>
    <s v="GEM 100"/>
    <s v="324"/>
    <s v="4.0 UN"/>
    <s v="STANDARD"/>
    <s v="N"/>
    <s v="Y"/>
    <s v="N"/>
    <s v="T20"/>
    <s v="Y"/>
    <s v="N"/>
    <s v="Y"/>
    <s v="N"/>
    <s v="A038"/>
    <d v="2016-12-23T00:00:00"/>
    <s v="20"/>
    <s v="TAN"/>
    <s v="OR"/>
    <d v="2016-12-19T00:00:00"/>
    <s v="MT"/>
    <s v="US"/>
    <s v="ZR"/>
    <d v="2016-12-20T00:00:00"/>
  </r>
  <r>
    <x v="0"/>
    <x v="6"/>
    <x v="1013"/>
    <x v="11"/>
    <s v="Standard order"/>
    <x v="994"/>
    <x v="994"/>
    <s v="S498"/>
    <s v="CRYSTAL S498"/>
    <s v="5003419"/>
    <s v="S498 ACH T20 PB CL SYSTIVA G100"/>
    <n v="16"/>
    <n v="0"/>
    <n v="16"/>
    <x v="6"/>
    <s v="FE73"/>
    <s v="GEM 100"/>
    <s v="321"/>
    <s v="4.0 UN"/>
    <s v="STANDARD"/>
    <s v="N"/>
    <s v="N"/>
    <s v="N"/>
    <s v="T20"/>
    <s v="Y"/>
    <s v="N"/>
    <s v="Y"/>
    <s v="N"/>
    <s v="A038"/>
    <d v="2016-12-23T00:00:00"/>
    <s v="30"/>
    <s v="TAN"/>
    <s v="OR"/>
    <d v="2016-12-19T00:00:00"/>
    <s v="MT"/>
    <s v="US"/>
    <s v="ZR"/>
    <d v="2016-12-20T00:00:00"/>
  </r>
  <r>
    <x v="0"/>
    <x v="6"/>
    <x v="1014"/>
    <x v="11"/>
    <s v="Standard order"/>
    <x v="995"/>
    <x v="995"/>
    <s v="S360"/>
    <s v="CRYSTAL S360NT"/>
    <s v="5003413"/>
    <s v="S360 ACH T20 PB SYSTIVA G100"/>
    <n v="292"/>
    <n v="0"/>
    <n v="292"/>
    <x v="6"/>
    <s v="DVNB"/>
    <s v="GEM 100"/>
    <s v="324"/>
    <s v="4.0 UN"/>
    <s v="STANDARD"/>
    <s v="N"/>
    <s v="Y"/>
    <s v="N"/>
    <s v="T20"/>
    <s v="Y"/>
    <s v="N"/>
    <s v="Y"/>
    <s v="N"/>
    <s v="A038"/>
    <d v="2016-12-23T00:00:00"/>
    <s v="10"/>
    <s v="TAN"/>
    <s v="OR"/>
    <d v="2016-12-19T00:00:00"/>
    <s v="MT"/>
    <s v="US"/>
    <s v="ZR"/>
    <d v="2016-12-20T00:00:00"/>
  </r>
  <r>
    <x v="0"/>
    <x v="6"/>
    <x v="1015"/>
    <x v="11"/>
    <s v="Standard order"/>
    <x v="996"/>
    <x v="996"/>
    <s v="S517"/>
    <s v="CRYSTAL S517"/>
    <s v="5003467"/>
    <s v="S517 ACH T20 PB SYSTIVA G100"/>
    <n v="12"/>
    <n v="0"/>
    <n v="12"/>
    <x v="6"/>
    <s v="DVNV"/>
    <s v="GEM 100"/>
    <s v="324"/>
    <s v="4.0 UN"/>
    <s v="STANDARD"/>
    <s v="N"/>
    <s v="Y"/>
    <s v="N"/>
    <s v="T20"/>
    <s v="Y"/>
    <s v="N"/>
    <s v="Y"/>
    <s v="N"/>
    <s v="A038"/>
    <d v="2016-12-23T00:00:00"/>
    <s v="10"/>
    <s v="TAN"/>
    <s v="OR"/>
    <d v="2016-12-19T00:00:00"/>
    <s v="MT"/>
    <s v="US"/>
    <s v="ZR"/>
    <d v="2016-12-20T00:00:00"/>
  </r>
  <r>
    <x v="0"/>
    <x v="6"/>
    <x v="1015"/>
    <x v="11"/>
    <s v="Standard order"/>
    <x v="996"/>
    <x v="996"/>
    <s v="S498"/>
    <s v="CRYSTAL S498"/>
    <s v="5003419"/>
    <s v="S498 ACH T20 PB CL SYSTIVA G100"/>
    <n v="16"/>
    <n v="0"/>
    <n v="16"/>
    <x v="6"/>
    <s v="FE73"/>
    <s v="GEM 100"/>
    <s v="321"/>
    <s v="4.0 UN"/>
    <s v="STANDARD"/>
    <s v="N"/>
    <s v="N"/>
    <s v="N"/>
    <s v="T20"/>
    <s v="Y"/>
    <s v="N"/>
    <s v="Y"/>
    <s v="N"/>
    <s v="A038"/>
    <d v="2016-12-23T00:00:00"/>
    <s v="20"/>
    <s v="TAN"/>
    <s v="OR"/>
    <d v="2016-12-19T00:00:00"/>
    <s v="MT"/>
    <s v="US"/>
    <s v="ZR"/>
    <d v="2016-12-20T00:00:00"/>
  </r>
  <r>
    <x v="0"/>
    <x v="6"/>
    <x v="1015"/>
    <x v="11"/>
    <s v="Standard order"/>
    <x v="996"/>
    <x v="996"/>
    <s v="R052"/>
    <s v="CRYSTAL RR052"/>
    <s v="5003501"/>
    <s v="R052 ACH T20 PB CL SYSTIVA G100"/>
    <n v="32"/>
    <n v="0"/>
    <n v="32"/>
    <x v="6"/>
    <s v="AP82"/>
    <s v="GEM 100"/>
    <s v="321"/>
    <s v="4.0 UN"/>
    <s v="STANDARD"/>
    <s v="N"/>
    <s v="N"/>
    <s v="N"/>
    <s v="T20"/>
    <s v="Y"/>
    <s v="N"/>
    <s v="Y"/>
    <s v="N"/>
    <s v="A038"/>
    <d v="2016-12-23T00:00:00"/>
    <s v="30"/>
    <s v="TAN"/>
    <s v="OR"/>
    <d v="2016-12-19T00:00:00"/>
    <s v="MT"/>
    <s v="US"/>
    <s v="ZR"/>
    <d v="2016-12-20T00:00:00"/>
  </r>
  <r>
    <x v="0"/>
    <x v="6"/>
    <x v="1016"/>
    <x v="11"/>
    <s v="Standard order"/>
    <x v="997"/>
    <x v="997"/>
    <s v="S517"/>
    <s v="CRYSTAL S517"/>
    <s v="5003468"/>
    <s v="S517 ACH T20 PB SYSTIVA G50"/>
    <n v="24"/>
    <n v="0"/>
    <n v="24"/>
    <x v="6"/>
    <s v="DVNV"/>
    <s v="GEM 50"/>
    <s v="324"/>
    <s v="4.0 UN"/>
    <s v="STANDARD"/>
    <s v="N"/>
    <s v="Y"/>
    <s v="N"/>
    <s v="T20"/>
    <s v="Y"/>
    <s v="N"/>
    <s v="Y"/>
    <s v="N"/>
    <s v="A038"/>
    <d v="2016-12-23T00:00:00"/>
    <s v="10"/>
    <s v="TAN"/>
    <s v="OR"/>
    <d v="2016-12-19T00:00:00"/>
    <s v="MT"/>
    <s v="US"/>
    <s v="ZR"/>
    <d v="2016-12-20T00:00:00"/>
  </r>
  <r>
    <x v="0"/>
    <x v="6"/>
    <x v="1016"/>
    <x v="11"/>
    <s v="Standard order"/>
    <x v="997"/>
    <x v="997"/>
    <s v="S360"/>
    <s v="CRYSTAL S360NT"/>
    <s v="5003414"/>
    <s v="S360 ACH T20 PB SYSTIVA G50"/>
    <n v="56"/>
    <n v="0"/>
    <n v="56"/>
    <x v="6"/>
    <s v="DVNB"/>
    <s v="GEM 50"/>
    <s v="324"/>
    <s v="4.0 UN"/>
    <s v="STANDARD"/>
    <s v="N"/>
    <s v="Y"/>
    <s v="N"/>
    <s v="T20"/>
    <s v="Y"/>
    <s v="N"/>
    <s v="Y"/>
    <s v="N"/>
    <s v="A038"/>
    <d v="2016-12-23T00:00:00"/>
    <s v="20"/>
    <s v="TAN"/>
    <s v="OR"/>
    <d v="2016-12-19T00:00:00"/>
    <s v="MT"/>
    <s v="US"/>
    <s v="ZR"/>
    <d v="2016-12-20T00:00:00"/>
  </r>
  <r>
    <x v="0"/>
    <x v="6"/>
    <x v="1016"/>
    <x v="11"/>
    <s v="Standard order"/>
    <x v="997"/>
    <x v="997"/>
    <s v="S498"/>
    <s v="CRYSTAL S498"/>
    <s v="5003420"/>
    <s v="S498 ACH T20 PB CL SYSTIVA G50"/>
    <n v="16"/>
    <n v="0"/>
    <n v="16"/>
    <x v="6"/>
    <s v="FE73"/>
    <s v="GEM 50"/>
    <s v="321"/>
    <s v="4.0 UN"/>
    <s v="STANDARD"/>
    <s v="N"/>
    <s v="N"/>
    <s v="N"/>
    <s v="T20"/>
    <s v="Y"/>
    <s v="N"/>
    <s v="Y"/>
    <s v="N"/>
    <s v="A038"/>
    <d v="2016-12-23T00:00:00"/>
    <s v="30"/>
    <s v="TAN"/>
    <s v="OR"/>
    <d v="2016-12-19T00:00:00"/>
    <s v="MT"/>
    <s v="US"/>
    <s v="ZR"/>
    <d v="2016-12-20T00:00:00"/>
  </r>
  <r>
    <x v="0"/>
    <x v="6"/>
    <x v="1017"/>
    <x v="11"/>
    <s v="Standard order"/>
    <x v="998"/>
    <x v="998"/>
    <s v="S517"/>
    <s v="CRYSTAL S517"/>
    <s v="5003468"/>
    <s v="S517 ACH T20 PB SYSTIVA G50"/>
    <n v="24"/>
    <n v="0"/>
    <n v="24"/>
    <x v="6"/>
    <s v="DVNV"/>
    <s v="GEM 50"/>
    <s v="324"/>
    <s v="4.0 UN"/>
    <s v="STANDARD"/>
    <s v="N"/>
    <s v="Y"/>
    <s v="N"/>
    <s v="T20"/>
    <s v="Y"/>
    <s v="N"/>
    <s v="Y"/>
    <s v="N"/>
    <s v="A038"/>
    <d v="2016-12-23T00:00:00"/>
    <s v="10"/>
    <s v="TAN"/>
    <s v="OR"/>
    <d v="2016-12-19T00:00:00"/>
    <s v="MT"/>
    <s v="US"/>
    <s v="ZR"/>
    <d v="2016-12-20T00:00:00"/>
  </r>
  <r>
    <x v="0"/>
    <x v="6"/>
    <x v="1017"/>
    <x v="11"/>
    <s v="Standard order"/>
    <x v="998"/>
    <x v="998"/>
    <s v="S360"/>
    <s v="CRYSTAL S360NT"/>
    <s v="5003414"/>
    <s v="S360 ACH T20 PB SYSTIVA G50"/>
    <n v="12"/>
    <n v="0"/>
    <n v="12"/>
    <x v="6"/>
    <s v="DVNB"/>
    <s v="GEM 50"/>
    <s v="324"/>
    <s v="4.0 UN"/>
    <s v="STANDARD"/>
    <s v="N"/>
    <s v="Y"/>
    <s v="N"/>
    <s v="T20"/>
    <s v="Y"/>
    <s v="N"/>
    <s v="Y"/>
    <s v="N"/>
    <s v="A038"/>
    <d v="2016-12-23T00:00:00"/>
    <s v="20"/>
    <s v="TAN"/>
    <s v="OR"/>
    <d v="2016-12-19T00:00:00"/>
    <s v="MT"/>
    <s v="US"/>
    <s v="ZR"/>
    <d v="2016-12-20T00:00:00"/>
  </r>
  <r>
    <x v="0"/>
    <x v="6"/>
    <x v="1017"/>
    <x v="11"/>
    <s v="Standard order"/>
    <x v="998"/>
    <x v="998"/>
    <s v="S498"/>
    <s v="CRYSTAL S498"/>
    <s v="5003420"/>
    <s v="S498 ACH T20 PB CL SYSTIVA G50"/>
    <n v="28"/>
    <n v="0"/>
    <n v="28"/>
    <x v="6"/>
    <s v="FE73"/>
    <s v="GEM 50"/>
    <s v="321"/>
    <s v="4.0 UN"/>
    <s v="STANDARD"/>
    <s v="N"/>
    <s v="N"/>
    <s v="N"/>
    <s v="T20"/>
    <s v="Y"/>
    <s v="N"/>
    <s v="Y"/>
    <s v="N"/>
    <s v="A038"/>
    <d v="2016-12-23T00:00:00"/>
    <s v="30"/>
    <s v="TAN"/>
    <s v="OR"/>
    <d v="2016-12-19T00:00:00"/>
    <s v="MT"/>
    <s v="US"/>
    <s v="ZR"/>
    <d v="2016-12-20T00:00:00"/>
  </r>
  <r>
    <x v="0"/>
    <x v="6"/>
    <x v="1017"/>
    <x v="11"/>
    <s v="Standard order"/>
    <x v="998"/>
    <x v="998"/>
    <s v="R052"/>
    <s v="CRYSTAL RR052"/>
    <s v="5003502"/>
    <s v="R052 ACH T20 PB CL SYSTIVA G50"/>
    <n v="16"/>
    <n v="0"/>
    <n v="16"/>
    <x v="6"/>
    <s v="AP82"/>
    <s v="GEM 50"/>
    <s v="321"/>
    <s v="4.0 UN"/>
    <s v="STANDARD"/>
    <s v="N"/>
    <s v="N"/>
    <s v="N"/>
    <s v="T20"/>
    <s v="Y"/>
    <s v="N"/>
    <s v="Y"/>
    <s v="N"/>
    <s v="A038"/>
    <d v="2016-12-23T00:00:00"/>
    <s v="40"/>
    <s v="TAN"/>
    <s v="OR"/>
    <d v="2016-12-19T00:00:00"/>
    <s v="MT"/>
    <s v="US"/>
    <s v="ZR"/>
    <d v="2016-12-20T00:00:00"/>
  </r>
  <r>
    <x v="0"/>
    <x v="2"/>
    <x v="1018"/>
    <x v="3"/>
    <s v="Standard order"/>
    <x v="999"/>
    <x v="999"/>
    <s v="R014"/>
    <s v="CRYSTAL RR014"/>
    <s v="5003091"/>
    <s v="R014 ACH T20 PB SYSTIVA G100"/>
    <n v="128"/>
    <n v="0"/>
    <n v="128"/>
    <x v="2"/>
    <s v="AP82"/>
    <s v="GEM 100"/>
    <s v="324"/>
    <s v="4.0 UN"/>
    <s v="STANDARD"/>
    <s v="N"/>
    <s v="Y"/>
    <s v="N"/>
    <s v="T20"/>
    <s v="Y"/>
    <s v="N"/>
    <s v="Y"/>
    <s v="N"/>
    <s v="A024"/>
    <d v="2016-12-23T00:00:00"/>
    <s v="10"/>
    <s v="TAN"/>
    <s v="OR"/>
    <d v="2016-12-20T00:00:00"/>
    <s v="NE"/>
    <s v="US"/>
    <s v="ZR"/>
    <d v="2016-12-20T00:00:00"/>
  </r>
  <r>
    <x v="0"/>
    <x v="4"/>
    <x v="1019"/>
    <x v="19"/>
    <s v="Standard order"/>
    <x v="1000"/>
    <x v="1000"/>
    <s v="R933"/>
    <s v="CRYSTAL RR933"/>
    <s v="5003678"/>
    <s v="R933 ACH LRG"/>
    <n v="68"/>
    <n v="0"/>
    <n v="68"/>
    <x v="4"/>
    <s v="3571"/>
    <s v="LARGE"/>
    <s v="316"/>
    <s v="4.0 UN"/>
    <s v="STANDARD"/>
    <s v="N"/>
    <s v="N"/>
    <s v="N"/>
    <s v="N"/>
    <s v="N"/>
    <s v="N"/>
    <s v="N"/>
    <s v="N"/>
    <s v="A046"/>
    <d v="2016-12-23T00:00:00"/>
    <s v="10"/>
    <s v="TAN"/>
    <s v="OR"/>
    <d v="2016-12-19T00:00:00"/>
    <s v="ID"/>
    <s v="US"/>
    <s v="ZR"/>
    <d v="2016-12-20T00:00:00"/>
  </r>
  <r>
    <x v="0"/>
    <x v="0"/>
    <x v="1020"/>
    <x v="4"/>
    <s v="Standard order"/>
    <x v="1001"/>
    <x v="1001"/>
    <s v="R059"/>
    <s v="CRYSTAL RR059"/>
    <s v="5003530"/>
    <s v="R059 ACH T20 Kabina RP"/>
    <n v="4"/>
    <n v="0"/>
    <n v="4"/>
    <x v="0"/>
    <s v="AP73"/>
    <s v="RP"/>
    <s v="387"/>
    <s v="4.0 UN"/>
    <s v="STANDARD"/>
    <s v="N"/>
    <s v="N"/>
    <s v="Y"/>
    <s v="T20"/>
    <s v="N"/>
    <s v="N"/>
    <s v="N"/>
    <s v="N"/>
    <s v="A035"/>
    <d v="2016-12-23T00:00:00"/>
    <s v="10"/>
    <s v="TAN"/>
    <s v="OR"/>
    <d v="2016-12-20T00:00:00"/>
    <s v="MI"/>
    <s v="US"/>
    <s v="ZR"/>
    <d v="2016-12-20T00:00:00"/>
  </r>
  <r>
    <x v="0"/>
    <x v="0"/>
    <x v="1020"/>
    <x v="4"/>
    <s v="Standard order"/>
    <x v="1001"/>
    <x v="1001"/>
    <s v="G515"/>
    <s v="CRYSTAL G515"/>
    <s v="5003019"/>
    <s v="G515 ACH T20 Kabina RP"/>
    <n v="12"/>
    <n v="0"/>
    <n v="12"/>
    <x v="0"/>
    <s v="APND"/>
    <s v="RP"/>
    <s v="387"/>
    <s v="4.0 UN"/>
    <s v="STANDARD"/>
    <s v="N"/>
    <s v="N"/>
    <s v="Y"/>
    <s v="T20"/>
    <s v="N"/>
    <s v="N"/>
    <s v="N"/>
    <s v="N"/>
    <s v="A035"/>
    <d v="2016-12-23T00:00:00"/>
    <s v="20"/>
    <s v="TAN"/>
    <s v="OR"/>
    <d v="2016-12-20T00:00:00"/>
    <s v="MI"/>
    <s v="US"/>
    <s v="ZR"/>
    <d v="2016-12-20T00:00:00"/>
  </r>
  <r>
    <x v="0"/>
    <x v="0"/>
    <x v="1020"/>
    <x v="4"/>
    <s v="Standard order"/>
    <x v="1001"/>
    <x v="1001"/>
    <s v="G351"/>
    <s v="CRYSTAL G351NT"/>
    <s v="5003398"/>
    <s v="G351 ACH T20 Kabina RP"/>
    <n v="12"/>
    <n v="0"/>
    <n v="12"/>
    <x v="0"/>
    <s v="DA73"/>
    <s v="RP"/>
    <s v="387"/>
    <s v="4.0 UN"/>
    <s v="STANDARD"/>
    <s v="N"/>
    <s v="N"/>
    <s v="Y"/>
    <s v="T20"/>
    <s v="N"/>
    <s v="N"/>
    <s v="N"/>
    <s v="N"/>
    <s v="A035"/>
    <d v="2016-12-23T00:00:00"/>
    <s v="30"/>
    <s v="TAN"/>
    <s v="OR"/>
    <d v="2016-12-20T00:00:00"/>
    <s v="MI"/>
    <s v="US"/>
    <s v="ZR"/>
    <d v="2016-12-20T00:00:00"/>
  </r>
  <r>
    <x v="0"/>
    <x v="0"/>
    <x v="1020"/>
    <x v="4"/>
    <s v="Standard order"/>
    <x v="1001"/>
    <x v="1001"/>
    <s v="G333"/>
    <s v="CRYSTAL G333NT"/>
    <s v="5003378"/>
    <s v="G333 ACH T20 Kabina RP"/>
    <n v="20"/>
    <n v="0"/>
    <n v="20"/>
    <x v="0"/>
    <s v="EE73"/>
    <s v="RP"/>
    <s v="387"/>
    <s v="4.0 UN"/>
    <s v="STANDARD"/>
    <s v="N"/>
    <s v="N"/>
    <s v="Y"/>
    <s v="T20"/>
    <s v="N"/>
    <s v="N"/>
    <s v="N"/>
    <s v="N"/>
    <s v="A035"/>
    <d v="2016-12-23T00:00:00"/>
    <s v="40"/>
    <s v="TAN"/>
    <s v="OR"/>
    <d v="2016-12-20T00:00:00"/>
    <s v="MI"/>
    <s v="US"/>
    <s v="ZR"/>
    <d v="2016-12-20T00:00:00"/>
  </r>
  <r>
    <x v="0"/>
    <x v="4"/>
    <x v="1021"/>
    <x v="7"/>
    <s v="Standard order"/>
    <x v="1002"/>
    <x v="1002"/>
    <s v="R240"/>
    <s v="CRYSTAL RR240NT"/>
    <s v="5003161"/>
    <s v="R240 ACH PB MP"/>
    <n v="4"/>
    <n v="0"/>
    <n v="4"/>
    <x v="4"/>
    <s v="BHMP"/>
    <s v="MP"/>
    <s v="314"/>
    <s v="4.0 UN"/>
    <s v="STANDARD"/>
    <s v="N"/>
    <s v="Y"/>
    <s v="N"/>
    <s v="N"/>
    <s v="N"/>
    <s v="N"/>
    <s v="N"/>
    <s v="N"/>
    <s v="A045"/>
    <d v="2016-12-23T00:00:00"/>
    <s v="20"/>
    <s v="TAN"/>
    <s v="OR"/>
    <d v="2016-12-20T00:00:00"/>
    <s v="OR"/>
    <s v="US"/>
    <s v="ZR"/>
    <d v="2016-12-20T00:00:00"/>
  </r>
  <r>
    <x v="0"/>
    <x v="4"/>
    <x v="1021"/>
    <x v="7"/>
    <s v="Standard order"/>
    <x v="1002"/>
    <x v="1002"/>
    <s v="R933"/>
    <s v="CRYSTAL RR933"/>
    <s v="5003688"/>
    <s v="R933 ACH PB MP"/>
    <n v="12"/>
    <n v="0"/>
    <n v="12"/>
    <x v="4"/>
    <s v="3571"/>
    <s v="MP"/>
    <s v="314"/>
    <s v="4.0 UN"/>
    <s v="STANDARD"/>
    <s v="N"/>
    <s v="Y"/>
    <s v="N"/>
    <s v="N"/>
    <s v="N"/>
    <s v="N"/>
    <s v="N"/>
    <s v="N"/>
    <s v="A045"/>
    <d v="2016-12-23T00:00:00"/>
    <s v="10"/>
    <s v="TAN"/>
    <s v="OR"/>
    <d v="2016-12-20T00:00:00"/>
    <s v="OR"/>
    <s v="US"/>
    <s v="ZR"/>
    <d v="2016-12-20T00:00:00"/>
  </r>
  <r>
    <x v="0"/>
    <x v="2"/>
    <x v="1022"/>
    <x v="6"/>
    <s v="Standard order"/>
    <x v="1003"/>
    <x v="1003"/>
    <s v="W322"/>
    <s v="CRYSTAL W322NT"/>
    <s v="5003489"/>
    <s v="W322 ACH T20 PB SYSTIVA G50"/>
    <n v="20"/>
    <n v="0"/>
    <n v="20"/>
    <x v="2"/>
    <s v="EE73"/>
    <s v="GEM 50"/>
    <s v="324"/>
    <s v="4.0 UN"/>
    <s v="STANDARD"/>
    <s v="N"/>
    <s v="Y"/>
    <s v="N"/>
    <s v="T20"/>
    <s v="Y"/>
    <s v="N"/>
    <s v="Y"/>
    <s v="N"/>
    <s v="A025"/>
    <d v="2016-12-23T00:00:00"/>
    <s v="10"/>
    <s v="TAN"/>
    <s v="OR"/>
    <d v="2016-12-20T00:00:00"/>
    <s v="NE"/>
    <s v="US"/>
    <s v="ZR"/>
    <d v="2016-12-20T00:00:00"/>
  </r>
  <r>
    <x v="0"/>
    <x v="0"/>
    <x v="1023"/>
    <x v="2"/>
    <s v="Standard order"/>
    <x v="1004"/>
    <x v="1004"/>
    <s v="G351"/>
    <s v="CRYSTAL G351NT"/>
    <s v="5003398"/>
    <s v="G351 ACH T20 Kabina RP"/>
    <n v="24"/>
    <n v="0"/>
    <n v="24"/>
    <x v="0"/>
    <s v="DA73"/>
    <s v="RP"/>
    <s v="387"/>
    <s v="4.0 UN"/>
    <s v="STANDARD"/>
    <s v="N"/>
    <s v="N"/>
    <s v="Y"/>
    <s v="T20"/>
    <s v="N"/>
    <s v="N"/>
    <s v="N"/>
    <s v="N"/>
    <s v="A034"/>
    <d v="2016-12-23T00:00:00"/>
    <s v="10"/>
    <s v="TAN"/>
    <s v="OR"/>
    <d v="2016-12-20T00:00:00"/>
    <s v="MI"/>
    <s v="US"/>
    <s v="ZR"/>
    <d v="2016-12-20T00:00:00"/>
  </r>
  <r>
    <x v="0"/>
    <x v="0"/>
    <x v="1023"/>
    <x v="2"/>
    <s v="Standard order"/>
    <x v="1004"/>
    <x v="1004"/>
    <s v="R059"/>
    <s v="CRYSTAL RR059"/>
    <s v="5003530"/>
    <s v="R059 ACH T20 Kabina RP"/>
    <n v="20"/>
    <n v="0"/>
    <n v="20"/>
    <x v="0"/>
    <s v="AP73"/>
    <s v="RP"/>
    <s v="387"/>
    <s v="4.0 UN"/>
    <s v="STANDARD"/>
    <s v="N"/>
    <s v="N"/>
    <s v="Y"/>
    <s v="T20"/>
    <s v="N"/>
    <s v="N"/>
    <s v="N"/>
    <s v="N"/>
    <s v="A034"/>
    <d v="2016-12-23T00:00:00"/>
    <s v="20"/>
    <s v="TAN"/>
    <s v="OR"/>
    <d v="2016-12-20T00:00:00"/>
    <s v="MI"/>
    <s v="US"/>
    <s v="ZR"/>
    <d v="2016-12-20T00:00:00"/>
  </r>
  <r>
    <x v="0"/>
    <x v="0"/>
    <x v="1024"/>
    <x v="2"/>
    <s v="Standard order"/>
    <x v="1005"/>
    <x v="1005"/>
    <s v="G515"/>
    <s v="CRYSTAL G515"/>
    <s v="5003018"/>
    <s v="G515 ACH T20 Kabina MP"/>
    <n v="12"/>
    <n v="0"/>
    <n v="12"/>
    <x v="0"/>
    <s v="APND"/>
    <s v="MP"/>
    <s v="387"/>
    <s v="4.0 UN"/>
    <s v="STANDARD"/>
    <s v="N"/>
    <s v="N"/>
    <s v="Y"/>
    <s v="T20"/>
    <s v="N"/>
    <s v="N"/>
    <s v="N"/>
    <s v="N"/>
    <s v="A034"/>
    <d v="2016-12-23T00:00:00"/>
    <s v="10"/>
    <s v="TAN"/>
    <s v="OR"/>
    <d v="2016-12-20T00:00:00"/>
    <s v="MI"/>
    <s v="US"/>
    <s v="ZR"/>
    <d v="2016-12-20T00:00:00"/>
  </r>
  <r>
    <x v="0"/>
    <x v="0"/>
    <x v="1024"/>
    <x v="2"/>
    <s v="Standard order"/>
    <x v="1005"/>
    <x v="1005"/>
    <s v="R059"/>
    <s v="CRYSTAL RR059"/>
    <s v="5003529"/>
    <s v="R059 ACH T20 Kabina MP"/>
    <n v="32"/>
    <n v="0"/>
    <n v="32"/>
    <x v="0"/>
    <s v="AP73"/>
    <s v="MP"/>
    <s v="387"/>
    <s v="4.0 UN"/>
    <s v="STANDARD"/>
    <s v="N"/>
    <s v="N"/>
    <s v="Y"/>
    <s v="T20"/>
    <s v="N"/>
    <s v="N"/>
    <s v="N"/>
    <s v="N"/>
    <s v="A034"/>
    <d v="2016-12-23T00:00:00"/>
    <s v="20"/>
    <s v="TAN"/>
    <s v="OR"/>
    <d v="2016-12-20T00:00:00"/>
    <s v="MI"/>
    <s v="US"/>
    <s v="ZR"/>
    <d v="2016-12-20T00:00:00"/>
  </r>
  <r>
    <x v="0"/>
    <x v="0"/>
    <x v="1025"/>
    <x v="2"/>
    <s v="Standard order"/>
    <x v="1006"/>
    <x v="1006"/>
    <s v="R059"/>
    <s v="CRYSTAL RR059"/>
    <s v="5003530"/>
    <s v="R059 ACH T20 Kabina RP"/>
    <n v="204"/>
    <n v="0"/>
    <n v="204"/>
    <x v="0"/>
    <s v="AP73"/>
    <s v="RP"/>
    <s v="387"/>
    <s v="4.0 UN"/>
    <s v="STANDARD"/>
    <s v="N"/>
    <s v="N"/>
    <s v="Y"/>
    <s v="T20"/>
    <s v="N"/>
    <s v="N"/>
    <s v="N"/>
    <s v="N"/>
    <s v="A034"/>
    <d v="2016-12-23T00:00:00"/>
    <s v="10"/>
    <s v="TAN"/>
    <s v="OR"/>
    <d v="2016-12-20T00:00:00"/>
    <s v="MI"/>
    <s v="US"/>
    <s v="ZR"/>
    <d v="2016-12-20T00:00:00"/>
  </r>
  <r>
    <x v="0"/>
    <x v="0"/>
    <x v="1026"/>
    <x v="2"/>
    <s v="Standard order"/>
    <x v="1007"/>
    <x v="1007"/>
    <s v="G333"/>
    <s v="CRYSTAL G333NT"/>
    <s v="5003378"/>
    <s v="G333 ACH T20 Kabina RP"/>
    <n v="8"/>
    <n v="0"/>
    <n v="8"/>
    <x v="0"/>
    <s v="EE73"/>
    <s v="RP"/>
    <s v="387"/>
    <s v="4.0 UN"/>
    <s v="STANDARD"/>
    <s v="N"/>
    <s v="N"/>
    <s v="Y"/>
    <s v="T20"/>
    <s v="N"/>
    <s v="N"/>
    <s v="N"/>
    <s v="N"/>
    <s v="A034"/>
    <d v="2016-12-23T00:00:00"/>
    <s v="10"/>
    <s v="TAN"/>
    <s v="OR"/>
    <d v="2016-12-19T00:00:00"/>
    <s v="MI"/>
    <s v="US"/>
    <s v="ZR"/>
    <d v="2016-12-20T00:00:00"/>
  </r>
  <r>
    <x v="0"/>
    <x v="0"/>
    <x v="1026"/>
    <x v="2"/>
    <s v="Standard order"/>
    <x v="1007"/>
    <x v="1007"/>
    <s v="R059"/>
    <s v="CRYSTAL RR059"/>
    <s v="5003530"/>
    <s v="R059 ACH T20 Kabina RP"/>
    <n v="28"/>
    <n v="0"/>
    <n v="28"/>
    <x v="0"/>
    <s v="AP73"/>
    <s v="RP"/>
    <s v="387"/>
    <s v="4.0 UN"/>
    <s v="STANDARD"/>
    <s v="N"/>
    <s v="N"/>
    <s v="Y"/>
    <s v="T20"/>
    <s v="N"/>
    <s v="N"/>
    <s v="N"/>
    <s v="N"/>
    <s v="A034"/>
    <d v="2016-12-23T00:00:00"/>
    <s v="20"/>
    <s v="TAN"/>
    <s v="OR"/>
    <d v="2016-12-19T00:00:00"/>
    <s v="MI"/>
    <s v="US"/>
    <s v="ZR"/>
    <d v="2016-12-20T00:00:00"/>
  </r>
  <r>
    <x v="0"/>
    <x v="0"/>
    <x v="1026"/>
    <x v="2"/>
    <s v="Standard order"/>
    <x v="1007"/>
    <x v="1007"/>
    <s v="G351"/>
    <s v="CRYSTAL G351NT"/>
    <s v="5003398"/>
    <s v="G351 ACH T20 Kabina RP"/>
    <n v="8"/>
    <n v="0"/>
    <n v="8"/>
    <x v="0"/>
    <s v="DA73"/>
    <s v="RP"/>
    <s v="387"/>
    <s v="4.0 UN"/>
    <s v="STANDARD"/>
    <s v="N"/>
    <s v="N"/>
    <s v="Y"/>
    <s v="T20"/>
    <s v="N"/>
    <s v="N"/>
    <s v="N"/>
    <s v="N"/>
    <s v="A034"/>
    <d v="2016-12-23T00:00:00"/>
    <s v="30"/>
    <s v="TAN"/>
    <s v="OR"/>
    <d v="2016-12-19T00:00:00"/>
    <s v="MI"/>
    <s v="US"/>
    <s v="ZR"/>
    <d v="2016-12-20T00:00:00"/>
  </r>
  <r>
    <x v="0"/>
    <x v="0"/>
    <x v="1027"/>
    <x v="4"/>
    <s v="Standard order"/>
    <x v="1008"/>
    <x v="1008"/>
    <s v="G515"/>
    <s v="CRYSTAL G515"/>
    <s v="5003018"/>
    <s v="G515 ACH T20 Kabina MP"/>
    <n v="8"/>
    <n v="0"/>
    <n v="8"/>
    <x v="0"/>
    <s v="APND"/>
    <s v="MP"/>
    <s v="387"/>
    <s v="4.0 UN"/>
    <s v="STANDARD"/>
    <s v="N"/>
    <s v="N"/>
    <s v="Y"/>
    <s v="T20"/>
    <s v="N"/>
    <s v="N"/>
    <s v="N"/>
    <s v="N"/>
    <s v="A035"/>
    <d v="2016-12-23T00:00:00"/>
    <s v="10"/>
    <s v="TAN"/>
    <s v="OR"/>
    <d v="2016-12-20T00:00:00"/>
    <s v="MI"/>
    <s v="US"/>
    <s v="ZR"/>
    <d v="2016-12-20T00:00:00"/>
  </r>
  <r>
    <x v="0"/>
    <x v="0"/>
    <x v="1027"/>
    <x v="4"/>
    <s v="Standard order"/>
    <x v="1008"/>
    <x v="1008"/>
    <s v="R202"/>
    <s v="CRYSTAL RR202"/>
    <s v="5003118"/>
    <s v="R202 ACH T20 Kabina MP"/>
    <n v="12"/>
    <n v="0"/>
    <n v="12"/>
    <x v="0"/>
    <s v="4ULM"/>
    <s v="MP"/>
    <s v="387"/>
    <s v="4.0 UN"/>
    <s v="STANDARD"/>
    <s v="N"/>
    <s v="N"/>
    <s v="Y"/>
    <s v="T20"/>
    <s v="N"/>
    <s v="N"/>
    <s v="N"/>
    <s v="N"/>
    <s v="A035"/>
    <d v="2016-12-23T00:00:00"/>
    <s v="20"/>
    <s v="TAN"/>
    <s v="OR"/>
    <d v="2016-12-20T00:00:00"/>
    <s v="MI"/>
    <s v="US"/>
    <s v="ZR"/>
    <d v="2016-12-20T00:00:00"/>
  </r>
  <r>
    <x v="0"/>
    <x v="0"/>
    <x v="1027"/>
    <x v="4"/>
    <s v="Standard order"/>
    <x v="1008"/>
    <x v="1008"/>
    <s v="R059"/>
    <s v="CRYSTAL RR059"/>
    <s v="5003529"/>
    <s v="R059 ACH T20 Kabina MP"/>
    <n v="12"/>
    <n v="0"/>
    <n v="12"/>
    <x v="0"/>
    <s v="AP73"/>
    <s v="MP"/>
    <s v="387"/>
    <s v="4.0 UN"/>
    <s v="STANDARD"/>
    <s v="N"/>
    <s v="N"/>
    <s v="Y"/>
    <s v="T20"/>
    <s v="N"/>
    <s v="N"/>
    <s v="N"/>
    <s v="N"/>
    <s v="A035"/>
    <d v="2016-12-23T00:00:00"/>
    <s v="30"/>
    <s v="TAN"/>
    <s v="OR"/>
    <d v="2016-12-20T00:00:00"/>
    <s v="MI"/>
    <s v="US"/>
    <s v="ZR"/>
    <d v="2016-12-20T00:00:00"/>
  </r>
  <r>
    <x v="0"/>
    <x v="0"/>
    <x v="1027"/>
    <x v="4"/>
    <s v="Standard order"/>
    <x v="1008"/>
    <x v="1008"/>
    <s v="R059"/>
    <s v="CRYSTAL RR059"/>
    <s v="5003535"/>
    <s v="R059 ACH T20 SYSTIVA MP"/>
    <n v="16"/>
    <n v="0"/>
    <n v="16"/>
    <x v="0"/>
    <s v="AP73"/>
    <s v="MP"/>
    <s v="328"/>
    <s v="4.0 UN"/>
    <s v="STANDARD"/>
    <s v="N"/>
    <s v="N"/>
    <s v="N"/>
    <s v="T20"/>
    <s v="Y"/>
    <s v="N"/>
    <s v="Y"/>
    <s v="N"/>
    <s v="A035"/>
    <d v="2016-12-23T00:00:00"/>
    <s v="40"/>
    <s v="TAN"/>
    <s v="OR"/>
    <d v="2016-12-20T00:00:00"/>
    <s v="MI"/>
    <s v="US"/>
    <s v="ZR"/>
    <d v="2016-12-20T00:00:00"/>
  </r>
  <r>
    <x v="0"/>
    <x v="4"/>
    <x v="1028"/>
    <x v="18"/>
    <s v="Standard order"/>
    <x v="1009"/>
    <x v="1009"/>
    <s v="A399"/>
    <s v="CRYSTAL A399NT"/>
    <s v="5002931"/>
    <s v="A399 ACH PB XL"/>
    <n v="136"/>
    <n v="0"/>
    <n v="136"/>
    <x v="4"/>
    <s v="DP71"/>
    <s v="X-LARGE"/>
    <s v="314"/>
    <s v="4.0 UN"/>
    <s v="STANDARD"/>
    <s v="N"/>
    <s v="Y"/>
    <s v="N"/>
    <s v="N"/>
    <s v="N"/>
    <s v="N"/>
    <s v="N"/>
    <s v="N"/>
    <s v="A041"/>
    <d v="2016-12-23T00:00:00"/>
    <s v="10"/>
    <s v="TAN"/>
    <s v="OR"/>
    <d v="2016-12-20T00:00:00"/>
    <s v="ID"/>
    <s v="US"/>
    <s v="ZR"/>
    <d v="2016-12-20T00:00:00"/>
  </r>
  <r>
    <x v="0"/>
    <x v="4"/>
    <x v="1028"/>
    <x v="18"/>
    <s v="Standard order"/>
    <x v="1009"/>
    <x v="1009"/>
    <s v="R081"/>
    <s v="CRYSTAL RR081"/>
    <s v="5003554"/>
    <s v="R081 ACH PB XL IDH"/>
    <n v="204"/>
    <n v="0"/>
    <n v="204"/>
    <x v="4"/>
    <s v="AQ82"/>
    <s v="X-LARGE"/>
    <s v="314"/>
    <s v="4.0 UN"/>
    <s v="STANDARD"/>
    <s v="N"/>
    <s v="Y"/>
    <s v="N"/>
    <s v="N"/>
    <s v="N"/>
    <s v="N"/>
    <s v="N"/>
    <s v="N"/>
    <s v="A041"/>
    <d v="2016-12-23T00:00:00"/>
    <s v="20"/>
    <s v="TAN"/>
    <s v="OR"/>
    <d v="2016-12-20T00:00:00"/>
    <s v="ID"/>
    <s v="US"/>
    <s v="ZR"/>
    <d v="2016-12-20T00:00:00"/>
  </r>
  <r>
    <x v="0"/>
    <x v="0"/>
    <x v="1029"/>
    <x v="4"/>
    <s v="Standard order"/>
    <x v="1010"/>
    <x v="1010"/>
    <s v="G333"/>
    <s v="CRYSTAL G333NT"/>
    <s v="5003377"/>
    <s v="G333 ACH T20 Kabina MP"/>
    <n v="172"/>
    <n v="0"/>
    <n v="172"/>
    <x v="0"/>
    <s v="EE73"/>
    <s v="MP"/>
    <s v="387"/>
    <s v="4.0 UN"/>
    <s v="STANDARD"/>
    <s v="N"/>
    <s v="N"/>
    <s v="Y"/>
    <s v="T20"/>
    <s v="N"/>
    <s v="N"/>
    <s v="N"/>
    <s v="N"/>
    <s v="A035"/>
    <d v="2016-12-26T00:00:00"/>
    <s v="10"/>
    <s v="TAN"/>
    <s v="OR"/>
    <d v="2016-12-21T00:00:00"/>
    <s v="MI"/>
    <s v="US"/>
    <s v="ZR"/>
    <d v="2016-12-21T00:00:00"/>
  </r>
  <r>
    <x v="0"/>
    <x v="0"/>
    <x v="1029"/>
    <x v="4"/>
    <s v="Standard order"/>
    <x v="1010"/>
    <x v="1010"/>
    <s v="R059"/>
    <s v="CRYSTAL RR059"/>
    <s v="5003529"/>
    <s v="R059 ACH T20 Kabina MP"/>
    <n v="92"/>
    <n v="0"/>
    <n v="92"/>
    <x v="0"/>
    <s v="AP73"/>
    <s v="MP"/>
    <s v="387"/>
    <s v="4.0 UN"/>
    <s v="STANDARD"/>
    <s v="N"/>
    <s v="N"/>
    <s v="Y"/>
    <s v="T20"/>
    <s v="N"/>
    <s v="N"/>
    <s v="N"/>
    <s v="N"/>
    <s v="A035"/>
    <d v="2016-12-26T00:00:00"/>
    <s v="20"/>
    <s v="TAN"/>
    <s v="OR"/>
    <d v="2016-12-21T00:00:00"/>
    <s v="MI"/>
    <s v="US"/>
    <s v="ZR"/>
    <d v="2016-12-21T00:00:00"/>
  </r>
  <r>
    <x v="0"/>
    <x v="0"/>
    <x v="1030"/>
    <x v="10"/>
    <s v="Standard order"/>
    <x v="1011"/>
    <x v="1011"/>
    <s v="R059"/>
    <s v="CRYSTAL RR059"/>
    <s v="5003530"/>
    <s v="R059 ACH T20 Kabina RP"/>
    <n v="32"/>
    <n v="0"/>
    <n v="32"/>
    <x v="0"/>
    <s v="AP73"/>
    <s v="RP"/>
    <s v="387"/>
    <s v="4.0 UN"/>
    <s v="STANDARD"/>
    <s v="N"/>
    <s v="N"/>
    <s v="Y"/>
    <s v="T20"/>
    <s v="N"/>
    <s v="N"/>
    <s v="N"/>
    <s v="N"/>
    <s v="A036"/>
    <d v="2016-12-26T00:00:00"/>
    <s v="10"/>
    <s v="TAN"/>
    <s v="OR"/>
    <d v="2016-12-20T00:00:00"/>
    <s v="MI"/>
    <s v="US"/>
    <s v="ZR"/>
    <d v="2016-12-21T00:00:00"/>
  </r>
  <r>
    <x v="0"/>
    <x v="0"/>
    <x v="1031"/>
    <x v="10"/>
    <s v="Standard order"/>
    <x v="1012"/>
    <x v="1012"/>
    <s v="G333"/>
    <s v="CRYSTAL G333NT"/>
    <s v="5003378"/>
    <s v="G333 ACH T20 Kabina RP"/>
    <n v="16"/>
    <n v="0"/>
    <n v="16"/>
    <x v="0"/>
    <s v="EE73"/>
    <s v="RP"/>
    <s v="387"/>
    <s v="4.0 UN"/>
    <s v="STANDARD"/>
    <s v="N"/>
    <s v="N"/>
    <s v="Y"/>
    <s v="T20"/>
    <s v="N"/>
    <s v="N"/>
    <s v="N"/>
    <s v="N"/>
    <s v="A036"/>
    <d v="2016-12-26T00:00:00"/>
    <s v="10"/>
    <s v="TAN"/>
    <s v="OR"/>
    <d v="2016-12-20T00:00:00"/>
    <s v="MI"/>
    <s v="US"/>
    <s v="ZR"/>
    <d v="2016-12-21T00:00:00"/>
  </r>
  <r>
    <x v="0"/>
    <x v="2"/>
    <x v="1032"/>
    <x v="3"/>
    <s v="Standard order"/>
    <x v="1013"/>
    <x v="1013"/>
    <s v="R014"/>
    <s v="CRYSTAL RR014"/>
    <s v="5003091"/>
    <s v="R014 ACH T20 PB SYSTIVA G100"/>
    <n v="20"/>
    <n v="0"/>
    <n v="20"/>
    <x v="2"/>
    <s v="AP82"/>
    <s v="GEM 100"/>
    <s v="324"/>
    <s v="4.0 UN"/>
    <s v="STANDARD"/>
    <s v="N"/>
    <s v="Y"/>
    <s v="N"/>
    <s v="T20"/>
    <s v="Y"/>
    <s v="N"/>
    <s v="Y"/>
    <s v="N"/>
    <s v="A024"/>
    <d v="2016-12-26T00:00:00"/>
    <s v="10"/>
    <s v="TAN"/>
    <s v="OR"/>
    <d v="2016-12-21T00:00:00"/>
    <s v="NE"/>
    <s v="US"/>
    <s v="ZR"/>
    <d v="2016-12-21T00:00:00"/>
  </r>
  <r>
    <x v="0"/>
    <x v="2"/>
    <x v="1032"/>
    <x v="3"/>
    <s v="Standard order"/>
    <x v="1013"/>
    <x v="1013"/>
    <s v="W322"/>
    <s v="CRYSTAL W322NT"/>
    <s v="5003488"/>
    <s v="W322 ACH T20 PB SYSTIVA G100"/>
    <n v="32"/>
    <n v="0"/>
    <n v="32"/>
    <x v="2"/>
    <s v="EE73"/>
    <s v="GEM 100"/>
    <s v="324"/>
    <s v="4.0 UN"/>
    <s v="STANDARD"/>
    <s v="N"/>
    <s v="Y"/>
    <s v="N"/>
    <s v="T20"/>
    <s v="Y"/>
    <s v="N"/>
    <s v="Y"/>
    <s v="N"/>
    <s v="A024"/>
    <d v="2016-12-26T00:00:00"/>
    <s v="20"/>
    <s v="TAN"/>
    <s v="OR"/>
    <d v="2016-12-21T00:00:00"/>
    <s v="NE"/>
    <s v="US"/>
    <s v="ZR"/>
    <d v="2016-12-21T00:00:00"/>
  </r>
  <r>
    <x v="0"/>
    <x v="2"/>
    <x v="1032"/>
    <x v="3"/>
    <s v="Standard order"/>
    <x v="1013"/>
    <x v="1013"/>
    <s v="R272"/>
    <s v="CRYSTAL RR272"/>
    <s v="5003629"/>
    <s v="R272 ACH T20 PB SYSTIVA G100"/>
    <n v="8"/>
    <n v="0"/>
    <n v="8"/>
    <x v="2"/>
    <s v="DG73"/>
    <s v="GEM 100"/>
    <s v="324"/>
    <s v="4.0 UN"/>
    <s v="STANDARD"/>
    <s v="N"/>
    <s v="Y"/>
    <s v="N"/>
    <s v="T20"/>
    <s v="Y"/>
    <s v="N"/>
    <s v="Y"/>
    <s v="N"/>
    <s v="A024"/>
    <d v="2016-12-26T00:00:00"/>
    <s v="30"/>
    <s v="TAN"/>
    <s v="OR"/>
    <d v="2016-12-21T00:00:00"/>
    <s v="NE"/>
    <s v="US"/>
    <s v="ZR"/>
    <d v="2016-12-21T00:00:00"/>
  </r>
  <r>
    <x v="0"/>
    <x v="4"/>
    <x v="1033"/>
    <x v="16"/>
    <s v="Standard order"/>
    <x v="1014"/>
    <x v="1014"/>
    <s v="A399"/>
    <s v="CRYSTAL A399NT"/>
    <s v="5002920"/>
    <s v="A399 ACH LRG"/>
    <n v="12"/>
    <n v="0"/>
    <n v="12"/>
    <x v="4"/>
    <s v="DP71"/>
    <s v="LARGE"/>
    <s v="316"/>
    <s v="4.0 UN"/>
    <s v="STANDARD"/>
    <s v="N"/>
    <s v="N"/>
    <s v="N"/>
    <s v="N"/>
    <s v="N"/>
    <s v="N"/>
    <s v="N"/>
    <s v="N"/>
    <s v="A042"/>
    <d v="2016-12-26T00:00:00"/>
    <s v="10"/>
    <s v="TAN"/>
    <s v="OR"/>
    <d v="2016-12-21T00:00:00"/>
    <s v="ID"/>
    <s v="US"/>
    <s v="ZR"/>
    <d v="2016-12-21T00:00:00"/>
  </r>
  <r>
    <x v="0"/>
    <x v="2"/>
    <x v="1034"/>
    <x v="25"/>
    <s v="Standard order"/>
    <x v="1015"/>
    <x v="1015"/>
    <s v="W322"/>
    <s v="CRYSTAL W322NT"/>
    <s v="5003489"/>
    <s v="W322 ACH T20 PB SYSTIVA G50"/>
    <n v="32"/>
    <n v="0"/>
    <n v="32"/>
    <x v="2"/>
    <s v="EE73"/>
    <s v="GEM 50"/>
    <s v="324"/>
    <s v="4.0 UN"/>
    <s v="STANDARD"/>
    <s v="N"/>
    <s v="Y"/>
    <s v="N"/>
    <s v="T20"/>
    <s v="Y"/>
    <s v="N"/>
    <s v="Y"/>
    <s v="N"/>
    <s v="A021"/>
    <d v="2016-12-26T00:00:00"/>
    <s v="10"/>
    <s v="TAN"/>
    <s v="OR"/>
    <d v="2016-12-21T00:00:00"/>
    <s v="CO"/>
    <s v="US"/>
    <s v="ZR"/>
    <d v="2016-12-21T00:00:00"/>
  </r>
  <r>
    <x v="0"/>
    <x v="4"/>
    <x v="1035"/>
    <x v="7"/>
    <s v="Standard order"/>
    <x v="1016"/>
    <x v="1016"/>
    <s v="A399"/>
    <s v="CRYSTAL A399NT"/>
    <s v="5002930"/>
    <s v="A399 ACH PB MP"/>
    <n v="16"/>
    <n v="0"/>
    <n v="16"/>
    <x v="4"/>
    <s v="DP71"/>
    <s v="MP"/>
    <s v="314"/>
    <s v="4.0 UN"/>
    <s v="STANDARD"/>
    <s v="N"/>
    <s v="Y"/>
    <s v="N"/>
    <s v="N"/>
    <s v="N"/>
    <s v="N"/>
    <s v="N"/>
    <s v="N"/>
    <s v="A045"/>
    <d v="2016-12-26T00:00:00"/>
    <s v="10"/>
    <s v="TAN"/>
    <s v="OR"/>
    <d v="2016-12-21T00:00:00"/>
    <s v="OR"/>
    <s v="US"/>
    <s v="ZR"/>
    <d v="2016-12-21T00:00:00"/>
  </r>
  <r>
    <x v="0"/>
    <x v="4"/>
    <x v="1035"/>
    <x v="7"/>
    <s v="Standard order"/>
    <x v="1016"/>
    <x v="1016"/>
    <s v="A404"/>
    <s v="CRYSTAL A404NT"/>
    <s v="5002956"/>
    <s v="A404 ACH PB MP"/>
    <n v="16"/>
    <n v="0"/>
    <n v="16"/>
    <x v="4"/>
    <s v="DPNE"/>
    <s v="MP"/>
    <s v="314"/>
    <s v="4.0 UN"/>
    <s v="STANDARD"/>
    <s v="N"/>
    <s v="Y"/>
    <s v="N"/>
    <s v="N"/>
    <s v="N"/>
    <s v="N"/>
    <s v="N"/>
    <s v="N"/>
    <s v="A045"/>
    <d v="2016-12-26T00:00:00"/>
    <s v="20"/>
    <s v="TAN"/>
    <s v="OR"/>
    <d v="2016-12-21T00:00:00"/>
    <s v="OR"/>
    <s v="US"/>
    <s v="ZR"/>
    <d v="2016-12-21T00:00:00"/>
  </r>
  <r>
    <x v="0"/>
    <x v="2"/>
    <x v="1036"/>
    <x v="25"/>
    <s v="Standard order"/>
    <x v="1017"/>
    <x v="1017"/>
    <s v="R272"/>
    <s v="CRYSTAL RR272"/>
    <s v="5003629"/>
    <s v="R272 ACH T20 PB SYSTIVA G100"/>
    <n v="24"/>
    <n v="0"/>
    <n v="24"/>
    <x v="2"/>
    <s v="DG73"/>
    <s v="GEM 100"/>
    <s v="324"/>
    <s v="4.0 UN"/>
    <s v="STANDARD"/>
    <s v="N"/>
    <s v="Y"/>
    <s v="N"/>
    <s v="T20"/>
    <s v="Y"/>
    <s v="N"/>
    <s v="Y"/>
    <s v="N"/>
    <s v="A021"/>
    <d v="2016-12-26T00:00:00"/>
    <s v="10"/>
    <s v="TAN"/>
    <s v="OR"/>
    <d v="2016-12-21T00:00:00"/>
    <s v="CO"/>
    <s v="US"/>
    <s v="ZR"/>
    <d v="2016-12-21T00:00:00"/>
  </r>
  <r>
    <x v="0"/>
    <x v="2"/>
    <x v="1036"/>
    <x v="25"/>
    <s v="Standard order"/>
    <x v="1017"/>
    <x v="1017"/>
    <s v="R014"/>
    <s v="CRYSTAL RR014"/>
    <s v="5003091"/>
    <s v="R014 ACH T20 PB SYSTIVA G100"/>
    <n v="24"/>
    <n v="0"/>
    <n v="24"/>
    <x v="2"/>
    <s v="AP82"/>
    <s v="GEM 100"/>
    <s v="324"/>
    <s v="4.0 UN"/>
    <s v="STANDARD"/>
    <s v="N"/>
    <s v="Y"/>
    <s v="N"/>
    <s v="T20"/>
    <s v="Y"/>
    <s v="N"/>
    <s v="Y"/>
    <s v="N"/>
    <s v="A021"/>
    <d v="2016-12-26T00:00:00"/>
    <s v="20"/>
    <s v="TAN"/>
    <s v="OR"/>
    <d v="2016-12-21T00:00:00"/>
    <s v="CO"/>
    <s v="US"/>
    <s v="ZR"/>
    <d v="2016-12-21T00:00:00"/>
  </r>
  <r>
    <x v="0"/>
    <x v="0"/>
    <x v="1037"/>
    <x v="2"/>
    <s v="Standard order"/>
    <x v="1018"/>
    <x v="1018"/>
    <s v="G515"/>
    <s v="CRYSTAL G515"/>
    <s v="5003017"/>
    <s v="G515 ACH T20 Kabina ELS"/>
    <n v="40"/>
    <n v="0"/>
    <n v="40"/>
    <x v="0"/>
    <s v="APND"/>
    <s v="ELS"/>
    <s v="387"/>
    <s v="4.0 UN"/>
    <s v="STANDARD"/>
    <s v="N"/>
    <s v="N"/>
    <s v="Y"/>
    <s v="T20"/>
    <s v="N"/>
    <s v="N"/>
    <s v="N"/>
    <s v="N"/>
    <s v="A034"/>
    <d v="2016-12-26T00:00:00"/>
    <s v="10"/>
    <s v="TAN"/>
    <s v="OR"/>
    <d v="2016-12-21T00:00:00"/>
    <s v="MI"/>
    <s v="US"/>
    <s v="ZR"/>
    <d v="2016-12-21T00:00:00"/>
  </r>
  <r>
    <x v="0"/>
    <x v="0"/>
    <x v="1037"/>
    <x v="2"/>
    <s v="Standard order"/>
    <x v="1018"/>
    <x v="1018"/>
    <s v="R202"/>
    <s v="CRYSTAL RR202"/>
    <s v="5003119"/>
    <s v="R202 ACH T20 Kabina RP"/>
    <n v="120"/>
    <n v="0"/>
    <n v="120"/>
    <x v="0"/>
    <s v="4ULM"/>
    <s v="RP"/>
    <s v="387"/>
    <s v="4.0 UN"/>
    <s v="STANDARD"/>
    <s v="N"/>
    <s v="N"/>
    <s v="Y"/>
    <s v="T20"/>
    <s v="N"/>
    <s v="N"/>
    <s v="N"/>
    <s v="N"/>
    <s v="A034"/>
    <d v="2016-12-26T00:00:00"/>
    <s v="20"/>
    <s v="TAN"/>
    <s v="OR"/>
    <d v="2016-12-21T00:00:00"/>
    <s v="MI"/>
    <s v="US"/>
    <s v="ZR"/>
    <d v="2016-12-21T00:00:00"/>
  </r>
  <r>
    <x v="0"/>
    <x v="0"/>
    <x v="1037"/>
    <x v="2"/>
    <s v="Standard order"/>
    <x v="1018"/>
    <x v="1018"/>
    <s v="R059"/>
    <s v="CRYSTAL RR059"/>
    <s v="5003528"/>
    <s v="R059 ACH T20 Kabina ELS"/>
    <n v="184"/>
    <n v="0"/>
    <n v="184"/>
    <x v="0"/>
    <s v="AP73"/>
    <s v="ELS"/>
    <s v="387"/>
    <s v="4.0 UN"/>
    <s v="STANDARD"/>
    <s v="N"/>
    <s v="N"/>
    <s v="Y"/>
    <s v="T20"/>
    <s v="N"/>
    <s v="N"/>
    <s v="N"/>
    <s v="N"/>
    <s v="A034"/>
    <d v="2016-12-26T00:00:00"/>
    <s v="30"/>
    <s v="TAN"/>
    <s v="OR"/>
    <d v="2016-12-21T00:00:00"/>
    <s v="MI"/>
    <s v="US"/>
    <s v="ZR"/>
    <d v="2016-12-21T00:00:00"/>
  </r>
  <r>
    <x v="0"/>
    <x v="0"/>
    <x v="1038"/>
    <x v="2"/>
    <s v="Standard order"/>
    <x v="1019"/>
    <x v="1019"/>
    <s v="R059"/>
    <s v="CRYSTAL RR059"/>
    <s v="5003530"/>
    <s v="R059 ACH T20 Kabina RP"/>
    <n v="300"/>
    <n v="0"/>
    <n v="300"/>
    <x v="0"/>
    <s v="AP73"/>
    <s v="RP"/>
    <s v="387"/>
    <s v="4.0 UN"/>
    <s v="STANDARD"/>
    <s v="N"/>
    <s v="N"/>
    <s v="Y"/>
    <s v="T20"/>
    <s v="N"/>
    <s v="N"/>
    <s v="N"/>
    <s v="N"/>
    <s v="A034"/>
    <d v="2016-12-26T00:00:00"/>
    <s v="10"/>
    <s v="TAN"/>
    <s v="OR"/>
    <d v="2016-12-21T00:00:00"/>
    <s v="MI"/>
    <s v="US"/>
    <s v="ZR"/>
    <d v="2016-12-21T00:00:00"/>
  </r>
  <r>
    <x v="0"/>
    <x v="0"/>
    <x v="1038"/>
    <x v="2"/>
    <s v="Standard order"/>
    <x v="1019"/>
    <x v="1019"/>
    <s v="G515"/>
    <s v="CRYSTAL G515"/>
    <s v="5003019"/>
    <s v="G515 ACH T20 Kabina RP"/>
    <n v="92"/>
    <n v="0"/>
    <n v="92"/>
    <x v="0"/>
    <s v="APND"/>
    <s v="RP"/>
    <s v="387"/>
    <s v="4.0 UN"/>
    <s v="STANDARD"/>
    <s v="N"/>
    <s v="N"/>
    <s v="Y"/>
    <s v="T20"/>
    <s v="N"/>
    <s v="N"/>
    <s v="N"/>
    <s v="N"/>
    <s v="A034"/>
    <d v="2016-12-26T00:00:00"/>
    <s v="20"/>
    <s v="TAN"/>
    <s v="OR"/>
    <d v="2016-12-21T00:00:00"/>
    <s v="MI"/>
    <s v="US"/>
    <s v="ZR"/>
    <d v="2016-12-21T00:00:00"/>
  </r>
  <r>
    <x v="0"/>
    <x v="0"/>
    <x v="1038"/>
    <x v="2"/>
    <s v="Standard order"/>
    <x v="1019"/>
    <x v="1019"/>
    <s v="G333"/>
    <s v="CRYSTAL G333NT"/>
    <s v="5003378"/>
    <s v="G333 ACH T20 Kabina RP"/>
    <n v="36"/>
    <n v="0"/>
    <n v="36"/>
    <x v="0"/>
    <s v="EE73"/>
    <s v="RP"/>
    <s v="387"/>
    <s v="4.0 UN"/>
    <s v="STANDARD"/>
    <s v="N"/>
    <s v="N"/>
    <s v="Y"/>
    <s v="T20"/>
    <s v="N"/>
    <s v="N"/>
    <s v="N"/>
    <s v="N"/>
    <s v="A034"/>
    <d v="2016-12-26T00:00:00"/>
    <s v="30"/>
    <s v="TAN"/>
    <s v="OR"/>
    <d v="2016-12-21T00:00:00"/>
    <s v="MI"/>
    <s v="US"/>
    <s v="ZR"/>
    <d v="2016-12-21T00:00:00"/>
  </r>
  <r>
    <x v="0"/>
    <x v="0"/>
    <x v="1039"/>
    <x v="2"/>
    <s v="Standard order"/>
    <x v="1020"/>
    <x v="1020"/>
    <s v="R059"/>
    <s v="CRYSTAL RR059"/>
    <s v="5003536"/>
    <s v="R059 ACH T20 SYSTIVA RP"/>
    <n v="48"/>
    <n v="0"/>
    <n v="48"/>
    <x v="0"/>
    <s v="AP73"/>
    <s v="RP"/>
    <s v="328"/>
    <s v="4.0 UN"/>
    <s v="STANDARD"/>
    <s v="N"/>
    <s v="N"/>
    <s v="N"/>
    <s v="T20"/>
    <s v="Y"/>
    <s v="N"/>
    <s v="Y"/>
    <s v="N"/>
    <s v="A034"/>
    <d v="2016-12-26T00:00:00"/>
    <s v="10"/>
    <s v="TAN"/>
    <s v="OR"/>
    <d v="2016-12-21T00:00:00"/>
    <s v="MI"/>
    <s v="US"/>
    <s v="ZR"/>
    <d v="2016-12-21T00:00:00"/>
  </r>
  <r>
    <x v="0"/>
    <x v="2"/>
    <x v="1040"/>
    <x v="6"/>
    <s v="Standard order"/>
    <x v="1021"/>
    <x v="1021"/>
    <s v="W322"/>
    <s v="CRYSTAL W322NT"/>
    <s v="5003489"/>
    <s v="W322 ACH T20 PB SYSTIVA G50"/>
    <n v="48"/>
    <n v="0"/>
    <n v="48"/>
    <x v="2"/>
    <s v="EE73"/>
    <s v="GEM 50"/>
    <s v="324"/>
    <s v="4.0 UN"/>
    <s v="STANDARD"/>
    <s v="N"/>
    <s v="Y"/>
    <s v="N"/>
    <s v="T20"/>
    <s v="Y"/>
    <s v="N"/>
    <s v="Y"/>
    <s v="N"/>
    <s v="A025"/>
    <d v="2016-12-26T00:00:00"/>
    <s v="10"/>
    <s v="TAN"/>
    <s v="OR"/>
    <d v="2016-12-20T00:00:00"/>
    <s v="NE"/>
    <s v="US"/>
    <s v="ZR"/>
    <d v="2016-12-21T00:00:00"/>
  </r>
  <r>
    <x v="0"/>
    <x v="0"/>
    <x v="1041"/>
    <x v="10"/>
    <s v="Standard order"/>
    <x v="1022"/>
    <x v="1022"/>
    <s v="R059"/>
    <s v="CRYSTAL RR059"/>
    <s v="5003530"/>
    <s v="R059 ACH T20 Kabina RP"/>
    <n v="48"/>
    <n v="0"/>
    <n v="48"/>
    <x v="0"/>
    <s v="AP73"/>
    <s v="RP"/>
    <s v="387"/>
    <s v="4.0 UN"/>
    <s v="STANDARD"/>
    <s v="N"/>
    <s v="N"/>
    <s v="Y"/>
    <s v="T20"/>
    <s v="N"/>
    <s v="N"/>
    <s v="N"/>
    <s v="N"/>
    <s v="A036"/>
    <d v="2016-12-26T00:00:00"/>
    <s v="20"/>
    <s v="TAN"/>
    <s v="OR"/>
    <d v="2016-12-21T00:00:00"/>
    <s v="MI"/>
    <s v="US"/>
    <s v="ZR"/>
    <d v="2016-12-21T00:00:00"/>
  </r>
  <r>
    <x v="0"/>
    <x v="2"/>
    <x v="1042"/>
    <x v="22"/>
    <s v="Standard order"/>
    <x v="1023"/>
    <x v="1023"/>
    <s v="W322"/>
    <s v="CRYSTAL W322NT"/>
    <s v="5003488"/>
    <s v="W322 ACH T20 PB SYSTIVA G100"/>
    <n v="20"/>
    <n v="0"/>
    <n v="20"/>
    <x v="2"/>
    <s v="EE73"/>
    <s v="GEM 100"/>
    <s v="324"/>
    <s v="4.0 UN"/>
    <s v="STANDARD"/>
    <s v="N"/>
    <s v="Y"/>
    <s v="N"/>
    <s v="T20"/>
    <s v="Y"/>
    <s v="N"/>
    <s v="Y"/>
    <s v="N"/>
    <s v="A018"/>
    <d v="2016-12-26T00:00:00"/>
    <s v="10"/>
    <s v="TAN"/>
    <s v="OR"/>
    <d v="2016-12-21T00:00:00"/>
    <s v="CO"/>
    <s v="US"/>
    <s v="ZR"/>
    <d v="2016-12-21T00:00:00"/>
  </r>
  <r>
    <x v="0"/>
    <x v="2"/>
    <x v="1043"/>
    <x v="22"/>
    <s v="Standard order"/>
    <x v="1024"/>
    <x v="1024"/>
    <s v="W322"/>
    <s v="CRYSTAL W322NT"/>
    <s v="5003488"/>
    <s v="W322 ACH T20 PB SYSTIVA G100"/>
    <n v="20"/>
    <n v="0"/>
    <n v="20"/>
    <x v="2"/>
    <s v="EE73"/>
    <s v="GEM 100"/>
    <s v="324"/>
    <s v="4.0 UN"/>
    <s v="STANDARD"/>
    <s v="N"/>
    <s v="Y"/>
    <s v="N"/>
    <s v="T20"/>
    <s v="Y"/>
    <s v="N"/>
    <s v="Y"/>
    <s v="N"/>
    <s v="A018"/>
    <d v="2016-12-26T00:00:00"/>
    <s v="10"/>
    <s v="TAN"/>
    <s v="OR"/>
    <d v="2016-12-21T00:00:00"/>
    <s v="CO"/>
    <s v="US"/>
    <s v="ZR"/>
    <d v="2016-12-21T00:00:00"/>
  </r>
  <r>
    <x v="0"/>
    <x v="2"/>
    <x v="1044"/>
    <x v="22"/>
    <s v="Standard order"/>
    <x v="1025"/>
    <x v="1025"/>
    <s v="R014"/>
    <s v="CRYSTAL RR014"/>
    <s v="5003091"/>
    <s v="R014 ACH T20 PB SYSTIVA G100"/>
    <n v="52"/>
    <n v="0"/>
    <n v="52"/>
    <x v="2"/>
    <s v="AP82"/>
    <s v="GEM 100"/>
    <s v="324"/>
    <s v="4.0 UN"/>
    <s v="STANDARD"/>
    <s v="N"/>
    <s v="Y"/>
    <s v="N"/>
    <s v="T20"/>
    <s v="Y"/>
    <s v="N"/>
    <s v="Y"/>
    <s v="N"/>
    <s v="A018"/>
    <d v="2016-12-26T00:00:00"/>
    <s v="10"/>
    <s v="TAN"/>
    <s v="OR"/>
    <d v="2016-12-21T00:00:00"/>
    <s v="CO"/>
    <s v="US"/>
    <s v="ZR"/>
    <d v="2016-12-21T00:00:00"/>
  </r>
  <r>
    <x v="0"/>
    <x v="0"/>
    <x v="1045"/>
    <x v="4"/>
    <s v="Standard order"/>
    <x v="1026"/>
    <x v="1026"/>
    <s v="R059"/>
    <s v="CRYSTAL RR059"/>
    <s v="5003534"/>
    <s v="R059 ACH T20 SYSTIVA ELS"/>
    <n v="16"/>
    <n v="0"/>
    <n v="16"/>
    <x v="0"/>
    <s v="AP73"/>
    <s v="ELS"/>
    <s v="328"/>
    <s v="4.0 UN"/>
    <s v="STANDARD"/>
    <s v="N"/>
    <s v="N"/>
    <s v="N"/>
    <s v="T20"/>
    <s v="Y"/>
    <s v="N"/>
    <s v="Y"/>
    <s v="N"/>
    <s v="A035"/>
    <d v="2016-12-26T00:00:00"/>
    <s v="10"/>
    <s v="TAN"/>
    <s v="OR"/>
    <d v="2016-12-21T00:00:00"/>
    <s v="MI"/>
    <s v="US"/>
    <s v="ZR"/>
    <d v="2016-12-21T00:00:00"/>
  </r>
  <r>
    <x v="0"/>
    <x v="2"/>
    <x v="1046"/>
    <x v="23"/>
    <s v="Standard order"/>
    <x v="1027"/>
    <x v="1027"/>
    <s v="R014"/>
    <s v="CRYSTAL RR014"/>
    <s v="5003091"/>
    <s v="R014 ACH T20 PB SYSTIVA G100"/>
    <n v="24"/>
    <n v="0"/>
    <n v="24"/>
    <x v="2"/>
    <s v="AP82"/>
    <s v="GEM 100"/>
    <s v="324"/>
    <s v="4.0 UN"/>
    <s v="STANDARD"/>
    <s v="N"/>
    <s v="Y"/>
    <s v="N"/>
    <s v="T20"/>
    <s v="Y"/>
    <s v="N"/>
    <s v="Y"/>
    <s v="N"/>
    <s v="A055"/>
    <d v="2016-12-26T00:00:00"/>
    <s v="10"/>
    <s v="TAN"/>
    <s v="OR"/>
    <d v="2016-12-21T00:00:00"/>
    <s v="WY"/>
    <s v="US"/>
    <s v="ZR"/>
    <d v="2016-12-21T00:00:00"/>
  </r>
  <r>
    <x v="0"/>
    <x v="2"/>
    <x v="1046"/>
    <x v="23"/>
    <s v="Standard order"/>
    <x v="1027"/>
    <x v="1027"/>
    <s v="R272"/>
    <s v="CRYSTAL RR272"/>
    <s v="5003629"/>
    <s v="R272 ACH T20 PB SYSTIVA G100"/>
    <n v="16"/>
    <n v="0"/>
    <n v="16"/>
    <x v="2"/>
    <s v="DG73"/>
    <s v="GEM 100"/>
    <s v="324"/>
    <s v="4.0 UN"/>
    <s v="STANDARD"/>
    <s v="N"/>
    <s v="Y"/>
    <s v="N"/>
    <s v="T20"/>
    <s v="Y"/>
    <s v="N"/>
    <s v="Y"/>
    <s v="N"/>
    <s v="A055"/>
    <d v="2016-12-26T00:00:00"/>
    <s v="20"/>
    <s v="TAN"/>
    <s v="OR"/>
    <d v="2016-12-21T00:00:00"/>
    <s v="WY"/>
    <s v="US"/>
    <s v="ZR"/>
    <d v="2016-12-21T00:00:00"/>
  </r>
  <r>
    <x v="0"/>
    <x v="2"/>
    <x v="1046"/>
    <x v="23"/>
    <s v="Standard order"/>
    <x v="1027"/>
    <x v="1027"/>
    <s v="W322"/>
    <s v="CRYSTAL W322NT"/>
    <s v="5003488"/>
    <s v="W322 ACH T20 PB SYSTIVA G100"/>
    <n v="8"/>
    <n v="0"/>
    <n v="8"/>
    <x v="2"/>
    <s v="EE73"/>
    <s v="GEM 100"/>
    <s v="324"/>
    <s v="4.0 UN"/>
    <s v="STANDARD"/>
    <s v="N"/>
    <s v="Y"/>
    <s v="N"/>
    <s v="T20"/>
    <s v="Y"/>
    <s v="N"/>
    <s v="Y"/>
    <s v="N"/>
    <s v="A055"/>
    <d v="2016-12-26T00:00:00"/>
    <s v="30"/>
    <s v="TAN"/>
    <s v="OR"/>
    <d v="2016-12-21T00:00:00"/>
    <s v="WY"/>
    <s v="US"/>
    <s v="ZR"/>
    <d v="2016-12-21T00:00:00"/>
  </r>
  <r>
    <x v="0"/>
    <x v="4"/>
    <x v="1047"/>
    <x v="20"/>
    <s v="Standard order"/>
    <x v="1028"/>
    <x v="1028"/>
    <s v="R275"/>
    <s v="CRYSTAL RR275"/>
    <s v="5003652"/>
    <s v="R275 ACH T20 PB Kabina MP"/>
    <n v="152"/>
    <n v="0"/>
    <n v="152"/>
    <x v="4"/>
    <s v="5CAY"/>
    <s v="MP"/>
    <s v="388"/>
    <s v="4.0 UN"/>
    <s v="STANDARD"/>
    <s v="N"/>
    <s v="Y"/>
    <s v="Y"/>
    <s v="T20"/>
    <s v="N"/>
    <s v="N"/>
    <s v="N"/>
    <s v="N"/>
    <s v="A039"/>
    <d v="2016-12-26T00:00:00"/>
    <s v="10"/>
    <s v="TAN"/>
    <s v="OR"/>
    <d v="2016-12-20T00:00:00"/>
    <s v="ID"/>
    <s v="US"/>
    <s v="ZR"/>
    <d v="2016-12-21T00:00:00"/>
  </r>
  <r>
    <x v="0"/>
    <x v="4"/>
    <x v="1047"/>
    <x v="20"/>
    <s v="Standard order"/>
    <x v="1028"/>
    <x v="1028"/>
    <s v="A501"/>
    <s v="CRYSTAL A501"/>
    <s v="5003313"/>
    <s v="A501 ACH T20 PB Kabina MP"/>
    <n v="84"/>
    <n v="0"/>
    <n v="84"/>
    <x v="4"/>
    <s v="EZPB"/>
    <s v="MP"/>
    <s v="388"/>
    <s v="4.0 UN"/>
    <s v="STANDARD"/>
    <s v="N"/>
    <s v="Y"/>
    <s v="Y"/>
    <s v="T20"/>
    <s v="N"/>
    <s v="N"/>
    <s v="N"/>
    <s v="N"/>
    <s v="A039"/>
    <d v="2016-12-26T00:00:00"/>
    <s v="20"/>
    <s v="TAN"/>
    <s v="OR"/>
    <d v="2016-12-20T00:00:00"/>
    <s v="ID"/>
    <s v="US"/>
    <s v="ZR"/>
    <d v="2016-12-21T00:00:00"/>
  </r>
  <r>
    <x v="0"/>
    <x v="0"/>
    <x v="1048"/>
    <x v="10"/>
    <s v="Standard order"/>
    <x v="1029"/>
    <x v="1029"/>
    <s v="R059"/>
    <s v="CRYSTAL RR059"/>
    <s v="5003530"/>
    <s v="R059 ACH T20 Kabina RP"/>
    <n v="28"/>
    <n v="0"/>
    <n v="28"/>
    <x v="0"/>
    <s v="AP73"/>
    <s v="RP"/>
    <s v="387"/>
    <s v="4.0 UN"/>
    <s v="STANDARD"/>
    <s v="N"/>
    <s v="N"/>
    <s v="Y"/>
    <s v="T20"/>
    <s v="N"/>
    <s v="N"/>
    <s v="N"/>
    <s v="N"/>
    <s v="A036"/>
    <d v="2016-12-26T00:00:00"/>
    <s v="20"/>
    <s v="TAN"/>
    <s v="OR"/>
    <d v="2016-12-20T00:00:00"/>
    <s v="MI"/>
    <s v="US"/>
    <s v="ZR"/>
    <d v="2016-12-21T00:00:00"/>
  </r>
  <r>
    <x v="0"/>
    <x v="0"/>
    <x v="1049"/>
    <x v="10"/>
    <s v="Standard order"/>
    <x v="1030"/>
    <x v="1030"/>
    <s v="R059"/>
    <s v="CRYSTAL RR059"/>
    <s v="5003530"/>
    <s v="R059 ACH T20 Kabina RP"/>
    <n v="16"/>
    <n v="0"/>
    <n v="16"/>
    <x v="0"/>
    <s v="AP73"/>
    <s v="RP"/>
    <s v="387"/>
    <s v="4.0 UN"/>
    <s v="STANDARD"/>
    <s v="N"/>
    <s v="N"/>
    <s v="Y"/>
    <s v="T20"/>
    <s v="N"/>
    <s v="N"/>
    <s v="N"/>
    <s v="N"/>
    <s v="A036"/>
    <d v="2016-12-26T00:00:00"/>
    <s v="10"/>
    <s v="TAN"/>
    <s v="OR"/>
    <d v="2016-12-20T00:00:00"/>
    <s v="MI"/>
    <s v="US"/>
    <s v="ZR"/>
    <d v="2016-12-21T00:00:00"/>
  </r>
  <r>
    <x v="0"/>
    <x v="0"/>
    <x v="1049"/>
    <x v="10"/>
    <s v="Standard order"/>
    <x v="1030"/>
    <x v="1030"/>
    <s v="G333"/>
    <s v="CRYSTAL G333NT"/>
    <s v="5003378"/>
    <s v="G333 ACH T20 Kabina RP"/>
    <n v="12"/>
    <n v="0"/>
    <n v="12"/>
    <x v="0"/>
    <s v="EE73"/>
    <s v="RP"/>
    <s v="387"/>
    <s v="4.0 UN"/>
    <s v="STANDARD"/>
    <s v="N"/>
    <s v="N"/>
    <s v="Y"/>
    <s v="T20"/>
    <s v="N"/>
    <s v="N"/>
    <s v="N"/>
    <s v="N"/>
    <s v="A036"/>
    <d v="2016-12-26T00:00:00"/>
    <s v="20"/>
    <s v="TAN"/>
    <s v="OR"/>
    <d v="2016-12-20T00:00:00"/>
    <s v="MI"/>
    <s v="US"/>
    <s v="ZR"/>
    <d v="2016-12-21T00:00:00"/>
  </r>
  <r>
    <x v="0"/>
    <x v="0"/>
    <x v="1050"/>
    <x v="10"/>
    <s v="Standard order"/>
    <x v="1031"/>
    <x v="1031"/>
    <s v="R059"/>
    <s v="CRYSTAL RR059"/>
    <s v="5003530"/>
    <s v="R059 ACH T20 Kabina RP"/>
    <n v="32"/>
    <n v="0"/>
    <n v="32"/>
    <x v="0"/>
    <s v="AP73"/>
    <s v="RP"/>
    <s v="387"/>
    <s v="4.0 UN"/>
    <s v="STANDARD"/>
    <s v="N"/>
    <s v="N"/>
    <s v="Y"/>
    <s v="T20"/>
    <s v="N"/>
    <s v="N"/>
    <s v="N"/>
    <s v="N"/>
    <s v="A036"/>
    <d v="2016-12-26T00:00:00"/>
    <s v="10"/>
    <s v="TAN"/>
    <s v="OR"/>
    <d v="2016-12-20T00:00:00"/>
    <s v="MI"/>
    <s v="US"/>
    <s v="ZR"/>
    <d v="2016-12-21T00:00:00"/>
  </r>
  <r>
    <x v="0"/>
    <x v="0"/>
    <x v="1051"/>
    <x v="10"/>
    <s v="Standard order"/>
    <x v="1032"/>
    <x v="1032"/>
    <s v="R059"/>
    <s v="CRYSTAL RR059"/>
    <s v="5003530"/>
    <s v="R059 ACH T20 Kabina RP"/>
    <n v="12"/>
    <n v="0"/>
    <n v="12"/>
    <x v="0"/>
    <s v="AP73"/>
    <s v="RP"/>
    <s v="387"/>
    <s v="4.0 UN"/>
    <s v="STANDARD"/>
    <s v="N"/>
    <s v="N"/>
    <s v="Y"/>
    <s v="T20"/>
    <s v="N"/>
    <s v="N"/>
    <s v="N"/>
    <s v="N"/>
    <s v="A036"/>
    <d v="2016-12-26T00:00:00"/>
    <s v="10"/>
    <s v="TAN"/>
    <s v="OR"/>
    <d v="2016-12-20T00:00:00"/>
    <s v="MI"/>
    <s v="US"/>
    <s v="ZR"/>
    <d v="2016-12-21T00:00:00"/>
  </r>
  <r>
    <x v="0"/>
    <x v="0"/>
    <x v="1052"/>
    <x v="10"/>
    <s v="Standard order"/>
    <x v="1033"/>
    <x v="1033"/>
    <s v="G333"/>
    <s v="CRYSTAL G333NT"/>
    <s v="5003376"/>
    <s v="G333 ACH T20 Kabina ELS"/>
    <n v="52"/>
    <n v="0"/>
    <n v="52"/>
    <x v="0"/>
    <s v="EE73"/>
    <s v="ELS"/>
    <s v="387"/>
    <s v="4.0 UN"/>
    <s v="STANDARD"/>
    <s v="N"/>
    <s v="N"/>
    <s v="Y"/>
    <s v="T20"/>
    <s v="N"/>
    <s v="N"/>
    <s v="N"/>
    <s v="N"/>
    <s v="A036"/>
    <d v="2016-12-26T00:00:00"/>
    <s v="10"/>
    <s v="TAN"/>
    <s v="OR"/>
    <d v="2016-12-20T00:00:00"/>
    <s v="MI"/>
    <s v="US"/>
    <s v="ZR"/>
    <d v="2016-12-21T00:00:00"/>
  </r>
  <r>
    <x v="0"/>
    <x v="0"/>
    <x v="1053"/>
    <x v="10"/>
    <s v="Standard order"/>
    <x v="1034"/>
    <x v="1034"/>
    <s v="R059"/>
    <s v="CRYSTAL RR059"/>
    <s v="5003530"/>
    <s v="R059 ACH T20 Kabina RP"/>
    <n v="20"/>
    <n v="0"/>
    <n v="20"/>
    <x v="0"/>
    <s v="AP73"/>
    <s v="RP"/>
    <s v="387"/>
    <s v="4.0 UN"/>
    <s v="STANDARD"/>
    <s v="N"/>
    <s v="N"/>
    <s v="Y"/>
    <s v="T20"/>
    <s v="N"/>
    <s v="N"/>
    <s v="N"/>
    <s v="N"/>
    <s v="A036"/>
    <d v="2016-12-26T00:00:00"/>
    <s v="10"/>
    <s v="TAN"/>
    <s v="OR"/>
    <d v="2016-12-20T00:00:00"/>
    <s v="MI"/>
    <s v="US"/>
    <s v="ZR"/>
    <d v="2016-12-21T00:00:00"/>
  </r>
  <r>
    <x v="0"/>
    <x v="0"/>
    <x v="1054"/>
    <x v="4"/>
    <s v="Standard order"/>
    <x v="1035"/>
    <x v="1035"/>
    <s v="R059"/>
    <s v="CRYSTAL RR059"/>
    <s v="5003495"/>
    <s v="R059 ACH T20 PB Kabina ELS"/>
    <n v="36"/>
    <n v="0"/>
    <n v="36"/>
    <x v="0"/>
    <s v="AP73"/>
    <s v="ELS"/>
    <s v="388"/>
    <s v="4.0 UN"/>
    <s v="STANDARD"/>
    <s v="N"/>
    <s v="Y"/>
    <s v="Y"/>
    <s v="T20"/>
    <s v="N"/>
    <s v="N"/>
    <s v="N"/>
    <s v="N"/>
    <s v="A035"/>
    <d v="2016-12-26T00:00:00"/>
    <s v="10"/>
    <s v="TAN"/>
    <s v="OR"/>
    <d v="2016-12-21T00:00:00"/>
    <s v="MI"/>
    <s v="US"/>
    <s v="ZR"/>
    <d v="2016-12-21T00:00:00"/>
  </r>
  <r>
    <x v="0"/>
    <x v="0"/>
    <x v="1055"/>
    <x v="4"/>
    <s v="Standard order"/>
    <x v="1036"/>
    <x v="1036"/>
    <s v="R059"/>
    <s v="CRYSTAL RR059"/>
    <s v="5003528"/>
    <s v="R059 ACH T20 Kabina ELS"/>
    <n v="32"/>
    <n v="0"/>
    <n v="32"/>
    <x v="0"/>
    <s v="AP73"/>
    <s v="ELS"/>
    <s v="387"/>
    <s v="4.0 UN"/>
    <s v="STANDARD"/>
    <s v="N"/>
    <s v="N"/>
    <s v="Y"/>
    <s v="T20"/>
    <s v="N"/>
    <s v="N"/>
    <s v="N"/>
    <s v="N"/>
    <s v="A035"/>
    <d v="2016-12-26T00:00:00"/>
    <s v="10"/>
    <s v="TAN"/>
    <s v="OR"/>
    <d v="2016-12-21T00:00:00"/>
    <s v="MI"/>
    <s v="US"/>
    <s v="ZR"/>
    <d v="2016-12-21T00:00:00"/>
  </r>
  <r>
    <x v="0"/>
    <x v="2"/>
    <x v="1056"/>
    <x v="3"/>
    <s v="Standard order"/>
    <x v="1037"/>
    <x v="1037"/>
    <s v="R272"/>
    <s v="CRYSTAL RR272"/>
    <s v="5003629"/>
    <s v="R272 ACH T20 PB SYSTIVA G100"/>
    <n v="32"/>
    <n v="0"/>
    <n v="32"/>
    <x v="2"/>
    <s v="DG73"/>
    <s v="GEM 100"/>
    <s v="324"/>
    <s v="4.0 UN"/>
    <s v="STANDARD"/>
    <s v="N"/>
    <s v="Y"/>
    <s v="N"/>
    <s v="T20"/>
    <s v="Y"/>
    <s v="N"/>
    <s v="Y"/>
    <s v="N"/>
    <s v="A024"/>
    <d v="2016-12-26T00:00:00"/>
    <s v="10"/>
    <s v="TAN"/>
    <s v="OR"/>
    <d v="2016-12-21T00:00:00"/>
    <s v="NE"/>
    <s v="US"/>
    <s v="ZR"/>
    <d v="2016-12-21T00:00:00"/>
  </r>
  <r>
    <x v="0"/>
    <x v="2"/>
    <x v="1056"/>
    <x v="3"/>
    <s v="Standard order"/>
    <x v="1037"/>
    <x v="1037"/>
    <s v="W322"/>
    <s v="CRYSTAL W322NT"/>
    <s v="5003488"/>
    <s v="W322 ACH T20 PB SYSTIVA G100"/>
    <n v="36"/>
    <n v="0"/>
    <n v="36"/>
    <x v="2"/>
    <s v="EE73"/>
    <s v="GEM 100"/>
    <s v="324"/>
    <s v="4.0 UN"/>
    <s v="STANDARD"/>
    <s v="N"/>
    <s v="Y"/>
    <s v="N"/>
    <s v="T20"/>
    <s v="Y"/>
    <s v="N"/>
    <s v="Y"/>
    <s v="N"/>
    <s v="A024"/>
    <d v="2016-12-26T00:00:00"/>
    <s v="20"/>
    <s v="TAN"/>
    <s v="OR"/>
    <d v="2016-12-21T00:00:00"/>
    <s v="NE"/>
    <s v="US"/>
    <s v="ZR"/>
    <d v="2016-12-21T00:00:00"/>
  </r>
  <r>
    <x v="0"/>
    <x v="2"/>
    <x v="1057"/>
    <x v="22"/>
    <s v="Standard order"/>
    <x v="1038"/>
    <x v="1038"/>
    <s v="R014"/>
    <s v="CRYSTAL RR014"/>
    <s v="5003091"/>
    <s v="R014 ACH T20 PB SYSTIVA G100"/>
    <n v="12"/>
    <n v="0"/>
    <n v="12"/>
    <x v="2"/>
    <s v="AP82"/>
    <s v="GEM 100"/>
    <s v="324"/>
    <s v="4.0 UN"/>
    <s v="STANDARD"/>
    <s v="N"/>
    <s v="Y"/>
    <s v="N"/>
    <s v="T20"/>
    <s v="Y"/>
    <s v="N"/>
    <s v="Y"/>
    <s v="N"/>
    <s v="A018"/>
    <d v="2016-12-26T00:00:00"/>
    <s v="10"/>
    <s v="TAN"/>
    <s v="OR"/>
    <d v="2016-12-21T00:00:00"/>
    <s v="CO"/>
    <s v="US"/>
    <s v="ZR"/>
    <d v="2016-12-21T00:00:00"/>
  </r>
  <r>
    <x v="0"/>
    <x v="2"/>
    <x v="1058"/>
    <x v="22"/>
    <s v="Standard order"/>
    <x v="1039"/>
    <x v="1039"/>
    <s v="R014"/>
    <s v="CRYSTAL RR014"/>
    <s v="5003091"/>
    <s v="R014 ACH T20 PB SYSTIVA G100"/>
    <n v="8"/>
    <n v="0"/>
    <n v="8"/>
    <x v="2"/>
    <s v="AP82"/>
    <s v="GEM 100"/>
    <s v="324"/>
    <s v="4.0 UN"/>
    <s v="STANDARD"/>
    <s v="N"/>
    <s v="Y"/>
    <s v="N"/>
    <s v="T20"/>
    <s v="Y"/>
    <s v="N"/>
    <s v="Y"/>
    <s v="N"/>
    <s v="A018"/>
    <d v="2016-12-26T00:00:00"/>
    <s v="10"/>
    <s v="TAN"/>
    <s v="OR"/>
    <d v="2016-12-21T00:00:00"/>
    <s v="CO"/>
    <s v="US"/>
    <s v="ZR"/>
    <d v="2016-12-21T00:00:00"/>
  </r>
  <r>
    <x v="0"/>
    <x v="2"/>
    <x v="1058"/>
    <x v="22"/>
    <s v="Standard order"/>
    <x v="1039"/>
    <x v="1039"/>
    <s v="W322"/>
    <s v="CRYSTAL W322NT"/>
    <s v="5003488"/>
    <s v="W322 ACH T20 PB SYSTIVA G100"/>
    <n v="36"/>
    <n v="0"/>
    <n v="36"/>
    <x v="2"/>
    <s v="EE73"/>
    <s v="GEM 100"/>
    <s v="324"/>
    <s v="4.0 UN"/>
    <s v="STANDARD"/>
    <s v="N"/>
    <s v="Y"/>
    <s v="N"/>
    <s v="T20"/>
    <s v="Y"/>
    <s v="N"/>
    <s v="Y"/>
    <s v="N"/>
    <s v="A018"/>
    <d v="2016-12-26T00:00:00"/>
    <s v="20"/>
    <s v="TAN"/>
    <s v="OR"/>
    <d v="2016-12-21T00:00:00"/>
    <s v="CO"/>
    <s v="US"/>
    <s v="ZR"/>
    <d v="2016-12-21T00:00:00"/>
  </r>
  <r>
    <x v="0"/>
    <x v="2"/>
    <x v="1059"/>
    <x v="25"/>
    <s v="Standard order"/>
    <x v="1040"/>
    <x v="1040"/>
    <s v="R014"/>
    <s v="CRYSTAL RR014"/>
    <s v="5003091"/>
    <s v="R014 ACH T20 PB SYSTIVA G100"/>
    <n v="32"/>
    <n v="0"/>
    <n v="32"/>
    <x v="2"/>
    <s v="AP82"/>
    <s v="GEM 100"/>
    <s v="324"/>
    <s v="4.0 UN"/>
    <s v="STANDARD"/>
    <s v="N"/>
    <s v="Y"/>
    <s v="N"/>
    <s v="T20"/>
    <s v="Y"/>
    <s v="N"/>
    <s v="Y"/>
    <s v="N"/>
    <s v="A021"/>
    <d v="2016-12-26T00:00:00"/>
    <s v="10"/>
    <s v="TAN"/>
    <s v="OR"/>
    <d v="2016-12-21T00:00:00"/>
    <s v="CO"/>
    <s v="US"/>
    <s v="ZR"/>
    <d v="2016-12-21T00:00:00"/>
  </r>
  <r>
    <x v="0"/>
    <x v="2"/>
    <x v="1060"/>
    <x v="22"/>
    <s v="Standard order"/>
    <x v="1041"/>
    <x v="1041"/>
    <s v="R272"/>
    <s v="CRYSTAL RR272"/>
    <s v="5003630"/>
    <s v="R272 ACH T20 PB SYSTIVA G50"/>
    <n v="4"/>
    <n v="0"/>
    <n v="4"/>
    <x v="2"/>
    <s v="DG73"/>
    <s v="GEM 50"/>
    <s v="324"/>
    <s v="4.0 UN"/>
    <s v="STANDARD"/>
    <s v="N"/>
    <s v="Y"/>
    <s v="N"/>
    <s v="T20"/>
    <s v="Y"/>
    <s v="N"/>
    <s v="Y"/>
    <s v="N"/>
    <s v="A018"/>
    <d v="2016-12-26T00:00:00"/>
    <s v="10"/>
    <s v="TAN"/>
    <s v="OR"/>
    <d v="2016-12-21T00:00:00"/>
    <s v="CO"/>
    <s v="US"/>
    <s v="ZR"/>
    <d v="2016-12-21T00:00:00"/>
  </r>
  <r>
    <x v="0"/>
    <x v="4"/>
    <x v="1061"/>
    <x v="7"/>
    <s v="Standard order"/>
    <x v="1042"/>
    <x v="1042"/>
    <s v="A399"/>
    <s v="CRYSTAL A399NT"/>
    <s v="5002936"/>
    <s v="A399 ACH T20 PB Kabina MP"/>
    <n v="12"/>
    <n v="0"/>
    <n v="12"/>
    <x v="4"/>
    <s v="DP71"/>
    <s v="MP"/>
    <s v="388"/>
    <s v="4.0 UN"/>
    <s v="STANDARD"/>
    <s v="N"/>
    <s v="Y"/>
    <s v="Y"/>
    <s v="T20"/>
    <s v="N"/>
    <s v="N"/>
    <s v="N"/>
    <s v="N"/>
    <s v="A045"/>
    <d v="2016-12-26T00:00:00"/>
    <s v="10"/>
    <s v="TAN"/>
    <s v="OR"/>
    <d v="2016-12-21T00:00:00"/>
    <s v="OR"/>
    <s v="US"/>
    <s v="ZR"/>
    <d v="2016-12-21T00:00:00"/>
  </r>
  <r>
    <x v="0"/>
    <x v="2"/>
    <x v="1062"/>
    <x v="22"/>
    <s v="Standard order"/>
    <x v="1043"/>
    <x v="1043"/>
    <s v="R014"/>
    <s v="CRYSTAL RR014"/>
    <s v="5003092"/>
    <s v="R014 ACH T20 PB SYSTIVA G50"/>
    <n v="20"/>
    <n v="0"/>
    <n v="20"/>
    <x v="2"/>
    <s v="AP82"/>
    <s v="GEM 50"/>
    <s v="324"/>
    <s v="4.0 UN"/>
    <s v="STANDARD"/>
    <s v="N"/>
    <s v="Y"/>
    <s v="N"/>
    <s v="T20"/>
    <s v="Y"/>
    <s v="N"/>
    <s v="Y"/>
    <s v="N"/>
    <s v="A018"/>
    <d v="2016-12-26T00:00:00"/>
    <s v="10"/>
    <s v="TAN"/>
    <s v="OR"/>
    <d v="2016-12-21T00:00:00"/>
    <s v="CO"/>
    <s v="US"/>
    <s v="ZR"/>
    <d v="2016-12-21T00:00:00"/>
  </r>
  <r>
    <x v="0"/>
    <x v="0"/>
    <x v="1063"/>
    <x v="4"/>
    <s v="Standard order"/>
    <x v="1044"/>
    <x v="1044"/>
    <s v="R059"/>
    <s v="CRYSTAL RR059"/>
    <s v="5003529"/>
    <s v="R059 ACH T20 Kabina MP"/>
    <n v="44"/>
    <n v="0"/>
    <n v="44"/>
    <x v="0"/>
    <s v="AP73"/>
    <s v="MP"/>
    <s v="387"/>
    <s v="4.0 UN"/>
    <s v="STANDARD"/>
    <s v="N"/>
    <s v="N"/>
    <s v="Y"/>
    <s v="T20"/>
    <s v="N"/>
    <s v="N"/>
    <s v="N"/>
    <s v="N"/>
    <s v="A035"/>
    <d v="2016-12-26T00:00:00"/>
    <s v="10"/>
    <s v="TAN"/>
    <s v="OR"/>
    <d v="2016-12-21T00:00:00"/>
    <s v="MI"/>
    <s v="US"/>
    <s v="ZR"/>
    <d v="2016-12-21T00:00:00"/>
  </r>
  <r>
    <x v="0"/>
    <x v="2"/>
    <x v="1064"/>
    <x v="22"/>
    <s v="Standard order"/>
    <x v="1045"/>
    <x v="1045"/>
    <s v="W322"/>
    <s v="CRYSTAL W322NT"/>
    <s v="5003488"/>
    <s v="W322 ACH T20 PB SYSTIVA G100"/>
    <n v="48"/>
    <n v="0"/>
    <n v="48"/>
    <x v="2"/>
    <s v="EE73"/>
    <s v="GEM 100"/>
    <s v="324"/>
    <s v="4.0 UN"/>
    <s v="STANDARD"/>
    <s v="N"/>
    <s v="Y"/>
    <s v="N"/>
    <s v="T20"/>
    <s v="Y"/>
    <s v="N"/>
    <s v="Y"/>
    <s v="N"/>
    <s v="A018"/>
    <d v="2016-12-26T00:00:00"/>
    <s v="10"/>
    <s v="TAN"/>
    <s v="OR"/>
    <d v="2016-12-21T00:00:00"/>
    <s v="CO"/>
    <s v="US"/>
    <s v="ZR"/>
    <d v="2016-12-21T00:00:00"/>
  </r>
  <r>
    <x v="0"/>
    <x v="2"/>
    <x v="1065"/>
    <x v="22"/>
    <s v="Standard order"/>
    <x v="1046"/>
    <x v="1046"/>
    <s v="W322"/>
    <s v="CRYSTAL W322NT"/>
    <s v="5003488"/>
    <s v="W322 ACH T20 PB SYSTIVA G100"/>
    <n v="52"/>
    <n v="0"/>
    <n v="52"/>
    <x v="2"/>
    <s v="EE73"/>
    <s v="GEM 100"/>
    <s v="324"/>
    <s v="4.0 UN"/>
    <s v="STANDARD"/>
    <s v="N"/>
    <s v="Y"/>
    <s v="N"/>
    <s v="T20"/>
    <s v="Y"/>
    <s v="N"/>
    <s v="Y"/>
    <s v="N"/>
    <s v="A018"/>
    <d v="2016-12-26T00:00:00"/>
    <s v="10"/>
    <s v="TAN"/>
    <s v="OR"/>
    <d v="2016-12-21T00:00:00"/>
    <s v="CO"/>
    <s v="US"/>
    <s v="ZR"/>
    <d v="2016-12-21T00:00:00"/>
  </r>
  <r>
    <x v="0"/>
    <x v="0"/>
    <x v="1066"/>
    <x v="4"/>
    <s v="Standard order"/>
    <x v="1047"/>
    <x v="1047"/>
    <s v="R059"/>
    <s v="CRYSTAL RR059"/>
    <s v="5003529"/>
    <s v="R059 ACH T20 Kabina MP"/>
    <n v="148"/>
    <n v="0"/>
    <n v="148"/>
    <x v="0"/>
    <s v="AP73"/>
    <s v="MP"/>
    <s v="387"/>
    <s v="4.0 UN"/>
    <s v="STANDARD"/>
    <s v="N"/>
    <s v="N"/>
    <s v="Y"/>
    <s v="T20"/>
    <s v="N"/>
    <s v="N"/>
    <s v="N"/>
    <s v="N"/>
    <s v="A035"/>
    <d v="2016-12-26T00:00:00"/>
    <s v="10"/>
    <s v="TAN"/>
    <s v="OR"/>
    <d v="2016-12-21T00:00:00"/>
    <s v="MI"/>
    <s v="US"/>
    <s v="ZR"/>
    <d v="2016-12-21T00:00:00"/>
  </r>
  <r>
    <x v="0"/>
    <x v="0"/>
    <x v="1066"/>
    <x v="4"/>
    <s v="Standard order"/>
    <x v="1047"/>
    <x v="1047"/>
    <s v="G515"/>
    <s v="CRYSTAL G515"/>
    <s v="5003018"/>
    <s v="G515 ACH T20 Kabina MP"/>
    <n v="72"/>
    <n v="0"/>
    <n v="72"/>
    <x v="0"/>
    <s v="APND"/>
    <s v="MP"/>
    <s v="387"/>
    <s v="4.0 UN"/>
    <s v="STANDARD"/>
    <s v="N"/>
    <s v="N"/>
    <s v="Y"/>
    <s v="T20"/>
    <s v="N"/>
    <s v="N"/>
    <s v="N"/>
    <s v="N"/>
    <s v="A035"/>
    <d v="2016-12-26T00:00:00"/>
    <s v="20"/>
    <s v="TAN"/>
    <s v="OR"/>
    <d v="2016-12-21T00:00:00"/>
    <s v="MI"/>
    <s v="US"/>
    <s v="ZR"/>
    <d v="2016-12-21T00:00:00"/>
  </r>
  <r>
    <x v="0"/>
    <x v="0"/>
    <x v="1067"/>
    <x v="4"/>
    <s v="Standard order"/>
    <x v="1048"/>
    <x v="1048"/>
    <s v="R059"/>
    <s v="CRYSTAL RR059"/>
    <s v="5003535"/>
    <s v="R059 ACH T20 SYSTIVA MP"/>
    <n v="56"/>
    <n v="0"/>
    <n v="56"/>
    <x v="0"/>
    <s v="AP73"/>
    <s v="MP"/>
    <s v="328"/>
    <s v="4.0 UN"/>
    <s v="STANDARD"/>
    <s v="N"/>
    <s v="N"/>
    <s v="N"/>
    <s v="T20"/>
    <s v="Y"/>
    <s v="N"/>
    <s v="Y"/>
    <s v="N"/>
    <s v="A035"/>
    <d v="2016-12-26T00:00:00"/>
    <s v="10"/>
    <s v="TAN"/>
    <s v="OR"/>
    <d v="2016-12-21T00:00:00"/>
    <s v="MI"/>
    <s v="US"/>
    <s v="ZR"/>
    <d v="2016-12-21T00:00:00"/>
  </r>
  <r>
    <x v="0"/>
    <x v="0"/>
    <x v="1067"/>
    <x v="4"/>
    <s v="Standard order"/>
    <x v="1048"/>
    <x v="1048"/>
    <s v="R059"/>
    <s v="CRYSTAL RR059"/>
    <s v="5003536"/>
    <s v="R059 ACH T20 SYSTIVA RP"/>
    <n v="12"/>
    <n v="0"/>
    <n v="12"/>
    <x v="0"/>
    <s v="AP73"/>
    <s v="RP"/>
    <s v="328"/>
    <s v="4.0 UN"/>
    <s v="STANDARD"/>
    <s v="N"/>
    <s v="N"/>
    <s v="N"/>
    <s v="T20"/>
    <s v="Y"/>
    <s v="N"/>
    <s v="Y"/>
    <s v="N"/>
    <s v="A035"/>
    <d v="2016-12-26T00:00:00"/>
    <s v="20"/>
    <s v="TAN"/>
    <s v="OR"/>
    <d v="2016-12-21T00:00:00"/>
    <s v="MI"/>
    <s v="US"/>
    <s v="ZR"/>
    <d v="2016-12-21T00:00:00"/>
  </r>
  <r>
    <x v="0"/>
    <x v="0"/>
    <x v="1068"/>
    <x v="4"/>
    <s v="Standard order"/>
    <x v="1049"/>
    <x v="1049"/>
    <s v="G515"/>
    <s v="CRYSTAL G515"/>
    <s v="5003019"/>
    <s v="G515 ACH T20 Kabina RP"/>
    <n v="12"/>
    <n v="0"/>
    <n v="12"/>
    <x v="0"/>
    <s v="APND"/>
    <s v="RP"/>
    <s v="387"/>
    <s v="4.0 UN"/>
    <s v="STANDARD"/>
    <s v="N"/>
    <s v="N"/>
    <s v="Y"/>
    <s v="T20"/>
    <s v="N"/>
    <s v="N"/>
    <s v="N"/>
    <s v="N"/>
    <s v="A035"/>
    <d v="2016-12-26T00:00:00"/>
    <s v="10"/>
    <s v="TAN"/>
    <s v="OR"/>
    <d v="2016-12-21T00:00:00"/>
    <s v="MI"/>
    <s v="US"/>
    <s v="ZR"/>
    <d v="2016-12-21T00:00:00"/>
  </r>
  <r>
    <x v="0"/>
    <x v="0"/>
    <x v="1068"/>
    <x v="4"/>
    <s v="Standard order"/>
    <x v="1049"/>
    <x v="1049"/>
    <s v="R059"/>
    <s v="CRYSTAL RR059"/>
    <s v="5003536"/>
    <s v="R059 ACH T20 SYSTIVA RP"/>
    <n v="32"/>
    <n v="0"/>
    <n v="32"/>
    <x v="0"/>
    <s v="AP73"/>
    <s v="RP"/>
    <s v="328"/>
    <s v="4.0 UN"/>
    <s v="STANDARD"/>
    <s v="N"/>
    <s v="N"/>
    <s v="N"/>
    <s v="T20"/>
    <s v="Y"/>
    <s v="N"/>
    <s v="Y"/>
    <s v="N"/>
    <s v="A035"/>
    <d v="2016-12-26T00:00:00"/>
    <s v="20"/>
    <s v="TAN"/>
    <s v="OR"/>
    <d v="2016-12-21T00:00:00"/>
    <s v="MI"/>
    <s v="US"/>
    <s v="ZR"/>
    <d v="2016-12-21T00:00:00"/>
  </r>
  <r>
    <x v="0"/>
    <x v="0"/>
    <x v="1069"/>
    <x v="4"/>
    <s v="Standard order"/>
    <x v="1050"/>
    <x v="1050"/>
    <s v="R059"/>
    <s v="CRYSTAL RR059"/>
    <s v="5003495"/>
    <s v="R059 ACH T20 PB Kabina ELS"/>
    <n v="12"/>
    <n v="0"/>
    <n v="12"/>
    <x v="0"/>
    <s v="AP73"/>
    <s v="ELS"/>
    <s v="388"/>
    <s v="4.0 UN"/>
    <s v="STANDARD"/>
    <s v="N"/>
    <s v="Y"/>
    <s v="Y"/>
    <s v="T20"/>
    <s v="N"/>
    <s v="N"/>
    <s v="N"/>
    <s v="N"/>
    <s v="A035"/>
    <d v="2016-12-26T00:00:00"/>
    <s v="10"/>
    <s v="TAN"/>
    <s v="OR"/>
    <d v="2016-12-21T00:00:00"/>
    <s v="MI"/>
    <s v="US"/>
    <s v="ZR"/>
    <d v="2016-12-21T00:00:00"/>
  </r>
  <r>
    <x v="0"/>
    <x v="2"/>
    <x v="1070"/>
    <x v="22"/>
    <s v="Standard order"/>
    <x v="1051"/>
    <x v="1051"/>
    <s v="W322"/>
    <s v="CRYSTAL W322NT"/>
    <s v="5003489"/>
    <s v="W322 ACH T20 PB SYSTIVA G50"/>
    <n v="16"/>
    <n v="0"/>
    <n v="16"/>
    <x v="2"/>
    <s v="EE73"/>
    <s v="GEM 50"/>
    <s v="324"/>
    <s v="4.0 UN"/>
    <s v="STANDARD"/>
    <s v="N"/>
    <s v="Y"/>
    <s v="N"/>
    <s v="T20"/>
    <s v="Y"/>
    <s v="N"/>
    <s v="Y"/>
    <s v="N"/>
    <s v="A018"/>
    <d v="2016-12-26T00:00:00"/>
    <s v="10"/>
    <s v="TAN"/>
    <s v="OR"/>
    <d v="2016-12-21T00:00:00"/>
    <s v="CO"/>
    <s v="US"/>
    <s v="ZR"/>
    <d v="2016-12-21T00:00:00"/>
  </r>
  <r>
    <x v="0"/>
    <x v="2"/>
    <x v="1071"/>
    <x v="22"/>
    <s v="Standard order"/>
    <x v="1052"/>
    <x v="1052"/>
    <s v="R014"/>
    <s v="CRYSTAL RR014"/>
    <s v="5003091"/>
    <s v="R014 ACH T20 PB SYSTIVA G100"/>
    <n v="20"/>
    <n v="0"/>
    <n v="20"/>
    <x v="2"/>
    <s v="AP82"/>
    <s v="GEM 100"/>
    <s v="324"/>
    <s v="4.0 UN"/>
    <s v="STANDARD"/>
    <s v="N"/>
    <s v="Y"/>
    <s v="N"/>
    <s v="T20"/>
    <s v="Y"/>
    <s v="N"/>
    <s v="Y"/>
    <s v="N"/>
    <s v="A018"/>
    <d v="2016-12-26T00:00:00"/>
    <s v="10"/>
    <s v="TAN"/>
    <s v="OR"/>
    <d v="2016-12-21T00:00:00"/>
    <s v="CO"/>
    <s v="US"/>
    <s v="ZR"/>
    <d v="2016-12-21T00:00:00"/>
  </r>
  <r>
    <x v="0"/>
    <x v="2"/>
    <x v="1071"/>
    <x v="22"/>
    <s v="Standard order"/>
    <x v="1052"/>
    <x v="1052"/>
    <s v="W322"/>
    <s v="CRYSTAL W322NT"/>
    <s v="5003488"/>
    <s v="W322 ACH T20 PB SYSTIVA G100"/>
    <n v="8"/>
    <n v="0"/>
    <n v="8"/>
    <x v="2"/>
    <s v="EE73"/>
    <s v="GEM 100"/>
    <s v="324"/>
    <s v="4.0 UN"/>
    <s v="STANDARD"/>
    <s v="N"/>
    <s v="Y"/>
    <s v="N"/>
    <s v="T20"/>
    <s v="Y"/>
    <s v="N"/>
    <s v="Y"/>
    <s v="N"/>
    <s v="A018"/>
    <d v="2016-12-26T00:00:00"/>
    <s v="20"/>
    <s v="TAN"/>
    <s v="OR"/>
    <d v="2016-12-21T00:00:00"/>
    <s v="CO"/>
    <s v="US"/>
    <s v="ZR"/>
    <d v="2016-12-21T00:00:00"/>
  </r>
  <r>
    <x v="0"/>
    <x v="0"/>
    <x v="1072"/>
    <x v="2"/>
    <s v="Standard order"/>
    <x v="1053"/>
    <x v="1053"/>
    <s v="R059"/>
    <s v="CRYSTAL RR059"/>
    <s v="5003530"/>
    <s v="R059 ACH T20 Kabina RP"/>
    <n v="24"/>
    <n v="0"/>
    <n v="24"/>
    <x v="0"/>
    <s v="AP73"/>
    <s v="RP"/>
    <s v="387"/>
    <s v="4.0 UN"/>
    <s v="STANDARD"/>
    <s v="N"/>
    <s v="N"/>
    <s v="Y"/>
    <s v="T20"/>
    <s v="N"/>
    <s v="N"/>
    <s v="N"/>
    <s v="N"/>
    <s v="A034"/>
    <d v="2016-12-26T00:00:00"/>
    <s v="10"/>
    <s v="TAN"/>
    <s v="OR"/>
    <d v="2016-12-20T00:00:00"/>
    <s v="MI"/>
    <s v="US"/>
    <s v="ZR"/>
    <d v="2016-12-21T00:00:00"/>
  </r>
  <r>
    <x v="0"/>
    <x v="0"/>
    <x v="1073"/>
    <x v="4"/>
    <s v="Standard order"/>
    <x v="1054"/>
    <x v="1054"/>
    <s v="R059"/>
    <s v="CRYSTAL RR059"/>
    <s v="5003528"/>
    <s v="R059 ACH T20 Kabina ELS"/>
    <n v="36"/>
    <n v="0"/>
    <n v="36"/>
    <x v="0"/>
    <s v="AP73"/>
    <s v="ELS"/>
    <s v="387"/>
    <s v="4.0 UN"/>
    <s v="STANDARD"/>
    <s v="N"/>
    <s v="N"/>
    <s v="Y"/>
    <s v="T20"/>
    <s v="N"/>
    <s v="N"/>
    <s v="N"/>
    <s v="N"/>
    <s v="A035"/>
    <d v="2016-12-26T00:00:00"/>
    <s v="10"/>
    <s v="TAN"/>
    <s v="OR"/>
    <d v="2016-12-21T00:00:00"/>
    <s v="MI"/>
    <s v="US"/>
    <s v="ZR"/>
    <d v="2016-12-21T00:00:00"/>
  </r>
  <r>
    <x v="0"/>
    <x v="0"/>
    <x v="1073"/>
    <x v="4"/>
    <s v="Standard order"/>
    <x v="1054"/>
    <x v="1054"/>
    <s v="G515"/>
    <s v="CRYSTAL G515"/>
    <s v="5003017"/>
    <s v="G515 ACH T20 Kabina ELS"/>
    <n v="8"/>
    <n v="0"/>
    <n v="8"/>
    <x v="0"/>
    <s v="APND"/>
    <s v="ELS"/>
    <s v="387"/>
    <s v="4.0 UN"/>
    <s v="STANDARD"/>
    <s v="N"/>
    <s v="N"/>
    <s v="Y"/>
    <s v="T20"/>
    <s v="N"/>
    <s v="N"/>
    <s v="N"/>
    <s v="N"/>
    <s v="A035"/>
    <d v="2016-12-26T00:00:00"/>
    <s v="20"/>
    <s v="TAN"/>
    <s v="OR"/>
    <d v="2016-12-21T00:00:00"/>
    <s v="MI"/>
    <s v="US"/>
    <s v="ZR"/>
    <d v="2016-12-21T00:00:00"/>
  </r>
  <r>
    <x v="0"/>
    <x v="0"/>
    <x v="1074"/>
    <x v="2"/>
    <s v="Standard order"/>
    <x v="1055"/>
    <x v="1055"/>
    <s v="G351"/>
    <s v="CRYSTAL G351NT"/>
    <s v="5003398"/>
    <s v="G351 ACH T20 Kabina RP"/>
    <n v="48"/>
    <n v="0"/>
    <n v="48"/>
    <x v="0"/>
    <s v="DA73"/>
    <s v="RP"/>
    <s v="387"/>
    <s v="4.0 UN"/>
    <s v="STANDARD"/>
    <s v="N"/>
    <s v="N"/>
    <s v="Y"/>
    <s v="T20"/>
    <s v="N"/>
    <s v="N"/>
    <s v="N"/>
    <s v="N"/>
    <s v="A034"/>
    <d v="2016-12-26T00:00:00"/>
    <s v="10"/>
    <s v="TAN"/>
    <s v="OR"/>
    <d v="2016-12-20T00:00:00"/>
    <s v="MI"/>
    <s v="US"/>
    <s v="ZR"/>
    <d v="2016-12-21T00:00:00"/>
  </r>
  <r>
    <x v="0"/>
    <x v="2"/>
    <x v="1075"/>
    <x v="6"/>
    <s v="Standard order"/>
    <x v="1056"/>
    <x v="1056"/>
    <s v="W322"/>
    <s v="CRYSTAL W322NT"/>
    <s v="5003489"/>
    <s v="W322 ACH T20 PB SYSTIVA G50"/>
    <n v="48"/>
    <n v="0"/>
    <n v="48"/>
    <x v="2"/>
    <s v="EE73"/>
    <s v="GEM 50"/>
    <s v="324"/>
    <s v="4.0 UN"/>
    <s v="STANDARD"/>
    <s v="N"/>
    <s v="Y"/>
    <s v="N"/>
    <s v="T20"/>
    <s v="Y"/>
    <s v="N"/>
    <s v="Y"/>
    <s v="N"/>
    <s v="A025"/>
    <d v="2016-12-26T00:00:00"/>
    <s v="10"/>
    <s v="TAN"/>
    <s v="OR"/>
    <d v="2016-12-20T00:00:00"/>
    <s v="NE"/>
    <s v="US"/>
    <s v="ZR"/>
    <d v="2016-12-21T00:00:00"/>
  </r>
  <r>
    <x v="0"/>
    <x v="0"/>
    <x v="1076"/>
    <x v="2"/>
    <s v="Standard order"/>
    <x v="1057"/>
    <x v="1057"/>
    <s v="G351"/>
    <s v="CRYSTAL G351NT"/>
    <s v="5003397"/>
    <s v="G351 ACH T20 Kabina MP"/>
    <n v="108"/>
    <n v="0"/>
    <n v="108"/>
    <x v="0"/>
    <s v="DA73"/>
    <s v="MP"/>
    <s v="387"/>
    <s v="4.0 UN"/>
    <s v="STANDARD"/>
    <s v="N"/>
    <s v="N"/>
    <s v="Y"/>
    <s v="T20"/>
    <s v="N"/>
    <s v="N"/>
    <s v="N"/>
    <s v="N"/>
    <s v="A034"/>
    <d v="2016-12-26T00:00:00"/>
    <s v="10"/>
    <s v="TAN"/>
    <s v="OR"/>
    <d v="2016-12-21T00:00:00"/>
    <s v="MI"/>
    <s v="US"/>
    <s v="ZR"/>
    <d v="2016-12-21T00:00:00"/>
  </r>
  <r>
    <x v="0"/>
    <x v="0"/>
    <x v="1077"/>
    <x v="2"/>
    <s v="Standard order"/>
    <x v="1058"/>
    <x v="1058"/>
    <s v="G351"/>
    <s v="CRYSTAL G351NT"/>
    <s v="5003398"/>
    <s v="G351 ACH T20 Kabina RP"/>
    <n v="24"/>
    <n v="0"/>
    <n v="24"/>
    <x v="0"/>
    <s v="DA73"/>
    <s v="RP"/>
    <s v="387"/>
    <s v="4.0 UN"/>
    <s v="STANDARD"/>
    <s v="N"/>
    <s v="N"/>
    <s v="Y"/>
    <s v="T20"/>
    <s v="N"/>
    <s v="N"/>
    <s v="N"/>
    <s v="N"/>
    <s v="A034"/>
    <d v="2016-12-26T00:00:00"/>
    <s v="10"/>
    <s v="TAN"/>
    <s v="OR"/>
    <d v="2016-12-20T00:00:00"/>
    <s v="MI"/>
    <s v="US"/>
    <s v="ZR"/>
    <d v="2016-12-21T00:00:00"/>
  </r>
  <r>
    <x v="0"/>
    <x v="0"/>
    <x v="1077"/>
    <x v="2"/>
    <s v="Standard order"/>
    <x v="1058"/>
    <x v="1058"/>
    <s v="R202"/>
    <s v="CRYSTAL RR202"/>
    <s v="5003119"/>
    <s v="R202 ACH T20 Kabina RP"/>
    <n v="20"/>
    <n v="0"/>
    <n v="20"/>
    <x v="0"/>
    <s v="4ULM"/>
    <s v="RP"/>
    <s v="387"/>
    <s v="4.0 UN"/>
    <s v="STANDARD"/>
    <s v="N"/>
    <s v="N"/>
    <s v="Y"/>
    <s v="T20"/>
    <s v="N"/>
    <s v="N"/>
    <s v="N"/>
    <s v="N"/>
    <s v="A034"/>
    <d v="2016-12-26T00:00:00"/>
    <s v="20"/>
    <s v="TAN"/>
    <s v="OR"/>
    <d v="2016-12-20T00:00:00"/>
    <s v="MI"/>
    <s v="US"/>
    <s v="ZR"/>
    <d v="2016-12-21T00:00:00"/>
  </r>
  <r>
    <x v="0"/>
    <x v="0"/>
    <x v="1077"/>
    <x v="2"/>
    <s v="Standard order"/>
    <x v="1058"/>
    <x v="1058"/>
    <s v="R059"/>
    <s v="CRYSTAL RR059"/>
    <s v="5003530"/>
    <s v="R059 ACH T20 Kabina RP"/>
    <n v="100"/>
    <n v="0"/>
    <n v="100"/>
    <x v="0"/>
    <s v="AP73"/>
    <s v="RP"/>
    <s v="387"/>
    <s v="4.0 UN"/>
    <s v="STANDARD"/>
    <s v="N"/>
    <s v="N"/>
    <s v="Y"/>
    <s v="T20"/>
    <s v="N"/>
    <s v="N"/>
    <s v="N"/>
    <s v="N"/>
    <s v="A034"/>
    <d v="2016-12-26T00:00:00"/>
    <s v="30"/>
    <s v="TAN"/>
    <s v="OR"/>
    <d v="2016-12-20T00:00:00"/>
    <s v="MI"/>
    <s v="US"/>
    <s v="ZR"/>
    <d v="2016-12-21T00:00:00"/>
  </r>
  <r>
    <x v="0"/>
    <x v="0"/>
    <x v="1078"/>
    <x v="2"/>
    <s v="Standard order"/>
    <x v="1059"/>
    <x v="1059"/>
    <s v="R059"/>
    <s v="CRYSTAL RR059"/>
    <s v="5003530"/>
    <s v="R059 ACH T20 Kabina RP"/>
    <n v="56"/>
    <n v="0"/>
    <n v="56"/>
    <x v="0"/>
    <s v="AP73"/>
    <s v="RP"/>
    <s v="387"/>
    <s v="4.0 UN"/>
    <s v="STANDARD"/>
    <s v="N"/>
    <s v="N"/>
    <s v="Y"/>
    <s v="T20"/>
    <s v="N"/>
    <s v="N"/>
    <s v="N"/>
    <s v="N"/>
    <s v="A034"/>
    <d v="2016-12-26T00:00:00"/>
    <s v="10"/>
    <s v="TAN"/>
    <s v="OR"/>
    <d v="2016-12-20T00:00:00"/>
    <s v="MI"/>
    <s v="US"/>
    <s v="ZR"/>
    <d v="2016-12-21T00:00:00"/>
  </r>
  <r>
    <x v="0"/>
    <x v="0"/>
    <x v="1078"/>
    <x v="2"/>
    <s v="Standard order"/>
    <x v="1059"/>
    <x v="1059"/>
    <s v="R202"/>
    <s v="CRYSTAL RR202"/>
    <s v="5003119"/>
    <s v="R202 ACH T20 Kabina RP"/>
    <n v="28"/>
    <n v="0"/>
    <n v="28"/>
    <x v="0"/>
    <s v="4ULM"/>
    <s v="RP"/>
    <s v="387"/>
    <s v="4.0 UN"/>
    <s v="STANDARD"/>
    <s v="N"/>
    <s v="N"/>
    <s v="Y"/>
    <s v="T20"/>
    <s v="N"/>
    <s v="N"/>
    <s v="N"/>
    <s v="N"/>
    <s v="A034"/>
    <d v="2016-12-26T00:00:00"/>
    <s v="20"/>
    <s v="TAN"/>
    <s v="OR"/>
    <d v="2016-12-20T00:00:00"/>
    <s v="MI"/>
    <s v="US"/>
    <s v="ZR"/>
    <d v="2016-12-21T00:00:00"/>
  </r>
  <r>
    <x v="0"/>
    <x v="4"/>
    <x v="1079"/>
    <x v="15"/>
    <s v="Standard order"/>
    <x v="1060"/>
    <x v="1060"/>
    <s v="A399"/>
    <s v="CRYSTAL A399NT"/>
    <s v="5002928"/>
    <s v="A399 ACH PB LRG"/>
    <n v="64"/>
    <n v="0"/>
    <n v="64"/>
    <x v="4"/>
    <s v="DP71"/>
    <s v="LARGE"/>
    <s v="314"/>
    <s v="4.0 UN"/>
    <s v="STANDARD"/>
    <s v="N"/>
    <s v="Y"/>
    <s v="N"/>
    <s v="N"/>
    <s v="N"/>
    <s v="N"/>
    <s v="N"/>
    <s v="N"/>
    <s v="A043"/>
    <d v="2016-12-26T00:00:00"/>
    <s v="10"/>
    <s v="TAN"/>
    <s v="OR"/>
    <d v="2016-12-21T00:00:00"/>
    <s v="ID"/>
    <s v="US"/>
    <s v="ZR"/>
    <d v="2016-12-21T00:00:00"/>
  </r>
  <r>
    <x v="0"/>
    <x v="4"/>
    <x v="1079"/>
    <x v="15"/>
    <s v="Standard order"/>
    <x v="1060"/>
    <x v="1060"/>
    <s v="A404"/>
    <s v="CRYSTAL A404NT"/>
    <s v="5002954"/>
    <s v="A404 ACH PB LRG"/>
    <n v="68"/>
    <n v="0"/>
    <n v="68"/>
    <x v="4"/>
    <s v="DPNE"/>
    <s v="LARGE"/>
    <s v="314"/>
    <s v="4.0 UN"/>
    <s v="STANDARD"/>
    <s v="N"/>
    <s v="Y"/>
    <s v="N"/>
    <s v="N"/>
    <s v="N"/>
    <s v="N"/>
    <s v="N"/>
    <s v="N"/>
    <s v="A043"/>
    <d v="2016-12-26T00:00:00"/>
    <s v="20"/>
    <s v="TAN"/>
    <s v="OR"/>
    <d v="2016-12-21T00:00:00"/>
    <s v="ID"/>
    <s v="US"/>
    <s v="ZR"/>
    <d v="2016-12-21T00:00:00"/>
  </r>
  <r>
    <x v="0"/>
    <x v="0"/>
    <x v="1080"/>
    <x v="10"/>
    <s v="Standard order"/>
    <x v="1061"/>
    <x v="1061"/>
    <s v="R059"/>
    <s v="CRYSTAL RR059"/>
    <s v="5003530"/>
    <s v="R059 ACH T20 Kabina RP"/>
    <n v="64"/>
    <n v="0"/>
    <n v="64"/>
    <x v="0"/>
    <s v="AP73"/>
    <s v="RP"/>
    <s v="387"/>
    <s v="4.0 UN"/>
    <s v="STANDARD"/>
    <s v="N"/>
    <s v="N"/>
    <s v="Y"/>
    <s v="T20"/>
    <s v="N"/>
    <s v="N"/>
    <s v="N"/>
    <s v="N"/>
    <s v="A036"/>
    <d v="2016-12-27T00:00:00"/>
    <s v="10"/>
    <s v="TAN"/>
    <s v="OR"/>
    <d v="2016-12-21T00:00:00"/>
    <s v="MI"/>
    <s v="US"/>
    <s v="ZR"/>
    <d v="2016-12-22T00:00:00"/>
  </r>
  <r>
    <x v="0"/>
    <x v="0"/>
    <x v="1081"/>
    <x v="10"/>
    <s v="Standard order"/>
    <x v="1062"/>
    <x v="1062"/>
    <s v="R059"/>
    <s v="CRYSTAL RR059"/>
    <s v="5003530"/>
    <s v="R059 ACH T20 Kabina RP"/>
    <n v="60"/>
    <n v="0"/>
    <n v="60"/>
    <x v="0"/>
    <s v="AP73"/>
    <s v="RP"/>
    <s v="387"/>
    <s v="4.0 UN"/>
    <s v="STANDARD"/>
    <s v="N"/>
    <s v="N"/>
    <s v="Y"/>
    <s v="T20"/>
    <s v="N"/>
    <s v="N"/>
    <s v="N"/>
    <s v="N"/>
    <s v="A036"/>
    <d v="2016-12-27T00:00:00"/>
    <s v="10"/>
    <s v="TAN"/>
    <s v="OR"/>
    <d v="2016-12-21T00:00:00"/>
    <s v="MI"/>
    <s v="US"/>
    <s v="ZR"/>
    <d v="2016-12-22T00:00:00"/>
  </r>
  <r>
    <x v="0"/>
    <x v="0"/>
    <x v="1082"/>
    <x v="10"/>
    <s v="Standard order"/>
    <x v="1063"/>
    <x v="1063"/>
    <s v="R059"/>
    <s v="CRYSTAL RR059"/>
    <s v="5003530"/>
    <s v="R059 ACH T20 Kabina RP"/>
    <n v="40"/>
    <n v="0"/>
    <n v="40"/>
    <x v="0"/>
    <s v="AP73"/>
    <s v="RP"/>
    <s v="387"/>
    <s v="4.0 UN"/>
    <s v="STANDARD"/>
    <s v="N"/>
    <s v="N"/>
    <s v="Y"/>
    <s v="T20"/>
    <s v="N"/>
    <s v="N"/>
    <s v="N"/>
    <s v="N"/>
    <s v="A036"/>
    <d v="2016-12-27T00:00:00"/>
    <s v="10"/>
    <s v="TAN"/>
    <s v="OR"/>
    <d v="2016-12-21T00:00:00"/>
    <s v="MI"/>
    <s v="US"/>
    <s v="ZR"/>
    <d v="2016-12-22T00:00:00"/>
  </r>
  <r>
    <x v="0"/>
    <x v="2"/>
    <x v="1083"/>
    <x v="3"/>
    <s v="Standard order"/>
    <x v="1064"/>
    <x v="1064"/>
    <s v="R014"/>
    <s v="CRYSTAL RR014"/>
    <s v="5003091"/>
    <s v="R014 ACH T20 PB SYSTIVA G100"/>
    <n v="68"/>
    <n v="0"/>
    <n v="68"/>
    <x v="2"/>
    <s v="AP82"/>
    <s v="GEM 100"/>
    <s v="324"/>
    <s v="4.0 UN"/>
    <s v="STANDARD"/>
    <s v="N"/>
    <s v="Y"/>
    <s v="N"/>
    <s v="T20"/>
    <s v="Y"/>
    <s v="N"/>
    <s v="Y"/>
    <s v="N"/>
    <s v="A024"/>
    <d v="2016-12-27T00:00:00"/>
    <s v="10"/>
    <s v="TAN"/>
    <s v="OR"/>
    <d v="2016-12-22T00:00:00"/>
    <s v="NE"/>
    <s v="US"/>
    <s v="ZR"/>
    <d v="2016-12-22T00:00:00"/>
  </r>
  <r>
    <x v="0"/>
    <x v="2"/>
    <x v="1083"/>
    <x v="3"/>
    <s v="Standard order"/>
    <x v="1064"/>
    <x v="1064"/>
    <s v="W322"/>
    <s v="CRYSTAL W322NT"/>
    <s v="5003488"/>
    <s v="W322 ACH T20 PB SYSTIVA G100"/>
    <n v="32"/>
    <n v="0"/>
    <n v="32"/>
    <x v="2"/>
    <s v="EE73"/>
    <s v="GEM 100"/>
    <s v="324"/>
    <s v="4.0 UN"/>
    <s v="STANDARD"/>
    <s v="N"/>
    <s v="Y"/>
    <s v="N"/>
    <s v="T20"/>
    <s v="Y"/>
    <s v="N"/>
    <s v="Y"/>
    <s v="N"/>
    <s v="A024"/>
    <d v="2016-12-27T00:00:00"/>
    <s v="20"/>
    <s v="TAN"/>
    <s v="OR"/>
    <d v="2016-12-22T00:00:00"/>
    <s v="NE"/>
    <s v="US"/>
    <s v="ZR"/>
    <d v="2016-12-22T00:00:00"/>
  </r>
  <r>
    <x v="0"/>
    <x v="2"/>
    <x v="1084"/>
    <x v="3"/>
    <s v="Standard order"/>
    <x v="1065"/>
    <x v="1065"/>
    <s v="R272"/>
    <s v="CRYSTAL RR272"/>
    <s v="5003629"/>
    <s v="R272 ACH T20 PB SYSTIVA G100"/>
    <n v="20"/>
    <n v="0"/>
    <n v="20"/>
    <x v="2"/>
    <s v="DG73"/>
    <s v="GEM 100"/>
    <s v="324"/>
    <s v="4.0 UN"/>
    <s v="STANDARD"/>
    <s v="N"/>
    <s v="Y"/>
    <s v="N"/>
    <s v="T20"/>
    <s v="Y"/>
    <s v="N"/>
    <s v="Y"/>
    <s v="N"/>
    <s v="A024"/>
    <d v="2016-12-27T00:00:00"/>
    <s v="10"/>
    <s v="TAN"/>
    <s v="OR"/>
    <d v="2016-12-22T00:00:00"/>
    <s v="NE"/>
    <s v="US"/>
    <s v="ZR"/>
    <d v="2016-12-22T00:00:00"/>
  </r>
  <r>
    <x v="0"/>
    <x v="2"/>
    <x v="1084"/>
    <x v="3"/>
    <s v="Standard order"/>
    <x v="1065"/>
    <x v="1065"/>
    <s v="R014"/>
    <s v="CRYSTAL RR014"/>
    <s v="5003091"/>
    <s v="R014 ACH T20 PB SYSTIVA G100"/>
    <n v="20"/>
    <n v="0"/>
    <n v="20"/>
    <x v="2"/>
    <s v="AP82"/>
    <s v="GEM 100"/>
    <s v="324"/>
    <s v="4.0 UN"/>
    <s v="STANDARD"/>
    <s v="N"/>
    <s v="Y"/>
    <s v="N"/>
    <s v="T20"/>
    <s v="Y"/>
    <s v="N"/>
    <s v="Y"/>
    <s v="N"/>
    <s v="A024"/>
    <d v="2016-12-27T00:00:00"/>
    <s v="20"/>
    <s v="TAN"/>
    <s v="OR"/>
    <d v="2016-12-22T00:00:00"/>
    <s v="NE"/>
    <s v="US"/>
    <s v="ZR"/>
    <d v="2016-12-22T00:00:00"/>
  </r>
  <r>
    <x v="0"/>
    <x v="0"/>
    <x v="1085"/>
    <x v="0"/>
    <s v="Standard order"/>
    <x v="1066"/>
    <x v="1066"/>
    <s v="R059"/>
    <s v="CRYSTAL RR059"/>
    <s v="5003518"/>
    <s v="R059 ACH CM Vibrance RP"/>
    <n v="12"/>
    <n v="0"/>
    <n v="12"/>
    <x v="0"/>
    <s v="AP73"/>
    <s v="RP"/>
    <s v="393"/>
    <s v="4.0 UN"/>
    <s v="STANDARD"/>
    <s v="Y"/>
    <s v="N"/>
    <s v="N"/>
    <s v="N"/>
    <s v="N"/>
    <s v="N"/>
    <s v="N"/>
    <s v="Y"/>
    <s v="A037"/>
    <d v="2016-12-27T00:00:00"/>
    <s v="10"/>
    <s v="TAN"/>
    <s v="OR"/>
    <d v="2016-12-21T00:00:00"/>
    <s v="ON"/>
    <s v="CA"/>
    <s v="ZR"/>
    <d v="2016-12-22T00:00:00"/>
  </r>
  <r>
    <x v="0"/>
    <x v="2"/>
    <x v="1086"/>
    <x v="5"/>
    <s v="Standard order"/>
    <x v="1067"/>
    <x v="1067"/>
    <s v="W322"/>
    <s v="CRYSTAL W322NT"/>
    <s v="5003488"/>
    <s v="W322 ACH T20 PB SYSTIVA G100"/>
    <n v="20"/>
    <n v="0"/>
    <n v="20"/>
    <x v="2"/>
    <s v="EE73"/>
    <s v="GEM 100"/>
    <s v="324"/>
    <s v="4.0 UN"/>
    <s v="STANDARD"/>
    <s v="N"/>
    <s v="Y"/>
    <s v="N"/>
    <s v="T20"/>
    <s v="Y"/>
    <s v="N"/>
    <s v="Y"/>
    <s v="N"/>
    <s v="A020"/>
    <d v="2016-12-27T00:00:00"/>
    <s v="10"/>
    <s v="TAN"/>
    <s v="OR"/>
    <d v="2016-12-22T00:00:00"/>
    <s v="CO"/>
    <s v="US"/>
    <s v="ZR"/>
    <d v="2016-12-22T00:00:00"/>
  </r>
  <r>
    <x v="0"/>
    <x v="0"/>
    <x v="1087"/>
    <x v="0"/>
    <s v="Standard order"/>
    <x v="1068"/>
    <x v="1068"/>
    <s v="R059"/>
    <s v="CRYSTAL RR059"/>
    <s v="5003537"/>
    <s v="R059 ACH Vibrance RP"/>
    <n v="24"/>
    <n v="0"/>
    <n v="24"/>
    <x v="0"/>
    <s v="AP73"/>
    <s v="RP"/>
    <s v="392"/>
    <s v="4.0 UN"/>
    <s v="STANDARD"/>
    <s v="N"/>
    <s v="N"/>
    <s v="N"/>
    <s v="N"/>
    <s v="N"/>
    <s v="N"/>
    <s v="N"/>
    <s v="Y"/>
    <s v="A037"/>
    <d v="2016-12-27T00:00:00"/>
    <s v="10"/>
    <s v="TAN"/>
    <s v="OR"/>
    <d v="2016-12-22T00:00:00"/>
    <s v="ON"/>
    <s v="CA"/>
    <s v="ZR"/>
    <d v="2016-12-22T00:00:00"/>
  </r>
  <r>
    <x v="0"/>
    <x v="0"/>
    <x v="1088"/>
    <x v="2"/>
    <s v="Standard order"/>
    <x v="1069"/>
    <x v="1069"/>
    <s v="R059"/>
    <s v="CRYSTAL RR059"/>
    <s v="5003529"/>
    <s v="R059 ACH T20 Kabina MP"/>
    <n v="124"/>
    <n v="0"/>
    <n v="124"/>
    <x v="0"/>
    <s v="AP73"/>
    <s v="MP"/>
    <s v="387"/>
    <s v="4.0 UN"/>
    <s v="STANDARD"/>
    <s v="N"/>
    <s v="N"/>
    <s v="Y"/>
    <s v="T20"/>
    <s v="N"/>
    <s v="N"/>
    <s v="N"/>
    <s v="N"/>
    <s v="A034"/>
    <d v="2016-12-27T00:00:00"/>
    <s v="10"/>
    <s v="TAN"/>
    <s v="OR"/>
    <d v="2016-12-22T00:00:00"/>
    <s v="MI"/>
    <s v="US"/>
    <s v="ZR"/>
    <d v="2016-12-22T00:00:00"/>
  </r>
  <r>
    <x v="0"/>
    <x v="0"/>
    <x v="1089"/>
    <x v="0"/>
    <s v="Standard order"/>
    <x v="1070"/>
    <x v="1070"/>
    <s v="R059"/>
    <s v="CRYSTAL RR059"/>
    <s v="5003518"/>
    <s v="R059 ACH CM Vibrance RP"/>
    <n v="4"/>
    <n v="0"/>
    <n v="4"/>
    <x v="0"/>
    <s v="AP73"/>
    <s v="RP"/>
    <s v="393"/>
    <s v="4.0 UN"/>
    <s v="STANDARD"/>
    <s v="Y"/>
    <s v="N"/>
    <s v="N"/>
    <s v="N"/>
    <s v="N"/>
    <s v="N"/>
    <s v="N"/>
    <s v="Y"/>
    <s v="A037"/>
    <d v="2016-12-27T00:00:00"/>
    <s v="10"/>
    <s v="TAN"/>
    <s v="OR"/>
    <d v="2016-12-22T00:00:00"/>
    <s v="ON"/>
    <s v="CA"/>
    <s v="ZR"/>
    <d v="2016-12-22T00:00:00"/>
  </r>
  <r>
    <x v="0"/>
    <x v="2"/>
    <x v="1090"/>
    <x v="6"/>
    <s v="Standard order"/>
    <x v="1071"/>
    <x v="1071"/>
    <s v="W322"/>
    <s v="CRYSTAL W322NT"/>
    <s v="5003488"/>
    <s v="W322 ACH T20 PB SYSTIVA G100"/>
    <n v="68"/>
    <n v="0"/>
    <n v="68"/>
    <x v="2"/>
    <s v="EE73"/>
    <s v="GEM 100"/>
    <s v="324"/>
    <s v="4.0 UN"/>
    <s v="STANDARD"/>
    <s v="N"/>
    <s v="Y"/>
    <s v="N"/>
    <s v="T20"/>
    <s v="Y"/>
    <s v="N"/>
    <s v="Y"/>
    <s v="N"/>
    <s v="A025"/>
    <d v="2016-12-27T00:00:00"/>
    <s v="10"/>
    <s v="TAN"/>
    <s v="OR"/>
    <d v="2016-12-22T00:00:00"/>
    <s v="NE"/>
    <s v="US"/>
    <s v="ZR"/>
    <d v="2016-12-22T00:00:00"/>
  </r>
  <r>
    <x v="0"/>
    <x v="0"/>
    <x v="1091"/>
    <x v="4"/>
    <s v="Standard order"/>
    <x v="1072"/>
    <x v="1072"/>
    <s v="R059"/>
    <s v="CRYSTAL RR059"/>
    <s v="5003534"/>
    <s v="R059 ACH T20 SYSTIVA ELS"/>
    <n v="120"/>
    <n v="0"/>
    <n v="120"/>
    <x v="0"/>
    <s v="AP73"/>
    <s v="ELS"/>
    <s v="328"/>
    <s v="4.0 UN"/>
    <s v="STANDARD"/>
    <s v="N"/>
    <s v="N"/>
    <s v="N"/>
    <s v="T20"/>
    <s v="Y"/>
    <s v="N"/>
    <s v="Y"/>
    <s v="N"/>
    <s v="A035"/>
    <d v="2016-12-27T00:00:00"/>
    <s v="10"/>
    <s v="TAN"/>
    <s v="OR"/>
    <d v="2016-12-22T00:00:00"/>
    <s v="MI"/>
    <s v="US"/>
    <s v="ZR"/>
    <d v="2016-12-22T00:00:00"/>
  </r>
  <r>
    <x v="0"/>
    <x v="0"/>
    <x v="1091"/>
    <x v="4"/>
    <s v="Standard order"/>
    <x v="1072"/>
    <x v="1072"/>
    <s v="G515"/>
    <s v="CRYSTAL G515"/>
    <s v="5003017"/>
    <s v="G515 ACH T20 Kabina ELS"/>
    <n v="12"/>
    <n v="0"/>
    <n v="12"/>
    <x v="0"/>
    <s v="APND"/>
    <s v="ELS"/>
    <s v="387"/>
    <s v="4.0 UN"/>
    <s v="STANDARD"/>
    <s v="N"/>
    <s v="N"/>
    <s v="Y"/>
    <s v="T20"/>
    <s v="N"/>
    <s v="N"/>
    <s v="N"/>
    <s v="N"/>
    <s v="A035"/>
    <d v="2016-12-27T00:00:00"/>
    <s v="20"/>
    <s v="TAN"/>
    <s v="OR"/>
    <d v="2016-12-22T00:00:00"/>
    <s v="MI"/>
    <s v="US"/>
    <s v="ZR"/>
    <d v="2016-12-22T00:00:00"/>
  </r>
  <r>
    <x v="0"/>
    <x v="0"/>
    <x v="1092"/>
    <x v="2"/>
    <s v="Standard order"/>
    <x v="1073"/>
    <x v="1073"/>
    <s v="G333"/>
    <s v="CRYSTAL G333NT"/>
    <s v="5003378"/>
    <s v="G333 ACH T20 Kabina RP"/>
    <n v="8"/>
    <n v="0"/>
    <n v="8"/>
    <x v="0"/>
    <s v="EE73"/>
    <s v="RP"/>
    <s v="387"/>
    <s v="4.0 UN"/>
    <s v="STANDARD"/>
    <s v="N"/>
    <s v="N"/>
    <s v="Y"/>
    <s v="T20"/>
    <s v="N"/>
    <s v="N"/>
    <s v="N"/>
    <s v="N"/>
    <s v="A034"/>
    <d v="2016-12-27T00:00:00"/>
    <s v="10"/>
    <s v="TAN"/>
    <s v="OR"/>
    <d v="2016-12-22T00:00:00"/>
    <s v="MI"/>
    <s v="US"/>
    <s v="ZR"/>
    <d v="2016-12-22T00:00:00"/>
  </r>
  <r>
    <x v="0"/>
    <x v="2"/>
    <x v="1093"/>
    <x v="25"/>
    <s v="Standard order"/>
    <x v="1074"/>
    <x v="1074"/>
    <s v="W322"/>
    <s v="CRYSTAL W322NT"/>
    <s v="5003488"/>
    <s v="W322 ACH T20 PB SYSTIVA G100"/>
    <n v="20"/>
    <n v="0"/>
    <n v="20"/>
    <x v="2"/>
    <s v="EE73"/>
    <s v="GEM 100"/>
    <s v="324"/>
    <s v="4.0 UN"/>
    <s v="STANDARD"/>
    <s v="N"/>
    <s v="Y"/>
    <s v="N"/>
    <s v="T20"/>
    <s v="Y"/>
    <s v="N"/>
    <s v="Y"/>
    <s v="N"/>
    <s v="A021"/>
    <d v="2016-12-27T00:00:00"/>
    <s v="10"/>
    <s v="TAN"/>
    <s v="OR"/>
    <d v="2016-12-22T00:00:00"/>
    <s v="CO"/>
    <s v="US"/>
    <s v="ZR"/>
    <d v="2016-12-22T00:00:00"/>
  </r>
  <r>
    <x v="0"/>
    <x v="2"/>
    <x v="1093"/>
    <x v="25"/>
    <s v="Standard order"/>
    <x v="1074"/>
    <x v="1074"/>
    <s v="R272"/>
    <s v="CRYSTAL RR272"/>
    <s v="5003629"/>
    <s v="R272 ACH T20 PB SYSTIVA G100"/>
    <n v="12"/>
    <n v="0"/>
    <n v="12"/>
    <x v="2"/>
    <s v="DG73"/>
    <s v="GEM 100"/>
    <s v="324"/>
    <s v="4.0 UN"/>
    <s v="STANDARD"/>
    <s v="N"/>
    <s v="Y"/>
    <s v="N"/>
    <s v="T20"/>
    <s v="Y"/>
    <s v="N"/>
    <s v="Y"/>
    <s v="N"/>
    <s v="A021"/>
    <d v="2016-12-27T00:00:00"/>
    <s v="20"/>
    <s v="TAN"/>
    <s v="OR"/>
    <d v="2016-12-22T00:00:00"/>
    <s v="CO"/>
    <s v="US"/>
    <s v="ZR"/>
    <d v="2016-12-22T00:00:00"/>
  </r>
  <r>
    <x v="0"/>
    <x v="2"/>
    <x v="1093"/>
    <x v="25"/>
    <s v="Standard order"/>
    <x v="1074"/>
    <x v="1074"/>
    <s v="R014"/>
    <s v="CRYSTAL RR014"/>
    <s v="5003091"/>
    <s v="R014 ACH T20 PB SYSTIVA G100"/>
    <n v="12"/>
    <n v="0"/>
    <n v="12"/>
    <x v="2"/>
    <s v="AP82"/>
    <s v="GEM 100"/>
    <s v="324"/>
    <s v="4.0 UN"/>
    <s v="STANDARD"/>
    <s v="N"/>
    <s v="Y"/>
    <s v="N"/>
    <s v="T20"/>
    <s v="Y"/>
    <s v="N"/>
    <s v="Y"/>
    <s v="N"/>
    <s v="A021"/>
    <d v="2016-12-27T00:00:00"/>
    <s v="30"/>
    <s v="TAN"/>
    <s v="OR"/>
    <d v="2016-12-22T00:00:00"/>
    <s v="CO"/>
    <s v="US"/>
    <s v="ZR"/>
    <d v="2016-12-22T00:00:00"/>
  </r>
  <r>
    <x v="0"/>
    <x v="2"/>
    <x v="1094"/>
    <x v="6"/>
    <s v="Standard order"/>
    <x v="1075"/>
    <x v="1075"/>
    <s v="R014"/>
    <s v="CRYSTAL RR014"/>
    <s v="5003091"/>
    <s v="R014 ACH T20 PB SYSTIVA G100"/>
    <n v="88"/>
    <n v="0"/>
    <n v="88"/>
    <x v="2"/>
    <s v="AP82"/>
    <s v="GEM 100"/>
    <s v="324"/>
    <s v="4.0 UN"/>
    <s v="STANDARD"/>
    <s v="N"/>
    <s v="Y"/>
    <s v="N"/>
    <s v="T20"/>
    <s v="Y"/>
    <s v="N"/>
    <s v="Y"/>
    <s v="N"/>
    <s v="A025"/>
    <d v="2016-12-27T00:00:00"/>
    <s v="10"/>
    <s v="TAN"/>
    <s v="OR"/>
    <d v="2016-12-22T00:00:00"/>
    <s v="NE"/>
    <s v="US"/>
    <s v="ZR"/>
    <d v="2016-12-22T00:00:00"/>
  </r>
  <r>
    <x v="0"/>
    <x v="2"/>
    <x v="1094"/>
    <x v="6"/>
    <s v="Standard order"/>
    <x v="1075"/>
    <x v="1075"/>
    <s v="W322"/>
    <s v="CRYSTAL W322NT"/>
    <s v="5003488"/>
    <s v="W322 ACH T20 PB SYSTIVA G100"/>
    <n v="64"/>
    <n v="0"/>
    <n v="64"/>
    <x v="2"/>
    <s v="EE73"/>
    <s v="GEM 100"/>
    <s v="324"/>
    <s v="4.0 UN"/>
    <s v="STANDARD"/>
    <s v="N"/>
    <s v="Y"/>
    <s v="N"/>
    <s v="T20"/>
    <s v="Y"/>
    <s v="N"/>
    <s v="Y"/>
    <s v="N"/>
    <s v="A025"/>
    <d v="2016-12-27T00:00:00"/>
    <s v="20"/>
    <s v="TAN"/>
    <s v="OR"/>
    <d v="2016-12-22T00:00:00"/>
    <s v="NE"/>
    <s v="US"/>
    <s v="ZR"/>
    <d v="2016-12-22T00:00:00"/>
  </r>
  <r>
    <x v="0"/>
    <x v="2"/>
    <x v="1095"/>
    <x v="5"/>
    <s v="Standard order"/>
    <x v="1076"/>
    <x v="1076"/>
    <s v="R014"/>
    <s v="CRYSTAL RR014"/>
    <s v="5003091"/>
    <s v="R014 ACH T20 PB SYSTIVA G100"/>
    <n v="32"/>
    <n v="0"/>
    <n v="32"/>
    <x v="2"/>
    <s v="AP82"/>
    <s v="GEM 100"/>
    <s v="324"/>
    <s v="4.0 UN"/>
    <s v="STANDARD"/>
    <s v="N"/>
    <s v="Y"/>
    <s v="N"/>
    <s v="T20"/>
    <s v="Y"/>
    <s v="N"/>
    <s v="Y"/>
    <s v="N"/>
    <s v="A020"/>
    <d v="2016-12-27T00:00:00"/>
    <s v="10"/>
    <s v="TAN"/>
    <s v="OR"/>
    <d v="2016-12-22T00:00:00"/>
    <s v="CO"/>
    <s v="US"/>
    <s v="ZR"/>
    <d v="2016-12-22T00:00:00"/>
  </r>
  <r>
    <x v="0"/>
    <x v="2"/>
    <x v="1095"/>
    <x v="5"/>
    <s v="Standard order"/>
    <x v="1076"/>
    <x v="1076"/>
    <s v="R272"/>
    <s v="CRYSTAL RR272"/>
    <s v="5003629"/>
    <s v="R272 ACH T20 PB SYSTIVA G100"/>
    <n v="20"/>
    <n v="0"/>
    <n v="20"/>
    <x v="2"/>
    <s v="DG73"/>
    <s v="GEM 100"/>
    <s v="324"/>
    <s v="4.0 UN"/>
    <s v="STANDARD"/>
    <s v="N"/>
    <s v="Y"/>
    <s v="N"/>
    <s v="T20"/>
    <s v="Y"/>
    <s v="N"/>
    <s v="Y"/>
    <s v="N"/>
    <s v="A020"/>
    <d v="2016-12-27T00:00:00"/>
    <s v="20"/>
    <s v="TAN"/>
    <s v="OR"/>
    <d v="2016-12-22T00:00:00"/>
    <s v="CO"/>
    <s v="US"/>
    <s v="ZR"/>
    <d v="2016-12-22T00:00:00"/>
  </r>
  <r>
    <x v="0"/>
    <x v="2"/>
    <x v="1096"/>
    <x v="3"/>
    <s v="Standard order"/>
    <x v="1077"/>
    <x v="1077"/>
    <s v="W322"/>
    <s v="CRYSTAL W322NT"/>
    <s v="5003488"/>
    <s v="W322 ACH T20 PB SYSTIVA G100"/>
    <n v="32"/>
    <n v="0"/>
    <n v="32"/>
    <x v="2"/>
    <s v="EE73"/>
    <s v="GEM 100"/>
    <s v="324"/>
    <s v="4.0 UN"/>
    <s v="STANDARD"/>
    <s v="N"/>
    <s v="Y"/>
    <s v="N"/>
    <s v="T20"/>
    <s v="Y"/>
    <s v="N"/>
    <s v="Y"/>
    <s v="N"/>
    <s v="A024"/>
    <d v="2016-12-27T00:00:00"/>
    <s v="10"/>
    <s v="TAN"/>
    <s v="OR"/>
    <d v="2016-12-22T00:00:00"/>
    <s v="NE"/>
    <s v="US"/>
    <s v="ZR"/>
    <d v="2016-12-22T00:00:00"/>
  </r>
  <r>
    <x v="0"/>
    <x v="2"/>
    <x v="1097"/>
    <x v="6"/>
    <s v="Standard order"/>
    <x v="9"/>
    <x v="9"/>
    <s v="R014"/>
    <s v="CRYSTAL RR014"/>
    <s v="5003090"/>
    <s v="R014 ACH T20 PB SYSTIVA ELS"/>
    <n v="48"/>
    <n v="0"/>
    <n v="48"/>
    <x v="2"/>
    <s v="AP82"/>
    <s v="ELS"/>
    <s v="324"/>
    <s v="4.0 UN"/>
    <s v="STANDARD"/>
    <s v="N"/>
    <s v="Y"/>
    <s v="N"/>
    <s v="T20"/>
    <s v="Y"/>
    <s v="N"/>
    <s v="Y"/>
    <s v="N"/>
    <s v="A025"/>
    <d v="2016-12-27T00:00:00"/>
    <s v="10"/>
    <s v="TAN"/>
    <s v="OR"/>
    <d v="2016-12-22T00:00:00"/>
    <s v="NE"/>
    <s v="US"/>
    <s v="ZR"/>
    <d v="2016-12-22T00:00:00"/>
  </r>
  <r>
    <x v="0"/>
    <x v="2"/>
    <x v="1097"/>
    <x v="6"/>
    <s v="Standard order"/>
    <x v="9"/>
    <x v="9"/>
    <s v="R272"/>
    <s v="CRYSTAL RR272"/>
    <s v="5003628"/>
    <s v="R272 ACH T20 PB SYSTIVA ELS"/>
    <n v="36"/>
    <n v="0"/>
    <n v="36"/>
    <x v="2"/>
    <s v="DG73"/>
    <s v="ELS"/>
    <s v="324"/>
    <s v="4.0 UN"/>
    <s v="STANDARD"/>
    <s v="N"/>
    <s v="Y"/>
    <s v="N"/>
    <s v="T20"/>
    <s v="Y"/>
    <s v="N"/>
    <s v="Y"/>
    <s v="N"/>
    <s v="A025"/>
    <d v="2016-12-27T00:00:00"/>
    <s v="20"/>
    <s v="TAN"/>
    <s v="OR"/>
    <d v="2016-12-22T00:00:00"/>
    <s v="NE"/>
    <s v="US"/>
    <s v="ZR"/>
    <d v="2016-12-22T00:00:00"/>
  </r>
  <r>
    <x v="0"/>
    <x v="0"/>
    <x v="1098"/>
    <x v="2"/>
    <s v="Standard order"/>
    <x v="1078"/>
    <x v="1078"/>
    <s v="G333"/>
    <s v="CRYSTAL G333NT"/>
    <s v="5003382"/>
    <s v="G333 ACH T20 SYSTIVA ELS"/>
    <n v="64"/>
    <n v="0"/>
    <n v="64"/>
    <x v="0"/>
    <s v="EE73"/>
    <s v="ELS"/>
    <s v="328"/>
    <s v="4.0 UN"/>
    <s v="STANDARD"/>
    <s v="N"/>
    <s v="N"/>
    <s v="N"/>
    <s v="T20"/>
    <s v="Y"/>
    <s v="N"/>
    <s v="Y"/>
    <s v="N"/>
    <s v="A034"/>
    <d v="2016-12-27T00:00:00"/>
    <s v="10"/>
    <s v="TAN"/>
    <s v="OR"/>
    <d v="2016-12-22T00:00:00"/>
    <s v="MI"/>
    <s v="US"/>
    <s v="ZR"/>
    <d v="2016-12-22T00:00:00"/>
  </r>
  <r>
    <x v="0"/>
    <x v="0"/>
    <x v="1099"/>
    <x v="4"/>
    <s v="Standard order"/>
    <x v="1079"/>
    <x v="1079"/>
    <s v="R059"/>
    <s v="CRYSTAL RR059"/>
    <s v="5003528"/>
    <s v="R059 ACH T20 Kabina ELS"/>
    <n v="60"/>
    <n v="0"/>
    <n v="60"/>
    <x v="0"/>
    <s v="AP73"/>
    <s v="ELS"/>
    <s v="387"/>
    <s v="4.0 UN"/>
    <s v="STANDARD"/>
    <s v="N"/>
    <s v="N"/>
    <s v="Y"/>
    <s v="T20"/>
    <s v="N"/>
    <s v="N"/>
    <s v="N"/>
    <s v="N"/>
    <s v="A035"/>
    <d v="2016-12-27T00:00:00"/>
    <s v="10"/>
    <s v="TAN"/>
    <s v="OR"/>
    <d v="2016-12-22T00:00:00"/>
    <s v="MI"/>
    <s v="US"/>
    <s v="ZR"/>
    <d v="2016-12-22T00:00:00"/>
  </r>
  <r>
    <x v="0"/>
    <x v="0"/>
    <x v="1100"/>
    <x v="2"/>
    <s v="Standard order"/>
    <x v="1080"/>
    <x v="1080"/>
    <s v="G333"/>
    <s v="CRYSTAL G333NT"/>
    <s v="5003382"/>
    <s v="G333 ACH T20 SYSTIVA ELS"/>
    <n v="20"/>
    <n v="0"/>
    <n v="20"/>
    <x v="0"/>
    <s v="EE73"/>
    <s v="ELS"/>
    <s v="328"/>
    <s v="4.0 UN"/>
    <s v="STANDARD"/>
    <s v="N"/>
    <s v="N"/>
    <s v="N"/>
    <s v="T20"/>
    <s v="Y"/>
    <s v="N"/>
    <s v="Y"/>
    <s v="N"/>
    <s v="A034"/>
    <d v="2016-12-27T00:00:00"/>
    <s v="10"/>
    <s v="TAN"/>
    <s v="OR"/>
    <d v="2016-12-22T00:00:00"/>
    <s v="MI"/>
    <s v="US"/>
    <s v="ZR"/>
    <d v="2016-12-22T00:00:00"/>
  </r>
  <r>
    <x v="0"/>
    <x v="5"/>
    <x v="1101"/>
    <x v="14"/>
    <s v="Standard order"/>
    <x v="1081"/>
    <x v="1081"/>
    <s v="Y400"/>
    <s v="CRYSTAL Y400NT"/>
    <s v="5003735"/>
    <s v="Y400 ACH T20 PB SYSTIVA RP"/>
    <n v="12"/>
    <n v="0"/>
    <n v="12"/>
    <x v="5"/>
    <s v="4TBP"/>
    <s v="RP"/>
    <s v="324"/>
    <s v="4.0 UN"/>
    <s v="STANDARD"/>
    <s v="N"/>
    <s v="Y"/>
    <s v="N"/>
    <s v="T20"/>
    <s v="Y"/>
    <s v="N"/>
    <s v="N"/>
    <s v="N"/>
    <s v="A017"/>
    <d v="2016-12-27T00:00:00"/>
    <s v="10"/>
    <s v="TAN"/>
    <s v="OR"/>
    <d v="2016-12-22T00:00:00"/>
    <s v="WY"/>
    <s v="US"/>
    <s v="ZR"/>
    <d v="2016-12-22T00:00:00"/>
  </r>
  <r>
    <x v="0"/>
    <x v="5"/>
    <x v="1101"/>
    <x v="14"/>
    <s v="Standard order"/>
    <x v="1081"/>
    <x v="1081"/>
    <s v="Y313"/>
    <s v="CRYSTAL Y313NT"/>
    <s v="5003711"/>
    <s v="Y313 ACH T20 PB SYSTIVA RP"/>
    <n v="16"/>
    <n v="0"/>
    <n v="16"/>
    <x v="5"/>
    <s v="DLNC"/>
    <s v="RP"/>
    <s v="324"/>
    <s v="4.0 UN"/>
    <s v="STANDARD"/>
    <s v="N"/>
    <s v="Y"/>
    <s v="N"/>
    <s v="T20"/>
    <s v="Y"/>
    <s v="N"/>
    <s v="N"/>
    <s v="N"/>
    <s v="A017"/>
    <d v="2016-12-27T00:00:00"/>
    <s v="20"/>
    <s v="TAN"/>
    <s v="OR"/>
    <d v="2016-12-22T00:00:00"/>
    <s v="WY"/>
    <s v="US"/>
    <s v="ZR"/>
    <d v="2016-12-22T00:00:00"/>
  </r>
  <r>
    <x v="0"/>
    <x v="0"/>
    <x v="1102"/>
    <x v="10"/>
    <s v="Standard order"/>
    <x v="1082"/>
    <x v="1082"/>
    <s v="R059"/>
    <s v="CRYSTAL RR059"/>
    <s v="5003530"/>
    <s v="R059 ACH T20 Kabina RP"/>
    <n v="48"/>
    <n v="0"/>
    <n v="48"/>
    <x v="0"/>
    <s v="AP73"/>
    <s v="RP"/>
    <s v="387"/>
    <s v="4.0 UN"/>
    <s v="STANDARD"/>
    <s v="N"/>
    <s v="N"/>
    <s v="Y"/>
    <s v="T20"/>
    <s v="N"/>
    <s v="N"/>
    <s v="N"/>
    <s v="N"/>
    <s v="A036"/>
    <d v="2016-12-27T00:00:00"/>
    <s v="10"/>
    <s v="TAN"/>
    <s v="OR"/>
    <d v="2016-12-21T00:00:00"/>
    <s v="MI"/>
    <s v="US"/>
    <s v="ZR"/>
    <d v="2016-12-22T00:00:00"/>
  </r>
  <r>
    <x v="0"/>
    <x v="0"/>
    <x v="1102"/>
    <x v="10"/>
    <s v="Standard order"/>
    <x v="1082"/>
    <x v="1082"/>
    <s v="G333"/>
    <s v="CRYSTAL G333NT"/>
    <s v="5003378"/>
    <s v="G333 ACH T20 Kabina RP"/>
    <n v="48"/>
    <n v="0"/>
    <n v="48"/>
    <x v="0"/>
    <s v="EE73"/>
    <s v="RP"/>
    <s v="387"/>
    <s v="4.0 UN"/>
    <s v="STANDARD"/>
    <s v="N"/>
    <s v="N"/>
    <s v="Y"/>
    <s v="T20"/>
    <s v="N"/>
    <s v="N"/>
    <s v="N"/>
    <s v="N"/>
    <s v="A036"/>
    <d v="2016-12-27T00:00:00"/>
    <s v="20"/>
    <s v="TAN"/>
    <s v="OR"/>
    <d v="2016-12-21T00:00:00"/>
    <s v="MI"/>
    <s v="US"/>
    <s v="ZR"/>
    <d v="2016-12-22T00:00:00"/>
  </r>
  <r>
    <x v="0"/>
    <x v="0"/>
    <x v="1103"/>
    <x v="0"/>
    <s v="Standard order"/>
    <x v="1083"/>
    <x v="1083"/>
    <s v="G515"/>
    <s v="CRYSTAL G515"/>
    <s v="5003007"/>
    <s v="G515 ACH CM Vibrance RP"/>
    <n v="32"/>
    <n v="0"/>
    <n v="32"/>
    <x v="0"/>
    <s v="APND"/>
    <s v="RP"/>
    <s v="393"/>
    <s v="4.0 UN"/>
    <s v="STANDARD"/>
    <s v="Y"/>
    <s v="N"/>
    <s v="N"/>
    <s v="N"/>
    <s v="N"/>
    <s v="N"/>
    <s v="N"/>
    <s v="Y"/>
    <s v="A037"/>
    <d v="2016-12-27T00:00:00"/>
    <s v="10"/>
    <s v="TAN"/>
    <s v="OR"/>
    <d v="2016-12-21T00:00:00"/>
    <s v="ON"/>
    <s v="CA"/>
    <s v="ZR"/>
    <d v="2016-12-22T00:00:00"/>
  </r>
  <r>
    <x v="0"/>
    <x v="0"/>
    <x v="1103"/>
    <x v="0"/>
    <s v="Standard order"/>
    <x v="1083"/>
    <x v="1083"/>
    <s v="R059"/>
    <s v="CRYSTAL RR059"/>
    <s v="5003518"/>
    <s v="R059 ACH CM Vibrance RP"/>
    <n v="36"/>
    <n v="0"/>
    <n v="36"/>
    <x v="0"/>
    <s v="AP73"/>
    <s v="RP"/>
    <s v="393"/>
    <s v="4.0 UN"/>
    <s v="STANDARD"/>
    <s v="Y"/>
    <s v="N"/>
    <s v="N"/>
    <s v="N"/>
    <s v="N"/>
    <s v="N"/>
    <s v="N"/>
    <s v="Y"/>
    <s v="A037"/>
    <d v="2016-12-27T00:00:00"/>
    <s v="20"/>
    <s v="TAN"/>
    <s v="OR"/>
    <d v="2016-12-21T00:00:00"/>
    <s v="ON"/>
    <s v="CA"/>
    <s v="ZR"/>
    <d v="2016-12-22T00:00:00"/>
  </r>
  <r>
    <x v="0"/>
    <x v="0"/>
    <x v="1104"/>
    <x v="0"/>
    <s v="Standard order"/>
    <x v="1084"/>
    <x v="1084"/>
    <s v="R059"/>
    <s v="CRYSTAL RR059"/>
    <s v="5003518"/>
    <s v="R059 ACH CM Vibrance RP"/>
    <n v="20"/>
    <n v="0"/>
    <n v="20"/>
    <x v="0"/>
    <s v="AP73"/>
    <s v="RP"/>
    <s v="393"/>
    <s v="4.0 UN"/>
    <s v="STANDARD"/>
    <s v="Y"/>
    <s v="N"/>
    <s v="N"/>
    <s v="N"/>
    <s v="N"/>
    <s v="N"/>
    <s v="N"/>
    <s v="Y"/>
    <s v="A037"/>
    <d v="2016-12-27T00:00:00"/>
    <s v="10"/>
    <s v="TAN"/>
    <s v="OR"/>
    <d v="2016-12-21T00:00:00"/>
    <s v="ON"/>
    <s v="CA"/>
    <s v="ZR"/>
    <d v="2016-12-22T00:00:00"/>
  </r>
  <r>
    <x v="0"/>
    <x v="0"/>
    <x v="1104"/>
    <x v="0"/>
    <s v="Standard order"/>
    <x v="1084"/>
    <x v="1084"/>
    <s v="G515"/>
    <s v="CRYSTAL G515"/>
    <s v="5003007"/>
    <s v="G515 ACH CM Vibrance RP"/>
    <n v="8"/>
    <n v="0"/>
    <n v="8"/>
    <x v="0"/>
    <s v="APND"/>
    <s v="RP"/>
    <s v="393"/>
    <s v="4.0 UN"/>
    <s v="STANDARD"/>
    <s v="Y"/>
    <s v="N"/>
    <s v="N"/>
    <s v="N"/>
    <s v="N"/>
    <s v="N"/>
    <s v="N"/>
    <s v="Y"/>
    <s v="A037"/>
    <d v="2016-12-27T00:00:00"/>
    <s v="20"/>
    <s v="TAN"/>
    <s v="OR"/>
    <d v="2016-12-21T00:00:00"/>
    <s v="ON"/>
    <s v="CA"/>
    <s v="ZR"/>
    <d v="2016-12-22T00:00:00"/>
  </r>
  <r>
    <x v="0"/>
    <x v="0"/>
    <x v="1105"/>
    <x v="0"/>
    <s v="Standard order"/>
    <x v="1085"/>
    <x v="1085"/>
    <s v="R059"/>
    <s v="CRYSTAL RR059"/>
    <s v="5003518"/>
    <s v="R059 ACH CM Vibrance RP"/>
    <n v="8"/>
    <n v="0"/>
    <n v="8"/>
    <x v="0"/>
    <s v="AP73"/>
    <s v="RP"/>
    <s v="393"/>
    <s v="4.0 UN"/>
    <s v="STANDARD"/>
    <s v="Y"/>
    <s v="N"/>
    <s v="N"/>
    <s v="N"/>
    <s v="N"/>
    <s v="N"/>
    <s v="N"/>
    <s v="Y"/>
    <s v="A037"/>
    <d v="2016-12-27T00:00:00"/>
    <s v="10"/>
    <s v="TAN"/>
    <s v="OR"/>
    <d v="2016-12-22T00:00:00"/>
    <s v="ON"/>
    <s v="CA"/>
    <s v="ZR"/>
    <d v="2016-12-22T00:00:00"/>
  </r>
  <r>
    <x v="0"/>
    <x v="0"/>
    <x v="1105"/>
    <x v="0"/>
    <s v="Standard order"/>
    <x v="1085"/>
    <x v="1085"/>
    <s v="G515"/>
    <s v="CRYSTAL G515"/>
    <s v="5003007"/>
    <s v="G515 ACH CM Vibrance RP"/>
    <n v="8"/>
    <n v="0"/>
    <n v="8"/>
    <x v="0"/>
    <s v="APND"/>
    <s v="RP"/>
    <s v="393"/>
    <s v="4.0 UN"/>
    <s v="STANDARD"/>
    <s v="Y"/>
    <s v="N"/>
    <s v="N"/>
    <s v="N"/>
    <s v="N"/>
    <s v="N"/>
    <s v="N"/>
    <s v="Y"/>
    <s v="A037"/>
    <d v="2016-12-27T00:00:00"/>
    <s v="20"/>
    <s v="TAN"/>
    <s v="OR"/>
    <d v="2016-12-22T00:00:00"/>
    <s v="ON"/>
    <s v="CA"/>
    <s v="ZR"/>
    <d v="2016-12-22T00:00:00"/>
  </r>
  <r>
    <x v="0"/>
    <x v="2"/>
    <x v="1106"/>
    <x v="5"/>
    <s v="Standard order"/>
    <x v="1086"/>
    <x v="1086"/>
    <s v="W322"/>
    <s v="CRYSTAL W322NT"/>
    <s v="5003488"/>
    <s v="W322 ACH T20 PB SYSTIVA G100"/>
    <n v="20"/>
    <n v="0"/>
    <n v="20"/>
    <x v="2"/>
    <s v="EE73"/>
    <s v="GEM 100"/>
    <s v="324"/>
    <s v="4.0 UN"/>
    <s v="STANDARD"/>
    <s v="N"/>
    <s v="Y"/>
    <s v="N"/>
    <s v="T20"/>
    <s v="Y"/>
    <s v="N"/>
    <s v="Y"/>
    <s v="N"/>
    <s v="A020"/>
    <d v="2016-12-27T00:00:00"/>
    <s v="10"/>
    <s v="TAN"/>
    <s v="OR"/>
    <d v="2016-12-22T00:00:00"/>
    <s v="CO"/>
    <s v="US"/>
    <s v="ZR"/>
    <d v="2016-12-22T00:00:00"/>
  </r>
  <r>
    <x v="0"/>
    <x v="0"/>
    <x v="1107"/>
    <x v="2"/>
    <s v="Standard order"/>
    <x v="1087"/>
    <x v="1087"/>
    <s v="R059"/>
    <s v="CRYSTAL RR059"/>
    <s v="5003530"/>
    <s v="R059 ACH T20 Kabina RP"/>
    <n v="40"/>
    <n v="0"/>
    <n v="40"/>
    <x v="0"/>
    <s v="AP73"/>
    <s v="RP"/>
    <s v="387"/>
    <s v="4.0 UN"/>
    <s v="STANDARD"/>
    <s v="N"/>
    <s v="N"/>
    <s v="Y"/>
    <s v="T20"/>
    <s v="N"/>
    <s v="N"/>
    <s v="N"/>
    <s v="N"/>
    <s v="A034"/>
    <d v="2016-12-27T00:00:00"/>
    <s v="10"/>
    <s v="TAN"/>
    <s v="OR"/>
    <d v="2016-12-22T00:00:00"/>
    <s v="MI"/>
    <s v="US"/>
    <s v="ZR"/>
    <d v="2016-12-22T00:00:00"/>
  </r>
  <r>
    <x v="0"/>
    <x v="0"/>
    <x v="1108"/>
    <x v="2"/>
    <s v="Standard order"/>
    <x v="1088"/>
    <x v="1088"/>
    <s v="R059"/>
    <s v="CRYSTAL RR059"/>
    <s v="5003530"/>
    <s v="R059 ACH T20 Kabina RP"/>
    <n v="56"/>
    <n v="0"/>
    <n v="56"/>
    <x v="0"/>
    <s v="AP73"/>
    <s v="RP"/>
    <s v="387"/>
    <s v="4.0 UN"/>
    <s v="STANDARD"/>
    <s v="N"/>
    <s v="N"/>
    <s v="Y"/>
    <s v="T20"/>
    <s v="N"/>
    <s v="N"/>
    <s v="N"/>
    <s v="N"/>
    <s v="A034"/>
    <d v="2016-12-27T00:00:00"/>
    <s v="10"/>
    <s v="TAN"/>
    <s v="OR"/>
    <d v="2016-12-22T00:00:00"/>
    <s v="MI"/>
    <s v="US"/>
    <s v="ZR"/>
    <d v="2016-12-22T00:00:00"/>
  </r>
  <r>
    <x v="0"/>
    <x v="0"/>
    <x v="1109"/>
    <x v="4"/>
    <s v="Standard order"/>
    <x v="1089"/>
    <x v="1089"/>
    <s v="G515"/>
    <s v="CRYSTAL G515"/>
    <s v="5003018"/>
    <s v="G515 ACH T20 Kabina MP"/>
    <n v="24"/>
    <n v="0"/>
    <n v="24"/>
    <x v="0"/>
    <s v="APND"/>
    <s v="MP"/>
    <s v="387"/>
    <s v="4.0 UN"/>
    <s v="STANDARD"/>
    <s v="N"/>
    <s v="N"/>
    <s v="Y"/>
    <s v="T20"/>
    <s v="N"/>
    <s v="N"/>
    <s v="N"/>
    <s v="N"/>
    <s v="A035"/>
    <d v="2016-12-27T00:00:00"/>
    <s v="10"/>
    <s v="TAN"/>
    <s v="OR"/>
    <d v="2016-12-22T00:00:00"/>
    <s v="MI"/>
    <s v="US"/>
    <s v="ZR"/>
    <d v="2016-12-22T00:00:00"/>
  </r>
  <r>
    <x v="0"/>
    <x v="0"/>
    <x v="1109"/>
    <x v="4"/>
    <s v="Standard order"/>
    <x v="1089"/>
    <x v="1089"/>
    <s v="R059"/>
    <s v="CRYSTAL RR059"/>
    <s v="5003529"/>
    <s v="R059 ACH T20 Kabina MP"/>
    <n v="88"/>
    <n v="0"/>
    <n v="88"/>
    <x v="0"/>
    <s v="AP73"/>
    <s v="MP"/>
    <s v="387"/>
    <s v="4.0 UN"/>
    <s v="STANDARD"/>
    <s v="N"/>
    <s v="N"/>
    <s v="Y"/>
    <s v="T20"/>
    <s v="N"/>
    <s v="N"/>
    <s v="N"/>
    <s v="N"/>
    <s v="A035"/>
    <d v="2016-12-27T00:00:00"/>
    <s v="20"/>
    <s v="TAN"/>
    <s v="OR"/>
    <d v="2016-12-22T00:00:00"/>
    <s v="MI"/>
    <s v="US"/>
    <s v="ZR"/>
    <d v="2016-12-22T00:00:00"/>
  </r>
  <r>
    <x v="0"/>
    <x v="0"/>
    <x v="1110"/>
    <x v="4"/>
    <s v="Standard order"/>
    <x v="1090"/>
    <x v="1090"/>
    <s v="R059"/>
    <s v="CRYSTAL RR059"/>
    <s v="5003536"/>
    <s v="R059 ACH T20 SYSTIVA RP"/>
    <n v="20"/>
    <n v="0"/>
    <n v="20"/>
    <x v="0"/>
    <s v="AP73"/>
    <s v="RP"/>
    <s v="328"/>
    <s v="4.0 UN"/>
    <s v="STANDARD"/>
    <s v="N"/>
    <s v="N"/>
    <s v="N"/>
    <s v="T20"/>
    <s v="Y"/>
    <s v="N"/>
    <s v="Y"/>
    <s v="N"/>
    <s v="A035"/>
    <d v="2016-12-27T00:00:00"/>
    <s v="10"/>
    <s v="TAN"/>
    <s v="OR"/>
    <d v="2016-12-22T00:00:00"/>
    <s v="MI"/>
    <s v="US"/>
    <s v="ZR"/>
    <d v="2016-12-22T00:00:00"/>
  </r>
  <r>
    <x v="0"/>
    <x v="0"/>
    <x v="1111"/>
    <x v="4"/>
    <s v="Standard order"/>
    <x v="1091"/>
    <x v="1091"/>
    <s v="R059"/>
    <s v="CRYSTAL RR059"/>
    <s v="5003530"/>
    <s v="R059 ACH T20 Kabina RP"/>
    <n v="56"/>
    <n v="0"/>
    <n v="56"/>
    <x v="0"/>
    <s v="AP73"/>
    <s v="RP"/>
    <s v="387"/>
    <s v="4.0 UN"/>
    <s v="STANDARD"/>
    <s v="N"/>
    <s v="N"/>
    <s v="Y"/>
    <s v="T20"/>
    <s v="N"/>
    <s v="N"/>
    <s v="N"/>
    <s v="N"/>
    <s v="A035"/>
    <d v="2016-12-27T00:00:00"/>
    <s v="10"/>
    <s v="TAN"/>
    <s v="OR"/>
    <d v="2016-12-22T00:00:00"/>
    <s v="MI"/>
    <s v="US"/>
    <s v="ZR"/>
    <d v="2016-12-22T00:00:00"/>
  </r>
  <r>
    <x v="0"/>
    <x v="0"/>
    <x v="1112"/>
    <x v="2"/>
    <s v="Standard order"/>
    <x v="1092"/>
    <x v="1092"/>
    <s v="G333"/>
    <s v="CRYSTAL G333NT"/>
    <s v="5003376"/>
    <s v="G333 ACH T20 Kabina ELS"/>
    <n v="104"/>
    <n v="0"/>
    <n v="104"/>
    <x v="0"/>
    <s v="EE73"/>
    <s v="ELS"/>
    <s v="387"/>
    <s v="4.0 UN"/>
    <s v="STANDARD"/>
    <s v="N"/>
    <s v="N"/>
    <s v="Y"/>
    <s v="T20"/>
    <s v="N"/>
    <s v="N"/>
    <s v="N"/>
    <s v="N"/>
    <s v="A034"/>
    <d v="2016-12-27T00:00:00"/>
    <s v="10"/>
    <s v="TAN"/>
    <s v="OR"/>
    <d v="2016-12-22T00:00:00"/>
    <s v="MI"/>
    <s v="US"/>
    <s v="ZR"/>
    <d v="2016-12-22T00:00:00"/>
  </r>
  <r>
    <x v="0"/>
    <x v="5"/>
    <x v="1113"/>
    <x v="14"/>
    <s v="Standard order"/>
    <x v="1093"/>
    <x v="1093"/>
    <s v="Y400"/>
    <s v="CRYSTAL Y400NT"/>
    <s v="5003735"/>
    <s v="Y400 ACH T20 PB SYSTIVA RP"/>
    <n v="24"/>
    <n v="0"/>
    <n v="24"/>
    <x v="5"/>
    <s v="4TBP"/>
    <s v="RP"/>
    <s v="324"/>
    <s v="4.0 UN"/>
    <s v="STANDARD"/>
    <s v="N"/>
    <s v="Y"/>
    <s v="N"/>
    <s v="T20"/>
    <s v="Y"/>
    <s v="N"/>
    <s v="N"/>
    <s v="N"/>
    <s v="A017"/>
    <d v="2016-12-27T00:00:00"/>
    <s v="10"/>
    <s v="TAN"/>
    <s v="OR"/>
    <d v="2016-12-22T00:00:00"/>
    <s v="WY"/>
    <s v="US"/>
    <s v="ZR"/>
    <d v="2016-12-22T00:00:00"/>
  </r>
  <r>
    <x v="0"/>
    <x v="5"/>
    <x v="1113"/>
    <x v="14"/>
    <s v="Standard order"/>
    <x v="1093"/>
    <x v="1093"/>
    <s v="Y313"/>
    <s v="CRYSTAL Y313NT"/>
    <s v="5003711"/>
    <s v="Y313 ACH T20 PB SYSTIVA RP"/>
    <n v="40"/>
    <n v="0"/>
    <n v="40"/>
    <x v="5"/>
    <s v="DLNC"/>
    <s v="RP"/>
    <s v="324"/>
    <s v="4.0 UN"/>
    <s v="STANDARD"/>
    <s v="N"/>
    <s v="Y"/>
    <s v="N"/>
    <s v="T20"/>
    <s v="Y"/>
    <s v="N"/>
    <s v="N"/>
    <s v="N"/>
    <s v="A017"/>
    <d v="2016-12-27T00:00:00"/>
    <s v="20"/>
    <s v="TAN"/>
    <s v="OR"/>
    <d v="2016-12-22T00:00:00"/>
    <s v="WY"/>
    <s v="US"/>
    <s v="ZR"/>
    <d v="2016-12-22T00:00:00"/>
  </r>
  <r>
    <x v="0"/>
    <x v="2"/>
    <x v="1114"/>
    <x v="25"/>
    <s v="Standard order"/>
    <x v="1094"/>
    <x v="1094"/>
    <s v="W322"/>
    <s v="CRYSTAL W322NT"/>
    <s v="5003488"/>
    <s v="W322 ACH T20 PB SYSTIVA G100"/>
    <n v="28"/>
    <n v="0"/>
    <n v="28"/>
    <x v="2"/>
    <s v="EE73"/>
    <s v="GEM 100"/>
    <s v="324"/>
    <s v="4.0 UN"/>
    <s v="STANDARD"/>
    <s v="N"/>
    <s v="Y"/>
    <s v="N"/>
    <s v="T20"/>
    <s v="Y"/>
    <s v="N"/>
    <s v="Y"/>
    <s v="N"/>
    <s v="A021"/>
    <d v="2016-12-27T00:00:00"/>
    <s v="10"/>
    <s v="TAN"/>
    <s v="OR"/>
    <d v="2016-12-22T00:00:00"/>
    <s v="CO"/>
    <s v="US"/>
    <s v="ZR"/>
    <d v="2016-12-22T00:00:00"/>
  </r>
  <r>
    <x v="0"/>
    <x v="0"/>
    <x v="1115"/>
    <x v="2"/>
    <s v="Standard order"/>
    <x v="1095"/>
    <x v="1095"/>
    <s v="R059"/>
    <s v="CRYSTAL RR059"/>
    <s v="5003530"/>
    <s v="R059 ACH T20 Kabina RP"/>
    <n v="24"/>
    <n v="0"/>
    <n v="24"/>
    <x v="0"/>
    <s v="AP73"/>
    <s v="RP"/>
    <s v="387"/>
    <s v="4.0 UN"/>
    <s v="STANDARD"/>
    <s v="N"/>
    <s v="N"/>
    <s v="Y"/>
    <s v="T20"/>
    <s v="N"/>
    <s v="N"/>
    <s v="N"/>
    <s v="N"/>
    <s v="A034"/>
    <d v="2016-12-27T00:00:00"/>
    <s v="10"/>
    <s v="TAN"/>
    <s v="OR"/>
    <d v="2016-12-22T00:00:00"/>
    <s v="MI"/>
    <s v="US"/>
    <s v="ZR"/>
    <d v="2016-12-22T00:00:00"/>
  </r>
  <r>
    <x v="0"/>
    <x v="0"/>
    <x v="1115"/>
    <x v="2"/>
    <s v="Standard order"/>
    <x v="1095"/>
    <x v="1095"/>
    <s v="G333"/>
    <s v="CRYSTAL G333NT"/>
    <s v="5003378"/>
    <s v="G333 ACH T20 Kabina RP"/>
    <n v="32"/>
    <n v="0"/>
    <n v="32"/>
    <x v="0"/>
    <s v="EE73"/>
    <s v="RP"/>
    <s v="387"/>
    <s v="4.0 UN"/>
    <s v="STANDARD"/>
    <s v="N"/>
    <s v="N"/>
    <s v="Y"/>
    <s v="T20"/>
    <s v="N"/>
    <s v="N"/>
    <s v="N"/>
    <s v="N"/>
    <s v="A034"/>
    <d v="2016-12-27T00:00:00"/>
    <s v="20"/>
    <s v="TAN"/>
    <s v="OR"/>
    <d v="2016-12-22T00:00:00"/>
    <s v="MI"/>
    <s v="US"/>
    <s v="ZR"/>
    <d v="2016-12-22T00:00:00"/>
  </r>
  <r>
    <x v="0"/>
    <x v="0"/>
    <x v="1116"/>
    <x v="0"/>
    <s v="Standard order"/>
    <x v="1096"/>
    <x v="1096"/>
    <s v="R059"/>
    <s v="CRYSTAL RR059"/>
    <s v="5003537"/>
    <s v="R059 ACH Vibrance RP"/>
    <n v="24"/>
    <n v="0"/>
    <n v="24"/>
    <x v="0"/>
    <s v="AP73"/>
    <s v="RP"/>
    <s v="392"/>
    <s v="4.0 UN"/>
    <s v="STANDARD"/>
    <s v="N"/>
    <s v="N"/>
    <s v="N"/>
    <s v="N"/>
    <s v="N"/>
    <s v="N"/>
    <s v="N"/>
    <s v="Y"/>
    <s v="A037"/>
    <d v="2016-12-27T00:00:00"/>
    <s v="10"/>
    <s v="TAN"/>
    <s v="OR"/>
    <d v="2016-12-22T00:00:00"/>
    <s v="ON"/>
    <s v="CA"/>
    <s v="ZR"/>
    <d v="2016-12-22T00:00:00"/>
  </r>
  <r>
    <x v="0"/>
    <x v="5"/>
    <x v="1117"/>
    <x v="14"/>
    <s v="Standard order"/>
    <x v="1097"/>
    <x v="1097"/>
    <s v="Y400"/>
    <s v="CRYSTAL Y400NT"/>
    <s v="5003733"/>
    <s v="Y400 ACH T20 PB SYSTIVA MP"/>
    <n v="4"/>
    <n v="0"/>
    <n v="4"/>
    <x v="5"/>
    <s v="4TBP"/>
    <s v="MP"/>
    <s v="324"/>
    <s v="4.0 UN"/>
    <s v="STANDARD"/>
    <s v="N"/>
    <s v="Y"/>
    <s v="N"/>
    <s v="T20"/>
    <s v="Y"/>
    <s v="N"/>
    <s v="N"/>
    <s v="N"/>
    <s v="A017"/>
    <d v="2016-12-27T00:00:00"/>
    <s v="10"/>
    <s v="TAN"/>
    <s v="OR"/>
    <d v="2016-12-22T00:00:00"/>
    <s v="WY"/>
    <s v="US"/>
    <s v="ZR"/>
    <d v="2016-12-22T00:00:00"/>
  </r>
  <r>
    <x v="0"/>
    <x v="5"/>
    <x v="1118"/>
    <x v="14"/>
    <s v="Standard order"/>
    <x v="1098"/>
    <x v="1098"/>
    <s v="Y400"/>
    <s v="CRYSTAL Y400NT"/>
    <s v="5003733"/>
    <s v="Y400 ACH T20 PB SYSTIVA MP"/>
    <n v="4"/>
    <n v="0"/>
    <n v="4"/>
    <x v="5"/>
    <s v="4TBP"/>
    <s v="MP"/>
    <s v="324"/>
    <s v="4.0 UN"/>
    <s v="STANDARD"/>
    <s v="N"/>
    <s v="Y"/>
    <s v="N"/>
    <s v="T20"/>
    <s v="Y"/>
    <s v="N"/>
    <s v="N"/>
    <s v="N"/>
    <s v="A017"/>
    <d v="2016-12-27T00:00:00"/>
    <s v="10"/>
    <s v="TAN"/>
    <s v="OR"/>
    <d v="2016-12-22T00:00:00"/>
    <s v="WY"/>
    <s v="US"/>
    <s v="ZR"/>
    <d v="2016-12-22T00:00:00"/>
  </r>
  <r>
    <x v="0"/>
    <x v="0"/>
    <x v="1119"/>
    <x v="2"/>
    <s v="Standard order"/>
    <x v="1099"/>
    <x v="1099"/>
    <s v="G333"/>
    <s v="CRYSTAL G333NT"/>
    <s v="5003378"/>
    <s v="G333 ACH T20 Kabina RP"/>
    <n v="28"/>
    <n v="0"/>
    <n v="28"/>
    <x v="0"/>
    <s v="EE73"/>
    <s v="RP"/>
    <s v="387"/>
    <s v="4.0 UN"/>
    <s v="STANDARD"/>
    <s v="N"/>
    <s v="N"/>
    <s v="Y"/>
    <s v="T20"/>
    <s v="N"/>
    <s v="N"/>
    <s v="N"/>
    <s v="N"/>
    <s v="A034"/>
    <d v="2016-12-27T00:00:00"/>
    <s v="10"/>
    <s v="TAN"/>
    <s v="OR"/>
    <d v="2016-12-22T00:00:00"/>
    <s v="MI"/>
    <s v="US"/>
    <s v="ZR"/>
    <d v="2016-12-22T00:00:00"/>
  </r>
  <r>
    <x v="0"/>
    <x v="0"/>
    <x v="1119"/>
    <x v="2"/>
    <s v="Standard order"/>
    <x v="1099"/>
    <x v="1099"/>
    <s v="R059"/>
    <s v="CRYSTAL RR059"/>
    <s v="5003530"/>
    <s v="R059 ACH T20 Kabina RP"/>
    <n v="76"/>
    <n v="0"/>
    <n v="76"/>
    <x v="0"/>
    <s v="AP73"/>
    <s v="RP"/>
    <s v="387"/>
    <s v="4.0 UN"/>
    <s v="STANDARD"/>
    <s v="N"/>
    <s v="N"/>
    <s v="Y"/>
    <s v="T20"/>
    <s v="N"/>
    <s v="N"/>
    <s v="N"/>
    <s v="N"/>
    <s v="A034"/>
    <d v="2016-12-27T00:00:00"/>
    <s v="20"/>
    <s v="TAN"/>
    <s v="OR"/>
    <d v="2016-12-22T00:00:00"/>
    <s v="MI"/>
    <s v="US"/>
    <s v="ZR"/>
    <d v="2016-12-22T00:00:00"/>
  </r>
  <r>
    <x v="0"/>
    <x v="5"/>
    <x v="1120"/>
    <x v="14"/>
    <s v="Standard order"/>
    <x v="1100"/>
    <x v="1100"/>
    <s v="Y400"/>
    <s v="CRYSTAL Y400NT"/>
    <s v="5003733"/>
    <s v="Y400 ACH T20 PB SYSTIVA MP"/>
    <n v="16"/>
    <n v="0"/>
    <n v="16"/>
    <x v="5"/>
    <s v="4TBP"/>
    <s v="MP"/>
    <s v="324"/>
    <s v="4.0 UN"/>
    <s v="STANDARD"/>
    <s v="N"/>
    <s v="Y"/>
    <s v="N"/>
    <s v="T20"/>
    <s v="Y"/>
    <s v="N"/>
    <s v="N"/>
    <s v="N"/>
    <s v="A017"/>
    <d v="2016-12-27T00:00:00"/>
    <s v="10"/>
    <s v="TAN"/>
    <s v="OR"/>
    <d v="2016-12-22T00:00:00"/>
    <s v="WY"/>
    <s v="US"/>
    <s v="ZR"/>
    <d v="2016-12-22T00:00:00"/>
  </r>
  <r>
    <x v="0"/>
    <x v="0"/>
    <x v="1121"/>
    <x v="10"/>
    <s v="Standard order"/>
    <x v="1101"/>
    <x v="1101"/>
    <s v="R059"/>
    <s v="CRYSTAL RR059"/>
    <s v="5003530"/>
    <s v="R059 ACH T20 Kabina RP"/>
    <n v="48"/>
    <n v="0"/>
    <n v="48"/>
    <x v="0"/>
    <s v="AP73"/>
    <s v="RP"/>
    <s v="387"/>
    <s v="4.0 UN"/>
    <s v="STANDARD"/>
    <s v="N"/>
    <s v="N"/>
    <s v="Y"/>
    <s v="T20"/>
    <s v="N"/>
    <s v="N"/>
    <s v="N"/>
    <s v="N"/>
    <s v="A036"/>
    <d v="2016-12-28T00:00:00"/>
    <s v="10"/>
    <s v="TAN"/>
    <s v="OR"/>
    <d v="2016-12-22T00:00:00"/>
    <s v="MI"/>
    <s v="US"/>
    <s v="ZR"/>
    <d v="2016-12-23T00:00:00"/>
  </r>
  <r>
    <x v="0"/>
    <x v="0"/>
    <x v="1122"/>
    <x v="10"/>
    <s v="Standard order"/>
    <x v="1102"/>
    <x v="1102"/>
    <s v="R059"/>
    <s v="CRYSTAL RR059"/>
    <s v="5003530"/>
    <s v="R059 ACH T20 Kabina RP"/>
    <n v="24"/>
    <n v="0"/>
    <n v="24"/>
    <x v="0"/>
    <s v="AP73"/>
    <s v="RP"/>
    <s v="387"/>
    <s v="4.0 UN"/>
    <s v="STANDARD"/>
    <s v="N"/>
    <s v="N"/>
    <s v="Y"/>
    <s v="T20"/>
    <s v="N"/>
    <s v="N"/>
    <s v="N"/>
    <s v="N"/>
    <s v="A036"/>
    <d v="2016-12-28T00:00:00"/>
    <s v="10"/>
    <s v="TAN"/>
    <s v="OR"/>
    <d v="2016-12-22T00:00:00"/>
    <s v="MI"/>
    <s v="US"/>
    <s v="ZR"/>
    <d v="2016-12-23T00:00:00"/>
  </r>
  <r>
    <x v="0"/>
    <x v="0"/>
    <x v="1123"/>
    <x v="10"/>
    <s v="Standard order"/>
    <x v="1103"/>
    <x v="1103"/>
    <s v="R059"/>
    <s v="CRYSTAL RR059"/>
    <s v="5003529"/>
    <s v="R059 ACH T20 Kabina MP"/>
    <n v="76"/>
    <n v="0"/>
    <n v="76"/>
    <x v="0"/>
    <s v="AP73"/>
    <s v="MP"/>
    <s v="387"/>
    <s v="4.0 UN"/>
    <s v="STANDARD"/>
    <s v="N"/>
    <s v="N"/>
    <s v="Y"/>
    <s v="T20"/>
    <s v="N"/>
    <s v="N"/>
    <s v="N"/>
    <s v="N"/>
    <s v="A036"/>
    <d v="2016-12-28T00:00:00"/>
    <s v="10"/>
    <s v="TAN"/>
    <s v="OR"/>
    <d v="2016-12-22T00:00:00"/>
    <s v="MI"/>
    <s v="US"/>
    <s v="ZR"/>
    <d v="2016-12-23T00:00:00"/>
  </r>
  <r>
    <x v="0"/>
    <x v="0"/>
    <x v="1123"/>
    <x v="10"/>
    <s v="Standard order"/>
    <x v="1103"/>
    <x v="1103"/>
    <s v="G333"/>
    <s v="CRYSTAL G333NT"/>
    <s v="5003377"/>
    <s v="G333 ACH T20 Kabina MP"/>
    <n v="36"/>
    <n v="0"/>
    <n v="36"/>
    <x v="0"/>
    <s v="EE73"/>
    <s v="MP"/>
    <s v="387"/>
    <s v="4.0 UN"/>
    <s v="STANDARD"/>
    <s v="N"/>
    <s v="N"/>
    <s v="Y"/>
    <s v="T20"/>
    <s v="N"/>
    <s v="N"/>
    <s v="N"/>
    <s v="N"/>
    <s v="A036"/>
    <d v="2016-12-28T00:00:00"/>
    <s v="20"/>
    <s v="TAN"/>
    <s v="OR"/>
    <d v="2016-12-22T00:00:00"/>
    <s v="MI"/>
    <s v="US"/>
    <s v="ZR"/>
    <d v="2016-12-23T00:00:00"/>
  </r>
  <r>
    <x v="0"/>
    <x v="0"/>
    <x v="1124"/>
    <x v="10"/>
    <s v="Standard order"/>
    <x v="1104"/>
    <x v="1104"/>
    <s v="R059"/>
    <s v="CRYSTAL RR059"/>
    <s v="5003530"/>
    <s v="R059 ACH T20 Kabina RP"/>
    <n v="12"/>
    <n v="0"/>
    <n v="12"/>
    <x v="0"/>
    <s v="AP73"/>
    <s v="RP"/>
    <s v="387"/>
    <s v="4.0 UN"/>
    <s v="STANDARD"/>
    <s v="N"/>
    <s v="N"/>
    <s v="Y"/>
    <s v="T20"/>
    <s v="N"/>
    <s v="N"/>
    <s v="N"/>
    <s v="N"/>
    <s v="A036"/>
    <d v="2016-12-28T00:00:00"/>
    <s v="10"/>
    <s v="TAN"/>
    <s v="OR"/>
    <d v="2016-12-22T00:00:00"/>
    <s v="MI"/>
    <s v="US"/>
    <s v="ZR"/>
    <d v="2016-12-23T00:00:00"/>
  </r>
  <r>
    <x v="0"/>
    <x v="4"/>
    <x v="1125"/>
    <x v="7"/>
    <s v="Standard order"/>
    <x v="1105"/>
    <x v="1105"/>
    <s v="A399"/>
    <s v="CRYSTAL A399NT"/>
    <s v="5002936"/>
    <s v="A399 ACH T20 PB Kabina MP"/>
    <n v="40"/>
    <n v="0"/>
    <n v="40"/>
    <x v="4"/>
    <s v="DP71"/>
    <s v="MP"/>
    <s v="388"/>
    <s v="4.0 UN"/>
    <s v="STANDARD"/>
    <s v="N"/>
    <s v="Y"/>
    <s v="Y"/>
    <s v="T20"/>
    <s v="N"/>
    <s v="N"/>
    <s v="N"/>
    <s v="N"/>
    <s v="A045"/>
    <d v="2016-12-28T00:00:00"/>
    <s v="10"/>
    <s v="TAN"/>
    <s v="OR"/>
    <d v="2016-12-23T00:00:00"/>
    <s v="OR"/>
    <s v="US"/>
    <s v="ZR"/>
    <d v="2016-12-23T00:00:00"/>
  </r>
  <r>
    <x v="0"/>
    <x v="0"/>
    <x v="1126"/>
    <x v="0"/>
    <s v="Standard order"/>
    <x v="10"/>
    <x v="10"/>
    <s v="R059"/>
    <s v="CRYSTAL RR059"/>
    <s v="5003518"/>
    <s v="R059 ACH CM Vibrance RP"/>
    <n v="72"/>
    <n v="0"/>
    <n v="72"/>
    <x v="0"/>
    <s v="AP73"/>
    <s v="RP"/>
    <s v="393"/>
    <s v="4.0 UN"/>
    <s v="STANDARD"/>
    <s v="Y"/>
    <s v="N"/>
    <s v="N"/>
    <s v="N"/>
    <s v="N"/>
    <s v="N"/>
    <s v="N"/>
    <s v="Y"/>
    <s v="A037"/>
    <d v="2016-12-28T00:00:00"/>
    <s v="10"/>
    <s v="TAN"/>
    <s v="OR"/>
    <d v="2016-12-23T00:00:00"/>
    <s v="ON"/>
    <s v="CA"/>
    <s v="ZR"/>
    <d v="2016-12-23T00:00:00"/>
  </r>
  <r>
    <x v="0"/>
    <x v="0"/>
    <x v="1126"/>
    <x v="0"/>
    <s v="Standard order"/>
    <x v="10"/>
    <x v="10"/>
    <s v="G515"/>
    <s v="CRYSTAL G515"/>
    <s v="5003007"/>
    <s v="G515 ACH CM Vibrance RP"/>
    <n v="28"/>
    <n v="0"/>
    <n v="28"/>
    <x v="0"/>
    <s v="APND"/>
    <s v="RP"/>
    <s v="393"/>
    <s v="4.0 UN"/>
    <s v="STANDARD"/>
    <s v="Y"/>
    <s v="N"/>
    <s v="N"/>
    <s v="N"/>
    <s v="N"/>
    <s v="N"/>
    <s v="N"/>
    <s v="Y"/>
    <s v="A037"/>
    <d v="2016-12-28T00:00:00"/>
    <s v="20"/>
    <s v="TAN"/>
    <s v="OR"/>
    <d v="2016-12-23T00:00:00"/>
    <s v="ON"/>
    <s v="CA"/>
    <s v="ZR"/>
    <d v="2016-12-23T00:00:00"/>
  </r>
  <r>
    <x v="0"/>
    <x v="4"/>
    <x v="1127"/>
    <x v="15"/>
    <s v="Standard order"/>
    <x v="1106"/>
    <x v="1106"/>
    <s v="A488"/>
    <s v="CRYSTAL A488NT"/>
    <s v="5002980"/>
    <s v="A488 ACH PB LRG"/>
    <n v="64"/>
    <n v="0"/>
    <n v="64"/>
    <x v="4"/>
    <s v="EENE"/>
    <s v="LARGE"/>
    <s v="314"/>
    <s v="4.0 UN"/>
    <s v="STANDARD"/>
    <s v="N"/>
    <s v="Y"/>
    <s v="N"/>
    <s v="N"/>
    <s v="N"/>
    <s v="N"/>
    <s v="N"/>
    <s v="N"/>
    <s v="A043"/>
    <d v="2016-12-28T00:00:00"/>
    <s v="10"/>
    <s v="TAN"/>
    <s v="OR"/>
    <d v="2016-12-23T00:00:00"/>
    <s v="ID"/>
    <s v="US"/>
    <s v="ZR"/>
    <d v="2016-12-23T00:00:00"/>
  </r>
  <r>
    <x v="0"/>
    <x v="0"/>
    <x v="1128"/>
    <x v="4"/>
    <s v="Standard order"/>
    <x v="1107"/>
    <x v="1107"/>
    <s v="R059"/>
    <s v="CRYSTAL RR059"/>
    <s v="5003529"/>
    <s v="R059 ACH T20 Kabina MP"/>
    <n v="104"/>
    <n v="0"/>
    <n v="104"/>
    <x v="0"/>
    <s v="AP73"/>
    <s v="MP"/>
    <s v="387"/>
    <s v="4.0 UN"/>
    <s v="STANDARD"/>
    <s v="N"/>
    <s v="N"/>
    <s v="Y"/>
    <s v="T20"/>
    <s v="N"/>
    <s v="N"/>
    <s v="N"/>
    <s v="N"/>
    <s v="A035"/>
    <d v="2016-12-28T00:00:00"/>
    <s v="10"/>
    <s v="TAN"/>
    <s v="OR"/>
    <d v="2016-12-23T00:00:00"/>
    <s v="MI"/>
    <s v="US"/>
    <s v="ZR"/>
    <d v="2016-12-23T00:00:00"/>
  </r>
  <r>
    <x v="0"/>
    <x v="0"/>
    <x v="1129"/>
    <x v="4"/>
    <s v="Standard order"/>
    <x v="1108"/>
    <x v="1108"/>
    <s v="R059"/>
    <s v="CRYSTAL RR059"/>
    <s v="5003529"/>
    <s v="R059 ACH T20 Kabina MP"/>
    <n v="24"/>
    <n v="0"/>
    <n v="24"/>
    <x v="0"/>
    <s v="AP73"/>
    <s v="MP"/>
    <s v="387"/>
    <s v="4.0 UN"/>
    <s v="STANDARD"/>
    <s v="N"/>
    <s v="N"/>
    <s v="Y"/>
    <s v="T20"/>
    <s v="N"/>
    <s v="N"/>
    <s v="N"/>
    <s v="N"/>
    <s v="A035"/>
    <d v="2016-12-28T00:00:00"/>
    <s v="20"/>
    <s v="TAN"/>
    <s v="OR"/>
    <d v="2016-12-23T00:00:00"/>
    <s v="MI"/>
    <s v="US"/>
    <s v="ZR"/>
    <d v="2016-12-23T00:00:00"/>
  </r>
  <r>
    <x v="0"/>
    <x v="2"/>
    <x v="1130"/>
    <x v="5"/>
    <s v="Standard order"/>
    <x v="1109"/>
    <x v="1109"/>
    <s v="R014"/>
    <s v="CRYSTAL RR014"/>
    <s v="5003091"/>
    <s v="R014 ACH T20 PB SYSTIVA G100"/>
    <n v="76"/>
    <n v="0"/>
    <n v="76"/>
    <x v="2"/>
    <s v="AP82"/>
    <s v="GEM 100"/>
    <s v="324"/>
    <s v="4.0 UN"/>
    <s v="STANDARD"/>
    <s v="N"/>
    <s v="Y"/>
    <s v="N"/>
    <s v="T20"/>
    <s v="Y"/>
    <s v="N"/>
    <s v="Y"/>
    <s v="N"/>
    <s v="A020"/>
    <d v="2016-12-28T00:00:00"/>
    <s v="10"/>
    <s v="TAN"/>
    <s v="OR"/>
    <d v="2016-12-23T00:00:00"/>
    <s v="CO"/>
    <s v="US"/>
    <s v="ZR"/>
    <d v="2016-12-23T00:00:00"/>
  </r>
  <r>
    <x v="0"/>
    <x v="2"/>
    <x v="1130"/>
    <x v="5"/>
    <s v="Standard order"/>
    <x v="1109"/>
    <x v="1109"/>
    <s v="R272"/>
    <s v="CRYSTAL RR272"/>
    <s v="5003629"/>
    <s v="R272 ACH T20 PB SYSTIVA G100"/>
    <n v="28"/>
    <n v="0"/>
    <n v="28"/>
    <x v="2"/>
    <s v="DG73"/>
    <s v="GEM 100"/>
    <s v="324"/>
    <s v="4.0 UN"/>
    <s v="STANDARD"/>
    <s v="N"/>
    <s v="Y"/>
    <s v="N"/>
    <s v="T20"/>
    <s v="Y"/>
    <s v="N"/>
    <s v="Y"/>
    <s v="N"/>
    <s v="A020"/>
    <d v="2016-12-28T00:00:00"/>
    <s v="20"/>
    <s v="TAN"/>
    <s v="OR"/>
    <d v="2016-12-23T00:00:00"/>
    <s v="CO"/>
    <s v="US"/>
    <s v="ZR"/>
    <d v="2016-12-23T00:00:00"/>
  </r>
  <r>
    <x v="0"/>
    <x v="2"/>
    <x v="1130"/>
    <x v="5"/>
    <s v="Standard order"/>
    <x v="1109"/>
    <x v="1109"/>
    <s v="W322"/>
    <s v="CRYSTAL W322NT"/>
    <s v="5003488"/>
    <s v="W322 ACH T20 PB SYSTIVA G100"/>
    <n v="28"/>
    <n v="0"/>
    <n v="28"/>
    <x v="2"/>
    <s v="EE73"/>
    <s v="GEM 100"/>
    <s v="324"/>
    <s v="4.0 UN"/>
    <s v="STANDARD"/>
    <s v="N"/>
    <s v="Y"/>
    <s v="N"/>
    <s v="T20"/>
    <s v="Y"/>
    <s v="N"/>
    <s v="Y"/>
    <s v="N"/>
    <s v="A020"/>
    <d v="2016-12-28T00:00:00"/>
    <s v="30"/>
    <s v="TAN"/>
    <s v="OR"/>
    <d v="2016-12-23T00:00:00"/>
    <s v="CO"/>
    <s v="US"/>
    <s v="ZR"/>
    <d v="2016-12-23T00:00:00"/>
  </r>
  <r>
    <x v="0"/>
    <x v="0"/>
    <x v="1131"/>
    <x v="4"/>
    <s v="Standard order"/>
    <x v="1110"/>
    <x v="1110"/>
    <s v="R059"/>
    <s v="CRYSTAL RR059"/>
    <s v="5003529"/>
    <s v="R059 ACH T20 Kabina MP"/>
    <n v="28"/>
    <n v="0"/>
    <n v="28"/>
    <x v="0"/>
    <s v="AP73"/>
    <s v="MP"/>
    <s v="387"/>
    <s v="4.0 UN"/>
    <s v="STANDARD"/>
    <s v="N"/>
    <s v="N"/>
    <s v="Y"/>
    <s v="T20"/>
    <s v="N"/>
    <s v="N"/>
    <s v="N"/>
    <s v="N"/>
    <s v="A035"/>
    <d v="2016-12-28T00:00:00"/>
    <s v="10"/>
    <s v="TAN"/>
    <s v="OR"/>
    <d v="2016-12-23T00:00:00"/>
    <s v="MI"/>
    <s v="US"/>
    <s v="ZR"/>
    <d v="2016-12-23T00:00:00"/>
  </r>
  <r>
    <x v="0"/>
    <x v="4"/>
    <x v="1132"/>
    <x v="7"/>
    <s v="Standard order"/>
    <x v="1111"/>
    <x v="1111"/>
    <s v="A501"/>
    <s v="CRYSTAL A501"/>
    <s v="5003305"/>
    <s v="A501 ACH PB LRG"/>
    <n v="16"/>
    <n v="0"/>
    <n v="16"/>
    <x v="4"/>
    <s v="EZPB"/>
    <s v="LARGE"/>
    <s v="314"/>
    <s v="4.0 UN"/>
    <s v="STANDARD"/>
    <s v="N"/>
    <s v="Y"/>
    <s v="N"/>
    <s v="N"/>
    <s v="N"/>
    <s v="N"/>
    <s v="N"/>
    <s v="N"/>
    <s v="A045"/>
    <d v="2016-12-28T00:00:00"/>
    <s v="10"/>
    <s v="TAN"/>
    <s v="OR"/>
    <d v="2016-12-23T00:00:00"/>
    <s v="OR"/>
    <s v="US"/>
    <s v="ZR"/>
    <d v="2016-12-23T00:00:00"/>
  </r>
  <r>
    <x v="0"/>
    <x v="4"/>
    <x v="1132"/>
    <x v="7"/>
    <s v="Standard order"/>
    <x v="1111"/>
    <x v="1111"/>
    <s v="A399"/>
    <s v="CRYSTAL A399NT"/>
    <s v="5002928"/>
    <s v="A399 ACH PB LRG"/>
    <n v="72"/>
    <n v="0"/>
    <n v="72"/>
    <x v="4"/>
    <s v="DP71"/>
    <s v="LARGE"/>
    <s v="314"/>
    <s v="4.0 UN"/>
    <s v="STANDARD"/>
    <s v="N"/>
    <s v="Y"/>
    <s v="N"/>
    <s v="N"/>
    <s v="N"/>
    <s v="N"/>
    <s v="N"/>
    <s v="N"/>
    <s v="A045"/>
    <d v="2016-12-28T00:00:00"/>
    <s v="20"/>
    <s v="TAN"/>
    <s v="OR"/>
    <d v="2016-12-23T00:00:00"/>
    <s v="OR"/>
    <s v="US"/>
    <s v="ZR"/>
    <d v="2016-12-23T00:00:00"/>
  </r>
  <r>
    <x v="0"/>
    <x v="4"/>
    <x v="1132"/>
    <x v="7"/>
    <s v="Standard order"/>
    <x v="1111"/>
    <x v="1111"/>
    <s v="A404"/>
    <s v="CRYSTAL A404NT"/>
    <s v="5002954"/>
    <s v="A404 ACH PB LRG"/>
    <n v="56"/>
    <n v="0"/>
    <n v="56"/>
    <x v="4"/>
    <s v="DPNE"/>
    <s v="LARGE"/>
    <s v="314"/>
    <s v="4.0 UN"/>
    <s v="STANDARD"/>
    <s v="N"/>
    <s v="Y"/>
    <s v="N"/>
    <s v="N"/>
    <s v="N"/>
    <s v="N"/>
    <s v="N"/>
    <s v="N"/>
    <s v="A045"/>
    <d v="2016-12-28T00:00:00"/>
    <s v="30"/>
    <s v="TAN"/>
    <s v="OR"/>
    <d v="2016-12-23T00:00:00"/>
    <s v="OR"/>
    <s v="US"/>
    <s v="ZR"/>
    <d v="2016-12-23T00:00:00"/>
  </r>
  <r>
    <x v="0"/>
    <x v="4"/>
    <x v="1132"/>
    <x v="7"/>
    <s v="Standard order"/>
    <x v="1111"/>
    <x v="1111"/>
    <s v="A488"/>
    <s v="CRYSTAL A488NT"/>
    <s v="5002980"/>
    <s v="A488 ACH PB LRG"/>
    <n v="60"/>
    <n v="0"/>
    <n v="60"/>
    <x v="4"/>
    <s v="EENE"/>
    <s v="LARGE"/>
    <s v="314"/>
    <s v="4.0 UN"/>
    <s v="STANDARD"/>
    <s v="N"/>
    <s v="Y"/>
    <s v="N"/>
    <s v="N"/>
    <s v="N"/>
    <s v="N"/>
    <s v="N"/>
    <s v="N"/>
    <s v="A045"/>
    <d v="2016-12-28T00:00:00"/>
    <s v="40"/>
    <s v="TAN"/>
    <s v="OR"/>
    <d v="2016-12-23T00:00:00"/>
    <s v="OR"/>
    <s v="US"/>
    <s v="ZR"/>
    <d v="2016-12-23T00:00:00"/>
  </r>
  <r>
    <x v="0"/>
    <x v="0"/>
    <x v="1133"/>
    <x v="4"/>
    <s v="Standard order"/>
    <x v="1112"/>
    <x v="1112"/>
    <s v="G333"/>
    <s v="CRYSTAL G333NT"/>
    <s v="5003383"/>
    <s v="G333 ACH T20 SYSTIVA MP"/>
    <n v="68"/>
    <n v="0"/>
    <n v="68"/>
    <x v="0"/>
    <s v="EE73"/>
    <s v="MP"/>
    <s v="328"/>
    <s v="4.0 UN"/>
    <s v="STANDARD"/>
    <s v="N"/>
    <s v="N"/>
    <s v="N"/>
    <s v="T20"/>
    <s v="Y"/>
    <s v="N"/>
    <s v="Y"/>
    <s v="N"/>
    <s v="A035"/>
    <d v="2016-12-28T00:00:00"/>
    <s v="10"/>
    <s v="TAN"/>
    <s v="OR"/>
    <d v="2016-12-23T00:00:00"/>
    <s v="MI"/>
    <s v="US"/>
    <s v="ZR"/>
    <d v="2016-12-23T00:00:00"/>
  </r>
  <r>
    <x v="0"/>
    <x v="0"/>
    <x v="1134"/>
    <x v="10"/>
    <s v="Standard order"/>
    <x v="1113"/>
    <x v="1113"/>
    <s v="R059"/>
    <s v="CRYSTAL RR059"/>
    <s v="5003528"/>
    <s v="R059 ACH T20 Kabina ELS"/>
    <n v="24"/>
    <n v="0"/>
    <n v="24"/>
    <x v="0"/>
    <s v="AP73"/>
    <s v="ELS"/>
    <s v="387"/>
    <s v="4.0 UN"/>
    <s v="STANDARD"/>
    <s v="N"/>
    <s v="N"/>
    <s v="Y"/>
    <s v="T20"/>
    <s v="N"/>
    <s v="N"/>
    <s v="N"/>
    <s v="N"/>
    <s v="A036"/>
    <d v="2016-12-28T00:00:00"/>
    <s v="10"/>
    <s v="TAN"/>
    <s v="OR"/>
    <d v="2016-12-22T00:00:00"/>
    <s v="MI"/>
    <s v="US"/>
    <s v="ZR"/>
    <d v="2016-12-23T00:00:00"/>
  </r>
  <r>
    <x v="0"/>
    <x v="2"/>
    <x v="1135"/>
    <x v="22"/>
    <s v="Standard order"/>
    <x v="1114"/>
    <x v="1114"/>
    <s v="W322"/>
    <s v="CRYSTAL W322NT"/>
    <s v="5003488"/>
    <s v="W322 ACH T20 PB SYSTIVA G100"/>
    <n v="32"/>
    <n v="0"/>
    <n v="32"/>
    <x v="2"/>
    <s v="EE73"/>
    <s v="GEM 100"/>
    <s v="324"/>
    <s v="4.0 UN"/>
    <s v="STANDARD"/>
    <s v="N"/>
    <s v="Y"/>
    <s v="N"/>
    <s v="T20"/>
    <s v="Y"/>
    <s v="N"/>
    <s v="Y"/>
    <s v="N"/>
    <s v="A018"/>
    <d v="2016-12-28T00:00:00"/>
    <s v="10"/>
    <s v="TAN"/>
    <s v="OR"/>
    <d v="2016-12-23T00:00:00"/>
    <s v="CO"/>
    <s v="US"/>
    <s v="ZR"/>
    <d v="2016-12-23T00:00:00"/>
  </r>
  <r>
    <x v="0"/>
    <x v="2"/>
    <x v="1136"/>
    <x v="3"/>
    <s v="Standard order"/>
    <x v="1115"/>
    <x v="1115"/>
    <s v="R014"/>
    <s v="CRYSTAL RR014"/>
    <s v="5003091"/>
    <s v="R014 ACH T20 PB SYSTIVA G100"/>
    <n v="44"/>
    <n v="0"/>
    <n v="44"/>
    <x v="2"/>
    <s v="AP82"/>
    <s v="GEM 100"/>
    <s v="324"/>
    <s v="4.0 UN"/>
    <s v="STANDARD"/>
    <s v="N"/>
    <s v="Y"/>
    <s v="N"/>
    <s v="T20"/>
    <s v="Y"/>
    <s v="N"/>
    <s v="Y"/>
    <s v="N"/>
    <s v="A024"/>
    <d v="2016-12-28T00:00:00"/>
    <s v="10"/>
    <s v="TAN"/>
    <s v="OR"/>
    <d v="2016-12-24T00:00:00"/>
    <s v="NE"/>
    <s v="US"/>
    <s v="ZR"/>
    <d v="2016-12-24T00:00:00"/>
  </r>
  <r>
    <x v="0"/>
    <x v="0"/>
    <x v="1137"/>
    <x v="10"/>
    <s v="Standard order"/>
    <x v="1116"/>
    <x v="1116"/>
    <s v="R059"/>
    <s v="CRYSTAL RR059"/>
    <s v="5003530"/>
    <s v="R059 ACH T20 Kabina RP"/>
    <n v="48"/>
    <n v="0"/>
    <n v="48"/>
    <x v="0"/>
    <s v="AP73"/>
    <s v="RP"/>
    <s v="387"/>
    <s v="4.0 UN"/>
    <s v="STANDARD"/>
    <s v="N"/>
    <s v="N"/>
    <s v="Y"/>
    <s v="T20"/>
    <s v="N"/>
    <s v="N"/>
    <s v="N"/>
    <s v="N"/>
    <s v="A036"/>
    <d v="2016-12-28T00:00:00"/>
    <s v="10"/>
    <s v="TAN"/>
    <s v="OR"/>
    <d v="2016-12-23T00:00:00"/>
    <s v="MI"/>
    <s v="US"/>
    <s v="ZR"/>
    <d v="2016-12-24T00:00:00"/>
  </r>
  <r>
    <x v="0"/>
    <x v="4"/>
    <x v="1138"/>
    <x v="15"/>
    <s v="Standard order"/>
    <x v="1117"/>
    <x v="1117"/>
    <s v="A399"/>
    <s v="CRYSTAL A399NT"/>
    <s v="5002931"/>
    <s v="A399 ACH PB XL"/>
    <n v="20"/>
    <n v="0"/>
    <n v="20"/>
    <x v="4"/>
    <s v="DP71"/>
    <s v="X-LARGE"/>
    <s v="314"/>
    <s v="4.0 UN"/>
    <s v="STANDARD"/>
    <s v="N"/>
    <s v="Y"/>
    <s v="N"/>
    <s v="N"/>
    <s v="N"/>
    <s v="N"/>
    <s v="N"/>
    <s v="N"/>
    <s v="A043"/>
    <d v="2016-12-28T00:00:00"/>
    <s v="10"/>
    <s v="TAN"/>
    <s v="OR"/>
    <d v="2016-12-23T00:00:00"/>
    <s v="ID"/>
    <s v="US"/>
    <s v="ZR"/>
    <d v="2016-12-24T00:00:00"/>
  </r>
  <r>
    <x v="0"/>
    <x v="4"/>
    <x v="1138"/>
    <x v="15"/>
    <s v="Standard order"/>
    <x v="1117"/>
    <x v="1117"/>
    <s v="A404"/>
    <s v="CRYSTAL A404NT"/>
    <s v="5002957"/>
    <s v="A404 ACH PB XL"/>
    <n v="16"/>
    <n v="0"/>
    <n v="16"/>
    <x v="4"/>
    <s v="DPNE"/>
    <s v="X-LARGE"/>
    <s v="314"/>
    <s v="4.0 UN"/>
    <s v="STANDARD"/>
    <s v="N"/>
    <s v="Y"/>
    <s v="N"/>
    <s v="N"/>
    <s v="N"/>
    <s v="N"/>
    <s v="N"/>
    <s v="N"/>
    <s v="A043"/>
    <d v="2016-12-28T00:00:00"/>
    <s v="20"/>
    <s v="TAN"/>
    <s v="OR"/>
    <d v="2016-12-23T00:00:00"/>
    <s v="ID"/>
    <s v="US"/>
    <s v="ZR"/>
    <d v="2016-12-24T00:00:00"/>
  </r>
  <r>
    <x v="0"/>
    <x v="2"/>
    <x v="1139"/>
    <x v="3"/>
    <s v="Standard order"/>
    <x v="1118"/>
    <x v="1118"/>
    <s v="W322"/>
    <s v="CRYSTAL W322NT"/>
    <s v="5003488"/>
    <s v="W322 ACH T20 PB SYSTIVA G100"/>
    <n v="32"/>
    <n v="0"/>
    <n v="32"/>
    <x v="2"/>
    <s v="EE73"/>
    <s v="GEM 100"/>
    <s v="324"/>
    <s v="4.0 UN"/>
    <s v="STANDARD"/>
    <s v="N"/>
    <s v="Y"/>
    <s v="N"/>
    <s v="T20"/>
    <s v="Y"/>
    <s v="N"/>
    <s v="Y"/>
    <s v="N"/>
    <s v="A024"/>
    <d v="2016-12-28T00:00:00"/>
    <s v="10"/>
    <s v="TAN"/>
    <s v="OR"/>
    <d v="2016-12-24T00:00:00"/>
    <s v="NE"/>
    <s v="US"/>
    <s v="ZR"/>
    <d v="2016-12-24T00:00:00"/>
  </r>
  <r>
    <x v="0"/>
    <x v="2"/>
    <x v="1139"/>
    <x v="3"/>
    <s v="Standard order"/>
    <x v="1118"/>
    <x v="1118"/>
    <s v="R014"/>
    <s v="CRYSTAL RR014"/>
    <s v="5003091"/>
    <s v="R014 ACH T20 PB SYSTIVA G100"/>
    <n v="32"/>
    <n v="0"/>
    <n v="32"/>
    <x v="2"/>
    <s v="AP82"/>
    <s v="GEM 100"/>
    <s v="324"/>
    <s v="4.0 UN"/>
    <s v="STANDARD"/>
    <s v="N"/>
    <s v="Y"/>
    <s v="N"/>
    <s v="T20"/>
    <s v="Y"/>
    <s v="N"/>
    <s v="Y"/>
    <s v="N"/>
    <s v="A024"/>
    <d v="2016-12-28T00:00:00"/>
    <s v="20"/>
    <s v="TAN"/>
    <s v="OR"/>
    <d v="2016-12-24T00:00:00"/>
    <s v="NE"/>
    <s v="US"/>
    <s v="ZR"/>
    <d v="2016-12-24T00:00:00"/>
  </r>
  <r>
    <x v="0"/>
    <x v="2"/>
    <x v="1140"/>
    <x v="3"/>
    <s v="Standard order"/>
    <x v="1119"/>
    <x v="1119"/>
    <s v="W322"/>
    <s v="CRYSTAL W322NT"/>
    <s v="5003488"/>
    <s v="W322 ACH T20 PB SYSTIVA G100"/>
    <n v="32"/>
    <n v="0"/>
    <n v="32"/>
    <x v="2"/>
    <s v="EE73"/>
    <s v="GEM 100"/>
    <s v="324"/>
    <s v="4.0 UN"/>
    <s v="STANDARD"/>
    <s v="N"/>
    <s v="Y"/>
    <s v="N"/>
    <s v="T20"/>
    <s v="Y"/>
    <s v="N"/>
    <s v="Y"/>
    <s v="N"/>
    <s v="A024"/>
    <d v="2016-12-28T00:00:00"/>
    <s v="10"/>
    <s v="TAN"/>
    <s v="OR"/>
    <d v="2016-12-24T00:00:00"/>
    <s v="NE"/>
    <s v="US"/>
    <s v="ZR"/>
    <d v="2016-12-24T00:00:00"/>
  </r>
  <r>
    <x v="0"/>
    <x v="0"/>
    <x v="1141"/>
    <x v="10"/>
    <s v="Standard order"/>
    <x v="1120"/>
    <x v="1120"/>
    <s v="R059"/>
    <s v="CRYSTAL RR059"/>
    <s v="5003530"/>
    <s v="R059 ACH T20 Kabina RP"/>
    <n v="228"/>
    <n v="0"/>
    <n v="228"/>
    <x v="0"/>
    <s v="AP73"/>
    <s v="RP"/>
    <s v="387"/>
    <s v="4.0 UN"/>
    <s v="STANDARD"/>
    <s v="N"/>
    <s v="N"/>
    <s v="Y"/>
    <s v="T20"/>
    <s v="N"/>
    <s v="N"/>
    <s v="N"/>
    <s v="N"/>
    <s v="A036"/>
    <d v="2016-12-28T00:00:00"/>
    <s v="10"/>
    <s v="TAN"/>
    <s v="OR"/>
    <d v="2016-12-23T00:00:00"/>
    <s v="MI"/>
    <s v="US"/>
    <s v="ZR"/>
    <d v="2016-12-24T00:00:00"/>
  </r>
  <r>
    <x v="0"/>
    <x v="0"/>
    <x v="1142"/>
    <x v="10"/>
    <s v="Standard order"/>
    <x v="1121"/>
    <x v="1121"/>
    <s v="R059"/>
    <s v="CRYSTAL RR059"/>
    <s v="5003530"/>
    <s v="R059 ACH T20 Kabina RP"/>
    <n v="36"/>
    <n v="0"/>
    <n v="36"/>
    <x v="0"/>
    <s v="AP73"/>
    <s v="RP"/>
    <s v="387"/>
    <s v="4.0 UN"/>
    <s v="STANDARD"/>
    <s v="N"/>
    <s v="N"/>
    <s v="Y"/>
    <s v="T20"/>
    <s v="N"/>
    <s v="N"/>
    <s v="N"/>
    <s v="N"/>
    <s v="A036"/>
    <d v="2016-12-28T00:00:00"/>
    <s v="10"/>
    <s v="TAN"/>
    <s v="OR"/>
    <d v="2016-12-23T00:00:00"/>
    <s v="MI"/>
    <s v="US"/>
    <s v="ZR"/>
    <d v="2016-12-24T00:00:00"/>
  </r>
  <r>
    <x v="0"/>
    <x v="0"/>
    <x v="1142"/>
    <x v="10"/>
    <s v="Standard order"/>
    <x v="1121"/>
    <x v="1121"/>
    <s v="R202"/>
    <s v="CRYSTAL RR202"/>
    <s v="5003119"/>
    <s v="R202 ACH T20 Kabina RP"/>
    <n v="12"/>
    <n v="0"/>
    <n v="12"/>
    <x v="0"/>
    <s v="4ULM"/>
    <s v="RP"/>
    <s v="387"/>
    <s v="4.0 UN"/>
    <s v="STANDARD"/>
    <s v="N"/>
    <s v="N"/>
    <s v="Y"/>
    <s v="T20"/>
    <s v="N"/>
    <s v="N"/>
    <s v="N"/>
    <s v="N"/>
    <s v="A036"/>
    <d v="2016-12-28T00:00:00"/>
    <s v="20"/>
    <s v="TAN"/>
    <s v="OR"/>
    <d v="2016-12-23T00:00:00"/>
    <s v="MI"/>
    <s v="US"/>
    <s v="ZR"/>
    <d v="2016-12-24T00:00:00"/>
  </r>
  <r>
    <x v="0"/>
    <x v="0"/>
    <x v="1143"/>
    <x v="10"/>
    <s v="Standard order"/>
    <x v="1122"/>
    <x v="1122"/>
    <s v="R059"/>
    <s v="CRYSTAL RR059"/>
    <s v="5003528"/>
    <s v="R059 ACH T20 Kabina ELS"/>
    <n v="44"/>
    <n v="0"/>
    <n v="44"/>
    <x v="0"/>
    <s v="AP73"/>
    <s v="ELS"/>
    <s v="387"/>
    <s v="4.0 UN"/>
    <s v="STANDARD"/>
    <s v="N"/>
    <s v="N"/>
    <s v="Y"/>
    <s v="T20"/>
    <s v="N"/>
    <s v="N"/>
    <s v="N"/>
    <s v="N"/>
    <s v="A036"/>
    <d v="2016-12-28T00:00:00"/>
    <s v="10"/>
    <s v="TAN"/>
    <s v="OR"/>
    <d v="2016-12-23T00:00:00"/>
    <s v="MI"/>
    <s v="US"/>
    <s v="ZR"/>
    <d v="2016-12-24T00:00:00"/>
  </r>
  <r>
    <x v="0"/>
    <x v="0"/>
    <x v="1144"/>
    <x v="0"/>
    <s v="Standard order"/>
    <x v="1123"/>
    <x v="1123"/>
    <s v="R059"/>
    <s v="CRYSTAL RR059"/>
    <s v="5003518"/>
    <s v="R059 ACH CM Vibrance RP"/>
    <n v="24"/>
    <n v="0"/>
    <n v="24"/>
    <x v="0"/>
    <s v="AP73"/>
    <s v="RP"/>
    <s v="393"/>
    <s v="4.0 UN"/>
    <s v="STANDARD"/>
    <s v="Y"/>
    <s v="N"/>
    <s v="N"/>
    <s v="N"/>
    <s v="N"/>
    <s v="N"/>
    <s v="N"/>
    <s v="Y"/>
    <s v="A037"/>
    <d v="2016-12-28T00:00:00"/>
    <s v="10"/>
    <s v="TAN"/>
    <s v="OR"/>
    <d v="2016-12-24T00:00:00"/>
    <s v="ON"/>
    <s v="CA"/>
    <s v="ZR"/>
    <d v="2016-12-24T00:00:00"/>
  </r>
  <r>
    <x v="0"/>
    <x v="0"/>
    <x v="1145"/>
    <x v="2"/>
    <s v="Standard order"/>
    <x v="1124"/>
    <x v="1124"/>
    <s v="R059"/>
    <s v="CRYSTAL RR059"/>
    <s v="5003530"/>
    <s v="R059 ACH T20 Kabina RP"/>
    <n v="20"/>
    <n v="0"/>
    <n v="20"/>
    <x v="0"/>
    <s v="AP73"/>
    <s v="RP"/>
    <s v="387"/>
    <s v="4.0 UN"/>
    <s v="STANDARD"/>
    <s v="N"/>
    <s v="N"/>
    <s v="Y"/>
    <s v="T20"/>
    <s v="N"/>
    <s v="N"/>
    <s v="N"/>
    <s v="N"/>
    <s v="A034"/>
    <d v="2016-12-28T00:00:00"/>
    <s v="10"/>
    <s v="TAN"/>
    <s v="OR"/>
    <d v="2016-12-24T00:00:00"/>
    <s v="MI"/>
    <s v="US"/>
    <s v="ZR"/>
    <d v="2016-12-24T00:00:00"/>
  </r>
  <r>
    <x v="0"/>
    <x v="0"/>
    <x v="1146"/>
    <x v="2"/>
    <s v="Standard order"/>
    <x v="1125"/>
    <x v="1125"/>
    <s v="R059"/>
    <s v="CRYSTAL RR059"/>
    <s v="5003529"/>
    <s v="R059 ACH T20 Kabina MP"/>
    <n v="20"/>
    <n v="0"/>
    <n v="20"/>
    <x v="0"/>
    <s v="AP73"/>
    <s v="MP"/>
    <s v="387"/>
    <s v="4.0 UN"/>
    <s v="STANDARD"/>
    <s v="N"/>
    <s v="N"/>
    <s v="Y"/>
    <s v="T20"/>
    <s v="N"/>
    <s v="N"/>
    <s v="N"/>
    <s v="N"/>
    <s v="A034"/>
    <d v="2016-12-28T00:00:00"/>
    <s v="10"/>
    <s v="TAN"/>
    <s v="OR"/>
    <d v="2016-12-24T00:00:00"/>
    <s v="MI"/>
    <s v="US"/>
    <s v="ZR"/>
    <d v="2016-12-24T00:00:00"/>
  </r>
  <r>
    <x v="0"/>
    <x v="0"/>
    <x v="1147"/>
    <x v="2"/>
    <s v="Standard order"/>
    <x v="1126"/>
    <x v="1126"/>
    <s v="R059"/>
    <s v="CRYSTAL RR059"/>
    <s v="5003529"/>
    <s v="R059 ACH T20 Kabina MP"/>
    <n v="52"/>
    <n v="0"/>
    <n v="52"/>
    <x v="0"/>
    <s v="AP73"/>
    <s v="MP"/>
    <s v="387"/>
    <s v="4.0 UN"/>
    <s v="STANDARD"/>
    <s v="N"/>
    <s v="N"/>
    <s v="Y"/>
    <s v="T20"/>
    <s v="N"/>
    <s v="N"/>
    <s v="N"/>
    <s v="N"/>
    <s v="A034"/>
    <d v="2016-12-28T00:00:00"/>
    <s v="10"/>
    <s v="TAN"/>
    <s v="OR"/>
    <d v="2016-12-24T00:00:00"/>
    <s v="MI"/>
    <s v="US"/>
    <s v="ZR"/>
    <d v="2016-12-24T00:00:00"/>
  </r>
  <r>
    <x v="0"/>
    <x v="0"/>
    <x v="1147"/>
    <x v="2"/>
    <s v="Standard order"/>
    <x v="1126"/>
    <x v="1126"/>
    <s v="G333"/>
    <s v="CRYSTAL G333NT"/>
    <s v="5003377"/>
    <s v="G333 ACH T20 Kabina MP"/>
    <n v="12"/>
    <n v="0"/>
    <n v="12"/>
    <x v="0"/>
    <s v="EE73"/>
    <s v="MP"/>
    <s v="387"/>
    <s v="4.0 UN"/>
    <s v="STANDARD"/>
    <s v="N"/>
    <s v="N"/>
    <s v="Y"/>
    <s v="T20"/>
    <s v="N"/>
    <s v="N"/>
    <s v="N"/>
    <s v="N"/>
    <s v="A034"/>
    <d v="2016-12-28T00:00:00"/>
    <s v="20"/>
    <s v="TAN"/>
    <s v="OR"/>
    <d v="2016-12-24T00:00:00"/>
    <s v="MI"/>
    <s v="US"/>
    <s v="ZR"/>
    <d v="2016-12-24T00:00:00"/>
  </r>
  <r>
    <x v="0"/>
    <x v="0"/>
    <x v="1148"/>
    <x v="2"/>
    <s v="Standard order"/>
    <x v="1127"/>
    <x v="1127"/>
    <s v="R059"/>
    <s v="CRYSTAL RR059"/>
    <s v="5003530"/>
    <s v="R059 ACH T20 Kabina RP"/>
    <n v="16"/>
    <n v="0"/>
    <n v="16"/>
    <x v="0"/>
    <s v="AP73"/>
    <s v="RP"/>
    <s v="387"/>
    <s v="4.0 UN"/>
    <s v="STANDARD"/>
    <s v="N"/>
    <s v="N"/>
    <s v="Y"/>
    <s v="T20"/>
    <s v="N"/>
    <s v="N"/>
    <s v="N"/>
    <s v="N"/>
    <s v="A034"/>
    <d v="2016-12-28T00:00:00"/>
    <s v="10"/>
    <s v="TAN"/>
    <s v="OR"/>
    <d v="2016-12-24T00:00:00"/>
    <s v="MI"/>
    <s v="US"/>
    <s v="ZR"/>
    <d v="2016-12-24T00:00:00"/>
  </r>
  <r>
    <x v="0"/>
    <x v="0"/>
    <x v="1149"/>
    <x v="2"/>
    <s v="Standard order"/>
    <x v="3"/>
    <x v="3"/>
    <s v="R059"/>
    <s v="CRYSTAL RR059"/>
    <s v="5003530"/>
    <s v="R059 ACH T20 Kabina RP"/>
    <n v="56"/>
    <n v="0"/>
    <n v="56"/>
    <x v="0"/>
    <s v="AP73"/>
    <s v="RP"/>
    <s v="387"/>
    <s v="4.0 UN"/>
    <s v="STANDARD"/>
    <s v="N"/>
    <s v="N"/>
    <s v="Y"/>
    <s v="T20"/>
    <s v="N"/>
    <s v="N"/>
    <s v="N"/>
    <s v="N"/>
    <s v="A034"/>
    <d v="2016-12-28T00:00:00"/>
    <s v="10"/>
    <s v="TAN"/>
    <s v="OR"/>
    <d v="2016-12-24T00:00:00"/>
    <s v="MI"/>
    <s v="US"/>
    <s v="ZR"/>
    <d v="2016-12-24T00:00:00"/>
  </r>
  <r>
    <x v="0"/>
    <x v="0"/>
    <x v="1150"/>
    <x v="2"/>
    <s v="Standard order"/>
    <x v="1128"/>
    <x v="1128"/>
    <s v="R059"/>
    <s v="CRYSTAL RR059"/>
    <s v="5003530"/>
    <s v="R059 ACH T20 Kabina RP"/>
    <n v="24"/>
    <n v="0"/>
    <n v="24"/>
    <x v="0"/>
    <s v="AP73"/>
    <s v="RP"/>
    <s v="387"/>
    <s v="4.0 UN"/>
    <s v="STANDARD"/>
    <s v="N"/>
    <s v="N"/>
    <s v="Y"/>
    <s v="T20"/>
    <s v="N"/>
    <s v="N"/>
    <s v="N"/>
    <s v="N"/>
    <s v="A034"/>
    <d v="2016-12-28T00:00:00"/>
    <s v="10"/>
    <s v="TAN"/>
    <s v="OR"/>
    <d v="2016-12-24T00:00:00"/>
    <s v="MI"/>
    <s v="US"/>
    <s v="ZR"/>
    <d v="2016-12-24T00:00:00"/>
  </r>
  <r>
    <x v="0"/>
    <x v="0"/>
    <x v="1151"/>
    <x v="2"/>
    <s v="Standard order"/>
    <x v="1129"/>
    <x v="1129"/>
    <s v="G333"/>
    <s v="CRYSTAL G333NT"/>
    <s v="5003378"/>
    <s v="G333 ACH T20 Kabina RP"/>
    <n v="24"/>
    <n v="0"/>
    <n v="24"/>
    <x v="0"/>
    <s v="EE73"/>
    <s v="RP"/>
    <s v="387"/>
    <s v="4.0 UN"/>
    <s v="STANDARD"/>
    <s v="N"/>
    <s v="N"/>
    <s v="Y"/>
    <s v="T20"/>
    <s v="N"/>
    <s v="N"/>
    <s v="N"/>
    <s v="N"/>
    <s v="A034"/>
    <d v="2016-12-28T00:00:00"/>
    <s v="10"/>
    <s v="TAN"/>
    <s v="OR"/>
    <d v="2016-12-24T00:00:00"/>
    <s v="MI"/>
    <s v="US"/>
    <s v="ZR"/>
    <d v="2016-12-24T00:00:00"/>
  </r>
  <r>
    <x v="0"/>
    <x v="2"/>
    <x v="1152"/>
    <x v="3"/>
    <s v="Standard order"/>
    <x v="1130"/>
    <x v="1130"/>
    <s v="W322"/>
    <s v="CRYSTAL W322NT"/>
    <s v="5003488"/>
    <s v="W322 ACH T20 PB SYSTIVA G100"/>
    <n v="16"/>
    <n v="0"/>
    <n v="16"/>
    <x v="2"/>
    <s v="EE73"/>
    <s v="GEM 100"/>
    <s v="324"/>
    <s v="4.0 UN"/>
    <s v="STANDARD"/>
    <s v="N"/>
    <s v="Y"/>
    <s v="N"/>
    <s v="T20"/>
    <s v="Y"/>
    <s v="N"/>
    <s v="Y"/>
    <s v="N"/>
    <s v="A024"/>
    <d v="2016-12-28T00:00:00"/>
    <s v="10"/>
    <s v="TAN"/>
    <s v="OR"/>
    <d v="2016-12-25T00:00:00"/>
    <s v="NE"/>
    <s v="US"/>
    <s v="ZR"/>
    <d v="2016-12-25T00:00:00"/>
  </r>
  <r>
    <x v="0"/>
    <x v="0"/>
    <x v="1153"/>
    <x v="2"/>
    <s v="Standard order"/>
    <x v="1131"/>
    <x v="1131"/>
    <s v="R059"/>
    <s v="CRYSTAL RR059"/>
    <s v="5003536"/>
    <s v="R059 ACH T20 SYSTIVA RP"/>
    <n v="12"/>
    <n v="0"/>
    <n v="12"/>
    <x v="0"/>
    <s v="AP73"/>
    <s v="RP"/>
    <s v="328"/>
    <s v="4.0 UN"/>
    <s v="STANDARD"/>
    <s v="N"/>
    <s v="N"/>
    <s v="N"/>
    <s v="T20"/>
    <s v="Y"/>
    <s v="N"/>
    <s v="Y"/>
    <s v="N"/>
    <s v="A034"/>
    <d v="2016-12-29T00:00:00"/>
    <s v="10"/>
    <s v="TAN"/>
    <s v="OR"/>
    <d v="2016-12-26T00:00:00"/>
    <s v="MI"/>
    <s v="US"/>
    <s v="ZR"/>
    <d v="2016-12-26T00:00:00"/>
  </r>
  <r>
    <x v="0"/>
    <x v="0"/>
    <x v="1154"/>
    <x v="4"/>
    <s v="Standard order"/>
    <x v="1132"/>
    <x v="1132"/>
    <s v="R059"/>
    <s v="CRYSTAL RR059"/>
    <s v="5003530"/>
    <s v="R059 ACH T20 Kabina RP"/>
    <n v="8"/>
    <n v="0"/>
    <n v="8"/>
    <x v="0"/>
    <s v="AP73"/>
    <s v="RP"/>
    <s v="387"/>
    <s v="4.0 UN"/>
    <s v="STANDARD"/>
    <s v="N"/>
    <s v="N"/>
    <s v="Y"/>
    <s v="T20"/>
    <s v="N"/>
    <s v="N"/>
    <s v="N"/>
    <s v="N"/>
    <s v="A035"/>
    <d v="2016-12-29T00:00:00"/>
    <s v="10"/>
    <s v="TAN"/>
    <s v="OR"/>
    <d v="2016-12-26T00:00:00"/>
    <s v="MI"/>
    <s v="US"/>
    <s v="ZR"/>
    <d v="2016-12-26T00:00:00"/>
  </r>
  <r>
    <x v="0"/>
    <x v="0"/>
    <x v="1154"/>
    <x v="4"/>
    <s v="Standard order"/>
    <x v="1132"/>
    <x v="1132"/>
    <s v="R202"/>
    <s v="CRYSTAL RR202"/>
    <s v="5003119"/>
    <s v="R202 ACH T20 Kabina RP"/>
    <n v="8"/>
    <n v="0"/>
    <n v="8"/>
    <x v="0"/>
    <s v="4ULM"/>
    <s v="RP"/>
    <s v="387"/>
    <s v="4.0 UN"/>
    <s v="STANDARD"/>
    <s v="N"/>
    <s v="N"/>
    <s v="Y"/>
    <s v="T20"/>
    <s v="N"/>
    <s v="N"/>
    <s v="N"/>
    <s v="N"/>
    <s v="A035"/>
    <d v="2016-12-29T00:00:00"/>
    <s v="20"/>
    <s v="TAN"/>
    <s v="OR"/>
    <d v="2016-12-26T00:00:00"/>
    <s v="MI"/>
    <s v="US"/>
    <s v="ZR"/>
    <d v="2016-12-26T00:00:00"/>
  </r>
  <r>
    <x v="0"/>
    <x v="0"/>
    <x v="1154"/>
    <x v="4"/>
    <s v="Standard order"/>
    <x v="1132"/>
    <x v="1132"/>
    <s v="G515"/>
    <s v="CRYSTAL G515"/>
    <s v="5003019"/>
    <s v="G515 ACH T20 Kabina RP"/>
    <n v="8"/>
    <n v="0"/>
    <n v="8"/>
    <x v="0"/>
    <s v="APND"/>
    <s v="RP"/>
    <s v="387"/>
    <s v="4.0 UN"/>
    <s v="STANDARD"/>
    <s v="N"/>
    <s v="N"/>
    <s v="Y"/>
    <s v="T20"/>
    <s v="N"/>
    <s v="N"/>
    <s v="N"/>
    <s v="N"/>
    <s v="A035"/>
    <d v="2016-12-29T00:00:00"/>
    <s v="30"/>
    <s v="TAN"/>
    <s v="OR"/>
    <d v="2016-12-26T00:00:00"/>
    <s v="MI"/>
    <s v="US"/>
    <s v="ZR"/>
    <d v="2016-12-26T00:00:00"/>
  </r>
  <r>
    <x v="0"/>
    <x v="0"/>
    <x v="1155"/>
    <x v="4"/>
    <s v="Standard order"/>
    <x v="1133"/>
    <x v="1133"/>
    <s v="G515"/>
    <s v="CRYSTAL G515"/>
    <s v="5003018"/>
    <s v="G515 ACH T20 Kabina MP"/>
    <n v="28"/>
    <n v="0"/>
    <n v="28"/>
    <x v="0"/>
    <s v="APND"/>
    <s v="MP"/>
    <s v="387"/>
    <s v="4.0 UN"/>
    <s v="STANDARD"/>
    <s v="N"/>
    <s v="N"/>
    <s v="Y"/>
    <s v="T20"/>
    <s v="N"/>
    <s v="N"/>
    <s v="N"/>
    <s v="N"/>
    <s v="A035"/>
    <d v="2016-12-29T00:00:00"/>
    <s v="10"/>
    <s v="TAN"/>
    <s v="OR"/>
    <d v="2016-12-26T00:00:00"/>
    <s v="MI"/>
    <s v="US"/>
    <s v="ZR"/>
    <d v="2016-12-26T00:00:00"/>
  </r>
  <r>
    <x v="0"/>
    <x v="0"/>
    <x v="1155"/>
    <x v="4"/>
    <s v="Standard order"/>
    <x v="1133"/>
    <x v="1133"/>
    <s v="R059"/>
    <s v="CRYSTAL RR059"/>
    <s v="5003535"/>
    <s v="R059 ACH T20 SYSTIVA MP"/>
    <n v="112"/>
    <n v="0"/>
    <n v="112"/>
    <x v="0"/>
    <s v="AP73"/>
    <s v="MP"/>
    <s v="328"/>
    <s v="4.0 UN"/>
    <s v="STANDARD"/>
    <s v="N"/>
    <s v="N"/>
    <s v="N"/>
    <s v="T20"/>
    <s v="Y"/>
    <s v="N"/>
    <s v="Y"/>
    <s v="N"/>
    <s v="A035"/>
    <d v="2016-12-29T00:00:00"/>
    <s v="20"/>
    <s v="TAN"/>
    <s v="OR"/>
    <d v="2016-12-26T00:00:00"/>
    <s v="MI"/>
    <s v="US"/>
    <s v="ZR"/>
    <d v="2016-12-26T00:00:00"/>
  </r>
  <r>
    <x v="0"/>
    <x v="0"/>
    <x v="1156"/>
    <x v="2"/>
    <s v="Standard order"/>
    <x v="1134"/>
    <x v="1134"/>
    <s v="G333"/>
    <s v="CRYSTAL G333NT"/>
    <s v="5003378"/>
    <s v="G333 ACH T20 Kabina RP"/>
    <n v="32"/>
    <n v="0"/>
    <n v="32"/>
    <x v="0"/>
    <s v="EE73"/>
    <s v="RP"/>
    <s v="387"/>
    <s v="4.0 UN"/>
    <s v="STANDARD"/>
    <s v="N"/>
    <s v="N"/>
    <s v="Y"/>
    <s v="T20"/>
    <s v="N"/>
    <s v="N"/>
    <s v="N"/>
    <s v="N"/>
    <s v="A034"/>
    <d v="2016-12-29T00:00:00"/>
    <s v="10"/>
    <s v="TAN"/>
    <s v="OR"/>
    <d v="2016-12-26T00:00:00"/>
    <s v="MI"/>
    <s v="US"/>
    <s v="ZR"/>
    <d v="2016-12-26T00:00:00"/>
  </r>
  <r>
    <x v="0"/>
    <x v="0"/>
    <x v="1157"/>
    <x v="2"/>
    <s v="Standard order"/>
    <x v="1135"/>
    <x v="1135"/>
    <s v="G333"/>
    <s v="CRYSTAL G333NT"/>
    <s v="5003378"/>
    <s v="G333 ACH T20 Kabina RP"/>
    <n v="40"/>
    <n v="0"/>
    <n v="40"/>
    <x v="0"/>
    <s v="EE73"/>
    <s v="RP"/>
    <s v="387"/>
    <s v="4.0 UN"/>
    <s v="STANDARD"/>
    <s v="N"/>
    <s v="N"/>
    <s v="Y"/>
    <s v="T20"/>
    <s v="N"/>
    <s v="N"/>
    <s v="N"/>
    <s v="N"/>
    <s v="A034"/>
    <d v="2016-12-29T00:00:00"/>
    <s v="10"/>
    <s v="TAN"/>
    <s v="OR"/>
    <d v="2016-12-26T00:00:00"/>
    <s v="MI"/>
    <s v="US"/>
    <s v="ZR"/>
    <d v="2016-12-26T00:00:00"/>
  </r>
  <r>
    <x v="0"/>
    <x v="0"/>
    <x v="1158"/>
    <x v="4"/>
    <s v="Standard order"/>
    <x v="1136"/>
    <x v="1136"/>
    <s v="R059"/>
    <s v="CRYSTAL RR059"/>
    <s v="5003536"/>
    <s v="R059 ACH T20 SYSTIVA RP"/>
    <n v="24"/>
    <n v="0"/>
    <n v="24"/>
    <x v="0"/>
    <s v="AP73"/>
    <s v="RP"/>
    <s v="328"/>
    <s v="4.0 UN"/>
    <s v="STANDARD"/>
    <s v="N"/>
    <s v="N"/>
    <s v="N"/>
    <s v="T20"/>
    <s v="Y"/>
    <s v="N"/>
    <s v="Y"/>
    <s v="N"/>
    <s v="A035"/>
    <d v="2016-12-29T00:00:00"/>
    <s v="10"/>
    <s v="TAN"/>
    <s v="OR"/>
    <d v="2016-12-26T00:00:00"/>
    <s v="MI"/>
    <s v="US"/>
    <s v="ZR"/>
    <d v="2016-12-26T00:00:00"/>
  </r>
  <r>
    <x v="0"/>
    <x v="0"/>
    <x v="1158"/>
    <x v="4"/>
    <s v="Standard order"/>
    <x v="1136"/>
    <x v="1136"/>
    <s v="G515"/>
    <s v="CRYSTAL G515"/>
    <s v="5003019"/>
    <s v="G515 ACH T20 Kabina RP"/>
    <n v="12"/>
    <n v="0"/>
    <n v="12"/>
    <x v="0"/>
    <s v="APND"/>
    <s v="RP"/>
    <s v="387"/>
    <s v="4.0 UN"/>
    <s v="STANDARD"/>
    <s v="N"/>
    <s v="N"/>
    <s v="Y"/>
    <s v="T20"/>
    <s v="N"/>
    <s v="N"/>
    <s v="N"/>
    <s v="N"/>
    <s v="A035"/>
    <d v="2016-12-29T00:00:00"/>
    <s v="20"/>
    <s v="TAN"/>
    <s v="OR"/>
    <d v="2016-12-26T00:00:00"/>
    <s v="MI"/>
    <s v="US"/>
    <s v="ZR"/>
    <d v="2016-12-26T00:00:00"/>
  </r>
  <r>
    <x v="0"/>
    <x v="4"/>
    <x v="1159"/>
    <x v="18"/>
    <s v="Standard order"/>
    <x v="1137"/>
    <x v="1137"/>
    <s v="R081"/>
    <s v="CRYSTAL RR081"/>
    <s v="5003554"/>
    <s v="R081 ACH PB XL IDH"/>
    <n v="20"/>
    <n v="0"/>
    <n v="20"/>
    <x v="4"/>
    <s v="AQ82"/>
    <s v="X-LARGE"/>
    <s v="314"/>
    <s v="4.0 UN"/>
    <s v="STANDARD"/>
    <s v="N"/>
    <s v="Y"/>
    <s v="N"/>
    <s v="N"/>
    <s v="N"/>
    <s v="N"/>
    <s v="N"/>
    <s v="N"/>
    <s v="A041"/>
    <d v="2016-12-30T00:00:00"/>
    <s v="10"/>
    <s v="TAN"/>
    <s v="OR"/>
    <d v="2016-12-26T00:00:00"/>
    <s v="ID"/>
    <s v="US"/>
    <s v="ZR"/>
    <d v="2016-12-27T00:00:00"/>
  </r>
  <r>
    <x v="0"/>
    <x v="6"/>
    <x v="1160"/>
    <x v="11"/>
    <s v="Standard order"/>
    <x v="1138"/>
    <x v="1138"/>
    <s v="S517"/>
    <s v="CRYSTAL S517"/>
    <s v="5003467"/>
    <s v="S517 ACH T20 PB SYSTIVA G100"/>
    <n v="24"/>
    <n v="0"/>
    <n v="24"/>
    <x v="6"/>
    <s v="DVNV"/>
    <s v="GEM 100"/>
    <s v="324"/>
    <s v="4.0 UN"/>
    <s v="STANDARD"/>
    <s v="N"/>
    <s v="Y"/>
    <s v="N"/>
    <s v="T20"/>
    <s v="Y"/>
    <s v="N"/>
    <s v="Y"/>
    <s v="N"/>
    <s v="A038"/>
    <d v="2016-12-30T00:00:00"/>
    <s v="10"/>
    <s v="TAN"/>
    <s v="OR"/>
    <d v="2016-12-26T00:00:00"/>
    <s v="MT"/>
    <s v="US"/>
    <s v="ZR"/>
    <d v="2016-12-27T00:00:00"/>
  </r>
  <r>
    <x v="0"/>
    <x v="6"/>
    <x v="1160"/>
    <x v="11"/>
    <s v="Standard order"/>
    <x v="1138"/>
    <x v="1138"/>
    <s v="R052"/>
    <s v="CRYSTAL RR052"/>
    <s v="5003513"/>
    <s v="R052 ACH T20 PB SYSTIVA G100"/>
    <n v="52"/>
    <n v="0"/>
    <n v="52"/>
    <x v="6"/>
    <s v="AP82"/>
    <s v="GEM 100"/>
    <s v="324"/>
    <s v="4.0 UN"/>
    <s v="STANDARD"/>
    <s v="N"/>
    <s v="Y"/>
    <s v="N"/>
    <s v="T20"/>
    <s v="Y"/>
    <s v="N"/>
    <s v="Y"/>
    <s v="N"/>
    <s v="A038"/>
    <d v="2016-12-30T00:00:00"/>
    <s v="20"/>
    <s v="TAN"/>
    <s v="OR"/>
    <d v="2016-12-26T00:00:00"/>
    <s v="MT"/>
    <s v="US"/>
    <s v="ZR"/>
    <d v="2016-12-27T00:00:00"/>
  </r>
  <r>
    <x v="0"/>
    <x v="2"/>
    <x v="1161"/>
    <x v="5"/>
    <s v="Standard order"/>
    <x v="1139"/>
    <x v="1139"/>
    <s v="W322"/>
    <s v="CRYSTAL W322NT"/>
    <s v="5003487"/>
    <s v="W322 ACH T20 PB SYSTIVA ELS"/>
    <n v="28"/>
    <n v="0"/>
    <n v="28"/>
    <x v="2"/>
    <s v="EE73"/>
    <s v="ELS"/>
    <s v="324"/>
    <s v="4.0 UN"/>
    <s v="STANDARD"/>
    <s v="N"/>
    <s v="Y"/>
    <s v="N"/>
    <s v="T20"/>
    <s v="Y"/>
    <s v="N"/>
    <s v="Y"/>
    <s v="N"/>
    <s v="A020"/>
    <d v="2016-12-30T00:00:00"/>
    <s v="10"/>
    <s v="TAN"/>
    <s v="OR"/>
    <d v="2016-12-27T00:00:00"/>
    <s v="CO"/>
    <s v="US"/>
    <s v="ZR"/>
    <d v="2016-12-27T00:00:00"/>
  </r>
  <r>
    <x v="0"/>
    <x v="2"/>
    <x v="1162"/>
    <x v="6"/>
    <s v="Standard order"/>
    <x v="1140"/>
    <x v="1140"/>
    <s v="R014"/>
    <s v="CRYSTAL RR014"/>
    <s v="5003091"/>
    <s v="R014 ACH T20 PB SYSTIVA G100"/>
    <n v="12"/>
    <n v="0"/>
    <n v="12"/>
    <x v="2"/>
    <s v="AP82"/>
    <s v="GEM 100"/>
    <s v="324"/>
    <s v="4.0 UN"/>
    <s v="STANDARD"/>
    <s v="N"/>
    <s v="Y"/>
    <s v="N"/>
    <s v="T20"/>
    <s v="Y"/>
    <s v="N"/>
    <s v="Y"/>
    <s v="N"/>
    <s v="A025"/>
    <d v="2016-12-30T00:00:00"/>
    <s v="10"/>
    <s v="TAN"/>
    <s v="OR"/>
    <d v="2016-12-27T00:00:00"/>
    <s v="WY"/>
    <s v="US"/>
    <s v="ZR"/>
    <d v="2016-12-27T00:00:00"/>
  </r>
  <r>
    <x v="0"/>
    <x v="2"/>
    <x v="1162"/>
    <x v="6"/>
    <s v="Standard order"/>
    <x v="1140"/>
    <x v="1140"/>
    <s v="R272"/>
    <s v="CRYSTAL RR272"/>
    <s v="5003629"/>
    <s v="R272 ACH T20 PB SYSTIVA G100"/>
    <n v="12"/>
    <n v="0"/>
    <n v="12"/>
    <x v="2"/>
    <s v="DG73"/>
    <s v="GEM 100"/>
    <s v="324"/>
    <s v="4.0 UN"/>
    <s v="STANDARD"/>
    <s v="N"/>
    <s v="Y"/>
    <s v="N"/>
    <s v="T20"/>
    <s v="Y"/>
    <s v="N"/>
    <s v="Y"/>
    <s v="N"/>
    <s v="A025"/>
    <d v="2016-12-30T00:00:00"/>
    <s v="20"/>
    <s v="TAN"/>
    <s v="OR"/>
    <d v="2016-12-27T00:00:00"/>
    <s v="WY"/>
    <s v="US"/>
    <s v="ZR"/>
    <d v="2016-12-27T00:00:00"/>
  </r>
  <r>
    <x v="0"/>
    <x v="0"/>
    <x v="1163"/>
    <x v="10"/>
    <s v="Standard order"/>
    <x v="1141"/>
    <x v="1141"/>
    <s v="R059"/>
    <s v="CRYSTAL RR059"/>
    <s v="5003530"/>
    <s v="R059 ACH T20 Kabina RP"/>
    <n v="32"/>
    <n v="0"/>
    <n v="32"/>
    <x v="0"/>
    <s v="AP73"/>
    <s v="RP"/>
    <s v="387"/>
    <s v="4.0 UN"/>
    <s v="STANDARD"/>
    <s v="N"/>
    <s v="N"/>
    <s v="Y"/>
    <s v="T20"/>
    <s v="N"/>
    <s v="N"/>
    <s v="N"/>
    <s v="N"/>
    <s v="A036"/>
    <d v="2016-12-30T00:00:00"/>
    <s v="10"/>
    <s v="TAN"/>
    <s v="OR"/>
    <d v="2016-12-27T00:00:00"/>
    <s v="MI"/>
    <s v="US"/>
    <s v="ZR"/>
    <d v="2016-12-27T00:00:00"/>
  </r>
  <r>
    <x v="0"/>
    <x v="0"/>
    <x v="1164"/>
    <x v="0"/>
    <s v="Standard order"/>
    <x v="1142"/>
    <x v="1142"/>
    <s v="R059"/>
    <s v="CRYSTAL RR059"/>
    <s v="5003518"/>
    <s v="R059 ACH CM Vibrance RP"/>
    <n v="12"/>
    <n v="0"/>
    <n v="12"/>
    <x v="0"/>
    <s v="AP73"/>
    <s v="RP"/>
    <s v="393"/>
    <s v="4.0 UN"/>
    <s v="STANDARD"/>
    <s v="Y"/>
    <s v="N"/>
    <s v="N"/>
    <s v="N"/>
    <s v="N"/>
    <s v="N"/>
    <s v="N"/>
    <s v="Y"/>
    <s v="A037"/>
    <d v="2016-12-30T00:00:00"/>
    <s v="10"/>
    <s v="TAN"/>
    <s v="OR"/>
    <d v="2016-12-27T00:00:00"/>
    <s v="ON"/>
    <s v="CA"/>
    <s v="ZR"/>
    <d v="2016-12-27T00:00:00"/>
  </r>
  <r>
    <x v="0"/>
    <x v="0"/>
    <x v="1165"/>
    <x v="0"/>
    <s v="Standard order"/>
    <x v="1143"/>
    <x v="1143"/>
    <s v="G515"/>
    <s v="CRYSTAL G515"/>
    <s v="5003007"/>
    <s v="G515 ACH CM Vibrance RP"/>
    <n v="12"/>
    <n v="0"/>
    <n v="12"/>
    <x v="0"/>
    <s v="APND"/>
    <s v="RP"/>
    <s v="393"/>
    <s v="4.0 UN"/>
    <s v="STANDARD"/>
    <s v="Y"/>
    <s v="N"/>
    <s v="N"/>
    <s v="N"/>
    <s v="N"/>
    <s v="N"/>
    <s v="N"/>
    <s v="Y"/>
    <s v="A037"/>
    <d v="2016-12-30T00:00:00"/>
    <s v="10"/>
    <s v="TAN"/>
    <s v="OR"/>
    <d v="2016-12-27T00:00:00"/>
    <s v="ON"/>
    <s v="CA"/>
    <s v="ZR"/>
    <d v="2016-12-27T00:00:00"/>
  </r>
  <r>
    <x v="0"/>
    <x v="0"/>
    <x v="1166"/>
    <x v="2"/>
    <s v="Standard order"/>
    <x v="1144"/>
    <x v="1144"/>
    <s v="G351"/>
    <s v="CRYSTAL G351NT"/>
    <s v="5003396"/>
    <s v="G351 ACH T20 Kabina ELS"/>
    <n v="28"/>
    <n v="0"/>
    <n v="28"/>
    <x v="0"/>
    <s v="DA73"/>
    <s v="ELS"/>
    <s v="387"/>
    <s v="4.0 UN"/>
    <s v="STANDARD"/>
    <s v="N"/>
    <s v="N"/>
    <s v="Y"/>
    <s v="T20"/>
    <s v="N"/>
    <s v="N"/>
    <s v="N"/>
    <s v="N"/>
    <s v="A034"/>
    <d v="2016-12-30T00:00:00"/>
    <s v="10"/>
    <s v="TAN"/>
    <s v="OR"/>
    <d v="2016-12-27T00:00:00"/>
    <s v="MI"/>
    <s v="US"/>
    <s v="ZR"/>
    <d v="2016-12-27T00:00:00"/>
  </r>
  <r>
    <x v="0"/>
    <x v="0"/>
    <x v="1167"/>
    <x v="4"/>
    <s v="Standard order"/>
    <x v="1145"/>
    <x v="1145"/>
    <s v="G351"/>
    <s v="CRYSTAL G351NT"/>
    <s v="5003397"/>
    <s v="G351 ACH T20 Kabina MP"/>
    <n v="20"/>
    <n v="0"/>
    <n v="20"/>
    <x v="0"/>
    <s v="DA73"/>
    <s v="MP"/>
    <s v="387"/>
    <s v="4.0 UN"/>
    <s v="STANDARD"/>
    <s v="N"/>
    <s v="N"/>
    <s v="Y"/>
    <s v="T20"/>
    <s v="N"/>
    <s v="N"/>
    <s v="N"/>
    <s v="N"/>
    <s v="A035"/>
    <d v="2016-12-30T00:00:00"/>
    <s v="10"/>
    <s v="TAN"/>
    <s v="OR"/>
    <d v="2016-12-27T00:00:00"/>
    <s v="MI"/>
    <s v="US"/>
    <s v="ZR"/>
    <d v="2016-12-27T00:00:00"/>
  </r>
  <r>
    <x v="0"/>
    <x v="0"/>
    <x v="1167"/>
    <x v="4"/>
    <s v="Standard order"/>
    <x v="1145"/>
    <x v="1145"/>
    <s v="G333"/>
    <s v="CRYSTAL G333NT"/>
    <s v="5003377"/>
    <s v="G333 ACH T20 Kabina MP"/>
    <n v="16"/>
    <n v="0"/>
    <n v="16"/>
    <x v="0"/>
    <s v="EE73"/>
    <s v="MP"/>
    <s v="387"/>
    <s v="4.0 UN"/>
    <s v="STANDARD"/>
    <s v="N"/>
    <s v="N"/>
    <s v="Y"/>
    <s v="T20"/>
    <s v="N"/>
    <s v="N"/>
    <s v="N"/>
    <s v="N"/>
    <s v="A035"/>
    <d v="2016-12-30T00:00:00"/>
    <s v="20"/>
    <s v="TAN"/>
    <s v="OR"/>
    <d v="2016-12-27T00:00:00"/>
    <s v="MI"/>
    <s v="US"/>
    <s v="ZR"/>
    <d v="2016-12-27T00:00:00"/>
  </r>
  <r>
    <x v="0"/>
    <x v="2"/>
    <x v="1168"/>
    <x v="26"/>
    <s v="Standard order"/>
    <x v="1146"/>
    <x v="1146"/>
    <s v="R014"/>
    <s v="CRYSTAL RR014"/>
    <s v="5003091"/>
    <s v="R014 ACH T20 PB SYSTIVA G100"/>
    <n v="56"/>
    <n v="0"/>
    <n v="56"/>
    <x v="2"/>
    <s v="AP82"/>
    <s v="GEM 100"/>
    <s v="324"/>
    <s v="4.0 UN"/>
    <s v="STANDARD"/>
    <s v="N"/>
    <s v="Y"/>
    <s v="N"/>
    <s v="T20"/>
    <s v="Y"/>
    <s v="N"/>
    <s v="Y"/>
    <s v="N"/>
    <s v="A023"/>
    <d v="2016-12-30T00:00:00"/>
    <s v="10"/>
    <s v="TAN"/>
    <s v="OR"/>
    <d v="2016-12-27T00:00:00"/>
    <s v="CO"/>
    <s v="US"/>
    <s v="ZR"/>
    <d v="2016-12-27T00:00:00"/>
  </r>
  <r>
    <x v="0"/>
    <x v="0"/>
    <x v="1169"/>
    <x v="0"/>
    <s v="Standard order"/>
    <x v="1147"/>
    <x v="1147"/>
    <s v="R059"/>
    <s v="CRYSTAL RR059"/>
    <s v="5003518"/>
    <s v="R059 ACH CM Vibrance RP"/>
    <n v="52"/>
    <n v="0"/>
    <n v="52"/>
    <x v="0"/>
    <s v="AP73"/>
    <s v="RP"/>
    <s v="393"/>
    <s v="4.0 UN"/>
    <s v="STANDARD"/>
    <s v="Y"/>
    <s v="N"/>
    <s v="N"/>
    <s v="N"/>
    <s v="N"/>
    <s v="N"/>
    <s v="N"/>
    <s v="Y"/>
    <s v="A037"/>
    <d v="2016-12-30T00:00:00"/>
    <s v="10"/>
    <s v="TAN"/>
    <s v="OR"/>
    <d v="2016-12-27T00:00:00"/>
    <s v="ON"/>
    <s v="CA"/>
    <s v="ZR"/>
    <d v="2016-12-27T00:00:00"/>
  </r>
  <r>
    <x v="0"/>
    <x v="0"/>
    <x v="1170"/>
    <x v="0"/>
    <s v="Standard order"/>
    <x v="1148"/>
    <x v="1148"/>
    <s v="R059"/>
    <s v="CRYSTAL RR059"/>
    <s v="5003518"/>
    <s v="R059 ACH CM Vibrance RP"/>
    <n v="12"/>
    <n v="0"/>
    <n v="12"/>
    <x v="0"/>
    <s v="AP73"/>
    <s v="RP"/>
    <s v="393"/>
    <s v="4.0 UN"/>
    <s v="STANDARD"/>
    <s v="Y"/>
    <s v="N"/>
    <s v="N"/>
    <s v="N"/>
    <s v="N"/>
    <s v="N"/>
    <s v="N"/>
    <s v="Y"/>
    <s v="A037"/>
    <d v="2016-12-30T00:00:00"/>
    <s v="10"/>
    <s v="TAN"/>
    <s v="OR"/>
    <d v="2016-12-27T00:00:00"/>
    <s v="ON"/>
    <s v="CA"/>
    <s v="ZR"/>
    <d v="2016-12-27T00:00:00"/>
  </r>
  <r>
    <x v="0"/>
    <x v="2"/>
    <x v="1171"/>
    <x v="5"/>
    <s v="Standard order"/>
    <x v="8"/>
    <x v="8"/>
    <s v="W322"/>
    <s v="CRYSTAL W322NT"/>
    <s v="5003487"/>
    <s v="W322 ACH T20 PB SYSTIVA ELS"/>
    <n v="68"/>
    <n v="0"/>
    <n v="68"/>
    <x v="2"/>
    <s v="EE73"/>
    <s v="ELS"/>
    <s v="324"/>
    <s v="4.0 UN"/>
    <s v="STANDARD"/>
    <s v="N"/>
    <s v="Y"/>
    <s v="N"/>
    <s v="T20"/>
    <s v="Y"/>
    <s v="N"/>
    <s v="Y"/>
    <s v="N"/>
    <s v="A020"/>
    <d v="2016-12-30T00:00:00"/>
    <s v="10"/>
    <s v="TAN"/>
    <s v="OR"/>
    <d v="2016-12-27T00:00:00"/>
    <s v="CO"/>
    <s v="US"/>
    <s v="ZR"/>
    <d v="2016-12-27T00:00:00"/>
  </r>
  <r>
    <x v="0"/>
    <x v="2"/>
    <x v="1172"/>
    <x v="5"/>
    <s v="Standard order"/>
    <x v="1149"/>
    <x v="1149"/>
    <s v="R014"/>
    <s v="CRYSTAL RR014"/>
    <s v="5003090"/>
    <s v="R014 ACH T20 PB SYSTIVA ELS"/>
    <n v="36"/>
    <n v="0"/>
    <n v="36"/>
    <x v="2"/>
    <s v="AP82"/>
    <s v="ELS"/>
    <s v="324"/>
    <s v="4.0 UN"/>
    <s v="STANDARD"/>
    <s v="N"/>
    <s v="Y"/>
    <s v="N"/>
    <s v="T20"/>
    <s v="Y"/>
    <s v="N"/>
    <s v="Y"/>
    <s v="N"/>
    <s v="A020"/>
    <d v="2016-12-30T00:00:00"/>
    <s v="10"/>
    <s v="TAN"/>
    <s v="OR"/>
    <d v="2016-12-27T00:00:00"/>
    <s v="CO"/>
    <s v="US"/>
    <s v="ZR"/>
    <d v="2016-12-27T00:00:00"/>
  </r>
  <r>
    <x v="0"/>
    <x v="2"/>
    <x v="1173"/>
    <x v="26"/>
    <s v="Standard order"/>
    <x v="1150"/>
    <x v="1150"/>
    <s v="R014"/>
    <s v="CRYSTAL RR014"/>
    <s v="5003091"/>
    <s v="R014 ACH T20 PB SYSTIVA G100"/>
    <n v="232"/>
    <n v="0"/>
    <n v="232"/>
    <x v="2"/>
    <s v="AP82"/>
    <s v="GEM 100"/>
    <s v="324"/>
    <s v="4.0 UN"/>
    <s v="STANDARD"/>
    <s v="N"/>
    <s v="Y"/>
    <s v="N"/>
    <s v="T20"/>
    <s v="Y"/>
    <s v="N"/>
    <s v="Y"/>
    <s v="N"/>
    <s v="A023"/>
    <d v="2016-12-30T00:00:00"/>
    <s v="10"/>
    <s v="TAN"/>
    <s v="OR"/>
    <d v="2016-12-27T00:00:00"/>
    <s v="CO"/>
    <s v="US"/>
    <s v="ZR"/>
    <d v="2016-12-27T00:00:00"/>
  </r>
  <r>
    <x v="0"/>
    <x v="2"/>
    <x v="1174"/>
    <x v="22"/>
    <s v="Standard order"/>
    <x v="1151"/>
    <x v="1151"/>
    <s v="W322"/>
    <s v="CRYSTAL W322NT"/>
    <s v="5003488"/>
    <s v="W322 ACH T20 PB SYSTIVA G100"/>
    <n v="56"/>
    <n v="0"/>
    <n v="56"/>
    <x v="2"/>
    <s v="EE73"/>
    <s v="GEM 100"/>
    <s v="324"/>
    <s v="4.0 UN"/>
    <s v="STANDARD"/>
    <s v="N"/>
    <s v="Y"/>
    <s v="N"/>
    <s v="T20"/>
    <s v="Y"/>
    <s v="N"/>
    <s v="Y"/>
    <s v="N"/>
    <s v="A018"/>
    <d v="2016-12-30T00:00:00"/>
    <s v="10"/>
    <s v="TAN"/>
    <s v="OR"/>
    <d v="2016-12-27T00:00:00"/>
    <s v="CO"/>
    <s v="US"/>
    <s v="ZR"/>
    <d v="2016-12-27T00:00:00"/>
  </r>
  <r>
    <x v="0"/>
    <x v="2"/>
    <x v="1175"/>
    <x v="5"/>
    <s v="Standard order"/>
    <x v="1152"/>
    <x v="1152"/>
    <s v="R014"/>
    <s v="CRYSTAL RR014"/>
    <s v="5003090"/>
    <s v="R014 ACH T20 PB SYSTIVA ELS"/>
    <n v="36"/>
    <n v="0"/>
    <n v="36"/>
    <x v="2"/>
    <s v="AP82"/>
    <s v="ELS"/>
    <s v="324"/>
    <s v="4.0 UN"/>
    <s v="STANDARD"/>
    <s v="N"/>
    <s v="Y"/>
    <s v="N"/>
    <s v="T20"/>
    <s v="Y"/>
    <s v="N"/>
    <s v="Y"/>
    <s v="N"/>
    <s v="A020"/>
    <d v="2016-12-30T00:00:00"/>
    <s v="10"/>
    <s v="TAN"/>
    <s v="OR"/>
    <d v="2016-12-27T00:00:00"/>
    <s v="CO"/>
    <s v="US"/>
    <s v="ZR"/>
    <d v="2016-12-27T00:00:00"/>
  </r>
  <r>
    <x v="0"/>
    <x v="4"/>
    <x v="1176"/>
    <x v="18"/>
    <s v="Standard order"/>
    <x v="1153"/>
    <x v="1153"/>
    <s v="A399"/>
    <s v="CRYSTAL A399NT"/>
    <s v="5002931"/>
    <s v="A399 ACH PB XL"/>
    <n v="20"/>
    <n v="0"/>
    <n v="20"/>
    <x v="4"/>
    <s v="DP71"/>
    <s v="X-LARGE"/>
    <s v="314"/>
    <s v="4.0 UN"/>
    <s v="STANDARD"/>
    <s v="N"/>
    <s v="Y"/>
    <s v="N"/>
    <s v="N"/>
    <s v="N"/>
    <s v="N"/>
    <s v="N"/>
    <s v="N"/>
    <s v="A041"/>
    <d v="2016-12-30T00:00:00"/>
    <s v="10"/>
    <s v="TAN"/>
    <s v="OR"/>
    <d v="2016-12-26T00:00:00"/>
    <s v="ID"/>
    <s v="US"/>
    <s v="ZR"/>
    <d v="2016-12-27T00:00:00"/>
  </r>
  <r>
    <x v="0"/>
    <x v="4"/>
    <x v="1177"/>
    <x v="18"/>
    <s v="Standard order"/>
    <x v="1154"/>
    <x v="1154"/>
    <s v="R081"/>
    <s v="CRYSTAL RR081"/>
    <s v="5003551"/>
    <s v="R081 ACH PB LRG IDH"/>
    <n v="20"/>
    <n v="0"/>
    <n v="20"/>
    <x v="4"/>
    <s v="AQ82"/>
    <s v="LARGE"/>
    <s v="314"/>
    <s v="4.0 UN"/>
    <s v="STANDARD"/>
    <s v="N"/>
    <s v="Y"/>
    <s v="N"/>
    <s v="N"/>
    <s v="N"/>
    <s v="N"/>
    <s v="N"/>
    <s v="N"/>
    <s v="A041"/>
    <d v="2016-12-30T00:00:00"/>
    <s v="10"/>
    <s v="TAN"/>
    <s v="OR"/>
    <d v="2016-12-26T00:00:00"/>
    <s v="ID"/>
    <s v="US"/>
    <s v="ZR"/>
    <d v="2016-12-27T00:00:00"/>
  </r>
  <r>
    <x v="0"/>
    <x v="4"/>
    <x v="1178"/>
    <x v="18"/>
    <s v="Standard order"/>
    <x v="1155"/>
    <x v="1155"/>
    <s v="A501"/>
    <s v="CRYSTAL A501"/>
    <s v="5003305"/>
    <s v="A501 ACH PB LRG"/>
    <n v="24"/>
    <n v="0"/>
    <n v="24"/>
    <x v="4"/>
    <s v="EZPB"/>
    <s v="LARGE"/>
    <s v="314"/>
    <s v="4.0 UN"/>
    <s v="STANDARD"/>
    <s v="N"/>
    <s v="Y"/>
    <s v="N"/>
    <s v="N"/>
    <s v="N"/>
    <s v="N"/>
    <s v="N"/>
    <s v="N"/>
    <s v="A041"/>
    <d v="2016-12-30T00:00:00"/>
    <s v="10"/>
    <s v="TAN"/>
    <s v="OR"/>
    <d v="2016-12-26T00:00:00"/>
    <s v="ID"/>
    <s v="US"/>
    <s v="ZR"/>
    <d v="2016-12-27T00:00:00"/>
  </r>
  <r>
    <x v="0"/>
    <x v="4"/>
    <x v="1178"/>
    <x v="18"/>
    <s v="Standard order"/>
    <x v="1155"/>
    <x v="1155"/>
    <s v="R081"/>
    <s v="CRYSTAL RR081"/>
    <s v="5003551"/>
    <s v="R081 ACH PB LRG IDH"/>
    <n v="64"/>
    <n v="0"/>
    <n v="64"/>
    <x v="4"/>
    <s v="AQ82"/>
    <s v="LARGE"/>
    <s v="314"/>
    <s v="4.0 UN"/>
    <s v="STANDARD"/>
    <s v="N"/>
    <s v="Y"/>
    <s v="N"/>
    <s v="N"/>
    <s v="N"/>
    <s v="N"/>
    <s v="N"/>
    <s v="N"/>
    <s v="A041"/>
    <d v="2016-12-30T00:00:00"/>
    <s v="20"/>
    <s v="TAN"/>
    <s v="OR"/>
    <d v="2016-12-26T00:00:00"/>
    <s v="ID"/>
    <s v="US"/>
    <s v="ZR"/>
    <d v="2016-12-27T00:00:00"/>
  </r>
  <r>
    <x v="0"/>
    <x v="2"/>
    <x v="1179"/>
    <x v="26"/>
    <s v="Standard order"/>
    <x v="1156"/>
    <x v="1156"/>
    <s v="R014"/>
    <s v="CRYSTAL RR014"/>
    <s v="5003091"/>
    <s v="R014 ACH T20 PB SYSTIVA G100"/>
    <n v="136"/>
    <n v="0"/>
    <n v="136"/>
    <x v="2"/>
    <s v="AP82"/>
    <s v="GEM 100"/>
    <s v="324"/>
    <s v="4.0 UN"/>
    <s v="STANDARD"/>
    <s v="N"/>
    <s v="Y"/>
    <s v="N"/>
    <s v="T20"/>
    <s v="Y"/>
    <s v="N"/>
    <s v="Y"/>
    <s v="N"/>
    <s v="A023"/>
    <d v="2016-12-30T00:00:00"/>
    <s v="10"/>
    <s v="TAN"/>
    <s v="OR"/>
    <d v="2016-12-27T00:00:00"/>
    <s v="CO"/>
    <s v="US"/>
    <s v="ZR"/>
    <d v="2016-12-27T00:00:00"/>
  </r>
  <r>
    <x v="0"/>
    <x v="2"/>
    <x v="1180"/>
    <x v="6"/>
    <s v="Standard order"/>
    <x v="1157"/>
    <x v="1157"/>
    <s v="W322"/>
    <s v="CRYSTAL W322NT"/>
    <s v="5003489"/>
    <s v="W322 ACH T20 PB SYSTIVA G50"/>
    <n v="28"/>
    <n v="0"/>
    <n v="28"/>
    <x v="2"/>
    <s v="EE73"/>
    <s v="GEM 50"/>
    <s v="324"/>
    <s v="4.0 UN"/>
    <s v="STANDARD"/>
    <s v="N"/>
    <s v="Y"/>
    <s v="N"/>
    <s v="T20"/>
    <s v="Y"/>
    <s v="N"/>
    <s v="Y"/>
    <s v="N"/>
    <s v="A025"/>
    <d v="2016-12-30T00:00:00"/>
    <s v="10"/>
    <s v="TAN"/>
    <s v="OR"/>
    <d v="2016-12-27T00:00:00"/>
    <s v="NE"/>
    <s v="US"/>
    <s v="ZR"/>
    <d v="2016-12-27T00:00:00"/>
  </r>
  <r>
    <x v="0"/>
    <x v="4"/>
    <x v="1181"/>
    <x v="7"/>
    <s v="Standard order"/>
    <x v="1158"/>
    <x v="1158"/>
    <s v="R933"/>
    <s v="CRYSTAL RR933"/>
    <s v="5003689"/>
    <s v="R933 ACH PB XL"/>
    <n v="4"/>
    <n v="0"/>
    <n v="4"/>
    <x v="4"/>
    <s v="3571"/>
    <s v="X-LARGE"/>
    <s v="314"/>
    <s v="4.0 UN"/>
    <s v="STANDARD"/>
    <s v="N"/>
    <s v="Y"/>
    <s v="N"/>
    <s v="N"/>
    <s v="N"/>
    <s v="N"/>
    <s v="N"/>
    <s v="N"/>
    <s v="A045"/>
    <d v="2016-12-30T00:00:00"/>
    <s v="20"/>
    <s v="TAN"/>
    <s v="OR"/>
    <d v="2016-12-27T00:00:00"/>
    <s v="ID"/>
    <s v="US"/>
    <s v="ZR"/>
    <d v="2016-12-27T00:00:00"/>
  </r>
  <r>
    <x v="0"/>
    <x v="4"/>
    <x v="1181"/>
    <x v="7"/>
    <s v="Standard order"/>
    <x v="1158"/>
    <x v="1158"/>
    <s v="A399"/>
    <s v="CRYSTAL A399NT"/>
    <s v="5002931"/>
    <s v="A399 ACH PB XL"/>
    <n v="20"/>
    <n v="0"/>
    <n v="20"/>
    <x v="4"/>
    <s v="DP71"/>
    <s v="X-LARGE"/>
    <s v="314"/>
    <s v="4.0 UN"/>
    <s v="STANDARD"/>
    <s v="N"/>
    <s v="Y"/>
    <s v="N"/>
    <s v="N"/>
    <s v="N"/>
    <s v="N"/>
    <s v="N"/>
    <s v="N"/>
    <s v="A045"/>
    <d v="2016-12-30T00:00:00"/>
    <s v="10"/>
    <s v="TAN"/>
    <s v="OR"/>
    <d v="2016-12-27T00:00:00"/>
    <s v="ID"/>
    <s v="US"/>
    <s v="ZR"/>
    <d v="2016-12-27T00:00:00"/>
  </r>
  <r>
    <x v="0"/>
    <x v="2"/>
    <x v="1182"/>
    <x v="22"/>
    <s v="Standard order"/>
    <x v="1159"/>
    <x v="1159"/>
    <s v="R014"/>
    <s v="CRYSTAL RR014"/>
    <s v="5003092"/>
    <s v="R014 ACH T20 PB SYSTIVA G50"/>
    <n v="24"/>
    <n v="0"/>
    <n v="24"/>
    <x v="2"/>
    <s v="AP82"/>
    <s v="GEM 50"/>
    <s v="324"/>
    <s v="4.0 UN"/>
    <s v="STANDARD"/>
    <s v="N"/>
    <s v="Y"/>
    <s v="N"/>
    <s v="T20"/>
    <s v="Y"/>
    <s v="N"/>
    <s v="Y"/>
    <s v="N"/>
    <s v="A018"/>
    <d v="2016-12-30T00:00:00"/>
    <s v="10"/>
    <s v="TAN"/>
    <s v="OR"/>
    <d v="2016-12-27T00:00:00"/>
    <s v="CO"/>
    <s v="US"/>
    <s v="ZR"/>
    <d v="2016-12-27T00:00:00"/>
  </r>
  <r>
    <x v="0"/>
    <x v="2"/>
    <x v="1182"/>
    <x v="22"/>
    <s v="Standard order"/>
    <x v="1159"/>
    <x v="1159"/>
    <s v="W322"/>
    <s v="CRYSTAL W322NT"/>
    <s v="5003489"/>
    <s v="W322 ACH T20 PB SYSTIVA G50"/>
    <n v="20"/>
    <n v="0"/>
    <n v="20"/>
    <x v="2"/>
    <s v="EE73"/>
    <s v="GEM 50"/>
    <s v="324"/>
    <s v="4.0 UN"/>
    <s v="STANDARD"/>
    <s v="N"/>
    <s v="Y"/>
    <s v="N"/>
    <s v="T20"/>
    <s v="Y"/>
    <s v="N"/>
    <s v="Y"/>
    <s v="N"/>
    <s v="A018"/>
    <d v="2016-12-30T00:00:00"/>
    <s v="20"/>
    <s v="TAN"/>
    <s v="OR"/>
    <d v="2016-12-27T00:00:00"/>
    <s v="CO"/>
    <s v="US"/>
    <s v="ZR"/>
    <d v="2016-12-27T00:00:00"/>
  </r>
  <r>
    <x v="0"/>
    <x v="0"/>
    <x v="1183"/>
    <x v="0"/>
    <s v="Standard order"/>
    <x v="0"/>
    <x v="0"/>
    <s v="R059"/>
    <s v="CRYSTAL RR059"/>
    <s v="5003518"/>
    <s v="R059 ACH CM Vibrance RP"/>
    <n v="52"/>
    <n v="0"/>
    <n v="52"/>
    <x v="0"/>
    <s v="AP73"/>
    <s v="RP"/>
    <s v="393"/>
    <s v="4.0 UN"/>
    <s v="STANDARD"/>
    <s v="Y"/>
    <s v="N"/>
    <s v="N"/>
    <s v="N"/>
    <s v="N"/>
    <s v="N"/>
    <s v="N"/>
    <s v="Y"/>
    <s v="A037"/>
    <d v="2016-12-30T00:00:00"/>
    <s v="10"/>
    <s v="TAN"/>
    <s v="OR"/>
    <d v="2016-12-27T00:00:00"/>
    <s v="ON"/>
    <s v="CA"/>
    <s v="ZR"/>
    <d v="2016-12-27T00:00:00"/>
  </r>
  <r>
    <x v="0"/>
    <x v="0"/>
    <x v="1183"/>
    <x v="0"/>
    <s v="Standard order"/>
    <x v="0"/>
    <x v="0"/>
    <s v="G515"/>
    <s v="CRYSTAL G515"/>
    <s v="5003007"/>
    <s v="G515 ACH CM Vibrance RP"/>
    <n v="16"/>
    <n v="0"/>
    <n v="16"/>
    <x v="0"/>
    <s v="APND"/>
    <s v="RP"/>
    <s v="393"/>
    <s v="4.0 UN"/>
    <s v="STANDARD"/>
    <s v="Y"/>
    <s v="N"/>
    <s v="N"/>
    <s v="N"/>
    <s v="N"/>
    <s v="N"/>
    <s v="N"/>
    <s v="Y"/>
    <s v="A037"/>
    <d v="2016-12-30T00:00:00"/>
    <s v="20"/>
    <s v="TAN"/>
    <s v="OR"/>
    <d v="2016-12-27T00:00:00"/>
    <s v="ON"/>
    <s v="CA"/>
    <s v="ZR"/>
    <d v="2016-12-27T00:00:00"/>
  </r>
  <r>
    <x v="0"/>
    <x v="0"/>
    <x v="1184"/>
    <x v="0"/>
    <s v="Standard order"/>
    <x v="1160"/>
    <x v="1160"/>
    <s v="R059"/>
    <s v="CRYSTAL RR059"/>
    <s v="5003518"/>
    <s v="R059 ACH CM Vibrance RP"/>
    <n v="12"/>
    <n v="0"/>
    <n v="12"/>
    <x v="0"/>
    <s v="AP73"/>
    <s v="RP"/>
    <s v="393"/>
    <s v="4.0 UN"/>
    <s v="STANDARD"/>
    <s v="Y"/>
    <s v="N"/>
    <s v="N"/>
    <s v="N"/>
    <s v="N"/>
    <s v="N"/>
    <s v="N"/>
    <s v="Y"/>
    <s v="A037"/>
    <d v="2016-12-30T00:00:00"/>
    <s v="10"/>
    <s v="TAN"/>
    <s v="OR"/>
    <d v="2016-12-27T00:00:00"/>
    <s v="ON"/>
    <s v="CA"/>
    <s v="ZR"/>
    <d v="2016-12-27T00:00:00"/>
  </r>
  <r>
    <x v="0"/>
    <x v="0"/>
    <x v="1184"/>
    <x v="0"/>
    <s v="Standard order"/>
    <x v="1160"/>
    <x v="1160"/>
    <s v="G515"/>
    <s v="CRYSTAL G515"/>
    <s v="5003007"/>
    <s v="G515 ACH CM Vibrance RP"/>
    <n v="8"/>
    <n v="0"/>
    <n v="8"/>
    <x v="0"/>
    <s v="APND"/>
    <s v="RP"/>
    <s v="393"/>
    <s v="4.0 UN"/>
    <s v="STANDARD"/>
    <s v="Y"/>
    <s v="N"/>
    <s v="N"/>
    <s v="N"/>
    <s v="N"/>
    <s v="N"/>
    <s v="N"/>
    <s v="Y"/>
    <s v="A037"/>
    <d v="2016-12-30T00:00:00"/>
    <s v="20"/>
    <s v="TAN"/>
    <s v="OR"/>
    <d v="2016-12-27T00:00:00"/>
    <s v="ON"/>
    <s v="CA"/>
    <s v="ZR"/>
    <d v="2016-12-27T00:00:00"/>
  </r>
  <r>
    <x v="0"/>
    <x v="2"/>
    <x v="1185"/>
    <x v="27"/>
    <s v="Standard order"/>
    <x v="1161"/>
    <x v="1161"/>
    <s v="W322"/>
    <s v="CRYSTAL W322NT"/>
    <s v="5003488"/>
    <s v="W322 ACH T20 PB SYSTIVA G100"/>
    <n v="36"/>
    <n v="0"/>
    <n v="36"/>
    <x v="2"/>
    <s v="EE73"/>
    <s v="GEM 100"/>
    <s v="324"/>
    <s v="4.0 UN"/>
    <s v="STANDARD"/>
    <s v="N"/>
    <s v="Y"/>
    <s v="N"/>
    <s v="T20"/>
    <s v="Y"/>
    <s v="N"/>
    <s v="Y"/>
    <s v="N"/>
    <s v="A019"/>
    <d v="2016-12-30T00:00:00"/>
    <s v="10"/>
    <s v="TAN"/>
    <s v="OR"/>
    <d v="2016-12-27T00:00:00"/>
    <s v="CO"/>
    <s v="US"/>
    <s v="ZR"/>
    <d v="2016-12-27T00:00:00"/>
  </r>
  <r>
    <x v="0"/>
    <x v="0"/>
    <x v="1186"/>
    <x v="0"/>
    <s v="Standard order"/>
    <x v="1162"/>
    <x v="1162"/>
    <s v="R059"/>
    <s v="CRYSTAL RR059"/>
    <s v="5003518"/>
    <s v="R059 ACH CM Vibrance RP"/>
    <n v="32"/>
    <n v="0"/>
    <n v="32"/>
    <x v="0"/>
    <s v="AP73"/>
    <s v="RP"/>
    <s v="393"/>
    <s v="4.0 UN"/>
    <s v="STANDARD"/>
    <s v="Y"/>
    <s v="N"/>
    <s v="N"/>
    <s v="N"/>
    <s v="N"/>
    <s v="N"/>
    <s v="N"/>
    <s v="Y"/>
    <s v="A037"/>
    <d v="2016-12-30T00:00:00"/>
    <s v="10"/>
    <s v="TAN"/>
    <s v="OR"/>
    <d v="2016-12-27T00:00:00"/>
    <s v="ON"/>
    <s v="CA"/>
    <s v="ZR"/>
    <d v="2016-12-27T00:00:00"/>
  </r>
  <r>
    <x v="0"/>
    <x v="0"/>
    <x v="1187"/>
    <x v="4"/>
    <s v="Standard order"/>
    <x v="1163"/>
    <x v="1163"/>
    <s v="R059"/>
    <s v="CRYSTAL RR059"/>
    <s v="5003530"/>
    <s v="R059 ACH T20 Kabina RP"/>
    <n v="76"/>
    <n v="0"/>
    <n v="76"/>
    <x v="0"/>
    <s v="AP73"/>
    <s v="RP"/>
    <s v="387"/>
    <s v="4.0 UN"/>
    <s v="STANDARD"/>
    <s v="N"/>
    <s v="N"/>
    <s v="Y"/>
    <s v="T20"/>
    <s v="N"/>
    <s v="N"/>
    <s v="N"/>
    <s v="N"/>
    <s v="A035"/>
    <d v="2016-12-30T00:00:00"/>
    <s v="10"/>
    <s v="TAN"/>
    <s v="OR"/>
    <d v="2016-12-27T00:00:00"/>
    <s v="MI"/>
    <s v="US"/>
    <s v="ZR"/>
    <d v="2016-12-27T00:00:00"/>
  </r>
  <r>
    <x v="0"/>
    <x v="0"/>
    <x v="1187"/>
    <x v="4"/>
    <s v="Standard order"/>
    <x v="1163"/>
    <x v="1163"/>
    <s v="G351"/>
    <s v="CRYSTAL G351NT"/>
    <s v="5003398"/>
    <s v="G351 ACH T20 Kabina RP"/>
    <n v="8"/>
    <n v="0"/>
    <n v="8"/>
    <x v="0"/>
    <s v="DA73"/>
    <s v="RP"/>
    <s v="387"/>
    <s v="4.0 UN"/>
    <s v="STANDARD"/>
    <s v="N"/>
    <s v="N"/>
    <s v="Y"/>
    <s v="T20"/>
    <s v="N"/>
    <s v="N"/>
    <s v="N"/>
    <s v="N"/>
    <s v="A035"/>
    <d v="2016-12-30T00:00:00"/>
    <s v="20"/>
    <s v="TAN"/>
    <s v="OR"/>
    <d v="2016-12-27T00:00:00"/>
    <s v="MI"/>
    <s v="US"/>
    <s v="ZR"/>
    <d v="2016-12-27T00:00:00"/>
  </r>
  <r>
    <x v="0"/>
    <x v="0"/>
    <x v="1188"/>
    <x v="10"/>
    <s v="Standard order"/>
    <x v="1164"/>
    <x v="1164"/>
    <s v="R059"/>
    <s v="CRYSTAL RR059"/>
    <s v="5003530"/>
    <s v="R059 ACH T20 Kabina RP"/>
    <n v="48"/>
    <n v="0"/>
    <n v="48"/>
    <x v="0"/>
    <s v="AP73"/>
    <s v="RP"/>
    <s v="387"/>
    <s v="4.0 UN"/>
    <s v="STANDARD"/>
    <s v="N"/>
    <s v="N"/>
    <s v="Y"/>
    <s v="T20"/>
    <s v="N"/>
    <s v="N"/>
    <s v="N"/>
    <s v="N"/>
    <s v="A036"/>
    <d v="2016-12-30T00:00:00"/>
    <s v="10"/>
    <s v="TAN"/>
    <s v="OR"/>
    <d v="2016-12-27T00:00:00"/>
    <s v="MI"/>
    <s v="US"/>
    <s v="ZR"/>
    <d v="2016-12-27T00:00:00"/>
  </r>
  <r>
    <x v="0"/>
    <x v="0"/>
    <x v="1189"/>
    <x v="4"/>
    <s v="Standard order"/>
    <x v="1165"/>
    <x v="541"/>
    <s v="R059"/>
    <s v="CRYSTAL RR059"/>
    <s v="5003528"/>
    <s v="R059 ACH T20 Kabina ELS"/>
    <n v="32"/>
    <n v="0"/>
    <n v="32"/>
    <x v="0"/>
    <s v="AP73"/>
    <s v="ELS"/>
    <s v="387"/>
    <s v="4.0 UN"/>
    <s v="STANDARD"/>
    <s v="N"/>
    <s v="N"/>
    <s v="Y"/>
    <s v="T20"/>
    <s v="N"/>
    <s v="N"/>
    <s v="N"/>
    <s v="N"/>
    <s v="A035"/>
    <d v="2016-12-30T00:00:00"/>
    <s v="10"/>
    <s v="TAN"/>
    <s v="OR"/>
    <d v="2016-12-27T00:00:00"/>
    <s v="MI"/>
    <s v="US"/>
    <s v="ZR"/>
    <d v="2016-12-27T00:00:00"/>
  </r>
  <r>
    <x v="0"/>
    <x v="0"/>
    <x v="1189"/>
    <x v="4"/>
    <s v="Standard order"/>
    <x v="1165"/>
    <x v="541"/>
    <s v="G333"/>
    <s v="CRYSTAL G333NT"/>
    <s v="5003376"/>
    <s v="G333 ACH T20 Kabina ELS"/>
    <n v="32"/>
    <n v="0"/>
    <n v="32"/>
    <x v="0"/>
    <s v="EE73"/>
    <s v="ELS"/>
    <s v="387"/>
    <s v="4.0 UN"/>
    <s v="STANDARD"/>
    <s v="N"/>
    <s v="N"/>
    <s v="Y"/>
    <s v="T20"/>
    <s v="N"/>
    <s v="N"/>
    <s v="N"/>
    <s v="N"/>
    <s v="A035"/>
    <d v="2016-12-30T00:00:00"/>
    <s v="20"/>
    <s v="TAN"/>
    <s v="OR"/>
    <d v="2016-12-27T00:00:00"/>
    <s v="MI"/>
    <s v="US"/>
    <s v="ZR"/>
    <d v="2016-12-27T00:00:00"/>
  </r>
  <r>
    <x v="0"/>
    <x v="2"/>
    <x v="1190"/>
    <x v="27"/>
    <s v="Standard order"/>
    <x v="1166"/>
    <x v="1165"/>
    <s v="R014"/>
    <s v="CRYSTAL RR014"/>
    <s v="5003091"/>
    <s v="R014 ACH T20 PB SYSTIVA G100"/>
    <n v="68"/>
    <n v="0"/>
    <n v="68"/>
    <x v="2"/>
    <s v="AP82"/>
    <s v="GEM 100"/>
    <s v="324"/>
    <s v="4.0 UN"/>
    <s v="STANDARD"/>
    <s v="N"/>
    <s v="Y"/>
    <s v="N"/>
    <s v="T20"/>
    <s v="Y"/>
    <s v="N"/>
    <s v="Y"/>
    <s v="N"/>
    <s v="A019"/>
    <d v="2016-12-30T00:00:00"/>
    <s v="10"/>
    <s v="TAN"/>
    <s v="OR"/>
    <d v="2016-12-27T00:00:00"/>
    <s v="NE"/>
    <s v="US"/>
    <s v="ZR"/>
    <d v="2016-12-27T00:00:00"/>
  </r>
  <r>
    <x v="0"/>
    <x v="4"/>
    <x v="1191"/>
    <x v="8"/>
    <s v="Standard order"/>
    <x v="1167"/>
    <x v="1166"/>
    <s v="A399"/>
    <s v="CRYSTAL A399NT"/>
    <s v="5002931"/>
    <s v="A399 ACH PB XL"/>
    <n v="144"/>
    <n v="0"/>
    <n v="144"/>
    <x v="4"/>
    <s v="DP71"/>
    <s v="X-LARGE"/>
    <s v="314"/>
    <s v="4.0 UN"/>
    <s v="STANDARD"/>
    <s v="N"/>
    <s v="Y"/>
    <s v="N"/>
    <s v="N"/>
    <s v="N"/>
    <s v="N"/>
    <s v="N"/>
    <s v="N"/>
    <s v="A044"/>
    <d v="2016-12-30T00:00:00"/>
    <s v="10"/>
    <s v="TAN"/>
    <s v="OR"/>
    <d v="2016-12-27T00:00:00"/>
    <s v="ID"/>
    <s v="US"/>
    <s v="ZR"/>
    <d v="2016-12-27T00:00:00"/>
  </r>
  <r>
    <x v="0"/>
    <x v="2"/>
    <x v="1192"/>
    <x v="24"/>
    <s v="Standard order"/>
    <x v="1168"/>
    <x v="1167"/>
    <s v="R014"/>
    <s v="CRYSTAL RR014"/>
    <s v="5003091"/>
    <s v="R014 ACH T20 PB SYSTIVA G100"/>
    <n v="40"/>
    <n v="0"/>
    <n v="40"/>
    <x v="2"/>
    <s v="AP82"/>
    <s v="GEM 100"/>
    <s v="324"/>
    <s v="4.0 UN"/>
    <s v="STANDARD"/>
    <s v="N"/>
    <s v="Y"/>
    <s v="N"/>
    <s v="T20"/>
    <s v="Y"/>
    <s v="N"/>
    <s v="Y"/>
    <s v="N"/>
    <s v="A022"/>
    <d v="2016-12-30T00:00:00"/>
    <s v="10"/>
    <s v="TAN"/>
    <s v="OR"/>
    <d v="2016-12-27T00:00:00"/>
    <s v="CO"/>
    <s v="US"/>
    <s v="ZR"/>
    <d v="2016-12-27T00:00:00"/>
  </r>
  <r>
    <x v="0"/>
    <x v="0"/>
    <x v="1193"/>
    <x v="2"/>
    <s v="Standard order"/>
    <x v="1169"/>
    <x v="1168"/>
    <s v="G333"/>
    <s v="CRYSTAL G333NT"/>
    <s v="5003376"/>
    <s v="G333 ACH T20 Kabina ELS"/>
    <n v="72"/>
    <n v="0"/>
    <n v="72"/>
    <x v="0"/>
    <s v="EE73"/>
    <s v="ELS"/>
    <s v="387"/>
    <s v="4.0 UN"/>
    <s v="STANDARD"/>
    <s v="N"/>
    <s v="N"/>
    <s v="Y"/>
    <s v="T20"/>
    <s v="N"/>
    <s v="N"/>
    <s v="N"/>
    <s v="N"/>
    <s v="A034"/>
    <d v="2017-01-02T00:00:00"/>
    <s v="10"/>
    <s v="TAN"/>
    <s v="OR"/>
    <d v="2016-12-27T00:00:00"/>
    <s v="MI"/>
    <s v="US"/>
    <s v="ZR"/>
    <d v="2016-12-28T00:00:00"/>
  </r>
  <r>
    <x v="0"/>
    <x v="0"/>
    <x v="1193"/>
    <x v="2"/>
    <s v="Standard order"/>
    <x v="1169"/>
    <x v="1168"/>
    <s v="R059"/>
    <s v="CRYSTAL RR059"/>
    <s v="5003528"/>
    <s v="R059 ACH T20 Kabina ELS"/>
    <n v="76"/>
    <n v="0"/>
    <n v="76"/>
    <x v="0"/>
    <s v="AP73"/>
    <s v="ELS"/>
    <s v="387"/>
    <s v="4.0 UN"/>
    <s v="STANDARD"/>
    <s v="N"/>
    <s v="N"/>
    <s v="Y"/>
    <s v="T20"/>
    <s v="N"/>
    <s v="N"/>
    <s v="N"/>
    <s v="N"/>
    <s v="A034"/>
    <d v="2017-01-02T00:00:00"/>
    <s v="20"/>
    <s v="TAN"/>
    <s v="OR"/>
    <d v="2016-12-27T00:00:00"/>
    <s v="MI"/>
    <s v="US"/>
    <s v="ZR"/>
    <d v="2016-12-28T00:00:00"/>
  </r>
  <r>
    <x v="0"/>
    <x v="0"/>
    <x v="1194"/>
    <x v="2"/>
    <s v="Standard order"/>
    <x v="1170"/>
    <x v="1169"/>
    <s v="R059"/>
    <s v="CRYSTAL RR059"/>
    <s v="5003530"/>
    <s v="R059 ACH T20 Kabina RP"/>
    <n v="36"/>
    <n v="0"/>
    <n v="36"/>
    <x v="0"/>
    <s v="AP73"/>
    <s v="RP"/>
    <s v="387"/>
    <s v="4.0 UN"/>
    <s v="STANDARD"/>
    <s v="N"/>
    <s v="N"/>
    <s v="Y"/>
    <s v="T20"/>
    <s v="N"/>
    <s v="N"/>
    <s v="N"/>
    <s v="N"/>
    <s v="A034"/>
    <d v="2017-01-02T00:00:00"/>
    <s v="10"/>
    <s v="TAN"/>
    <s v="OR"/>
    <d v="2016-12-27T00:00:00"/>
    <s v="MI"/>
    <s v="US"/>
    <s v="ZR"/>
    <d v="2016-12-28T00:00:00"/>
  </r>
  <r>
    <x v="0"/>
    <x v="0"/>
    <x v="1195"/>
    <x v="4"/>
    <s v="Standard order"/>
    <x v="1171"/>
    <x v="1170"/>
    <s v="R059"/>
    <s v="CRYSTAL RR059"/>
    <s v="5003530"/>
    <s v="R059 ACH T20 Kabina RP"/>
    <n v="48"/>
    <n v="0"/>
    <n v="48"/>
    <x v="0"/>
    <s v="AP73"/>
    <s v="RP"/>
    <s v="387"/>
    <s v="4.0 UN"/>
    <s v="STANDARD"/>
    <s v="N"/>
    <s v="N"/>
    <s v="Y"/>
    <s v="T20"/>
    <s v="N"/>
    <s v="N"/>
    <s v="N"/>
    <s v="N"/>
    <s v="A035"/>
    <d v="2017-01-02T00:00:00"/>
    <s v="10"/>
    <s v="TAN"/>
    <s v="OR"/>
    <d v="2016-12-28T00:00:00"/>
    <s v="MI"/>
    <s v="US"/>
    <s v="ZR"/>
    <d v="2016-12-28T00:00:00"/>
  </r>
  <r>
    <x v="0"/>
    <x v="0"/>
    <x v="1195"/>
    <x v="4"/>
    <s v="Standard order"/>
    <x v="1171"/>
    <x v="1170"/>
    <s v="G333"/>
    <s v="CRYSTAL G333NT"/>
    <s v="5003378"/>
    <s v="G333 ACH T20 Kabina RP"/>
    <n v="52"/>
    <n v="0"/>
    <n v="52"/>
    <x v="0"/>
    <s v="EE73"/>
    <s v="RP"/>
    <s v="387"/>
    <s v="4.0 UN"/>
    <s v="STANDARD"/>
    <s v="N"/>
    <s v="N"/>
    <s v="Y"/>
    <s v="T20"/>
    <s v="N"/>
    <s v="N"/>
    <s v="N"/>
    <s v="N"/>
    <s v="A035"/>
    <d v="2017-01-02T00:00:00"/>
    <s v="20"/>
    <s v="TAN"/>
    <s v="OR"/>
    <d v="2016-12-28T00:00:00"/>
    <s v="MI"/>
    <s v="US"/>
    <s v="ZR"/>
    <d v="2016-12-28T00:00:00"/>
  </r>
  <r>
    <x v="0"/>
    <x v="0"/>
    <x v="1196"/>
    <x v="4"/>
    <s v="Standard order"/>
    <x v="1172"/>
    <x v="1171"/>
    <s v="G333"/>
    <s v="CRYSTAL G333NT"/>
    <s v="5003377"/>
    <s v="G333 ACH T20 Kabina MP"/>
    <n v="16"/>
    <n v="0"/>
    <n v="16"/>
    <x v="0"/>
    <s v="EE73"/>
    <s v="MP"/>
    <s v="387"/>
    <s v="4.0 UN"/>
    <s v="STANDARD"/>
    <s v="N"/>
    <s v="N"/>
    <s v="Y"/>
    <s v="T20"/>
    <s v="N"/>
    <s v="N"/>
    <s v="N"/>
    <s v="N"/>
    <s v="A035"/>
    <d v="2017-01-02T00:00:00"/>
    <s v="10"/>
    <s v="TAN"/>
    <s v="OR"/>
    <d v="2016-12-28T00:00:00"/>
    <s v="MI"/>
    <s v="US"/>
    <s v="ZR"/>
    <d v="2016-12-28T00:00:00"/>
  </r>
  <r>
    <x v="0"/>
    <x v="2"/>
    <x v="1197"/>
    <x v="23"/>
    <s v="Standard order"/>
    <x v="1173"/>
    <x v="1172"/>
    <s v="W322"/>
    <s v="CRYSTAL W322NT"/>
    <s v="5003489"/>
    <s v="W322 ACH T20 PB SYSTIVA G50"/>
    <n v="40"/>
    <n v="0"/>
    <n v="40"/>
    <x v="2"/>
    <s v="EE73"/>
    <s v="GEM 50"/>
    <s v="324"/>
    <s v="4.0 UN"/>
    <s v="STANDARD"/>
    <s v="N"/>
    <s v="Y"/>
    <s v="N"/>
    <s v="T20"/>
    <s v="Y"/>
    <s v="N"/>
    <s v="Y"/>
    <s v="N"/>
    <s v="A055"/>
    <d v="2017-01-02T00:00:00"/>
    <s v="30"/>
    <s v="TAN"/>
    <s v="OR"/>
    <d v="2016-12-28T00:00:00"/>
    <s v="WY"/>
    <s v="US"/>
    <s v="ZR"/>
    <d v="2016-12-28T00:00:00"/>
  </r>
  <r>
    <x v="0"/>
    <x v="2"/>
    <x v="1198"/>
    <x v="24"/>
    <s v="Standard order"/>
    <x v="1174"/>
    <x v="1173"/>
    <s v="R014"/>
    <s v="CRYSTAL RR014"/>
    <s v="5003092"/>
    <s v="R014 ACH T20 PB SYSTIVA G50"/>
    <n v="60"/>
    <n v="0"/>
    <n v="60"/>
    <x v="2"/>
    <s v="AP82"/>
    <s v="GEM 50"/>
    <s v="324"/>
    <s v="4.0 UN"/>
    <s v="STANDARD"/>
    <s v="N"/>
    <s v="Y"/>
    <s v="N"/>
    <s v="T20"/>
    <s v="Y"/>
    <s v="N"/>
    <s v="Y"/>
    <s v="N"/>
    <s v="A022"/>
    <d v="2017-01-02T00:00:00"/>
    <s v="10"/>
    <s v="TAN"/>
    <s v="OR"/>
    <d v="2016-12-27T00:00:00"/>
    <s v="CO"/>
    <s v="US"/>
    <s v="ZR"/>
    <d v="2016-12-28T00:00:00"/>
  </r>
  <r>
    <x v="0"/>
    <x v="2"/>
    <x v="1198"/>
    <x v="24"/>
    <s v="Standard order"/>
    <x v="1174"/>
    <x v="1173"/>
    <s v="W322"/>
    <s v="CRYSTAL W322NT"/>
    <s v="5003489"/>
    <s v="W322 ACH T20 PB SYSTIVA G50"/>
    <n v="32"/>
    <n v="0"/>
    <n v="32"/>
    <x v="2"/>
    <s v="EE73"/>
    <s v="GEM 50"/>
    <s v="324"/>
    <s v="4.0 UN"/>
    <s v="STANDARD"/>
    <s v="N"/>
    <s v="Y"/>
    <s v="N"/>
    <s v="T20"/>
    <s v="Y"/>
    <s v="N"/>
    <s v="Y"/>
    <s v="N"/>
    <s v="A022"/>
    <d v="2017-01-02T00:00:00"/>
    <s v="20"/>
    <s v="TAN"/>
    <s v="OR"/>
    <d v="2016-12-27T00:00:00"/>
    <s v="CO"/>
    <s v="US"/>
    <s v="ZR"/>
    <d v="2016-12-28T00:00:00"/>
  </r>
  <r>
    <x v="0"/>
    <x v="2"/>
    <x v="1199"/>
    <x v="25"/>
    <s v="Standard order"/>
    <x v="1175"/>
    <x v="1174"/>
    <s v="R014"/>
    <s v="CRYSTAL RR014"/>
    <s v="5003091"/>
    <s v="R014 ACH T20 PB SYSTIVA G100"/>
    <n v="32"/>
    <n v="0"/>
    <n v="32"/>
    <x v="2"/>
    <s v="AP82"/>
    <s v="GEM 100"/>
    <s v="324"/>
    <s v="4.0 UN"/>
    <s v="STANDARD"/>
    <s v="N"/>
    <s v="Y"/>
    <s v="N"/>
    <s v="T20"/>
    <s v="Y"/>
    <s v="N"/>
    <s v="Y"/>
    <s v="N"/>
    <s v="A021"/>
    <d v="2017-01-02T00:00:00"/>
    <s v="10"/>
    <s v="TAN"/>
    <s v="OR"/>
    <d v="2016-12-28T00:00:00"/>
    <s v="CO"/>
    <s v="US"/>
    <s v="ZR"/>
    <d v="2016-12-28T00:00:00"/>
  </r>
  <r>
    <x v="0"/>
    <x v="0"/>
    <x v="1200"/>
    <x v="2"/>
    <s v="Standard order"/>
    <x v="1176"/>
    <x v="1175"/>
    <s v="G333"/>
    <s v="CRYSTAL G333NT"/>
    <s v="5003377"/>
    <s v="G333 ACH T20 Kabina MP"/>
    <n v="28"/>
    <n v="0"/>
    <n v="28"/>
    <x v="0"/>
    <s v="EE73"/>
    <s v="MP"/>
    <s v="387"/>
    <s v="4.0 UN"/>
    <s v="STANDARD"/>
    <s v="N"/>
    <s v="N"/>
    <s v="Y"/>
    <s v="T20"/>
    <s v="N"/>
    <s v="N"/>
    <s v="N"/>
    <s v="N"/>
    <s v="A034"/>
    <d v="2017-01-02T00:00:00"/>
    <s v="10"/>
    <s v="TAN"/>
    <s v="OR"/>
    <d v="2016-12-28T00:00:00"/>
    <s v="MI"/>
    <s v="US"/>
    <s v="ZR"/>
    <d v="2016-12-28T00:00:00"/>
  </r>
  <r>
    <x v="0"/>
    <x v="0"/>
    <x v="1201"/>
    <x v="0"/>
    <s v="Standard order"/>
    <x v="1177"/>
    <x v="1176"/>
    <s v="R059"/>
    <s v="CRYSTAL RR059"/>
    <s v="5003518"/>
    <s v="R059 ACH CM Vibrance RP"/>
    <n v="24"/>
    <n v="0"/>
    <n v="24"/>
    <x v="0"/>
    <s v="AP73"/>
    <s v="RP"/>
    <s v="393"/>
    <s v="4.0 UN"/>
    <s v="STANDARD"/>
    <s v="Y"/>
    <s v="N"/>
    <s v="N"/>
    <s v="N"/>
    <s v="N"/>
    <s v="N"/>
    <s v="N"/>
    <s v="Y"/>
    <s v="A037"/>
    <d v="2017-01-02T00:00:00"/>
    <s v="10"/>
    <s v="TAN"/>
    <s v="OR"/>
    <d v="2016-12-28T00:00:00"/>
    <s v="ON"/>
    <s v="CA"/>
    <s v="ZR"/>
    <d v="2016-12-28T00:00:00"/>
  </r>
  <r>
    <x v="0"/>
    <x v="0"/>
    <x v="1202"/>
    <x v="0"/>
    <s v="Standard order"/>
    <x v="1178"/>
    <x v="1177"/>
    <s v="R059"/>
    <s v="CRYSTAL RR059"/>
    <s v="5003518"/>
    <s v="R059 ACH CM Vibrance RP"/>
    <n v="32"/>
    <n v="0"/>
    <n v="32"/>
    <x v="0"/>
    <s v="AP73"/>
    <s v="RP"/>
    <s v="393"/>
    <s v="4.0 UN"/>
    <s v="STANDARD"/>
    <s v="Y"/>
    <s v="N"/>
    <s v="N"/>
    <s v="N"/>
    <s v="N"/>
    <s v="N"/>
    <s v="N"/>
    <s v="Y"/>
    <s v="A037"/>
    <d v="2017-01-02T00:00:00"/>
    <s v="10"/>
    <s v="TAN"/>
    <s v="OR"/>
    <d v="2016-12-28T00:00:00"/>
    <s v="ON"/>
    <s v="CA"/>
    <s v="ZR"/>
    <d v="2016-12-28T00:00:00"/>
  </r>
  <r>
    <x v="0"/>
    <x v="0"/>
    <x v="1202"/>
    <x v="0"/>
    <s v="Standard order"/>
    <x v="1178"/>
    <x v="1177"/>
    <s v="G515"/>
    <s v="CRYSTAL G515"/>
    <s v="5003007"/>
    <s v="G515 ACH CM Vibrance RP"/>
    <n v="8"/>
    <n v="0"/>
    <n v="8"/>
    <x v="0"/>
    <s v="APND"/>
    <s v="RP"/>
    <s v="393"/>
    <s v="4.0 UN"/>
    <s v="STANDARD"/>
    <s v="Y"/>
    <s v="N"/>
    <s v="N"/>
    <s v="N"/>
    <s v="N"/>
    <s v="N"/>
    <s v="N"/>
    <s v="Y"/>
    <s v="A037"/>
    <d v="2017-01-02T00:00:00"/>
    <s v="20"/>
    <s v="TAN"/>
    <s v="OR"/>
    <d v="2016-12-28T00:00:00"/>
    <s v="ON"/>
    <s v="CA"/>
    <s v="ZR"/>
    <d v="2016-12-28T00:00:00"/>
  </r>
  <r>
    <x v="0"/>
    <x v="0"/>
    <x v="1203"/>
    <x v="10"/>
    <s v="Standard order"/>
    <x v="1179"/>
    <x v="1178"/>
    <s v="R059"/>
    <s v="CRYSTAL RR059"/>
    <s v="5003528"/>
    <s v="R059 ACH T20 Kabina ELS"/>
    <n v="92"/>
    <n v="0"/>
    <n v="92"/>
    <x v="0"/>
    <s v="AP73"/>
    <s v="ELS"/>
    <s v="387"/>
    <s v="4.0 UN"/>
    <s v="STANDARD"/>
    <s v="N"/>
    <s v="N"/>
    <s v="Y"/>
    <s v="T20"/>
    <s v="N"/>
    <s v="N"/>
    <s v="N"/>
    <s v="N"/>
    <s v="A036"/>
    <d v="2017-01-02T00:00:00"/>
    <s v="10"/>
    <s v="TAN"/>
    <s v="OR"/>
    <d v="2016-12-27T00:00:00"/>
    <s v="MI"/>
    <s v="US"/>
    <s v="ZR"/>
    <d v="2016-12-28T00:00:00"/>
  </r>
  <r>
    <x v="0"/>
    <x v="0"/>
    <x v="1204"/>
    <x v="10"/>
    <s v="Standard order"/>
    <x v="1180"/>
    <x v="1179"/>
    <s v="R059"/>
    <s v="CRYSTAL RR059"/>
    <s v="5003529"/>
    <s v="R059 ACH T20 Kabina MP"/>
    <n v="36"/>
    <n v="0"/>
    <n v="36"/>
    <x v="0"/>
    <s v="AP73"/>
    <s v="MP"/>
    <s v="387"/>
    <s v="4.0 UN"/>
    <s v="STANDARD"/>
    <s v="N"/>
    <s v="N"/>
    <s v="Y"/>
    <s v="T20"/>
    <s v="N"/>
    <s v="N"/>
    <s v="N"/>
    <s v="N"/>
    <s v="A036"/>
    <d v="2017-01-02T00:00:00"/>
    <s v="10"/>
    <s v="TAN"/>
    <s v="OR"/>
    <d v="2016-12-27T00:00:00"/>
    <s v="MI"/>
    <s v="US"/>
    <s v="ZR"/>
    <d v="2016-12-28T00:00:00"/>
  </r>
  <r>
    <x v="0"/>
    <x v="0"/>
    <x v="1204"/>
    <x v="10"/>
    <s v="Standard order"/>
    <x v="1180"/>
    <x v="1179"/>
    <s v="G333"/>
    <s v="CRYSTAL G333NT"/>
    <s v="5003377"/>
    <s v="G333 ACH T20 Kabina MP"/>
    <n v="36"/>
    <n v="0"/>
    <n v="36"/>
    <x v="0"/>
    <s v="EE73"/>
    <s v="MP"/>
    <s v="387"/>
    <s v="4.0 UN"/>
    <s v="STANDARD"/>
    <s v="N"/>
    <s v="N"/>
    <s v="Y"/>
    <s v="T20"/>
    <s v="N"/>
    <s v="N"/>
    <s v="N"/>
    <s v="N"/>
    <s v="A036"/>
    <d v="2017-01-02T00:00:00"/>
    <s v="20"/>
    <s v="TAN"/>
    <s v="OR"/>
    <d v="2016-12-27T00:00:00"/>
    <s v="MI"/>
    <s v="US"/>
    <s v="ZR"/>
    <d v="2016-12-28T00:00:00"/>
  </r>
  <r>
    <x v="0"/>
    <x v="0"/>
    <x v="1205"/>
    <x v="2"/>
    <s v="Standard order"/>
    <x v="1181"/>
    <x v="1180"/>
    <s v="R059"/>
    <s v="CRYSTAL RR059"/>
    <s v="5003528"/>
    <s v="R059 ACH T20 Kabina ELS"/>
    <n v="40"/>
    <n v="0"/>
    <n v="40"/>
    <x v="0"/>
    <s v="AP73"/>
    <s v="ELS"/>
    <s v="387"/>
    <s v="4.0 UN"/>
    <s v="STANDARD"/>
    <s v="N"/>
    <s v="N"/>
    <s v="Y"/>
    <s v="T20"/>
    <s v="N"/>
    <s v="N"/>
    <s v="N"/>
    <s v="N"/>
    <s v="A034"/>
    <d v="2017-01-02T00:00:00"/>
    <s v="30"/>
    <s v="TAN"/>
    <s v="OR"/>
    <d v="2016-12-27T00:00:00"/>
    <s v="MI"/>
    <s v="US"/>
    <s v="ZR"/>
    <d v="2016-12-28T00:00:00"/>
  </r>
  <r>
    <x v="0"/>
    <x v="0"/>
    <x v="1205"/>
    <x v="2"/>
    <s v="Standard order"/>
    <x v="1181"/>
    <x v="1180"/>
    <s v="G333"/>
    <s v="CRYSTAL G333NT"/>
    <s v="5003376"/>
    <s v="G333 ACH T20 Kabina ELS"/>
    <n v="48"/>
    <n v="0"/>
    <n v="48"/>
    <x v="0"/>
    <s v="EE73"/>
    <s v="ELS"/>
    <s v="387"/>
    <s v="4.0 UN"/>
    <s v="STANDARD"/>
    <s v="N"/>
    <s v="N"/>
    <s v="Y"/>
    <s v="T20"/>
    <s v="N"/>
    <s v="N"/>
    <s v="N"/>
    <s v="N"/>
    <s v="A034"/>
    <d v="2017-01-02T00:00:00"/>
    <s v="10"/>
    <s v="TAN"/>
    <s v="OR"/>
    <d v="2016-12-27T00:00:00"/>
    <s v="MI"/>
    <s v="US"/>
    <s v="ZR"/>
    <d v="2016-12-28T00:00:00"/>
  </r>
  <r>
    <x v="0"/>
    <x v="0"/>
    <x v="1205"/>
    <x v="2"/>
    <s v="Standard order"/>
    <x v="1181"/>
    <x v="1180"/>
    <s v="G515"/>
    <s v="CRYSTAL G515"/>
    <s v="5003017"/>
    <s v="G515 ACH T20 Kabina ELS"/>
    <n v="8"/>
    <n v="0"/>
    <n v="8"/>
    <x v="0"/>
    <s v="APND"/>
    <s v="ELS"/>
    <s v="387"/>
    <s v="4.0 UN"/>
    <s v="STANDARD"/>
    <s v="N"/>
    <s v="N"/>
    <s v="Y"/>
    <s v="T20"/>
    <s v="N"/>
    <s v="N"/>
    <s v="N"/>
    <s v="N"/>
    <s v="A034"/>
    <d v="2017-01-02T00:00:00"/>
    <s v="20"/>
    <s v="TAN"/>
    <s v="OR"/>
    <d v="2016-12-27T00:00:00"/>
    <s v="MI"/>
    <s v="US"/>
    <s v="ZR"/>
    <d v="2016-12-28T00:00:00"/>
  </r>
  <r>
    <x v="0"/>
    <x v="0"/>
    <x v="1206"/>
    <x v="2"/>
    <s v="Standard order"/>
    <x v="1182"/>
    <x v="1181"/>
    <s v="G333"/>
    <s v="CRYSTAL G333NT"/>
    <s v="5003378"/>
    <s v="G333 ACH T20 Kabina RP"/>
    <n v="20"/>
    <n v="0"/>
    <n v="20"/>
    <x v="0"/>
    <s v="EE73"/>
    <s v="RP"/>
    <s v="387"/>
    <s v="4.0 UN"/>
    <s v="STANDARD"/>
    <s v="N"/>
    <s v="N"/>
    <s v="Y"/>
    <s v="T20"/>
    <s v="N"/>
    <s v="N"/>
    <s v="N"/>
    <s v="N"/>
    <s v="A034"/>
    <d v="2017-01-02T00:00:00"/>
    <s v="10"/>
    <s v="TAN"/>
    <s v="OR"/>
    <d v="2016-12-27T00:00:00"/>
    <s v="MI"/>
    <s v="US"/>
    <s v="ZR"/>
    <d v="2016-12-28T00:00:00"/>
  </r>
  <r>
    <x v="0"/>
    <x v="0"/>
    <x v="1207"/>
    <x v="2"/>
    <s v="Standard order"/>
    <x v="1183"/>
    <x v="1182"/>
    <s v="G515"/>
    <s v="CRYSTAL G515"/>
    <s v="5003017"/>
    <s v="G515 ACH T20 Kabina ELS"/>
    <n v="8"/>
    <n v="0"/>
    <n v="8"/>
    <x v="0"/>
    <s v="APND"/>
    <s v="ELS"/>
    <s v="387"/>
    <s v="4.0 UN"/>
    <s v="STANDARD"/>
    <s v="N"/>
    <s v="N"/>
    <s v="Y"/>
    <s v="T20"/>
    <s v="N"/>
    <s v="N"/>
    <s v="N"/>
    <s v="N"/>
    <s v="A034"/>
    <d v="2017-01-02T00:00:00"/>
    <s v="10"/>
    <s v="TAN"/>
    <s v="OR"/>
    <d v="2016-12-27T00:00:00"/>
    <s v="MI"/>
    <s v="US"/>
    <s v="ZR"/>
    <d v="2016-12-28T00:00:00"/>
  </r>
  <r>
    <x v="0"/>
    <x v="0"/>
    <x v="1207"/>
    <x v="2"/>
    <s v="Standard order"/>
    <x v="1183"/>
    <x v="1182"/>
    <s v="G351"/>
    <s v="CRYSTAL G351NT"/>
    <s v="5003396"/>
    <s v="G351 ACH T20 Kabina ELS"/>
    <n v="4"/>
    <n v="0"/>
    <n v="4"/>
    <x v="0"/>
    <s v="DA73"/>
    <s v="ELS"/>
    <s v="387"/>
    <s v="4.0 UN"/>
    <s v="STANDARD"/>
    <s v="N"/>
    <s v="N"/>
    <s v="Y"/>
    <s v="T20"/>
    <s v="N"/>
    <s v="N"/>
    <s v="N"/>
    <s v="N"/>
    <s v="A034"/>
    <d v="2017-01-02T00:00:00"/>
    <s v="20"/>
    <s v="TAN"/>
    <s v="OR"/>
    <d v="2016-12-27T00:00:00"/>
    <s v="MI"/>
    <s v="US"/>
    <s v="ZR"/>
    <d v="2016-12-28T00:00:00"/>
  </r>
  <r>
    <x v="0"/>
    <x v="0"/>
    <x v="1208"/>
    <x v="2"/>
    <s v="Standard order"/>
    <x v="1184"/>
    <x v="1183"/>
    <s v="G351"/>
    <s v="CRYSTAL G351NT"/>
    <s v="5003396"/>
    <s v="G351 ACH T20 Kabina ELS"/>
    <n v="4"/>
    <n v="0"/>
    <n v="4"/>
    <x v="0"/>
    <s v="DA73"/>
    <s v="ELS"/>
    <s v="387"/>
    <s v="4.0 UN"/>
    <s v="STANDARD"/>
    <s v="N"/>
    <s v="N"/>
    <s v="Y"/>
    <s v="T20"/>
    <s v="N"/>
    <s v="N"/>
    <s v="N"/>
    <s v="N"/>
    <s v="A034"/>
    <d v="2017-01-02T00:00:00"/>
    <s v="10"/>
    <s v="TAN"/>
    <s v="OR"/>
    <d v="2016-12-27T00:00:00"/>
    <s v="MI"/>
    <s v="US"/>
    <s v="ZR"/>
    <d v="2016-12-28T00:00:00"/>
  </r>
  <r>
    <x v="0"/>
    <x v="0"/>
    <x v="1208"/>
    <x v="2"/>
    <s v="Standard order"/>
    <x v="1184"/>
    <x v="1183"/>
    <s v="G333"/>
    <s v="CRYSTAL G333NT"/>
    <s v="5003376"/>
    <s v="G333 ACH T20 Kabina ELS"/>
    <n v="4"/>
    <n v="0"/>
    <n v="4"/>
    <x v="0"/>
    <s v="EE73"/>
    <s v="ELS"/>
    <s v="387"/>
    <s v="4.0 UN"/>
    <s v="STANDARD"/>
    <s v="N"/>
    <s v="N"/>
    <s v="Y"/>
    <s v="T20"/>
    <s v="N"/>
    <s v="N"/>
    <s v="N"/>
    <s v="N"/>
    <s v="A034"/>
    <d v="2017-01-02T00:00:00"/>
    <s v="20"/>
    <s v="TAN"/>
    <s v="OR"/>
    <d v="2016-12-27T00:00:00"/>
    <s v="MI"/>
    <s v="US"/>
    <s v="ZR"/>
    <d v="2016-12-28T00:00:00"/>
  </r>
  <r>
    <x v="0"/>
    <x v="5"/>
    <x v="1209"/>
    <x v="9"/>
    <s v="Standard order"/>
    <x v="376"/>
    <x v="376"/>
    <s v="Y400"/>
    <s v="CRYSTAL Y400NT"/>
    <s v="5003735"/>
    <s v="Y400 ACH T20 PB SYSTIVA RP"/>
    <n v="12"/>
    <n v="0"/>
    <n v="12"/>
    <x v="5"/>
    <s v="4TBP"/>
    <s v="RP"/>
    <s v="324"/>
    <s v="4.0 UN"/>
    <s v="STANDARD"/>
    <s v="N"/>
    <s v="Y"/>
    <s v="N"/>
    <s v="T20"/>
    <s v="Y"/>
    <s v="N"/>
    <s v="N"/>
    <s v="N"/>
    <s v="A016"/>
    <d v="2017-01-02T00:00:00"/>
    <s v="10"/>
    <s v="TAN"/>
    <s v="OR"/>
    <d v="2016-12-28T00:00:00"/>
    <s v="WY"/>
    <s v="US"/>
    <s v="ZR"/>
    <d v="2016-12-28T00:00:00"/>
  </r>
  <r>
    <x v="0"/>
    <x v="5"/>
    <x v="1209"/>
    <x v="9"/>
    <s v="Standard order"/>
    <x v="376"/>
    <x v="376"/>
    <s v="R116"/>
    <s v="CRYSTAL RR116"/>
    <s v="5003105"/>
    <s v="R116 ACH T20 PB SYSTIVA RP"/>
    <n v="24"/>
    <n v="0"/>
    <n v="24"/>
    <x v="5"/>
    <s v="AP71"/>
    <s v="RP"/>
    <s v="324"/>
    <s v="4.0 UN"/>
    <s v="STANDARD"/>
    <s v="N"/>
    <s v="Y"/>
    <s v="N"/>
    <s v="T20"/>
    <s v="Y"/>
    <s v="N"/>
    <s v="N"/>
    <s v="N"/>
    <s v="A016"/>
    <d v="2017-01-02T00:00:00"/>
    <s v="20"/>
    <s v="TAN"/>
    <s v="OR"/>
    <d v="2016-12-28T00:00:00"/>
    <s v="WY"/>
    <s v="US"/>
    <s v="ZR"/>
    <d v="2016-12-28T00:00:00"/>
  </r>
  <r>
    <x v="0"/>
    <x v="0"/>
    <x v="1210"/>
    <x v="4"/>
    <s v="Standard order"/>
    <x v="1185"/>
    <x v="1184"/>
    <s v="G333"/>
    <s v="CRYSTAL G333NT"/>
    <s v="5003378"/>
    <s v="G333 ACH T20 Kabina RP"/>
    <n v="36"/>
    <n v="0"/>
    <n v="36"/>
    <x v="0"/>
    <s v="EE73"/>
    <s v="RP"/>
    <s v="387"/>
    <s v="4.0 UN"/>
    <s v="STANDARD"/>
    <s v="N"/>
    <s v="N"/>
    <s v="Y"/>
    <s v="T20"/>
    <s v="N"/>
    <s v="N"/>
    <s v="N"/>
    <s v="N"/>
    <s v="A035"/>
    <d v="2017-01-02T00:00:00"/>
    <s v="10"/>
    <s v="TAN"/>
    <s v="OR"/>
    <d v="2016-12-28T00:00:00"/>
    <s v="MI"/>
    <s v="US"/>
    <s v="ZR"/>
    <d v="2016-12-28T00:00:00"/>
  </r>
  <r>
    <x v="0"/>
    <x v="0"/>
    <x v="1210"/>
    <x v="4"/>
    <s v="Standard order"/>
    <x v="1185"/>
    <x v="1184"/>
    <s v="R059"/>
    <s v="CRYSTAL RR059"/>
    <s v="5003530"/>
    <s v="R059 ACH T20 Kabina RP"/>
    <n v="36"/>
    <n v="0"/>
    <n v="36"/>
    <x v="0"/>
    <s v="AP73"/>
    <s v="RP"/>
    <s v="387"/>
    <s v="4.0 UN"/>
    <s v="STANDARD"/>
    <s v="N"/>
    <s v="N"/>
    <s v="Y"/>
    <s v="T20"/>
    <s v="N"/>
    <s v="N"/>
    <s v="N"/>
    <s v="N"/>
    <s v="A035"/>
    <d v="2017-01-02T00:00:00"/>
    <s v="20"/>
    <s v="TAN"/>
    <s v="OR"/>
    <d v="2016-12-28T00:00:00"/>
    <s v="MI"/>
    <s v="US"/>
    <s v="ZR"/>
    <d v="2016-12-28T00:00:00"/>
  </r>
  <r>
    <x v="0"/>
    <x v="5"/>
    <x v="1211"/>
    <x v="14"/>
    <s v="Standard order"/>
    <x v="1186"/>
    <x v="1185"/>
    <s v="Y400"/>
    <s v="CRYSTAL Y400NT"/>
    <s v="5003733"/>
    <s v="Y400 ACH T20 PB SYSTIVA MP"/>
    <n v="24"/>
    <n v="0"/>
    <n v="24"/>
    <x v="5"/>
    <s v="4TBP"/>
    <s v="MP"/>
    <s v="324"/>
    <s v="4.0 UN"/>
    <s v="STANDARD"/>
    <s v="N"/>
    <s v="Y"/>
    <s v="N"/>
    <s v="T20"/>
    <s v="Y"/>
    <s v="N"/>
    <s v="N"/>
    <s v="N"/>
    <s v="A017"/>
    <d v="2017-01-02T00:00:00"/>
    <s v="10"/>
    <s v="TAN"/>
    <s v="OR"/>
    <d v="2016-12-28T00:00:00"/>
    <s v="WY"/>
    <s v="US"/>
    <s v="ZR"/>
    <d v="2016-12-28T00:00:00"/>
  </r>
  <r>
    <x v="0"/>
    <x v="2"/>
    <x v="1212"/>
    <x v="23"/>
    <s v="Standard order"/>
    <x v="1187"/>
    <x v="1186"/>
    <s v="R014"/>
    <s v="CRYSTAL RR014"/>
    <s v="5003091"/>
    <s v="R014 ACH T20 PB SYSTIVA G100"/>
    <n v="28"/>
    <n v="0"/>
    <n v="28"/>
    <x v="2"/>
    <s v="AP82"/>
    <s v="GEM 100"/>
    <s v="324"/>
    <s v="4.0 UN"/>
    <s v="STANDARD"/>
    <s v="N"/>
    <s v="Y"/>
    <s v="N"/>
    <s v="T20"/>
    <s v="Y"/>
    <s v="N"/>
    <s v="Y"/>
    <s v="N"/>
    <s v="A055"/>
    <d v="2017-01-02T00:00:00"/>
    <s v="10"/>
    <s v="TAN"/>
    <s v="OR"/>
    <d v="2016-12-28T00:00:00"/>
    <s v="WY"/>
    <s v="US"/>
    <s v="ZR"/>
    <d v="2016-12-28T00:00:00"/>
  </r>
  <r>
    <x v="0"/>
    <x v="5"/>
    <x v="1213"/>
    <x v="9"/>
    <s v="Standard order"/>
    <x v="1188"/>
    <x v="1187"/>
    <s v="R116"/>
    <s v="CRYSTAL RR116"/>
    <s v="5003105"/>
    <s v="R116 ACH T20 PB SYSTIVA RP"/>
    <n v="20"/>
    <n v="0"/>
    <n v="20"/>
    <x v="5"/>
    <s v="AP71"/>
    <s v="RP"/>
    <s v="324"/>
    <s v="4.0 UN"/>
    <s v="STANDARD"/>
    <s v="N"/>
    <s v="Y"/>
    <s v="N"/>
    <s v="T20"/>
    <s v="Y"/>
    <s v="N"/>
    <s v="N"/>
    <s v="N"/>
    <s v="A016"/>
    <d v="2017-01-02T00:00:00"/>
    <s v="10"/>
    <s v="TAN"/>
    <s v="OR"/>
    <d v="2016-12-28T00:00:00"/>
    <s v="WY"/>
    <s v="US"/>
    <s v="ZR"/>
    <d v="2016-12-28T00:00:00"/>
  </r>
  <r>
    <x v="0"/>
    <x v="0"/>
    <x v="1214"/>
    <x v="2"/>
    <s v="Standard order"/>
    <x v="1189"/>
    <x v="1188"/>
    <s v="R059"/>
    <s v="CRYSTAL RR059"/>
    <s v="5003534"/>
    <s v="R059 ACH T20 SYSTIVA ELS"/>
    <n v="8"/>
    <n v="0"/>
    <n v="8"/>
    <x v="0"/>
    <s v="AP73"/>
    <s v="ELS"/>
    <s v="328"/>
    <s v="4.0 UN"/>
    <s v="STANDARD"/>
    <s v="N"/>
    <s v="N"/>
    <s v="N"/>
    <s v="T20"/>
    <s v="Y"/>
    <s v="N"/>
    <s v="Y"/>
    <s v="N"/>
    <s v="A034"/>
    <d v="2017-01-02T00:00:00"/>
    <s v="10"/>
    <s v="TAN"/>
    <s v="OR"/>
    <d v="2016-12-27T00:00:00"/>
    <s v="MI"/>
    <s v="US"/>
    <s v="ZR"/>
    <d v="2016-12-28T00:00:00"/>
  </r>
  <r>
    <x v="0"/>
    <x v="5"/>
    <x v="1215"/>
    <x v="9"/>
    <s v="Standard order"/>
    <x v="1190"/>
    <x v="1189"/>
    <s v="R116"/>
    <s v="CRYSTAL RR116"/>
    <s v="5003105"/>
    <s v="R116 ACH T20 PB SYSTIVA RP"/>
    <n v="52"/>
    <n v="0"/>
    <n v="52"/>
    <x v="5"/>
    <s v="AP71"/>
    <s v="RP"/>
    <s v="324"/>
    <s v="4.0 UN"/>
    <s v="STANDARD"/>
    <s v="N"/>
    <s v="Y"/>
    <s v="N"/>
    <s v="T20"/>
    <s v="Y"/>
    <s v="N"/>
    <s v="N"/>
    <s v="N"/>
    <s v="A016"/>
    <d v="2017-01-02T00:00:00"/>
    <s v="10"/>
    <s v="TAN"/>
    <s v="OR"/>
    <d v="2016-12-28T00:00:00"/>
    <s v="WY"/>
    <s v="US"/>
    <s v="ZR"/>
    <d v="2016-12-28T00:00:00"/>
  </r>
  <r>
    <x v="0"/>
    <x v="0"/>
    <x v="1216"/>
    <x v="4"/>
    <s v="Standard order"/>
    <x v="1191"/>
    <x v="1190"/>
    <s v="G515"/>
    <s v="CRYSTAL G515"/>
    <s v="5003018"/>
    <s v="G515 ACH T20 Kabina MP"/>
    <n v="8"/>
    <n v="0"/>
    <n v="8"/>
    <x v="0"/>
    <s v="APND"/>
    <s v="MP"/>
    <s v="387"/>
    <s v="4.0 UN"/>
    <s v="STANDARD"/>
    <s v="N"/>
    <s v="N"/>
    <s v="Y"/>
    <s v="T20"/>
    <s v="N"/>
    <s v="N"/>
    <s v="N"/>
    <s v="N"/>
    <s v="A035"/>
    <d v="2017-01-02T00:00:00"/>
    <s v="10"/>
    <s v="TAN"/>
    <s v="OR"/>
    <d v="2016-12-28T00:00:00"/>
    <s v="MI"/>
    <s v="US"/>
    <s v="ZR"/>
    <d v="2016-12-28T00:00:00"/>
  </r>
  <r>
    <x v="0"/>
    <x v="0"/>
    <x v="1216"/>
    <x v="4"/>
    <s v="Standard order"/>
    <x v="1191"/>
    <x v="1190"/>
    <s v="R059"/>
    <s v="CRYSTAL RR059"/>
    <s v="5003529"/>
    <s v="R059 ACH T20 Kabina MP"/>
    <n v="24"/>
    <n v="0"/>
    <n v="24"/>
    <x v="0"/>
    <s v="AP73"/>
    <s v="MP"/>
    <s v="387"/>
    <s v="4.0 UN"/>
    <s v="STANDARD"/>
    <s v="N"/>
    <s v="N"/>
    <s v="Y"/>
    <s v="T20"/>
    <s v="N"/>
    <s v="N"/>
    <s v="N"/>
    <s v="N"/>
    <s v="A035"/>
    <d v="2017-01-02T00:00:00"/>
    <s v="20"/>
    <s v="TAN"/>
    <s v="OR"/>
    <d v="2016-12-28T00:00:00"/>
    <s v="MI"/>
    <s v="US"/>
    <s v="ZR"/>
    <d v="2016-12-28T00:00:00"/>
  </r>
  <r>
    <x v="0"/>
    <x v="0"/>
    <x v="1217"/>
    <x v="4"/>
    <s v="Standard order"/>
    <x v="1192"/>
    <x v="1191"/>
    <s v="G333"/>
    <s v="CRYSTAL G333NT"/>
    <s v="5003377"/>
    <s v="G333 ACH T20 Kabina MP"/>
    <n v="36"/>
    <n v="0"/>
    <n v="36"/>
    <x v="0"/>
    <s v="EE73"/>
    <s v="MP"/>
    <s v="387"/>
    <s v="4.0 UN"/>
    <s v="STANDARD"/>
    <s v="N"/>
    <s v="N"/>
    <s v="Y"/>
    <s v="T20"/>
    <s v="N"/>
    <s v="N"/>
    <s v="N"/>
    <s v="N"/>
    <s v="A035"/>
    <d v="2017-01-02T00:00:00"/>
    <s v="10"/>
    <s v="TAN"/>
    <s v="OR"/>
    <d v="2016-12-28T00:00:00"/>
    <s v="MI"/>
    <s v="US"/>
    <s v="ZR"/>
    <d v="2016-12-28T00:00:00"/>
  </r>
  <r>
    <x v="0"/>
    <x v="0"/>
    <x v="1218"/>
    <x v="10"/>
    <s v="Standard order"/>
    <x v="1193"/>
    <x v="1192"/>
    <s v="R059"/>
    <s v="CRYSTAL RR059"/>
    <s v="5003528"/>
    <s v="R059 ACH T20 Kabina ELS"/>
    <n v="100"/>
    <n v="0"/>
    <n v="100"/>
    <x v="0"/>
    <s v="AP73"/>
    <s v="ELS"/>
    <s v="387"/>
    <s v="4.0 UN"/>
    <s v="STANDARD"/>
    <s v="N"/>
    <s v="N"/>
    <s v="Y"/>
    <s v="T20"/>
    <s v="N"/>
    <s v="N"/>
    <s v="N"/>
    <s v="N"/>
    <s v="A036"/>
    <d v="2017-01-02T00:00:00"/>
    <s v="10"/>
    <s v="TAN"/>
    <s v="OR"/>
    <d v="2016-12-27T00:00:00"/>
    <s v="MI"/>
    <s v="US"/>
    <s v="ZR"/>
    <d v="2016-12-28T00:00:00"/>
  </r>
  <r>
    <x v="0"/>
    <x v="0"/>
    <x v="1218"/>
    <x v="10"/>
    <s v="Standard order"/>
    <x v="1193"/>
    <x v="1192"/>
    <s v="G333"/>
    <s v="CRYSTAL G333NT"/>
    <s v="5003376"/>
    <s v="G333 ACH T20 Kabina ELS"/>
    <n v="32"/>
    <n v="0"/>
    <n v="32"/>
    <x v="0"/>
    <s v="EE73"/>
    <s v="ELS"/>
    <s v="387"/>
    <s v="4.0 UN"/>
    <s v="STANDARD"/>
    <s v="N"/>
    <s v="N"/>
    <s v="Y"/>
    <s v="T20"/>
    <s v="N"/>
    <s v="N"/>
    <s v="N"/>
    <s v="N"/>
    <s v="A036"/>
    <d v="2017-01-02T00:00:00"/>
    <s v="20"/>
    <s v="TAN"/>
    <s v="OR"/>
    <d v="2016-12-27T00:00:00"/>
    <s v="MI"/>
    <s v="US"/>
    <s v="ZR"/>
    <d v="2016-12-28T00:00:00"/>
  </r>
  <r>
    <x v="0"/>
    <x v="0"/>
    <x v="1219"/>
    <x v="10"/>
    <s v="Standard order"/>
    <x v="1194"/>
    <x v="1193"/>
    <s v="R059"/>
    <s v="CRYSTAL RR059"/>
    <s v="5003529"/>
    <s v="R059 ACH T20 Kabina MP"/>
    <n v="32"/>
    <n v="0"/>
    <n v="32"/>
    <x v="0"/>
    <s v="AP73"/>
    <s v="MP"/>
    <s v="387"/>
    <s v="4.0 UN"/>
    <s v="STANDARD"/>
    <s v="N"/>
    <s v="N"/>
    <s v="Y"/>
    <s v="T20"/>
    <s v="N"/>
    <s v="N"/>
    <s v="N"/>
    <s v="N"/>
    <s v="A036"/>
    <d v="2017-01-02T00:00:00"/>
    <s v="10"/>
    <s v="TAN"/>
    <s v="OR"/>
    <d v="2016-12-27T00:00:00"/>
    <s v="MI"/>
    <s v="US"/>
    <s v="ZR"/>
    <d v="2016-12-28T00:00:00"/>
  </r>
  <r>
    <x v="0"/>
    <x v="0"/>
    <x v="1220"/>
    <x v="2"/>
    <s v="Standard order"/>
    <x v="1195"/>
    <x v="1194"/>
    <s v="R059"/>
    <s v="CRYSTAL RR059"/>
    <s v="5003530"/>
    <s v="R059 ACH T20 Kabina RP"/>
    <n v="40"/>
    <n v="0"/>
    <n v="40"/>
    <x v="0"/>
    <s v="AP73"/>
    <s v="RP"/>
    <s v="387"/>
    <s v="4.0 UN"/>
    <s v="STANDARD"/>
    <s v="N"/>
    <s v="N"/>
    <s v="Y"/>
    <s v="T20"/>
    <s v="N"/>
    <s v="N"/>
    <s v="N"/>
    <s v="N"/>
    <s v="A034"/>
    <d v="2017-01-02T00:00:00"/>
    <s v="10"/>
    <s v="TAN"/>
    <s v="OR"/>
    <d v="2016-12-27T00:00:00"/>
    <s v="MI"/>
    <s v="US"/>
    <s v="ZR"/>
    <d v="2016-12-28T00:00:00"/>
  </r>
  <r>
    <x v="0"/>
    <x v="2"/>
    <x v="1221"/>
    <x v="24"/>
    <s v="Standard order"/>
    <x v="1196"/>
    <x v="1195"/>
    <s v="W322"/>
    <s v="CRYSTAL W322NT"/>
    <s v="5003488"/>
    <s v="W322 ACH T20 PB SYSTIVA G100"/>
    <n v="28"/>
    <n v="0"/>
    <n v="28"/>
    <x v="2"/>
    <s v="EE73"/>
    <s v="GEM 100"/>
    <s v="324"/>
    <s v="4.0 UN"/>
    <s v="STANDARD"/>
    <s v="N"/>
    <s v="Y"/>
    <s v="N"/>
    <s v="T20"/>
    <s v="Y"/>
    <s v="N"/>
    <s v="Y"/>
    <s v="N"/>
    <s v="A022"/>
    <d v="2017-01-02T00:00:00"/>
    <s v="10"/>
    <s v="TAN"/>
    <s v="OR"/>
    <d v="2016-12-28T00:00:00"/>
    <s v="CO"/>
    <s v="US"/>
    <s v="ZR"/>
    <d v="2016-12-28T00:00:00"/>
  </r>
  <r>
    <x v="0"/>
    <x v="0"/>
    <x v="1222"/>
    <x v="2"/>
    <s v="Standard order"/>
    <x v="1197"/>
    <x v="1196"/>
    <s v="G333"/>
    <s v="CRYSTAL G333NT"/>
    <s v="5003378"/>
    <s v="G333 ACH T20 Kabina RP"/>
    <n v="48"/>
    <n v="0"/>
    <n v="48"/>
    <x v="0"/>
    <s v="EE73"/>
    <s v="RP"/>
    <s v="387"/>
    <s v="4.0 UN"/>
    <s v="STANDARD"/>
    <s v="N"/>
    <s v="N"/>
    <s v="Y"/>
    <s v="T20"/>
    <s v="N"/>
    <s v="N"/>
    <s v="N"/>
    <s v="N"/>
    <s v="A034"/>
    <d v="2017-01-03T00:00:00"/>
    <s v="10"/>
    <s v="TAN"/>
    <s v="OR"/>
    <d v="2016-12-28T00:00:00"/>
    <s v="MI"/>
    <s v="US"/>
    <s v="ZR"/>
    <d v="2016-12-29T00:00:00"/>
  </r>
  <r>
    <x v="0"/>
    <x v="0"/>
    <x v="1223"/>
    <x v="2"/>
    <s v="Standard order"/>
    <x v="1198"/>
    <x v="1197"/>
    <s v="R059"/>
    <s v="CRYSTAL RR059"/>
    <s v="5003528"/>
    <s v="R059 ACH T20 Kabina ELS"/>
    <n v="220"/>
    <n v="0"/>
    <n v="220"/>
    <x v="0"/>
    <s v="AP73"/>
    <s v="ELS"/>
    <s v="387"/>
    <s v="4.0 UN"/>
    <s v="STANDARD"/>
    <s v="N"/>
    <s v="N"/>
    <s v="Y"/>
    <s v="T20"/>
    <s v="N"/>
    <s v="N"/>
    <s v="N"/>
    <s v="N"/>
    <s v="A034"/>
    <d v="2017-01-03T00:00:00"/>
    <s v="10"/>
    <s v="TAN"/>
    <s v="OR"/>
    <d v="2016-12-28T00:00:00"/>
    <s v="MI"/>
    <s v="US"/>
    <s v="ZR"/>
    <d v="2016-12-29T00:00:00"/>
  </r>
  <r>
    <x v="0"/>
    <x v="0"/>
    <x v="1224"/>
    <x v="2"/>
    <s v="Standard order"/>
    <x v="1199"/>
    <x v="1198"/>
    <s v="R059"/>
    <s v="CRYSTAL RR059"/>
    <s v="5003536"/>
    <s v="R059 ACH T20 SYSTIVA RP"/>
    <n v="68"/>
    <n v="0"/>
    <n v="68"/>
    <x v="0"/>
    <s v="AP73"/>
    <s v="RP"/>
    <s v="328"/>
    <s v="4.0 UN"/>
    <s v="STANDARD"/>
    <s v="N"/>
    <s v="N"/>
    <s v="N"/>
    <s v="T20"/>
    <s v="Y"/>
    <s v="N"/>
    <s v="Y"/>
    <s v="N"/>
    <s v="A034"/>
    <d v="2017-01-03T00:00:00"/>
    <s v="10"/>
    <s v="TAN"/>
    <s v="OR"/>
    <d v="2016-12-28T00:00:00"/>
    <s v="MI"/>
    <s v="US"/>
    <s v="ZR"/>
    <d v="2016-12-29T00:00:00"/>
  </r>
  <r>
    <x v="0"/>
    <x v="0"/>
    <x v="1225"/>
    <x v="2"/>
    <s v="Standard order"/>
    <x v="1200"/>
    <x v="1199"/>
    <s v="R059"/>
    <s v="CRYSTAL RR059"/>
    <s v="5003530"/>
    <s v="R059 ACH T20 Kabina RP"/>
    <n v="72"/>
    <n v="0"/>
    <n v="72"/>
    <x v="0"/>
    <s v="AP73"/>
    <s v="RP"/>
    <s v="387"/>
    <s v="4.0 UN"/>
    <s v="STANDARD"/>
    <s v="N"/>
    <s v="N"/>
    <s v="Y"/>
    <s v="T20"/>
    <s v="N"/>
    <s v="N"/>
    <s v="N"/>
    <s v="N"/>
    <s v="A034"/>
    <d v="2017-01-03T00:00:00"/>
    <s v="10"/>
    <s v="TAN"/>
    <s v="OR"/>
    <d v="2016-12-28T00:00:00"/>
    <s v="MI"/>
    <s v="US"/>
    <s v="ZR"/>
    <d v="2016-12-29T00:00:00"/>
  </r>
  <r>
    <x v="0"/>
    <x v="0"/>
    <x v="1226"/>
    <x v="0"/>
    <s v="Standard order"/>
    <x v="1201"/>
    <x v="1200"/>
    <s v="R059"/>
    <s v="CRYSTAL RR059"/>
    <s v="5003518"/>
    <s v="R059 ACH CM Vibrance RP"/>
    <n v="24"/>
    <n v="0"/>
    <n v="24"/>
    <x v="0"/>
    <s v="AP73"/>
    <s v="RP"/>
    <s v="393"/>
    <s v="4.0 UN"/>
    <s v="STANDARD"/>
    <s v="Y"/>
    <s v="N"/>
    <s v="N"/>
    <s v="N"/>
    <s v="N"/>
    <s v="N"/>
    <s v="N"/>
    <s v="Y"/>
    <s v="A037"/>
    <d v="2017-01-03T00:00:00"/>
    <s v="10"/>
    <s v="TAN"/>
    <s v="OR"/>
    <d v="2016-12-29T00:00:00"/>
    <s v="ON"/>
    <s v="CA"/>
    <s v="ZR"/>
    <d v="2016-12-29T00:00:00"/>
  </r>
  <r>
    <x v="0"/>
    <x v="0"/>
    <x v="1226"/>
    <x v="0"/>
    <s v="Standard order"/>
    <x v="1201"/>
    <x v="1200"/>
    <s v="G515"/>
    <s v="CRYSTAL G515"/>
    <s v="5003007"/>
    <s v="G515 ACH CM Vibrance RP"/>
    <n v="8"/>
    <n v="0"/>
    <n v="8"/>
    <x v="0"/>
    <s v="APND"/>
    <s v="RP"/>
    <s v="393"/>
    <s v="4.0 UN"/>
    <s v="STANDARD"/>
    <s v="Y"/>
    <s v="N"/>
    <s v="N"/>
    <s v="N"/>
    <s v="N"/>
    <s v="N"/>
    <s v="N"/>
    <s v="Y"/>
    <s v="A037"/>
    <d v="2017-01-03T00:00:00"/>
    <s v="20"/>
    <s v="TAN"/>
    <s v="OR"/>
    <d v="2016-12-29T00:00:00"/>
    <s v="ON"/>
    <s v="CA"/>
    <s v="ZR"/>
    <d v="2016-12-29T00:00:00"/>
  </r>
  <r>
    <x v="0"/>
    <x v="4"/>
    <x v="1227"/>
    <x v="7"/>
    <s v="Standard order"/>
    <x v="1202"/>
    <x v="1201"/>
    <s v="A399"/>
    <s v="CRYSTAL A399NT"/>
    <s v="5002936"/>
    <s v="A399 ACH T20 PB Kabina MP"/>
    <n v="20"/>
    <n v="0"/>
    <n v="20"/>
    <x v="4"/>
    <s v="DP71"/>
    <s v="MP"/>
    <s v="388"/>
    <s v="4.0 UN"/>
    <s v="STANDARD"/>
    <s v="N"/>
    <s v="Y"/>
    <s v="Y"/>
    <s v="T20"/>
    <s v="N"/>
    <s v="N"/>
    <s v="N"/>
    <s v="N"/>
    <s v="A045"/>
    <d v="2017-01-03T00:00:00"/>
    <s v="10"/>
    <s v="TAN"/>
    <s v="OR"/>
    <d v="2016-12-29T00:00:00"/>
    <s v="ID"/>
    <s v="US"/>
    <s v="ZR"/>
    <d v="2016-12-29T00:00:00"/>
  </r>
  <r>
    <x v="0"/>
    <x v="4"/>
    <x v="1227"/>
    <x v="7"/>
    <s v="Standard order"/>
    <x v="1202"/>
    <x v="1201"/>
    <s v="R240"/>
    <s v="CRYSTAL RR240NT"/>
    <s v="5003167"/>
    <s v="R240 ACH T20 PB Kabina MP"/>
    <n v="20"/>
    <n v="0"/>
    <n v="20"/>
    <x v="4"/>
    <s v="BHMP"/>
    <s v="MP"/>
    <s v="388"/>
    <s v="4.0 UN"/>
    <s v="STANDARD"/>
    <s v="N"/>
    <s v="Y"/>
    <s v="Y"/>
    <s v="T20"/>
    <s v="N"/>
    <s v="N"/>
    <s v="N"/>
    <s v="N"/>
    <s v="A045"/>
    <d v="2017-01-03T00:00:00"/>
    <s v="20"/>
    <s v="TAN"/>
    <s v="OR"/>
    <d v="2016-12-29T00:00:00"/>
    <s v="ID"/>
    <s v="US"/>
    <s v="ZR"/>
    <d v="2016-12-29T00:00:00"/>
  </r>
  <r>
    <x v="0"/>
    <x v="0"/>
    <x v="1228"/>
    <x v="0"/>
    <s v="Standard order"/>
    <x v="1203"/>
    <x v="1202"/>
    <s v="R059"/>
    <s v="CRYSTAL RR059"/>
    <s v="5003518"/>
    <s v="R059 ACH CM Vibrance RP"/>
    <n v="32"/>
    <n v="0"/>
    <n v="32"/>
    <x v="0"/>
    <s v="AP73"/>
    <s v="RP"/>
    <s v="393"/>
    <s v="4.0 UN"/>
    <s v="STANDARD"/>
    <s v="Y"/>
    <s v="N"/>
    <s v="N"/>
    <s v="N"/>
    <s v="N"/>
    <s v="N"/>
    <s v="N"/>
    <s v="Y"/>
    <s v="A037"/>
    <d v="2017-01-03T00:00:00"/>
    <s v="10"/>
    <s v="TAN"/>
    <s v="OR"/>
    <d v="2016-12-29T00:00:00"/>
    <s v="ON"/>
    <s v="CA"/>
    <s v="ZR"/>
    <d v="2016-12-29T00:00:00"/>
  </r>
  <r>
    <x v="0"/>
    <x v="0"/>
    <x v="1228"/>
    <x v="0"/>
    <s v="Standard order"/>
    <x v="1203"/>
    <x v="1202"/>
    <s v="G515"/>
    <s v="CRYSTAL G515"/>
    <s v="5003007"/>
    <s v="G515 ACH CM Vibrance RP"/>
    <n v="16"/>
    <n v="0"/>
    <n v="16"/>
    <x v="0"/>
    <s v="APND"/>
    <s v="RP"/>
    <s v="393"/>
    <s v="4.0 UN"/>
    <s v="STANDARD"/>
    <s v="Y"/>
    <s v="N"/>
    <s v="N"/>
    <s v="N"/>
    <s v="N"/>
    <s v="N"/>
    <s v="N"/>
    <s v="Y"/>
    <s v="A037"/>
    <d v="2017-01-03T00:00:00"/>
    <s v="20"/>
    <s v="TAN"/>
    <s v="OR"/>
    <d v="2016-12-29T00:00:00"/>
    <s v="ON"/>
    <s v="CA"/>
    <s v="ZR"/>
    <d v="2016-12-29T00:00:00"/>
  </r>
  <r>
    <x v="0"/>
    <x v="4"/>
    <x v="1229"/>
    <x v="7"/>
    <s v="Standard order"/>
    <x v="1204"/>
    <x v="1203"/>
    <s v="A399"/>
    <s v="CRYSTAL A399NT"/>
    <s v="5002928"/>
    <s v="A399 ACH PB LRG"/>
    <n v="24"/>
    <n v="0"/>
    <n v="24"/>
    <x v="4"/>
    <s v="DP71"/>
    <s v="LARGE"/>
    <s v="314"/>
    <s v="4.0 UN"/>
    <s v="STANDARD"/>
    <s v="N"/>
    <s v="Y"/>
    <s v="N"/>
    <s v="N"/>
    <s v="N"/>
    <s v="N"/>
    <s v="N"/>
    <s v="N"/>
    <s v="A045"/>
    <d v="2017-01-03T00:00:00"/>
    <s v="10"/>
    <s v="TAN"/>
    <s v="OR"/>
    <d v="2016-12-29T00:00:00"/>
    <s v="ID"/>
    <s v="US"/>
    <s v="ZR"/>
    <d v="2016-12-29T00:00:00"/>
  </r>
  <r>
    <x v="0"/>
    <x v="0"/>
    <x v="1230"/>
    <x v="4"/>
    <s v="Standard order"/>
    <x v="1205"/>
    <x v="1204"/>
    <s v="R059"/>
    <s v="CRYSTAL RR059"/>
    <s v="5003529"/>
    <s v="R059 ACH T20 Kabina MP"/>
    <n v="8"/>
    <n v="0"/>
    <n v="8"/>
    <x v="0"/>
    <s v="AP73"/>
    <s v="MP"/>
    <s v="387"/>
    <s v="4.0 UN"/>
    <s v="STANDARD"/>
    <s v="N"/>
    <s v="N"/>
    <s v="Y"/>
    <s v="T20"/>
    <s v="N"/>
    <s v="N"/>
    <s v="N"/>
    <s v="N"/>
    <s v="A035"/>
    <d v="2017-01-03T00:00:00"/>
    <s v="10"/>
    <s v="TAN"/>
    <s v="OR"/>
    <d v="2016-12-29T00:00:00"/>
    <s v="MI"/>
    <s v="US"/>
    <s v="ZR"/>
    <d v="2016-12-29T00:00:00"/>
  </r>
  <r>
    <x v="0"/>
    <x v="0"/>
    <x v="1231"/>
    <x v="10"/>
    <s v="Standard order"/>
    <x v="1206"/>
    <x v="1205"/>
    <s v="R059"/>
    <s v="CRYSTAL RR059"/>
    <s v="5003530"/>
    <s v="R059 ACH T20 Kabina RP"/>
    <n v="48"/>
    <n v="0"/>
    <n v="48"/>
    <x v="0"/>
    <s v="AP73"/>
    <s v="RP"/>
    <s v="387"/>
    <s v="4.0 UN"/>
    <s v="STANDARD"/>
    <s v="N"/>
    <s v="N"/>
    <s v="Y"/>
    <s v="T20"/>
    <s v="N"/>
    <s v="N"/>
    <s v="N"/>
    <s v="N"/>
    <s v="A036"/>
    <d v="2017-01-03T00:00:00"/>
    <s v="10"/>
    <s v="TAN"/>
    <s v="OR"/>
    <d v="2016-12-28T00:00:00"/>
    <s v="MI"/>
    <s v="US"/>
    <s v="ZR"/>
    <d v="2016-12-29T00:00:00"/>
  </r>
  <r>
    <x v="0"/>
    <x v="0"/>
    <x v="1232"/>
    <x v="0"/>
    <s v="Standard order"/>
    <x v="1207"/>
    <x v="1206"/>
    <s v="R059"/>
    <s v="CRYSTAL RR059"/>
    <s v="5003518"/>
    <s v="R059 ACH CM Vibrance RP"/>
    <n v="16"/>
    <n v="0"/>
    <n v="16"/>
    <x v="0"/>
    <s v="AP73"/>
    <s v="RP"/>
    <s v="393"/>
    <s v="4.0 UN"/>
    <s v="STANDARD"/>
    <s v="Y"/>
    <s v="N"/>
    <s v="N"/>
    <s v="N"/>
    <s v="N"/>
    <s v="N"/>
    <s v="N"/>
    <s v="Y"/>
    <s v="A037"/>
    <d v="2017-01-03T00:00:00"/>
    <s v="10"/>
    <s v="TAN"/>
    <s v="OR"/>
    <d v="2016-12-29T00:00:00"/>
    <s v="ON"/>
    <s v="CA"/>
    <s v="ZR"/>
    <d v="2016-12-29T00:00:00"/>
  </r>
  <r>
    <x v="0"/>
    <x v="0"/>
    <x v="1232"/>
    <x v="0"/>
    <s v="Standard order"/>
    <x v="1207"/>
    <x v="1206"/>
    <s v="G515"/>
    <s v="CRYSTAL G515"/>
    <s v="5003007"/>
    <s v="G515 ACH CM Vibrance RP"/>
    <n v="8"/>
    <n v="0"/>
    <n v="8"/>
    <x v="0"/>
    <s v="APND"/>
    <s v="RP"/>
    <s v="393"/>
    <s v="4.0 UN"/>
    <s v="STANDARD"/>
    <s v="Y"/>
    <s v="N"/>
    <s v="N"/>
    <s v="N"/>
    <s v="N"/>
    <s v="N"/>
    <s v="N"/>
    <s v="Y"/>
    <s v="A037"/>
    <d v="2017-01-03T00:00:00"/>
    <s v="20"/>
    <s v="TAN"/>
    <s v="OR"/>
    <d v="2016-12-29T00:00:00"/>
    <s v="ON"/>
    <s v="CA"/>
    <s v="ZR"/>
    <d v="2016-12-29T00:00:00"/>
  </r>
  <r>
    <x v="0"/>
    <x v="2"/>
    <x v="1233"/>
    <x v="22"/>
    <s v="Standard order"/>
    <x v="1208"/>
    <x v="1207"/>
    <s v="R014"/>
    <s v="CRYSTAL RR014"/>
    <s v="5003091"/>
    <s v="R014 ACH T20 PB SYSTIVA G100"/>
    <n v="16"/>
    <n v="0"/>
    <n v="16"/>
    <x v="2"/>
    <s v="AP82"/>
    <s v="GEM 100"/>
    <s v="324"/>
    <s v="4.0 UN"/>
    <s v="STANDARD"/>
    <s v="N"/>
    <s v="Y"/>
    <s v="N"/>
    <s v="T20"/>
    <s v="Y"/>
    <s v="N"/>
    <s v="Y"/>
    <s v="N"/>
    <s v="A018"/>
    <d v="2017-01-03T00:00:00"/>
    <s v="10"/>
    <s v="TAN"/>
    <s v="OR"/>
    <d v="2016-12-29T00:00:00"/>
    <s v="CO"/>
    <s v="US"/>
    <s v="ZR"/>
    <d v="2016-12-29T00:00:00"/>
  </r>
  <r>
    <x v="0"/>
    <x v="2"/>
    <x v="1233"/>
    <x v="22"/>
    <s v="Standard order"/>
    <x v="1208"/>
    <x v="1207"/>
    <s v="W322"/>
    <s v="CRYSTAL W322NT"/>
    <s v="5003488"/>
    <s v="W322 ACH T20 PB SYSTIVA G100"/>
    <n v="24"/>
    <n v="0"/>
    <n v="24"/>
    <x v="2"/>
    <s v="EE73"/>
    <s v="GEM 100"/>
    <s v="324"/>
    <s v="4.0 UN"/>
    <s v="STANDARD"/>
    <s v="N"/>
    <s v="Y"/>
    <s v="N"/>
    <s v="T20"/>
    <s v="Y"/>
    <s v="N"/>
    <s v="Y"/>
    <s v="N"/>
    <s v="A018"/>
    <d v="2017-01-03T00:00:00"/>
    <s v="20"/>
    <s v="TAN"/>
    <s v="OR"/>
    <d v="2016-12-29T00:00:00"/>
    <s v="CO"/>
    <s v="US"/>
    <s v="ZR"/>
    <d v="2016-12-29T00:00:00"/>
  </r>
  <r>
    <x v="0"/>
    <x v="2"/>
    <x v="1234"/>
    <x v="5"/>
    <s v="Standard order"/>
    <x v="1209"/>
    <x v="1208"/>
    <s v="W322"/>
    <s v="CRYSTAL W322NT"/>
    <s v="5003489"/>
    <s v="W322 ACH T20 PB SYSTIVA G50"/>
    <n v="36"/>
    <n v="0"/>
    <n v="36"/>
    <x v="2"/>
    <s v="EE73"/>
    <s v="GEM 50"/>
    <s v="324"/>
    <s v="4.0 UN"/>
    <s v="STANDARD"/>
    <s v="N"/>
    <s v="Y"/>
    <s v="N"/>
    <s v="T20"/>
    <s v="Y"/>
    <s v="N"/>
    <s v="Y"/>
    <s v="N"/>
    <s v="A020"/>
    <d v="2017-01-03T00:00:00"/>
    <s v="10"/>
    <s v="TAN"/>
    <s v="OR"/>
    <d v="2016-12-29T00:00:00"/>
    <s v="CO"/>
    <s v="US"/>
    <s v="ZR"/>
    <d v="2016-12-29T00:00:00"/>
  </r>
  <r>
    <x v="0"/>
    <x v="0"/>
    <x v="1235"/>
    <x v="4"/>
    <s v="Standard order"/>
    <x v="1210"/>
    <x v="1209"/>
    <s v="R059"/>
    <s v="CRYSTAL RR059"/>
    <s v="5003528"/>
    <s v="R059 ACH T20 Kabina ELS"/>
    <n v="16"/>
    <n v="0"/>
    <n v="16"/>
    <x v="0"/>
    <s v="AP73"/>
    <s v="ELS"/>
    <s v="387"/>
    <s v="4.0 UN"/>
    <s v="STANDARD"/>
    <s v="N"/>
    <s v="N"/>
    <s v="Y"/>
    <s v="T20"/>
    <s v="N"/>
    <s v="N"/>
    <s v="N"/>
    <s v="N"/>
    <s v="A035"/>
    <d v="2017-01-03T00:00:00"/>
    <s v="20"/>
    <s v="TAN"/>
    <s v="OR"/>
    <d v="2016-12-29T00:00:00"/>
    <s v="MI"/>
    <s v="US"/>
    <s v="ZR"/>
    <d v="2016-12-29T00:00:00"/>
  </r>
  <r>
    <x v="0"/>
    <x v="0"/>
    <x v="1236"/>
    <x v="2"/>
    <s v="Standard order"/>
    <x v="1211"/>
    <x v="1210"/>
    <s v="R059"/>
    <s v="CRYSTAL RR059"/>
    <s v="5003528"/>
    <s v="R059 ACH T20 Kabina ELS"/>
    <n v="40"/>
    <n v="0"/>
    <n v="40"/>
    <x v="0"/>
    <s v="AP73"/>
    <s v="ELS"/>
    <s v="387"/>
    <s v="4.0 UN"/>
    <s v="STANDARD"/>
    <s v="N"/>
    <s v="N"/>
    <s v="Y"/>
    <s v="T20"/>
    <s v="N"/>
    <s v="N"/>
    <s v="N"/>
    <s v="N"/>
    <s v="A034"/>
    <d v="2017-01-03T00:00:00"/>
    <s v="10"/>
    <s v="TAN"/>
    <s v="OR"/>
    <d v="2016-12-29T00:00:00"/>
    <s v="MI"/>
    <s v="US"/>
    <s v="ZR"/>
    <d v="2016-12-29T00:00:00"/>
  </r>
  <r>
    <x v="0"/>
    <x v="2"/>
    <x v="1237"/>
    <x v="6"/>
    <s v="Standard order"/>
    <x v="1212"/>
    <x v="1211"/>
    <s v="R014"/>
    <s v="CRYSTAL RR014"/>
    <s v="5003091"/>
    <s v="R014 ACH T20 PB SYSTIVA G100"/>
    <n v="560"/>
    <n v="0"/>
    <n v="560"/>
    <x v="2"/>
    <s v="AP82"/>
    <s v="GEM 100"/>
    <s v="324"/>
    <s v="4.0 UN"/>
    <s v="STANDARD"/>
    <s v="N"/>
    <s v="Y"/>
    <s v="N"/>
    <s v="T20"/>
    <s v="Y"/>
    <s v="N"/>
    <s v="Y"/>
    <s v="N"/>
    <s v="A025"/>
    <d v="2017-01-03T00:00:00"/>
    <s v="10"/>
    <s v="TAN"/>
    <s v="OR"/>
    <d v="2016-12-29T00:00:00"/>
    <s v="NE"/>
    <s v="US"/>
    <s v="ZR"/>
    <d v="2016-12-29T00:00:00"/>
  </r>
  <r>
    <x v="0"/>
    <x v="2"/>
    <x v="1237"/>
    <x v="6"/>
    <s v="Standard order"/>
    <x v="1212"/>
    <x v="1211"/>
    <s v="W322"/>
    <s v="CRYSTAL W322NT"/>
    <s v="5003488"/>
    <s v="W322 ACH T20 PB SYSTIVA G100"/>
    <n v="96"/>
    <n v="0"/>
    <n v="96"/>
    <x v="2"/>
    <s v="EE73"/>
    <s v="GEM 100"/>
    <s v="324"/>
    <s v="4.0 UN"/>
    <s v="STANDARD"/>
    <s v="N"/>
    <s v="Y"/>
    <s v="N"/>
    <s v="T20"/>
    <s v="Y"/>
    <s v="N"/>
    <s v="Y"/>
    <s v="N"/>
    <s v="A025"/>
    <d v="2017-01-03T00:00:00"/>
    <s v="20"/>
    <s v="TAN"/>
    <s v="OR"/>
    <d v="2016-12-29T00:00:00"/>
    <s v="NE"/>
    <s v="US"/>
    <s v="ZR"/>
    <d v="2016-12-29T00:00:00"/>
  </r>
  <r>
    <x v="0"/>
    <x v="2"/>
    <x v="1237"/>
    <x v="6"/>
    <s v="Standard order"/>
    <x v="1212"/>
    <x v="1211"/>
    <s v="R272"/>
    <s v="CRYSTAL RR272"/>
    <s v="5003629"/>
    <s v="R272 ACH T20 PB SYSTIVA G100"/>
    <n v="144"/>
    <n v="0"/>
    <n v="144"/>
    <x v="2"/>
    <s v="DG73"/>
    <s v="GEM 100"/>
    <s v="324"/>
    <s v="4.0 UN"/>
    <s v="STANDARD"/>
    <s v="N"/>
    <s v="Y"/>
    <s v="N"/>
    <s v="T20"/>
    <s v="Y"/>
    <s v="N"/>
    <s v="Y"/>
    <s v="N"/>
    <s v="A025"/>
    <d v="2017-01-03T00:00:00"/>
    <s v="30"/>
    <s v="TAN"/>
    <s v="OR"/>
    <d v="2016-12-29T00:00:00"/>
    <s v="NE"/>
    <s v="US"/>
    <s v="ZR"/>
    <d v="2016-12-29T00:00:00"/>
  </r>
  <r>
    <x v="0"/>
    <x v="2"/>
    <x v="1238"/>
    <x v="27"/>
    <s v="Standard order"/>
    <x v="1213"/>
    <x v="1212"/>
    <s v="R014"/>
    <s v="CRYSTAL RR014"/>
    <s v="5003091"/>
    <s v="R014 ACH T20 PB SYSTIVA G100"/>
    <n v="96"/>
    <n v="0"/>
    <n v="96"/>
    <x v="2"/>
    <s v="AP82"/>
    <s v="GEM 100"/>
    <s v="324"/>
    <s v="4.0 UN"/>
    <s v="STANDARD"/>
    <s v="N"/>
    <s v="Y"/>
    <s v="N"/>
    <s v="T20"/>
    <s v="Y"/>
    <s v="N"/>
    <s v="Y"/>
    <s v="N"/>
    <s v="A019"/>
    <d v="2017-01-03T00:00:00"/>
    <s v="10"/>
    <s v="TAN"/>
    <s v="OR"/>
    <d v="2016-12-29T00:00:00"/>
    <s v="CO"/>
    <s v="US"/>
    <s v="ZR"/>
    <d v="2016-12-29T00:00:00"/>
  </r>
  <r>
    <x v="0"/>
    <x v="2"/>
    <x v="1238"/>
    <x v="27"/>
    <s v="Standard order"/>
    <x v="1213"/>
    <x v="1212"/>
    <s v="W322"/>
    <s v="CRYSTAL W322NT"/>
    <s v="5003488"/>
    <s v="W322 ACH T20 PB SYSTIVA G100"/>
    <n v="144"/>
    <n v="0"/>
    <n v="144"/>
    <x v="2"/>
    <s v="EE73"/>
    <s v="GEM 100"/>
    <s v="324"/>
    <s v="4.0 UN"/>
    <s v="STANDARD"/>
    <s v="N"/>
    <s v="Y"/>
    <s v="N"/>
    <s v="T20"/>
    <s v="Y"/>
    <s v="N"/>
    <s v="Y"/>
    <s v="N"/>
    <s v="A019"/>
    <d v="2017-01-03T00:00:00"/>
    <s v="20"/>
    <s v="TAN"/>
    <s v="OR"/>
    <d v="2016-12-29T00:00:00"/>
    <s v="CO"/>
    <s v="US"/>
    <s v="ZR"/>
    <d v="2016-12-29T00:00:00"/>
  </r>
  <r>
    <x v="0"/>
    <x v="0"/>
    <x v="1239"/>
    <x v="0"/>
    <s v="Standard order"/>
    <x v="1214"/>
    <x v="1213"/>
    <s v="R059"/>
    <s v="CRYSTAL RR059"/>
    <s v="5003518"/>
    <s v="R059 ACH CM Vibrance RP"/>
    <n v="20"/>
    <n v="0"/>
    <n v="20"/>
    <x v="0"/>
    <s v="AP73"/>
    <s v="RP"/>
    <s v="393"/>
    <s v="4.0 UN"/>
    <s v="STANDARD"/>
    <s v="Y"/>
    <s v="N"/>
    <s v="N"/>
    <s v="N"/>
    <s v="N"/>
    <s v="N"/>
    <s v="N"/>
    <s v="Y"/>
    <s v="A037"/>
    <d v="2017-01-03T00:00:00"/>
    <s v="10"/>
    <s v="TAN"/>
    <s v="OR"/>
    <d v="2016-12-29T00:00:00"/>
    <s v="ON"/>
    <s v="CA"/>
    <s v="ZR"/>
    <d v="2016-12-29T00:00:00"/>
  </r>
  <r>
    <x v="0"/>
    <x v="0"/>
    <x v="1239"/>
    <x v="0"/>
    <s v="Standard order"/>
    <x v="1214"/>
    <x v="1213"/>
    <s v="G515"/>
    <s v="CRYSTAL G515"/>
    <s v="5003007"/>
    <s v="G515 ACH CM Vibrance RP"/>
    <n v="12"/>
    <n v="0"/>
    <n v="12"/>
    <x v="0"/>
    <s v="APND"/>
    <s v="RP"/>
    <s v="393"/>
    <s v="4.0 UN"/>
    <s v="STANDARD"/>
    <s v="Y"/>
    <s v="N"/>
    <s v="N"/>
    <s v="N"/>
    <s v="N"/>
    <s v="N"/>
    <s v="N"/>
    <s v="Y"/>
    <s v="A037"/>
    <d v="2017-01-03T00:00:00"/>
    <s v="20"/>
    <s v="TAN"/>
    <s v="OR"/>
    <d v="2016-12-29T00:00:00"/>
    <s v="ON"/>
    <s v="CA"/>
    <s v="ZR"/>
    <d v="2016-12-29T00:00:00"/>
  </r>
  <r>
    <x v="0"/>
    <x v="0"/>
    <x v="1240"/>
    <x v="4"/>
    <s v="Standard order"/>
    <x v="1215"/>
    <x v="1214"/>
    <s v="R059"/>
    <s v="CRYSTAL RR059"/>
    <s v="5003535"/>
    <s v="R059 ACH T20 SYSTIVA MP"/>
    <n v="8"/>
    <n v="0"/>
    <n v="8"/>
    <x v="0"/>
    <s v="AP73"/>
    <s v="MP"/>
    <s v="328"/>
    <s v="4.0 UN"/>
    <s v="STANDARD"/>
    <s v="N"/>
    <s v="N"/>
    <s v="N"/>
    <s v="T20"/>
    <s v="Y"/>
    <s v="N"/>
    <s v="Y"/>
    <s v="N"/>
    <s v="A035"/>
    <d v="2017-01-03T00:00:00"/>
    <s v="10"/>
    <s v="TAN"/>
    <s v="OR"/>
    <d v="2016-12-28T00:00:00"/>
    <s v="MI"/>
    <s v="US"/>
    <s v="ZR"/>
    <d v="2016-12-29T00:00:00"/>
  </r>
  <r>
    <x v="0"/>
    <x v="0"/>
    <x v="1240"/>
    <x v="4"/>
    <s v="Standard order"/>
    <x v="1215"/>
    <x v="1214"/>
    <s v="R059"/>
    <s v="CRYSTAL RR059"/>
    <s v="5003529"/>
    <s v="R059 ACH T20 Kabina MP"/>
    <n v="4"/>
    <n v="0"/>
    <n v="4"/>
    <x v="0"/>
    <s v="AP73"/>
    <s v="MP"/>
    <s v="387"/>
    <s v="4.0 UN"/>
    <s v="STANDARD"/>
    <s v="N"/>
    <s v="N"/>
    <s v="Y"/>
    <s v="T20"/>
    <s v="N"/>
    <s v="N"/>
    <s v="N"/>
    <s v="N"/>
    <s v="A035"/>
    <d v="2017-01-03T00:00:00"/>
    <s v="20"/>
    <s v="TAN"/>
    <s v="OR"/>
    <d v="2016-12-28T00:00:00"/>
    <s v="MI"/>
    <s v="US"/>
    <s v="ZR"/>
    <d v="2016-12-29T00:00:00"/>
  </r>
  <r>
    <x v="0"/>
    <x v="0"/>
    <x v="1240"/>
    <x v="4"/>
    <s v="Standard order"/>
    <x v="1215"/>
    <x v="1214"/>
    <s v="G351"/>
    <s v="CRYSTAL G351NT"/>
    <s v="5003397"/>
    <s v="G351 ACH T20 Kabina MP"/>
    <n v="4"/>
    <n v="0"/>
    <n v="4"/>
    <x v="0"/>
    <s v="DA73"/>
    <s v="MP"/>
    <s v="387"/>
    <s v="4.0 UN"/>
    <s v="STANDARD"/>
    <s v="N"/>
    <s v="N"/>
    <s v="Y"/>
    <s v="T20"/>
    <s v="N"/>
    <s v="N"/>
    <s v="N"/>
    <s v="N"/>
    <s v="A035"/>
    <d v="2017-01-03T00:00:00"/>
    <s v="30"/>
    <s v="TAN"/>
    <s v="OR"/>
    <d v="2016-12-28T00:00:00"/>
    <s v="MI"/>
    <s v="US"/>
    <s v="ZR"/>
    <d v="2016-12-29T00:00:00"/>
  </r>
  <r>
    <x v="0"/>
    <x v="2"/>
    <x v="1241"/>
    <x v="27"/>
    <s v="Standard order"/>
    <x v="1216"/>
    <x v="1215"/>
    <s v="R014"/>
    <s v="CRYSTAL RR014"/>
    <s v="5003091"/>
    <s v="R014 ACH T20 PB SYSTIVA G100"/>
    <n v="88"/>
    <n v="0"/>
    <n v="88"/>
    <x v="2"/>
    <s v="AP82"/>
    <s v="GEM 100"/>
    <s v="324"/>
    <s v="4.0 UN"/>
    <s v="STANDARD"/>
    <s v="N"/>
    <s v="Y"/>
    <s v="N"/>
    <s v="T20"/>
    <s v="Y"/>
    <s v="N"/>
    <s v="Y"/>
    <s v="N"/>
    <s v="A019"/>
    <d v="2017-01-03T00:00:00"/>
    <s v="10"/>
    <s v="TAN"/>
    <s v="OR"/>
    <d v="2016-12-29T00:00:00"/>
    <s v="CO"/>
    <s v="US"/>
    <s v="ZR"/>
    <d v="2016-12-29T00:00:00"/>
  </r>
  <r>
    <x v="0"/>
    <x v="2"/>
    <x v="1242"/>
    <x v="6"/>
    <s v="Standard order"/>
    <x v="1217"/>
    <x v="1216"/>
    <s v="R014"/>
    <s v="CRYSTAL RR014"/>
    <s v="5003091"/>
    <s v="R014 ACH T20 PB SYSTIVA G100"/>
    <n v="52"/>
    <n v="0"/>
    <n v="52"/>
    <x v="2"/>
    <s v="AP82"/>
    <s v="GEM 100"/>
    <s v="324"/>
    <s v="4.0 UN"/>
    <s v="STANDARD"/>
    <s v="N"/>
    <s v="Y"/>
    <s v="N"/>
    <s v="T20"/>
    <s v="Y"/>
    <s v="N"/>
    <s v="Y"/>
    <s v="N"/>
    <s v="A025"/>
    <d v="2017-01-03T00:00:00"/>
    <s v="10"/>
    <s v="TAN"/>
    <s v="OR"/>
    <d v="2016-12-29T00:00:00"/>
    <s v="NE"/>
    <s v="US"/>
    <s v="ZR"/>
    <d v="2016-12-29T00:00:00"/>
  </r>
  <r>
    <x v="0"/>
    <x v="2"/>
    <x v="1242"/>
    <x v="6"/>
    <s v="Standard order"/>
    <x v="1217"/>
    <x v="1216"/>
    <s v="W322"/>
    <s v="CRYSTAL W322NT"/>
    <s v="5003488"/>
    <s v="W322 ACH T20 PB SYSTIVA G100"/>
    <n v="76"/>
    <n v="0"/>
    <n v="76"/>
    <x v="2"/>
    <s v="EE73"/>
    <s v="GEM 100"/>
    <s v="324"/>
    <s v="4.0 UN"/>
    <s v="STANDARD"/>
    <s v="N"/>
    <s v="Y"/>
    <s v="N"/>
    <s v="T20"/>
    <s v="Y"/>
    <s v="N"/>
    <s v="Y"/>
    <s v="N"/>
    <s v="A025"/>
    <d v="2017-01-03T00:00:00"/>
    <s v="20"/>
    <s v="TAN"/>
    <s v="OR"/>
    <d v="2016-12-29T00:00:00"/>
    <s v="NE"/>
    <s v="US"/>
    <s v="ZR"/>
    <d v="2016-12-29T00:00:00"/>
  </r>
  <r>
    <x v="0"/>
    <x v="2"/>
    <x v="1243"/>
    <x v="24"/>
    <s v="Standard order"/>
    <x v="1218"/>
    <x v="1217"/>
    <s v="R014"/>
    <s v="CRYSTAL RR014"/>
    <s v="5003091"/>
    <s v="R014 ACH T20 PB SYSTIVA G100"/>
    <n v="68"/>
    <n v="0"/>
    <n v="68"/>
    <x v="2"/>
    <s v="AP82"/>
    <s v="GEM 100"/>
    <s v="324"/>
    <s v="4.0 UN"/>
    <s v="STANDARD"/>
    <s v="N"/>
    <s v="Y"/>
    <s v="N"/>
    <s v="T20"/>
    <s v="Y"/>
    <s v="N"/>
    <s v="Y"/>
    <s v="N"/>
    <s v="A022"/>
    <d v="2017-01-03T00:00:00"/>
    <s v="10"/>
    <s v="TAN"/>
    <s v="OR"/>
    <d v="2016-12-29T00:00:00"/>
    <s v="CO"/>
    <s v="US"/>
    <s v="ZR"/>
    <d v="2016-12-29T00:00:00"/>
  </r>
  <r>
    <x v="0"/>
    <x v="0"/>
    <x v="1244"/>
    <x v="2"/>
    <s v="Standard order"/>
    <x v="1219"/>
    <x v="1218"/>
    <s v="R059"/>
    <s v="CRYSTAL RR059"/>
    <s v="5003530"/>
    <s v="R059 ACH T20 Kabina RP"/>
    <n v="24"/>
    <n v="0"/>
    <n v="24"/>
    <x v="0"/>
    <s v="AP73"/>
    <s v="RP"/>
    <s v="387"/>
    <s v="4.0 UN"/>
    <s v="STANDARD"/>
    <s v="N"/>
    <s v="N"/>
    <s v="Y"/>
    <s v="T20"/>
    <s v="N"/>
    <s v="N"/>
    <s v="N"/>
    <s v="N"/>
    <s v="A034"/>
    <d v="2017-01-03T00:00:00"/>
    <s v="10"/>
    <s v="TAN"/>
    <s v="OR"/>
    <d v="2016-12-29T00:00:00"/>
    <s v="MI"/>
    <s v="US"/>
    <s v="ZR"/>
    <d v="2016-12-29T00:00:00"/>
  </r>
  <r>
    <x v="0"/>
    <x v="0"/>
    <x v="1245"/>
    <x v="2"/>
    <s v="Standard order"/>
    <x v="1220"/>
    <x v="1219"/>
    <s v="R059"/>
    <s v="CRYSTAL RR059"/>
    <s v="5003536"/>
    <s v="R059 ACH T20 SYSTIVA RP"/>
    <n v="20"/>
    <n v="0"/>
    <n v="20"/>
    <x v="0"/>
    <s v="AP73"/>
    <s v="RP"/>
    <s v="328"/>
    <s v="4.0 UN"/>
    <s v="STANDARD"/>
    <s v="N"/>
    <s v="N"/>
    <s v="N"/>
    <s v="T20"/>
    <s v="Y"/>
    <s v="N"/>
    <s v="Y"/>
    <s v="N"/>
    <s v="A034"/>
    <d v="2017-01-03T00:00:00"/>
    <s v="10"/>
    <s v="TAN"/>
    <s v="OR"/>
    <d v="2016-12-28T00:00:00"/>
    <s v="MI"/>
    <s v="US"/>
    <s v="ZR"/>
    <d v="2016-12-29T00:00:00"/>
  </r>
  <r>
    <x v="0"/>
    <x v="0"/>
    <x v="1246"/>
    <x v="4"/>
    <s v="Standard order"/>
    <x v="1221"/>
    <x v="1220"/>
    <s v="G515"/>
    <s v="CRYSTAL G515"/>
    <s v="5003019"/>
    <s v="G515 ACH T20 Kabina RP"/>
    <n v="4"/>
    <n v="0"/>
    <n v="4"/>
    <x v="0"/>
    <s v="APND"/>
    <s v="RP"/>
    <s v="387"/>
    <s v="4.0 UN"/>
    <s v="STANDARD"/>
    <s v="N"/>
    <s v="N"/>
    <s v="Y"/>
    <s v="T20"/>
    <s v="N"/>
    <s v="N"/>
    <s v="N"/>
    <s v="N"/>
    <s v="A035"/>
    <d v="2017-01-03T00:00:00"/>
    <s v="10"/>
    <s v="TAN"/>
    <s v="OR"/>
    <d v="2016-12-29T00:00:00"/>
    <s v="MI"/>
    <s v="US"/>
    <s v="ZR"/>
    <d v="2016-12-29T00:00:00"/>
  </r>
  <r>
    <x v="0"/>
    <x v="0"/>
    <x v="1246"/>
    <x v="4"/>
    <s v="Standard order"/>
    <x v="1221"/>
    <x v="1220"/>
    <s v="G351"/>
    <s v="CRYSTAL G351NT"/>
    <s v="5003398"/>
    <s v="G351 ACH T20 Kabina RP"/>
    <n v="4"/>
    <n v="0"/>
    <n v="4"/>
    <x v="0"/>
    <s v="DA73"/>
    <s v="RP"/>
    <s v="387"/>
    <s v="4.0 UN"/>
    <s v="STANDARD"/>
    <s v="N"/>
    <s v="N"/>
    <s v="Y"/>
    <s v="T20"/>
    <s v="N"/>
    <s v="N"/>
    <s v="N"/>
    <s v="N"/>
    <s v="A035"/>
    <d v="2017-01-03T00:00:00"/>
    <s v="20"/>
    <s v="TAN"/>
    <s v="OR"/>
    <d v="2016-12-29T00:00:00"/>
    <s v="MI"/>
    <s v="US"/>
    <s v="ZR"/>
    <d v="2016-12-29T00:00:00"/>
  </r>
  <r>
    <x v="0"/>
    <x v="0"/>
    <x v="1247"/>
    <x v="4"/>
    <s v="Standard order"/>
    <x v="1222"/>
    <x v="1221"/>
    <s v="G515"/>
    <s v="CRYSTAL G515"/>
    <s v="5003018"/>
    <s v="G515 ACH T20 Kabina MP"/>
    <n v="4"/>
    <n v="0"/>
    <n v="4"/>
    <x v="0"/>
    <s v="APND"/>
    <s v="MP"/>
    <s v="387"/>
    <s v="4.0 UN"/>
    <s v="STANDARD"/>
    <s v="N"/>
    <s v="N"/>
    <s v="Y"/>
    <s v="T20"/>
    <s v="N"/>
    <s v="N"/>
    <s v="N"/>
    <s v="N"/>
    <s v="A035"/>
    <d v="2017-01-04T00:00:00"/>
    <s v="10"/>
    <s v="TAN"/>
    <s v="OR"/>
    <d v="2016-12-29T00:00:00"/>
    <s v="MI"/>
    <s v="US"/>
    <s v="ZR"/>
    <d v="2016-12-30T00:00:00"/>
  </r>
  <r>
    <x v="0"/>
    <x v="0"/>
    <x v="1247"/>
    <x v="4"/>
    <s v="Standard order"/>
    <x v="1222"/>
    <x v="1221"/>
    <s v="R059"/>
    <s v="CRYSTAL RR059"/>
    <s v="5003529"/>
    <s v="R059 ACH T20 Kabina MP"/>
    <n v="16"/>
    <n v="0"/>
    <n v="16"/>
    <x v="0"/>
    <s v="AP73"/>
    <s v="MP"/>
    <s v="387"/>
    <s v="4.0 UN"/>
    <s v="STANDARD"/>
    <s v="N"/>
    <s v="N"/>
    <s v="Y"/>
    <s v="T20"/>
    <s v="N"/>
    <s v="N"/>
    <s v="N"/>
    <s v="N"/>
    <s v="A035"/>
    <d v="2017-01-04T00:00:00"/>
    <s v="20"/>
    <s v="TAN"/>
    <s v="OR"/>
    <d v="2016-12-29T00:00:00"/>
    <s v="MI"/>
    <s v="US"/>
    <s v="ZR"/>
    <d v="2016-12-30T00:00:00"/>
  </r>
  <r>
    <x v="0"/>
    <x v="0"/>
    <x v="1247"/>
    <x v="4"/>
    <s v="Standard order"/>
    <x v="1222"/>
    <x v="1221"/>
    <s v="G333"/>
    <s v="CRYSTAL G333NT"/>
    <s v="5003377"/>
    <s v="G333 ACH T20 Kabina MP"/>
    <n v="12"/>
    <n v="0"/>
    <n v="12"/>
    <x v="0"/>
    <s v="EE73"/>
    <s v="MP"/>
    <s v="387"/>
    <s v="4.0 UN"/>
    <s v="STANDARD"/>
    <s v="N"/>
    <s v="N"/>
    <s v="Y"/>
    <s v="T20"/>
    <s v="N"/>
    <s v="N"/>
    <s v="N"/>
    <s v="N"/>
    <s v="A035"/>
    <d v="2017-01-04T00:00:00"/>
    <s v="30"/>
    <s v="TAN"/>
    <s v="OR"/>
    <d v="2016-12-29T00:00:00"/>
    <s v="MI"/>
    <s v="US"/>
    <s v="ZR"/>
    <d v="2016-12-30T00:00:00"/>
  </r>
  <r>
    <x v="0"/>
    <x v="2"/>
    <x v="1248"/>
    <x v="27"/>
    <s v="Standard order"/>
    <x v="1223"/>
    <x v="1222"/>
    <s v="W322"/>
    <s v="CRYSTAL W322NT"/>
    <s v="5003488"/>
    <s v="W322 ACH T20 PB SYSTIVA G100"/>
    <n v="64"/>
    <n v="0"/>
    <n v="64"/>
    <x v="2"/>
    <s v="EE73"/>
    <s v="GEM 100"/>
    <s v="324"/>
    <s v="4.0 UN"/>
    <s v="STANDARD"/>
    <s v="N"/>
    <s v="Y"/>
    <s v="N"/>
    <s v="T20"/>
    <s v="Y"/>
    <s v="N"/>
    <s v="Y"/>
    <s v="N"/>
    <s v="A019"/>
    <d v="2017-01-04T00:00:00"/>
    <s v="10"/>
    <s v="TAN"/>
    <s v="OR"/>
    <d v="2016-12-29T00:00:00"/>
    <s v="CO"/>
    <s v="US"/>
    <s v="ZR"/>
    <d v="2016-12-30T00:00:00"/>
  </r>
  <r>
    <x v="0"/>
    <x v="4"/>
    <x v="1249"/>
    <x v="17"/>
    <s v="Standard order"/>
    <x v="1224"/>
    <x v="1223"/>
    <s v="R933"/>
    <s v="CRYSTAL RR933"/>
    <s v="5003686"/>
    <s v="R933 ACH PB LRG"/>
    <n v="28"/>
    <n v="0"/>
    <n v="28"/>
    <x v="4"/>
    <s v="3571"/>
    <s v="LARGE"/>
    <s v="314"/>
    <s v="4.0 UN"/>
    <s v="STANDARD"/>
    <s v="N"/>
    <s v="Y"/>
    <s v="N"/>
    <s v="N"/>
    <s v="N"/>
    <s v="N"/>
    <s v="N"/>
    <s v="N"/>
    <s v="A040"/>
    <d v="2017-01-04T00:00:00"/>
    <s v="10"/>
    <s v="TAN"/>
    <s v="OR"/>
    <d v="2016-12-30T00:00:00"/>
    <s v="ID"/>
    <s v="US"/>
    <s v="ZR"/>
    <d v="2016-12-30T00:00:00"/>
  </r>
  <r>
    <x v="0"/>
    <x v="4"/>
    <x v="1249"/>
    <x v="17"/>
    <s v="Standard order"/>
    <x v="1224"/>
    <x v="1223"/>
    <s v="A399"/>
    <s v="CRYSTAL A399NT"/>
    <s v="5002928"/>
    <s v="A399 ACH PB LRG"/>
    <n v="28"/>
    <n v="0"/>
    <n v="28"/>
    <x v="4"/>
    <s v="DP71"/>
    <s v="LARGE"/>
    <s v="314"/>
    <s v="4.0 UN"/>
    <s v="STANDARD"/>
    <s v="N"/>
    <s v="Y"/>
    <s v="N"/>
    <s v="N"/>
    <s v="N"/>
    <s v="N"/>
    <s v="N"/>
    <s v="N"/>
    <s v="A040"/>
    <d v="2017-01-04T00:00:00"/>
    <s v="20"/>
    <s v="TAN"/>
    <s v="OR"/>
    <d v="2016-12-30T00:00:00"/>
    <s v="ID"/>
    <s v="US"/>
    <s v="ZR"/>
    <d v="2016-12-30T00:00:00"/>
  </r>
  <r>
    <x v="0"/>
    <x v="2"/>
    <x v="1250"/>
    <x v="6"/>
    <s v="Standard order"/>
    <x v="1225"/>
    <x v="1224"/>
    <s v="R272"/>
    <s v="CRYSTAL RR272"/>
    <s v="5003629"/>
    <s v="R272 ACH T20 PB SYSTIVA G100"/>
    <n v="280"/>
    <n v="0"/>
    <n v="280"/>
    <x v="2"/>
    <s v="DG73"/>
    <s v="GEM 100"/>
    <s v="324"/>
    <s v="4.0 UN"/>
    <s v="STANDARD"/>
    <s v="N"/>
    <s v="Y"/>
    <s v="N"/>
    <s v="T20"/>
    <s v="Y"/>
    <s v="N"/>
    <s v="Y"/>
    <s v="N"/>
    <s v="A025"/>
    <d v="2017-01-04T00:00:00"/>
    <s v="10"/>
    <s v="TAN"/>
    <s v="OR"/>
    <d v="2016-12-30T00:00:00"/>
    <s v="NE"/>
    <s v="US"/>
    <s v="ZR"/>
    <d v="2016-12-30T00:00:00"/>
  </r>
  <r>
    <x v="0"/>
    <x v="2"/>
    <x v="1250"/>
    <x v="6"/>
    <s v="Standard order"/>
    <x v="1225"/>
    <x v="1224"/>
    <s v="R014"/>
    <s v="CRYSTAL RR014"/>
    <s v="5003091"/>
    <s v="R014 ACH T20 PB SYSTIVA G100"/>
    <n v="140"/>
    <n v="0"/>
    <n v="140"/>
    <x v="2"/>
    <s v="AP82"/>
    <s v="GEM 100"/>
    <s v="324"/>
    <s v="4.0 UN"/>
    <s v="STANDARD"/>
    <s v="N"/>
    <s v="Y"/>
    <s v="N"/>
    <s v="T20"/>
    <s v="Y"/>
    <s v="N"/>
    <s v="Y"/>
    <s v="N"/>
    <s v="A025"/>
    <d v="2017-01-04T00:00:00"/>
    <s v="20"/>
    <s v="TAN"/>
    <s v="OR"/>
    <d v="2016-12-30T00:00:00"/>
    <s v="NE"/>
    <s v="US"/>
    <s v="ZR"/>
    <d v="2016-12-30T00:00:00"/>
  </r>
  <r>
    <x v="0"/>
    <x v="2"/>
    <x v="1250"/>
    <x v="6"/>
    <s v="Standard order"/>
    <x v="1225"/>
    <x v="1224"/>
    <s v="W322"/>
    <s v="CRYSTAL W322NT"/>
    <s v="5003488"/>
    <s v="W322 ACH T20 PB SYSTIVA G100"/>
    <n v="104"/>
    <n v="0"/>
    <n v="104"/>
    <x v="2"/>
    <s v="EE73"/>
    <s v="GEM 100"/>
    <s v="324"/>
    <s v="4.0 UN"/>
    <s v="STANDARD"/>
    <s v="N"/>
    <s v="Y"/>
    <s v="N"/>
    <s v="T20"/>
    <s v="Y"/>
    <s v="N"/>
    <s v="Y"/>
    <s v="N"/>
    <s v="A025"/>
    <d v="2017-01-04T00:00:00"/>
    <s v="30"/>
    <s v="TAN"/>
    <s v="OR"/>
    <d v="2016-12-30T00:00:00"/>
    <s v="NE"/>
    <s v="US"/>
    <s v="ZR"/>
    <d v="2016-12-30T00:00:00"/>
  </r>
  <r>
    <x v="0"/>
    <x v="2"/>
    <x v="1251"/>
    <x v="27"/>
    <s v="Standard order"/>
    <x v="1226"/>
    <x v="1225"/>
    <s v="R014"/>
    <s v="CRYSTAL RR014"/>
    <s v="5003091"/>
    <s v="R014 ACH T20 PB SYSTIVA G100"/>
    <n v="96"/>
    <n v="0"/>
    <n v="96"/>
    <x v="2"/>
    <s v="AP82"/>
    <s v="GEM 100"/>
    <s v="324"/>
    <s v="4.0 UN"/>
    <s v="STANDARD"/>
    <s v="N"/>
    <s v="Y"/>
    <s v="N"/>
    <s v="T20"/>
    <s v="Y"/>
    <s v="N"/>
    <s v="Y"/>
    <s v="N"/>
    <s v="A019"/>
    <d v="2017-01-04T00:00:00"/>
    <s v="10"/>
    <s v="TAN"/>
    <s v="OR"/>
    <d v="2016-12-30T00:00:00"/>
    <s v="NE"/>
    <s v="US"/>
    <s v="ZR"/>
    <d v="2016-12-30T00:00:00"/>
  </r>
  <r>
    <x v="0"/>
    <x v="2"/>
    <x v="1251"/>
    <x v="27"/>
    <s v="Standard order"/>
    <x v="1226"/>
    <x v="1225"/>
    <s v="R272"/>
    <s v="CRYSTAL RR272"/>
    <s v="5003629"/>
    <s v="R272 ACH T20 PB SYSTIVA G100"/>
    <n v="120"/>
    <n v="0"/>
    <n v="120"/>
    <x v="2"/>
    <s v="DG73"/>
    <s v="GEM 100"/>
    <s v="324"/>
    <s v="4.0 UN"/>
    <s v="STANDARD"/>
    <s v="N"/>
    <s v="Y"/>
    <s v="N"/>
    <s v="T20"/>
    <s v="Y"/>
    <s v="N"/>
    <s v="Y"/>
    <s v="N"/>
    <s v="A019"/>
    <d v="2017-01-04T00:00:00"/>
    <s v="20"/>
    <s v="TAN"/>
    <s v="OR"/>
    <d v="2016-12-30T00:00:00"/>
    <s v="NE"/>
    <s v="US"/>
    <s v="ZR"/>
    <d v="2016-12-30T00:00:00"/>
  </r>
  <r>
    <x v="0"/>
    <x v="2"/>
    <x v="1251"/>
    <x v="27"/>
    <s v="Standard order"/>
    <x v="1226"/>
    <x v="1225"/>
    <s v="W322"/>
    <s v="CRYSTAL W322NT"/>
    <s v="5003488"/>
    <s v="W322 ACH T20 PB SYSTIVA G100"/>
    <n v="288"/>
    <n v="0"/>
    <n v="288"/>
    <x v="2"/>
    <s v="EE73"/>
    <s v="GEM 100"/>
    <s v="324"/>
    <s v="4.0 UN"/>
    <s v="STANDARD"/>
    <s v="N"/>
    <s v="Y"/>
    <s v="N"/>
    <s v="T20"/>
    <s v="Y"/>
    <s v="N"/>
    <s v="Y"/>
    <s v="N"/>
    <s v="A019"/>
    <d v="2017-01-04T00:00:00"/>
    <s v="30"/>
    <s v="TAN"/>
    <s v="OR"/>
    <d v="2016-12-30T00:00:00"/>
    <s v="NE"/>
    <s v="US"/>
    <s v="ZR"/>
    <d v="2016-12-30T00:00:00"/>
  </r>
  <r>
    <x v="0"/>
    <x v="0"/>
    <x v="1252"/>
    <x v="4"/>
    <s v="Standard order"/>
    <x v="1227"/>
    <x v="1226"/>
    <s v="G333"/>
    <s v="CRYSTAL G333NT"/>
    <s v="5003378"/>
    <s v="G333 ACH T20 Kabina RP"/>
    <n v="32"/>
    <n v="0"/>
    <n v="32"/>
    <x v="0"/>
    <s v="EE73"/>
    <s v="RP"/>
    <s v="387"/>
    <s v="4.0 UN"/>
    <s v="STANDARD"/>
    <s v="N"/>
    <s v="N"/>
    <s v="Y"/>
    <s v="T20"/>
    <s v="N"/>
    <s v="N"/>
    <s v="N"/>
    <s v="N"/>
    <s v="A035"/>
    <d v="2017-01-04T00:00:00"/>
    <s v="10"/>
    <s v="TAN"/>
    <s v="OR"/>
    <d v="2016-12-30T00:00:00"/>
    <s v="MI"/>
    <s v="US"/>
    <s v="ZR"/>
    <d v="2016-12-30T00:00:00"/>
  </r>
  <r>
    <x v="0"/>
    <x v="2"/>
    <x v="1253"/>
    <x v="26"/>
    <s v="Standard order"/>
    <x v="1228"/>
    <x v="1227"/>
    <s v="R014"/>
    <s v="CRYSTAL RR014"/>
    <s v="5003091"/>
    <s v="R014 ACH T20 PB SYSTIVA G100"/>
    <n v="308"/>
    <n v="0"/>
    <n v="308"/>
    <x v="2"/>
    <s v="AP82"/>
    <s v="GEM 100"/>
    <s v="324"/>
    <s v="4.0 UN"/>
    <s v="STANDARD"/>
    <s v="N"/>
    <s v="Y"/>
    <s v="N"/>
    <s v="T20"/>
    <s v="Y"/>
    <s v="N"/>
    <s v="Y"/>
    <s v="N"/>
    <s v="A023"/>
    <d v="2017-01-04T00:00:00"/>
    <s v="10"/>
    <s v="TAN"/>
    <s v="OR"/>
    <d v="2016-12-30T00:00:00"/>
    <s v="CO"/>
    <s v="US"/>
    <s v="ZR"/>
    <d v="2016-12-30T00:00:00"/>
  </r>
  <r>
    <x v="0"/>
    <x v="2"/>
    <x v="1254"/>
    <x v="27"/>
    <s v="Standard order"/>
    <x v="1229"/>
    <x v="1228"/>
    <s v="R014"/>
    <s v="CRYSTAL RR014"/>
    <s v="5003091"/>
    <s v="R014 ACH T20 PB SYSTIVA G100"/>
    <n v="64"/>
    <n v="0"/>
    <n v="64"/>
    <x v="2"/>
    <s v="AP82"/>
    <s v="GEM 100"/>
    <s v="324"/>
    <s v="4.0 UN"/>
    <s v="STANDARD"/>
    <s v="N"/>
    <s v="Y"/>
    <s v="N"/>
    <s v="T20"/>
    <s v="Y"/>
    <s v="N"/>
    <s v="Y"/>
    <s v="N"/>
    <s v="A019"/>
    <d v="2017-01-04T00:00:00"/>
    <s v="10"/>
    <s v="TAN"/>
    <s v="OR"/>
    <d v="2016-12-30T00:00:00"/>
    <s v="NE"/>
    <s v="US"/>
    <s v="ZR"/>
    <d v="2016-12-30T00:00:00"/>
  </r>
  <r>
    <x v="0"/>
    <x v="2"/>
    <x v="1254"/>
    <x v="27"/>
    <s v="Standard order"/>
    <x v="1229"/>
    <x v="1228"/>
    <s v="W322"/>
    <s v="CRYSTAL W322NT"/>
    <s v="5003488"/>
    <s v="W322 ACH T20 PB SYSTIVA G100"/>
    <n v="64"/>
    <n v="0"/>
    <n v="64"/>
    <x v="2"/>
    <s v="EE73"/>
    <s v="GEM 100"/>
    <s v="324"/>
    <s v="4.0 UN"/>
    <s v="STANDARD"/>
    <s v="N"/>
    <s v="Y"/>
    <s v="N"/>
    <s v="T20"/>
    <s v="Y"/>
    <s v="N"/>
    <s v="Y"/>
    <s v="N"/>
    <s v="A019"/>
    <d v="2017-01-04T00:00:00"/>
    <s v="20"/>
    <s v="TAN"/>
    <s v="OR"/>
    <d v="2016-12-30T00:00:00"/>
    <s v="NE"/>
    <s v="US"/>
    <s v="ZR"/>
    <d v="2016-12-30T00:00:00"/>
  </r>
  <r>
    <x v="0"/>
    <x v="2"/>
    <x v="1255"/>
    <x v="6"/>
    <s v="Standard order"/>
    <x v="1230"/>
    <x v="1229"/>
    <s v="R014"/>
    <s v="CRYSTAL RR014"/>
    <s v="5003091"/>
    <s v="R014 ACH T20 PB SYSTIVA G100"/>
    <n v="24"/>
    <n v="0"/>
    <n v="24"/>
    <x v="2"/>
    <s v="AP82"/>
    <s v="GEM 100"/>
    <s v="324"/>
    <s v="4.0 UN"/>
    <s v="STANDARD"/>
    <s v="N"/>
    <s v="Y"/>
    <s v="N"/>
    <s v="T20"/>
    <s v="Y"/>
    <s v="N"/>
    <s v="Y"/>
    <s v="N"/>
    <s v="A025"/>
    <d v="2017-01-04T00:00:00"/>
    <s v="10"/>
    <s v="TAN"/>
    <s v="OR"/>
    <d v="2016-12-30T00:00:00"/>
    <s v="NE"/>
    <s v="US"/>
    <s v="ZR"/>
    <d v="2016-12-30T00:00:00"/>
  </r>
  <r>
    <x v="0"/>
    <x v="2"/>
    <x v="1255"/>
    <x v="6"/>
    <s v="Standard order"/>
    <x v="1230"/>
    <x v="1229"/>
    <s v="W322"/>
    <s v="CRYSTAL W322NT"/>
    <s v="5003488"/>
    <s v="W322 ACH T20 PB SYSTIVA G100"/>
    <n v="40"/>
    <n v="0"/>
    <n v="40"/>
    <x v="2"/>
    <s v="EE73"/>
    <s v="GEM 100"/>
    <s v="324"/>
    <s v="4.0 UN"/>
    <s v="STANDARD"/>
    <s v="N"/>
    <s v="Y"/>
    <s v="N"/>
    <s v="T20"/>
    <s v="Y"/>
    <s v="N"/>
    <s v="Y"/>
    <s v="N"/>
    <s v="A025"/>
    <d v="2017-01-04T00:00:00"/>
    <s v="20"/>
    <s v="TAN"/>
    <s v="OR"/>
    <d v="2016-12-30T00:00:00"/>
    <s v="NE"/>
    <s v="US"/>
    <s v="ZR"/>
    <d v="2016-12-30T00:00:00"/>
  </r>
  <r>
    <x v="0"/>
    <x v="2"/>
    <x v="1256"/>
    <x v="23"/>
    <s v="Standard order"/>
    <x v="1231"/>
    <x v="1230"/>
    <s v="R014"/>
    <s v="CRYSTAL RR014"/>
    <s v="5003091"/>
    <s v="R014 ACH T20 PB SYSTIVA G100"/>
    <n v="36"/>
    <n v="0"/>
    <n v="36"/>
    <x v="2"/>
    <s v="AP82"/>
    <s v="GEM 100"/>
    <s v="324"/>
    <s v="4.0 UN"/>
    <s v="STANDARD"/>
    <s v="N"/>
    <s v="Y"/>
    <s v="N"/>
    <s v="T20"/>
    <s v="Y"/>
    <s v="N"/>
    <s v="Y"/>
    <s v="N"/>
    <s v="A055"/>
    <d v="2017-01-04T00:00:00"/>
    <s v="10"/>
    <s v="TAN"/>
    <s v="OR"/>
    <d v="2016-12-30T00:00:00"/>
    <s v="WY"/>
    <s v="US"/>
    <s v="ZR"/>
    <d v="2016-12-30T00:00:00"/>
  </r>
  <r>
    <x v="0"/>
    <x v="2"/>
    <x v="1256"/>
    <x v="23"/>
    <s v="Standard order"/>
    <x v="1231"/>
    <x v="1230"/>
    <s v="R272"/>
    <s v="CRYSTAL RR272"/>
    <s v="5003629"/>
    <s v="R272 ACH T20 PB SYSTIVA G100"/>
    <n v="16"/>
    <n v="0"/>
    <n v="16"/>
    <x v="2"/>
    <s v="DG73"/>
    <s v="GEM 100"/>
    <s v="324"/>
    <s v="4.0 UN"/>
    <s v="STANDARD"/>
    <s v="N"/>
    <s v="Y"/>
    <s v="N"/>
    <s v="T20"/>
    <s v="Y"/>
    <s v="N"/>
    <s v="Y"/>
    <s v="N"/>
    <s v="A055"/>
    <d v="2017-01-04T00:00:00"/>
    <s v="20"/>
    <s v="TAN"/>
    <s v="OR"/>
    <d v="2016-12-30T00:00:00"/>
    <s v="WY"/>
    <s v="US"/>
    <s v="ZR"/>
    <d v="2016-12-30T00:00:00"/>
  </r>
  <r>
    <x v="0"/>
    <x v="4"/>
    <x v="1257"/>
    <x v="17"/>
    <s v="Standard order"/>
    <x v="1232"/>
    <x v="1231"/>
    <s v="A399"/>
    <s v="CRYSTAL A399NT"/>
    <s v="5002928"/>
    <s v="A399 ACH PB LRG"/>
    <n v="148"/>
    <n v="0"/>
    <n v="148"/>
    <x v="4"/>
    <s v="DP71"/>
    <s v="LARGE"/>
    <s v="314"/>
    <s v="4.0 UN"/>
    <s v="STANDARD"/>
    <s v="N"/>
    <s v="Y"/>
    <s v="N"/>
    <s v="N"/>
    <s v="N"/>
    <s v="N"/>
    <s v="N"/>
    <s v="N"/>
    <s v="A040"/>
    <d v="2017-01-04T00:00:00"/>
    <s v="10"/>
    <s v="TAN"/>
    <s v="OR"/>
    <d v="2016-12-30T00:00:00"/>
    <s v="ID"/>
    <s v="US"/>
    <s v="ZR"/>
    <d v="2016-12-30T00:00:00"/>
  </r>
  <r>
    <x v="0"/>
    <x v="4"/>
    <x v="1258"/>
    <x v="7"/>
    <s v="Standard order"/>
    <x v="1233"/>
    <x v="1232"/>
    <s v="A399"/>
    <s v="CRYSTAL A399NT"/>
    <s v="5002936"/>
    <s v="A399 ACH T20 PB Kabina MP"/>
    <n v="72"/>
    <n v="0"/>
    <n v="72"/>
    <x v="4"/>
    <s v="DP71"/>
    <s v="MP"/>
    <s v="388"/>
    <s v="4.0 UN"/>
    <s v="STANDARD"/>
    <s v="N"/>
    <s v="Y"/>
    <s v="Y"/>
    <s v="T20"/>
    <s v="N"/>
    <s v="N"/>
    <s v="N"/>
    <s v="N"/>
    <s v="A045"/>
    <d v="2017-01-04T00:00:00"/>
    <s v="10"/>
    <s v="TAN"/>
    <s v="OR"/>
    <d v="2016-12-30T00:00:00"/>
    <s v="OR"/>
    <s v="US"/>
    <s v="ZR"/>
    <d v="2016-12-30T00:00:00"/>
  </r>
  <r>
    <x v="0"/>
    <x v="2"/>
    <x v="1259"/>
    <x v="27"/>
    <s v="Standard order"/>
    <x v="1234"/>
    <x v="1233"/>
    <s v="R272"/>
    <s v="CRYSTAL RR272"/>
    <s v="5003629"/>
    <s v="R272 ACH T20 PB SYSTIVA G100"/>
    <n v="68"/>
    <n v="0"/>
    <n v="68"/>
    <x v="2"/>
    <s v="DG73"/>
    <s v="GEM 100"/>
    <s v="324"/>
    <s v="4.0 UN"/>
    <s v="STANDARD"/>
    <s v="N"/>
    <s v="Y"/>
    <s v="N"/>
    <s v="T20"/>
    <s v="Y"/>
    <s v="N"/>
    <s v="Y"/>
    <s v="N"/>
    <s v="A019"/>
    <d v="2017-01-04T00:00:00"/>
    <s v="10"/>
    <s v="TAN"/>
    <s v="OR"/>
    <d v="2016-12-30T00:00:00"/>
    <s v="NE"/>
    <s v="US"/>
    <s v="ZR"/>
    <d v="2016-12-30T00:00:00"/>
  </r>
  <r>
    <x v="0"/>
    <x v="2"/>
    <x v="1260"/>
    <x v="5"/>
    <s v="Standard order"/>
    <x v="1235"/>
    <x v="1234"/>
    <s v="W322"/>
    <s v="CRYSTAL W322NT"/>
    <s v="5003489"/>
    <s v="W322 ACH T20 PB SYSTIVA G50"/>
    <n v="64"/>
    <n v="0"/>
    <n v="64"/>
    <x v="2"/>
    <s v="EE73"/>
    <s v="GEM 50"/>
    <s v="324"/>
    <s v="4.0 UN"/>
    <s v="STANDARD"/>
    <s v="N"/>
    <s v="Y"/>
    <s v="N"/>
    <s v="T20"/>
    <s v="Y"/>
    <s v="N"/>
    <s v="Y"/>
    <s v="N"/>
    <s v="A020"/>
    <d v="2017-01-04T00:00:00"/>
    <s v="10"/>
    <s v="TAN"/>
    <s v="OR"/>
    <d v="2016-12-30T00:00:00"/>
    <s v="CO"/>
    <s v="US"/>
    <s v="ZR"/>
    <d v="2016-12-30T00:00:00"/>
  </r>
  <r>
    <x v="0"/>
    <x v="2"/>
    <x v="1261"/>
    <x v="6"/>
    <s v="Standard order"/>
    <x v="1236"/>
    <x v="1235"/>
    <s v="R272"/>
    <s v="CRYSTAL RR272"/>
    <s v="5003629"/>
    <s v="R272 ACH T20 PB SYSTIVA G100"/>
    <n v="108"/>
    <n v="0"/>
    <n v="108"/>
    <x v="2"/>
    <s v="DG73"/>
    <s v="GEM 100"/>
    <s v="324"/>
    <s v="4.0 UN"/>
    <s v="STANDARD"/>
    <s v="N"/>
    <s v="Y"/>
    <s v="N"/>
    <s v="T20"/>
    <s v="Y"/>
    <s v="N"/>
    <s v="Y"/>
    <s v="N"/>
    <s v="A025"/>
    <d v="2017-01-04T00:00:00"/>
    <s v="10"/>
    <s v="TAN"/>
    <s v="OR"/>
    <d v="2016-12-30T00:00:00"/>
    <s v="NE"/>
    <s v="US"/>
    <s v="ZR"/>
    <d v="2016-12-30T00:00:00"/>
  </r>
  <r>
    <x v="0"/>
    <x v="2"/>
    <x v="1261"/>
    <x v="6"/>
    <s v="Standard order"/>
    <x v="1236"/>
    <x v="1235"/>
    <s v="R014"/>
    <s v="CRYSTAL RR014"/>
    <s v="5003091"/>
    <s v="R014 ACH T20 PB SYSTIVA G100"/>
    <n v="108"/>
    <n v="0"/>
    <n v="108"/>
    <x v="2"/>
    <s v="AP82"/>
    <s v="GEM 100"/>
    <s v="324"/>
    <s v="4.0 UN"/>
    <s v="STANDARD"/>
    <s v="N"/>
    <s v="Y"/>
    <s v="N"/>
    <s v="T20"/>
    <s v="Y"/>
    <s v="N"/>
    <s v="Y"/>
    <s v="N"/>
    <s v="A025"/>
    <d v="2017-01-04T00:00:00"/>
    <s v="20"/>
    <s v="TAN"/>
    <s v="OR"/>
    <d v="2016-12-30T00:00:00"/>
    <s v="NE"/>
    <s v="US"/>
    <s v="ZR"/>
    <d v="2016-12-30T00:00:00"/>
  </r>
  <r>
    <x v="0"/>
    <x v="2"/>
    <x v="1261"/>
    <x v="6"/>
    <s v="Standard order"/>
    <x v="1236"/>
    <x v="1235"/>
    <s v="W322"/>
    <s v="CRYSTAL W322NT"/>
    <s v="5003488"/>
    <s v="W322 ACH T20 PB SYSTIVA G100"/>
    <n v="180"/>
    <n v="0"/>
    <n v="180"/>
    <x v="2"/>
    <s v="EE73"/>
    <s v="GEM 100"/>
    <s v="324"/>
    <s v="4.0 UN"/>
    <s v="STANDARD"/>
    <s v="N"/>
    <s v="Y"/>
    <s v="N"/>
    <s v="T20"/>
    <s v="Y"/>
    <s v="N"/>
    <s v="Y"/>
    <s v="N"/>
    <s v="A025"/>
    <d v="2017-01-04T00:00:00"/>
    <s v="30"/>
    <s v="TAN"/>
    <s v="OR"/>
    <d v="2016-12-30T00:00:00"/>
    <s v="NE"/>
    <s v="US"/>
    <s v="ZR"/>
    <d v="2016-12-30T00:00:00"/>
  </r>
  <r>
    <x v="0"/>
    <x v="2"/>
    <x v="1262"/>
    <x v="6"/>
    <s v="Standard order"/>
    <x v="1237"/>
    <x v="1236"/>
    <s v="R014"/>
    <s v="CRYSTAL RR014"/>
    <s v="5003091"/>
    <s v="R014 ACH T20 PB SYSTIVA G100"/>
    <n v="28"/>
    <n v="0"/>
    <n v="28"/>
    <x v="2"/>
    <s v="AP82"/>
    <s v="GEM 100"/>
    <s v="324"/>
    <s v="4.0 UN"/>
    <s v="STANDARD"/>
    <s v="N"/>
    <s v="Y"/>
    <s v="N"/>
    <s v="T20"/>
    <s v="Y"/>
    <s v="N"/>
    <s v="Y"/>
    <s v="N"/>
    <s v="A025"/>
    <d v="2017-01-04T00:00:00"/>
    <s v="10"/>
    <s v="TAN"/>
    <s v="OR"/>
    <d v="2016-12-30T00:00:00"/>
    <s v="NE"/>
    <s v="US"/>
    <s v="ZR"/>
    <d v="2016-12-30T00:00:00"/>
  </r>
  <r>
    <x v="0"/>
    <x v="2"/>
    <x v="1262"/>
    <x v="6"/>
    <s v="Standard order"/>
    <x v="1237"/>
    <x v="1236"/>
    <s v="W322"/>
    <s v="CRYSTAL W322NT"/>
    <s v="5003488"/>
    <s v="W322 ACH T20 PB SYSTIVA G100"/>
    <n v="36"/>
    <n v="0"/>
    <n v="36"/>
    <x v="2"/>
    <s v="EE73"/>
    <s v="GEM 100"/>
    <s v="324"/>
    <s v="4.0 UN"/>
    <s v="STANDARD"/>
    <s v="N"/>
    <s v="Y"/>
    <s v="N"/>
    <s v="T20"/>
    <s v="Y"/>
    <s v="N"/>
    <s v="Y"/>
    <s v="N"/>
    <s v="A025"/>
    <d v="2017-01-04T00:00:00"/>
    <s v="20"/>
    <s v="TAN"/>
    <s v="OR"/>
    <d v="2016-12-30T00:00:00"/>
    <s v="NE"/>
    <s v="US"/>
    <s v="ZR"/>
    <d v="2016-12-30T00:00:00"/>
  </r>
  <r>
    <x v="0"/>
    <x v="2"/>
    <x v="1263"/>
    <x v="27"/>
    <s v="Standard order"/>
    <x v="1238"/>
    <x v="1237"/>
    <s v="W322"/>
    <s v="CRYSTAL W322NT"/>
    <s v="5003488"/>
    <s v="W322 ACH T20 PB SYSTIVA G100"/>
    <n v="28"/>
    <n v="0"/>
    <n v="28"/>
    <x v="2"/>
    <s v="EE73"/>
    <s v="GEM 100"/>
    <s v="324"/>
    <s v="4.0 UN"/>
    <s v="STANDARD"/>
    <s v="N"/>
    <s v="Y"/>
    <s v="N"/>
    <s v="T20"/>
    <s v="Y"/>
    <s v="N"/>
    <s v="Y"/>
    <s v="N"/>
    <s v="A019"/>
    <d v="2017-01-04T00:00:00"/>
    <s v="10"/>
    <s v="TAN"/>
    <s v="OR"/>
    <d v="2016-12-30T00:00:00"/>
    <s v="CO"/>
    <s v="US"/>
    <s v="ZR"/>
    <d v="2016-12-30T00:00:00"/>
  </r>
  <r>
    <x v="0"/>
    <x v="2"/>
    <x v="1264"/>
    <x v="27"/>
    <s v="Standard order"/>
    <x v="1223"/>
    <x v="1222"/>
    <s v="R272"/>
    <s v="CRYSTAL RR272"/>
    <s v="5003629"/>
    <s v="R272 ACH T20 PB SYSTIVA G100"/>
    <n v="168"/>
    <n v="0"/>
    <n v="168"/>
    <x v="2"/>
    <s v="DG73"/>
    <s v="GEM 100"/>
    <s v="324"/>
    <s v="4.0 UN"/>
    <s v="STANDARD"/>
    <s v="N"/>
    <s v="Y"/>
    <s v="N"/>
    <s v="T20"/>
    <s v="Y"/>
    <s v="N"/>
    <s v="Y"/>
    <s v="N"/>
    <s v="A019"/>
    <d v="2017-01-04T00:00:00"/>
    <s v="10"/>
    <s v="TAN"/>
    <s v="OR"/>
    <d v="2016-12-29T00:00:00"/>
    <s v="CO"/>
    <s v="US"/>
    <s v="ZR"/>
    <d v="2016-12-30T00:00:00"/>
  </r>
  <r>
    <x v="0"/>
    <x v="5"/>
    <x v="1265"/>
    <x v="14"/>
    <s v="Standard order"/>
    <x v="1239"/>
    <x v="1238"/>
    <s v="Y400"/>
    <s v="CRYSTAL Y400NT"/>
    <s v="5003733"/>
    <s v="Y400 ACH T20 PB SYSTIVA MP"/>
    <n v="4"/>
    <n v="0"/>
    <n v="4"/>
    <x v="5"/>
    <s v="4TBP"/>
    <s v="MP"/>
    <s v="324"/>
    <s v="4.0 UN"/>
    <s v="STANDARD"/>
    <s v="N"/>
    <s v="Y"/>
    <s v="N"/>
    <s v="T20"/>
    <s v="Y"/>
    <s v="N"/>
    <s v="N"/>
    <s v="N"/>
    <s v="A017"/>
    <d v="2017-01-04T00:00:00"/>
    <s v="10"/>
    <s v="TAN"/>
    <s v="OR"/>
    <d v="2016-12-29T00:00:00"/>
    <s v="WY"/>
    <s v="US"/>
    <s v="ZR"/>
    <d v="2016-12-30T00:00:00"/>
  </r>
  <r>
    <x v="0"/>
    <x v="5"/>
    <x v="1265"/>
    <x v="14"/>
    <s v="Standard order"/>
    <x v="1239"/>
    <x v="1238"/>
    <s v="Y313"/>
    <s v="CRYSTAL Y313NT"/>
    <s v="5003709"/>
    <s v="Y313 ACH T20 PB SYSTIVA MP"/>
    <n v="12"/>
    <n v="0"/>
    <n v="12"/>
    <x v="5"/>
    <s v="DLNC"/>
    <s v="MP"/>
    <s v="324"/>
    <s v="4.0 UN"/>
    <s v="STANDARD"/>
    <s v="N"/>
    <s v="Y"/>
    <s v="N"/>
    <s v="T20"/>
    <s v="Y"/>
    <s v="N"/>
    <s v="N"/>
    <s v="N"/>
    <s v="A017"/>
    <d v="2017-01-04T00:00:00"/>
    <s v="20"/>
    <s v="TAN"/>
    <s v="OR"/>
    <d v="2016-12-29T00:00:00"/>
    <s v="WY"/>
    <s v="US"/>
    <s v="ZR"/>
    <d v="2016-12-30T00:00:00"/>
  </r>
  <r>
    <x v="0"/>
    <x v="5"/>
    <x v="1266"/>
    <x v="14"/>
    <s v="Standard order"/>
    <x v="1240"/>
    <x v="1239"/>
    <s v="Y313"/>
    <s v="CRYSTAL Y313NT"/>
    <s v="5003709"/>
    <s v="Y313 ACH T20 PB SYSTIVA MP"/>
    <n v="28"/>
    <n v="0"/>
    <n v="28"/>
    <x v="5"/>
    <s v="DLNC"/>
    <s v="MP"/>
    <s v="324"/>
    <s v="4.0 UN"/>
    <s v="STANDARD"/>
    <s v="N"/>
    <s v="Y"/>
    <s v="N"/>
    <s v="T20"/>
    <s v="Y"/>
    <s v="N"/>
    <s v="N"/>
    <s v="N"/>
    <s v="A017"/>
    <d v="2017-01-04T00:00:00"/>
    <s v="10"/>
    <s v="TAN"/>
    <s v="OR"/>
    <d v="2016-12-29T00:00:00"/>
    <s v="WY"/>
    <s v="US"/>
    <s v="ZR"/>
    <d v="2016-12-30T00:00:00"/>
  </r>
  <r>
    <x v="0"/>
    <x v="5"/>
    <x v="1266"/>
    <x v="14"/>
    <s v="Standard order"/>
    <x v="1240"/>
    <x v="1239"/>
    <s v="Y400"/>
    <s v="CRYSTAL Y400NT"/>
    <s v="5003733"/>
    <s v="Y400 ACH T20 PB SYSTIVA MP"/>
    <n v="4"/>
    <n v="0"/>
    <n v="4"/>
    <x v="5"/>
    <s v="4TBP"/>
    <s v="MP"/>
    <s v="324"/>
    <s v="4.0 UN"/>
    <s v="STANDARD"/>
    <s v="N"/>
    <s v="Y"/>
    <s v="N"/>
    <s v="T20"/>
    <s v="Y"/>
    <s v="N"/>
    <s v="N"/>
    <s v="N"/>
    <s v="A017"/>
    <d v="2017-01-04T00:00:00"/>
    <s v="20"/>
    <s v="TAN"/>
    <s v="OR"/>
    <d v="2016-12-29T00:00:00"/>
    <s v="WY"/>
    <s v="US"/>
    <s v="ZR"/>
    <d v="2016-12-30T00:00:00"/>
  </r>
  <r>
    <x v="0"/>
    <x v="0"/>
    <x v="1267"/>
    <x v="4"/>
    <s v="Standard order"/>
    <x v="1241"/>
    <x v="1240"/>
    <s v="R059"/>
    <s v="CRYSTAL RR059"/>
    <s v="5003529"/>
    <s v="R059 ACH T20 Kabina MP"/>
    <n v="32"/>
    <n v="0"/>
    <n v="32"/>
    <x v="0"/>
    <s v="AP73"/>
    <s v="MP"/>
    <s v="387"/>
    <s v="4.0 UN"/>
    <s v="STANDARD"/>
    <s v="N"/>
    <s v="N"/>
    <s v="Y"/>
    <s v="T20"/>
    <s v="N"/>
    <s v="N"/>
    <s v="N"/>
    <s v="N"/>
    <s v="A035"/>
    <d v="2017-01-04T00:00:00"/>
    <s v="10"/>
    <s v="TAN"/>
    <s v="OR"/>
    <d v="2016-12-29T00:00:00"/>
    <s v="MI"/>
    <s v="US"/>
    <s v="ZR"/>
    <d v="2016-12-30T00:00:00"/>
  </r>
  <r>
    <x v="0"/>
    <x v="0"/>
    <x v="1268"/>
    <x v="2"/>
    <s v="Standard order"/>
    <x v="1242"/>
    <x v="1241"/>
    <s v="R059"/>
    <s v="CRYSTAL RR059"/>
    <s v="5003536"/>
    <s v="R059 ACH T20 SYSTIVA RP"/>
    <n v="48"/>
    <n v="0"/>
    <n v="48"/>
    <x v="0"/>
    <s v="AP73"/>
    <s v="RP"/>
    <s v="328"/>
    <s v="4.0 UN"/>
    <s v="STANDARD"/>
    <s v="N"/>
    <s v="N"/>
    <s v="N"/>
    <s v="T20"/>
    <s v="Y"/>
    <s v="N"/>
    <s v="Y"/>
    <s v="N"/>
    <s v="A034"/>
    <d v="2017-01-04T00:00:00"/>
    <s v="10"/>
    <s v="TAN"/>
    <s v="OR"/>
    <d v="2016-12-29T00:00:00"/>
    <s v="MI"/>
    <s v="US"/>
    <s v="ZR"/>
    <d v="2016-12-30T00:00:00"/>
  </r>
  <r>
    <x v="0"/>
    <x v="0"/>
    <x v="1268"/>
    <x v="2"/>
    <s v="Standard order"/>
    <x v="1242"/>
    <x v="1241"/>
    <s v="G333"/>
    <s v="CRYSTAL G333NT"/>
    <s v="5003384"/>
    <s v="G333 ACH T20 SYSTIVA RP"/>
    <n v="12"/>
    <n v="0"/>
    <n v="12"/>
    <x v="0"/>
    <s v="EE73"/>
    <s v="RP"/>
    <s v="328"/>
    <s v="4.0 UN"/>
    <s v="STANDARD"/>
    <s v="N"/>
    <s v="N"/>
    <s v="N"/>
    <s v="T20"/>
    <s v="Y"/>
    <s v="N"/>
    <s v="Y"/>
    <s v="N"/>
    <s v="A034"/>
    <d v="2017-01-04T00:00:00"/>
    <s v="20"/>
    <s v="TAN"/>
    <s v="OR"/>
    <d v="2016-12-29T00:00:00"/>
    <s v="MI"/>
    <s v="US"/>
    <s v="ZR"/>
    <d v="2016-12-30T00:00:00"/>
  </r>
  <r>
    <x v="0"/>
    <x v="0"/>
    <x v="1269"/>
    <x v="2"/>
    <s v="Standard order"/>
    <x v="1243"/>
    <x v="1242"/>
    <s v="R059"/>
    <s v="CRYSTAL RR059"/>
    <s v="5003536"/>
    <s v="R059 ACH T20 SYSTIVA RP"/>
    <n v="36"/>
    <n v="0"/>
    <n v="36"/>
    <x v="0"/>
    <s v="AP73"/>
    <s v="RP"/>
    <s v="328"/>
    <s v="4.0 UN"/>
    <s v="STANDARD"/>
    <s v="N"/>
    <s v="N"/>
    <s v="N"/>
    <s v="T20"/>
    <s v="Y"/>
    <s v="N"/>
    <s v="Y"/>
    <s v="N"/>
    <s v="A034"/>
    <d v="2017-01-04T00:00:00"/>
    <s v="10"/>
    <s v="TAN"/>
    <s v="OR"/>
    <d v="2016-12-29T00:00:00"/>
    <s v="MI"/>
    <s v="US"/>
    <s v="ZR"/>
    <d v="2016-12-30T00:00:00"/>
  </r>
  <r>
    <x v="0"/>
    <x v="0"/>
    <x v="1270"/>
    <x v="2"/>
    <s v="Standard order"/>
    <x v="1244"/>
    <x v="1243"/>
    <s v="R059"/>
    <s v="CRYSTAL RR059"/>
    <s v="5003536"/>
    <s v="R059 ACH T20 SYSTIVA RP"/>
    <n v="24"/>
    <n v="0"/>
    <n v="24"/>
    <x v="0"/>
    <s v="AP73"/>
    <s v="RP"/>
    <s v="328"/>
    <s v="4.0 UN"/>
    <s v="STANDARD"/>
    <s v="N"/>
    <s v="N"/>
    <s v="N"/>
    <s v="T20"/>
    <s v="Y"/>
    <s v="N"/>
    <s v="Y"/>
    <s v="N"/>
    <s v="A034"/>
    <d v="2017-01-04T00:00:00"/>
    <s v="10"/>
    <s v="TAN"/>
    <s v="OR"/>
    <d v="2016-12-29T00:00:00"/>
    <s v="MI"/>
    <s v="US"/>
    <s v="ZR"/>
    <d v="2016-12-30T00:00:00"/>
  </r>
  <r>
    <x v="0"/>
    <x v="0"/>
    <x v="1271"/>
    <x v="4"/>
    <s v="Standard order"/>
    <x v="1245"/>
    <x v="1244"/>
    <s v="G515"/>
    <s v="CRYSTAL G515"/>
    <s v="5003018"/>
    <s v="G515 ACH T20 Kabina MP"/>
    <n v="4"/>
    <n v="0"/>
    <n v="4"/>
    <x v="0"/>
    <s v="APND"/>
    <s v="MP"/>
    <s v="387"/>
    <s v="4.0 UN"/>
    <s v="STANDARD"/>
    <s v="N"/>
    <s v="N"/>
    <s v="Y"/>
    <s v="T20"/>
    <s v="N"/>
    <s v="N"/>
    <s v="N"/>
    <s v="N"/>
    <s v="A035"/>
    <d v="2017-01-04T00:00:00"/>
    <s v="10"/>
    <s v="TAN"/>
    <s v="OR"/>
    <d v="2016-12-29T00:00:00"/>
    <s v="MI"/>
    <s v="US"/>
    <s v="ZR"/>
    <d v="2016-12-30T00:00:00"/>
  </r>
  <r>
    <x v="0"/>
    <x v="0"/>
    <x v="1271"/>
    <x v="4"/>
    <s v="Standard order"/>
    <x v="1245"/>
    <x v="1244"/>
    <s v="R059"/>
    <s v="CRYSTAL RR059"/>
    <s v="5003529"/>
    <s v="R059 ACH T20 Kabina MP"/>
    <n v="8"/>
    <n v="0"/>
    <n v="8"/>
    <x v="0"/>
    <s v="AP73"/>
    <s v="MP"/>
    <s v="387"/>
    <s v="4.0 UN"/>
    <s v="STANDARD"/>
    <s v="N"/>
    <s v="N"/>
    <s v="Y"/>
    <s v="T20"/>
    <s v="N"/>
    <s v="N"/>
    <s v="N"/>
    <s v="N"/>
    <s v="A035"/>
    <d v="2017-01-04T00:00:00"/>
    <s v="20"/>
    <s v="TAN"/>
    <s v="OR"/>
    <d v="2016-12-29T00:00:00"/>
    <s v="MI"/>
    <s v="US"/>
    <s v="ZR"/>
    <d v="2016-12-30T00:00:00"/>
  </r>
  <r>
    <x v="0"/>
    <x v="0"/>
    <x v="1271"/>
    <x v="4"/>
    <s v="Standard order"/>
    <x v="1245"/>
    <x v="1244"/>
    <s v="G333"/>
    <s v="CRYSTAL G333NT"/>
    <s v="5003377"/>
    <s v="G333 ACH T20 Kabina MP"/>
    <n v="4"/>
    <n v="0"/>
    <n v="4"/>
    <x v="0"/>
    <s v="EE73"/>
    <s v="MP"/>
    <s v="387"/>
    <s v="4.0 UN"/>
    <s v="STANDARD"/>
    <s v="N"/>
    <s v="N"/>
    <s v="Y"/>
    <s v="T20"/>
    <s v="N"/>
    <s v="N"/>
    <s v="N"/>
    <s v="N"/>
    <s v="A035"/>
    <d v="2017-01-04T00:00:00"/>
    <s v="30"/>
    <s v="TAN"/>
    <s v="OR"/>
    <d v="2016-12-29T00:00:00"/>
    <s v="MI"/>
    <s v="US"/>
    <s v="ZR"/>
    <d v="2016-12-30T00:00:00"/>
  </r>
  <r>
    <x v="0"/>
    <x v="2"/>
    <x v="1272"/>
    <x v="24"/>
    <s v="Standard order"/>
    <x v="1246"/>
    <x v="1245"/>
    <s v="R014"/>
    <s v="CRYSTAL RR014"/>
    <s v="5003091"/>
    <s v="R014 ACH T20 PB SYSTIVA G100"/>
    <n v="68"/>
    <n v="0"/>
    <n v="68"/>
    <x v="2"/>
    <s v="AP82"/>
    <s v="GEM 100"/>
    <s v="324"/>
    <s v="4.0 UN"/>
    <s v="STANDARD"/>
    <s v="N"/>
    <s v="Y"/>
    <s v="N"/>
    <s v="T20"/>
    <s v="Y"/>
    <s v="N"/>
    <s v="Y"/>
    <s v="N"/>
    <s v="A022"/>
    <d v="2017-01-04T00:00:00"/>
    <s v="10"/>
    <s v="TAN"/>
    <s v="OR"/>
    <d v="2016-12-30T00:00:00"/>
    <s v="CO"/>
    <s v="US"/>
    <s v="ZR"/>
    <d v="2016-12-30T00:00:00"/>
  </r>
  <r>
    <x v="0"/>
    <x v="2"/>
    <x v="1272"/>
    <x v="24"/>
    <s v="Standard order"/>
    <x v="1246"/>
    <x v="1245"/>
    <s v="W322"/>
    <s v="CRYSTAL W322NT"/>
    <s v="5003488"/>
    <s v="W322 ACH T20 PB SYSTIVA G100"/>
    <n v="76"/>
    <n v="0"/>
    <n v="76"/>
    <x v="2"/>
    <s v="EE73"/>
    <s v="GEM 100"/>
    <s v="324"/>
    <s v="4.0 UN"/>
    <s v="STANDARD"/>
    <s v="N"/>
    <s v="Y"/>
    <s v="N"/>
    <s v="T20"/>
    <s v="Y"/>
    <s v="N"/>
    <s v="Y"/>
    <s v="N"/>
    <s v="A022"/>
    <d v="2017-01-04T00:00:00"/>
    <s v="20"/>
    <s v="TAN"/>
    <s v="OR"/>
    <d v="2016-12-30T00:00:00"/>
    <s v="CO"/>
    <s v="US"/>
    <s v="ZR"/>
    <d v="2016-12-30T00:00:00"/>
  </r>
  <r>
    <x v="0"/>
    <x v="0"/>
    <x v="1273"/>
    <x v="10"/>
    <s v="Standard order"/>
    <x v="1247"/>
    <x v="1246"/>
    <s v="G333"/>
    <s v="CRYSTAL G333NT"/>
    <s v="5003378"/>
    <s v="G333 ACH T20 Kabina RP"/>
    <n v="64"/>
    <n v="0"/>
    <n v="64"/>
    <x v="0"/>
    <s v="EE73"/>
    <s v="RP"/>
    <s v="387"/>
    <s v="4.0 UN"/>
    <s v="STANDARD"/>
    <s v="N"/>
    <s v="N"/>
    <s v="Y"/>
    <s v="T20"/>
    <s v="N"/>
    <s v="N"/>
    <s v="N"/>
    <s v="N"/>
    <s v="A036"/>
    <d v="2017-01-04T00:00:00"/>
    <s v="10"/>
    <s v="TAN"/>
    <s v="OR"/>
    <d v="2016-12-30T00:00:00"/>
    <s v="MI"/>
    <s v="US"/>
    <s v="ZR"/>
    <d v="2016-12-31T00:00:00"/>
  </r>
  <r>
    <x v="0"/>
    <x v="0"/>
    <x v="1273"/>
    <x v="10"/>
    <s v="Standard order"/>
    <x v="1247"/>
    <x v="1246"/>
    <s v="G515"/>
    <s v="CRYSTAL G515"/>
    <s v="5003019"/>
    <s v="G515 ACH T20 Kabina RP"/>
    <n v="52"/>
    <n v="0"/>
    <n v="52"/>
    <x v="0"/>
    <s v="APND"/>
    <s v="RP"/>
    <s v="387"/>
    <s v="4.0 UN"/>
    <s v="STANDARD"/>
    <s v="N"/>
    <s v="N"/>
    <s v="Y"/>
    <s v="T20"/>
    <s v="N"/>
    <s v="N"/>
    <s v="N"/>
    <s v="N"/>
    <s v="A036"/>
    <d v="2017-01-04T00:00:00"/>
    <s v="20"/>
    <s v="TAN"/>
    <s v="OR"/>
    <d v="2016-12-30T00:00:00"/>
    <s v="MI"/>
    <s v="US"/>
    <s v="ZR"/>
    <d v="2016-12-31T00:00:00"/>
  </r>
  <r>
    <x v="0"/>
    <x v="2"/>
    <x v="1274"/>
    <x v="26"/>
    <s v="Standard order"/>
    <x v="1248"/>
    <x v="1247"/>
    <s v="R014"/>
    <s v="CRYSTAL RR014"/>
    <s v="5003091"/>
    <s v="R014 ACH T20 PB SYSTIVA G100"/>
    <n v="160"/>
    <n v="0"/>
    <n v="160"/>
    <x v="2"/>
    <s v="AP82"/>
    <s v="GEM 100"/>
    <s v="324"/>
    <s v="4.0 UN"/>
    <s v="STANDARD"/>
    <s v="N"/>
    <s v="Y"/>
    <s v="N"/>
    <s v="T20"/>
    <s v="Y"/>
    <s v="N"/>
    <s v="Y"/>
    <s v="N"/>
    <s v="A023"/>
    <d v="2017-01-04T00:00:00"/>
    <s v="10"/>
    <s v="TAN"/>
    <s v="OR"/>
    <d v="2016-12-31T00:00:00"/>
    <s v="CO"/>
    <s v="US"/>
    <s v="ZR"/>
    <d v="2016-12-31T00:00:00"/>
  </r>
  <r>
    <x v="0"/>
    <x v="0"/>
    <x v="1275"/>
    <x v="2"/>
    <s v="Standard order"/>
    <x v="1249"/>
    <x v="1248"/>
    <s v="R059"/>
    <s v="CRYSTAL RR059"/>
    <s v="5003529"/>
    <s v="R059 ACH T20 Kabina MP"/>
    <n v="16"/>
    <n v="0"/>
    <n v="16"/>
    <x v="0"/>
    <s v="AP73"/>
    <s v="MP"/>
    <s v="387"/>
    <s v="4.0 UN"/>
    <s v="STANDARD"/>
    <s v="N"/>
    <s v="N"/>
    <s v="Y"/>
    <s v="T20"/>
    <s v="N"/>
    <s v="N"/>
    <s v="N"/>
    <s v="N"/>
    <s v="A034"/>
    <d v="2017-01-04T00:00:00"/>
    <s v="10"/>
    <s v="TAN"/>
    <s v="OR"/>
    <d v="2016-12-31T00:00:00"/>
    <s v="MI"/>
    <s v="US"/>
    <s v="ZR"/>
    <d v="2016-12-31T00:00:00"/>
  </r>
  <r>
    <x v="0"/>
    <x v="2"/>
    <x v="1276"/>
    <x v="27"/>
    <s v="Standard order"/>
    <x v="1250"/>
    <x v="1249"/>
    <s v="W322"/>
    <s v="CRYSTAL W322NT"/>
    <s v="5003489"/>
    <s v="W322 ACH T20 PB SYSTIVA G50"/>
    <n v="12"/>
    <n v="0"/>
    <n v="12"/>
    <x v="2"/>
    <s v="EE73"/>
    <s v="GEM 50"/>
    <s v="324"/>
    <s v="4.0 UN"/>
    <s v="STANDARD"/>
    <s v="N"/>
    <s v="Y"/>
    <s v="N"/>
    <s v="T20"/>
    <s v="Y"/>
    <s v="N"/>
    <s v="Y"/>
    <s v="N"/>
    <s v="A019"/>
    <d v="2017-01-04T00:00:00"/>
    <s v="10"/>
    <s v="TAN"/>
    <s v="OR"/>
    <d v="2016-12-31T00:00:00"/>
    <s v="CO"/>
    <s v="US"/>
    <s v="ZR"/>
    <d v="2016-12-31T00:00:00"/>
  </r>
  <r>
    <x v="0"/>
    <x v="2"/>
    <x v="1277"/>
    <x v="27"/>
    <s v="Standard order"/>
    <x v="1251"/>
    <x v="1250"/>
    <s v="R014"/>
    <s v="CRYSTAL RR014"/>
    <s v="5003091"/>
    <s v="R014 ACH T20 PB SYSTIVA G100"/>
    <n v="64"/>
    <n v="0"/>
    <n v="64"/>
    <x v="2"/>
    <s v="AP82"/>
    <s v="GEM 100"/>
    <s v="324"/>
    <s v="4.0 UN"/>
    <s v="STANDARD"/>
    <s v="N"/>
    <s v="Y"/>
    <s v="N"/>
    <s v="T20"/>
    <s v="Y"/>
    <s v="N"/>
    <s v="Y"/>
    <s v="N"/>
    <s v="A019"/>
    <d v="2017-01-04T00:00:00"/>
    <s v="10"/>
    <s v="TAN"/>
    <s v="OR"/>
    <d v="2016-12-30T00:00:00"/>
    <s v="CO"/>
    <s v="US"/>
    <s v="ZR"/>
    <d v="2016-12-31T00:00:00"/>
  </r>
  <r>
    <x v="0"/>
    <x v="2"/>
    <x v="1278"/>
    <x v="22"/>
    <s v="Standard order"/>
    <x v="1252"/>
    <x v="1251"/>
    <s v="W322"/>
    <s v="CRYSTAL W322NT"/>
    <s v="5003488"/>
    <s v="W322 ACH T20 PB SYSTIVA G100"/>
    <n v="20"/>
    <n v="0"/>
    <n v="20"/>
    <x v="2"/>
    <s v="EE73"/>
    <s v="GEM 100"/>
    <s v="324"/>
    <s v="4.0 UN"/>
    <s v="STANDARD"/>
    <s v="N"/>
    <s v="Y"/>
    <s v="N"/>
    <s v="T20"/>
    <s v="Y"/>
    <s v="N"/>
    <s v="Y"/>
    <s v="N"/>
    <s v="A018"/>
    <d v="2017-01-04T00:00:00"/>
    <s v="10"/>
    <s v="TAN"/>
    <s v="OR"/>
    <d v="2016-12-31T00:00:00"/>
    <s v="CO"/>
    <s v="US"/>
    <s v="ZR"/>
    <d v="2016-12-31T00:00:00"/>
  </r>
  <r>
    <x v="0"/>
    <x v="2"/>
    <x v="1279"/>
    <x v="26"/>
    <s v="Standard order"/>
    <x v="1253"/>
    <x v="1252"/>
    <s v="R014"/>
    <s v="CRYSTAL RR014"/>
    <s v="5003091"/>
    <s v="R014 ACH T20 PB SYSTIVA G100"/>
    <n v="384"/>
    <n v="0"/>
    <n v="384"/>
    <x v="2"/>
    <s v="AP82"/>
    <s v="GEM 100"/>
    <s v="324"/>
    <s v="4.0 UN"/>
    <s v="STANDARD"/>
    <s v="N"/>
    <s v="Y"/>
    <s v="N"/>
    <s v="T20"/>
    <s v="Y"/>
    <s v="N"/>
    <s v="Y"/>
    <s v="N"/>
    <s v="A023"/>
    <d v="2017-01-04T00:00:00"/>
    <s v="10"/>
    <s v="TAN"/>
    <s v="OR"/>
    <d v="2016-12-31T00:00:00"/>
    <s v="CO"/>
    <s v="US"/>
    <s v="ZR"/>
    <d v="2016-12-31T00:00:00"/>
  </r>
  <r>
    <x v="0"/>
    <x v="2"/>
    <x v="1280"/>
    <x v="23"/>
    <s v="Standard order"/>
    <x v="1254"/>
    <x v="1253"/>
    <s v="R014"/>
    <s v="CRYSTAL RR014"/>
    <s v="5003091"/>
    <s v="R014 ACH T20 PB SYSTIVA G100"/>
    <n v="40"/>
    <n v="0"/>
    <n v="40"/>
    <x v="2"/>
    <s v="AP82"/>
    <s v="GEM 100"/>
    <s v="324"/>
    <s v="4.0 UN"/>
    <s v="STANDARD"/>
    <s v="N"/>
    <s v="Y"/>
    <s v="N"/>
    <s v="T20"/>
    <s v="Y"/>
    <s v="N"/>
    <s v="Y"/>
    <s v="N"/>
    <s v="A055"/>
    <d v="2017-01-04T00:00:00"/>
    <s v="10"/>
    <s v="TAN"/>
    <s v="OR"/>
    <d v="2016-12-30T00:00:00"/>
    <s v="WY"/>
    <s v="US"/>
    <s v="ZR"/>
    <d v="2016-12-31T00:00:00"/>
  </r>
  <r>
    <x v="0"/>
    <x v="2"/>
    <x v="1281"/>
    <x v="27"/>
    <s v="Standard order"/>
    <x v="1255"/>
    <x v="1254"/>
    <s v="R014"/>
    <s v="CRYSTAL RR014"/>
    <s v="5003091"/>
    <s v="R014 ACH T20 PB SYSTIVA G100"/>
    <n v="64"/>
    <n v="0"/>
    <n v="64"/>
    <x v="2"/>
    <s v="AP82"/>
    <s v="GEM 100"/>
    <s v="324"/>
    <s v="4.0 UN"/>
    <s v="STANDARD"/>
    <s v="N"/>
    <s v="Y"/>
    <s v="N"/>
    <s v="T20"/>
    <s v="Y"/>
    <s v="N"/>
    <s v="Y"/>
    <s v="N"/>
    <s v="A019"/>
    <d v="2017-01-04T00:00:00"/>
    <s v="10"/>
    <s v="TAN"/>
    <s v="OR"/>
    <d v="2016-12-31T00:00:00"/>
    <s v="CO"/>
    <s v="US"/>
    <s v="ZR"/>
    <d v="2016-12-31T00:00:00"/>
  </r>
  <r>
    <x v="0"/>
    <x v="2"/>
    <x v="1281"/>
    <x v="27"/>
    <s v="Standard order"/>
    <x v="1255"/>
    <x v="1254"/>
    <s v="R272"/>
    <s v="CRYSTAL RR272"/>
    <s v="5003629"/>
    <s v="R272 ACH T20 PB SYSTIVA G100"/>
    <n v="64"/>
    <n v="0"/>
    <n v="64"/>
    <x v="2"/>
    <s v="DG73"/>
    <s v="GEM 100"/>
    <s v="324"/>
    <s v="4.0 UN"/>
    <s v="STANDARD"/>
    <s v="N"/>
    <s v="Y"/>
    <s v="N"/>
    <s v="T20"/>
    <s v="Y"/>
    <s v="N"/>
    <s v="Y"/>
    <s v="N"/>
    <s v="A019"/>
    <d v="2017-01-04T00:00:00"/>
    <s v="20"/>
    <s v="TAN"/>
    <s v="OR"/>
    <d v="2016-12-31T00:00:00"/>
    <s v="CO"/>
    <s v="US"/>
    <s v="ZR"/>
    <d v="2016-12-31T00:00:00"/>
  </r>
  <r>
    <x v="0"/>
    <x v="0"/>
    <x v="1282"/>
    <x v="2"/>
    <s v="Standard order"/>
    <x v="1256"/>
    <x v="1255"/>
    <s v="G333"/>
    <s v="CRYSTAL G333NT"/>
    <s v="5003378"/>
    <s v="G333 ACH T20 Kabina RP"/>
    <n v="4"/>
    <n v="0"/>
    <n v="4"/>
    <x v="0"/>
    <s v="EE73"/>
    <s v="RP"/>
    <s v="387"/>
    <s v="4.0 UN"/>
    <s v="STANDARD"/>
    <s v="N"/>
    <s v="N"/>
    <s v="Y"/>
    <s v="T20"/>
    <s v="N"/>
    <s v="N"/>
    <s v="N"/>
    <s v="N"/>
    <s v="A034"/>
    <d v="2017-01-04T00:00:00"/>
    <s v="10"/>
    <s v="TAN"/>
    <s v="OR"/>
    <d v="2016-12-31T00:00:00"/>
    <s v="MI"/>
    <s v="US"/>
    <s v="ZR"/>
    <d v="2016-12-31T00:00:00"/>
  </r>
  <r>
    <x v="0"/>
    <x v="2"/>
    <x v="1283"/>
    <x v="27"/>
    <s v="Standard order"/>
    <x v="1257"/>
    <x v="1256"/>
    <s v="R014"/>
    <s v="CRYSTAL RR014"/>
    <s v="5003091"/>
    <s v="R014 ACH T20 PB SYSTIVA G100"/>
    <n v="24"/>
    <n v="0"/>
    <n v="24"/>
    <x v="2"/>
    <s v="AP82"/>
    <s v="GEM 100"/>
    <s v="324"/>
    <s v="4.0 UN"/>
    <s v="STANDARD"/>
    <s v="N"/>
    <s v="Y"/>
    <s v="N"/>
    <s v="T20"/>
    <s v="Y"/>
    <s v="N"/>
    <s v="Y"/>
    <s v="N"/>
    <s v="A019"/>
    <d v="2017-01-04T00:00:00"/>
    <s v="10"/>
    <s v="TAN"/>
    <s v="OR"/>
    <d v="2016-12-31T00:00:00"/>
    <s v="CO"/>
    <s v="US"/>
    <s v="ZR"/>
    <d v="2016-12-31T00:00:00"/>
  </r>
  <r>
    <x v="0"/>
    <x v="2"/>
    <x v="1283"/>
    <x v="27"/>
    <s v="Standard order"/>
    <x v="1257"/>
    <x v="1256"/>
    <s v="W322"/>
    <s v="CRYSTAL W322NT"/>
    <s v="5003488"/>
    <s v="W322 ACH T20 PB SYSTIVA G100"/>
    <n v="24"/>
    <n v="0"/>
    <n v="24"/>
    <x v="2"/>
    <s v="EE73"/>
    <s v="GEM 100"/>
    <s v="324"/>
    <s v="4.0 UN"/>
    <s v="STANDARD"/>
    <s v="N"/>
    <s v="Y"/>
    <s v="N"/>
    <s v="T20"/>
    <s v="Y"/>
    <s v="N"/>
    <s v="Y"/>
    <s v="N"/>
    <s v="A019"/>
    <d v="2017-01-04T00:00:00"/>
    <s v="20"/>
    <s v="TAN"/>
    <s v="OR"/>
    <d v="2016-12-31T00:00:00"/>
    <s v="CO"/>
    <s v="US"/>
    <s v="ZR"/>
    <d v="2016-12-31T00:00:00"/>
  </r>
  <r>
    <x v="0"/>
    <x v="4"/>
    <x v="1284"/>
    <x v="15"/>
    <s v="Standard order"/>
    <x v="1258"/>
    <x v="1257"/>
    <s v="A399"/>
    <s v="CRYSTAL A399NT"/>
    <s v="5002928"/>
    <s v="A399 ACH PB LRG"/>
    <n v="16"/>
    <n v="0"/>
    <n v="16"/>
    <x v="4"/>
    <s v="DP71"/>
    <s v="LARGE"/>
    <s v="314"/>
    <s v="4.0 UN"/>
    <s v="STANDARD"/>
    <s v="N"/>
    <s v="Y"/>
    <s v="N"/>
    <s v="N"/>
    <s v="N"/>
    <s v="N"/>
    <s v="N"/>
    <s v="N"/>
    <s v="A043"/>
    <d v="2017-01-04T00:00:00"/>
    <s v="10"/>
    <s v="TAN"/>
    <s v="OR"/>
    <d v="2016-12-30T00:00:00"/>
    <s v="ID"/>
    <s v="US"/>
    <s v="ZR"/>
    <d v="2016-12-31T00:00:00"/>
  </r>
  <r>
    <x v="0"/>
    <x v="2"/>
    <x v="1285"/>
    <x v="27"/>
    <s v="Standard order"/>
    <x v="1259"/>
    <x v="1258"/>
    <s v="R014"/>
    <s v="CRYSTAL RR014"/>
    <s v="5003092"/>
    <s v="R014 ACH T20 PB SYSTIVA G50"/>
    <n v="24"/>
    <n v="0"/>
    <n v="24"/>
    <x v="2"/>
    <s v="AP82"/>
    <s v="GEM 50"/>
    <s v="324"/>
    <s v="4.0 UN"/>
    <s v="STANDARD"/>
    <s v="N"/>
    <s v="Y"/>
    <s v="N"/>
    <s v="T20"/>
    <s v="Y"/>
    <s v="N"/>
    <s v="Y"/>
    <s v="N"/>
    <s v="A019"/>
    <d v="2017-01-04T00:00:00"/>
    <s v="10"/>
    <s v="TAN"/>
    <s v="OR"/>
    <d v="2016-12-31T00:00:00"/>
    <s v="CO"/>
    <s v="US"/>
    <s v="ZR"/>
    <d v="2016-12-31T00:00:00"/>
  </r>
  <r>
    <x v="0"/>
    <x v="2"/>
    <x v="1286"/>
    <x v="27"/>
    <s v="Standard order"/>
    <x v="1260"/>
    <x v="1259"/>
    <s v="R014"/>
    <s v="CRYSTAL RR014"/>
    <s v="5003091"/>
    <s v="R014 ACH T20 PB SYSTIVA G100"/>
    <n v="64"/>
    <n v="0"/>
    <n v="64"/>
    <x v="2"/>
    <s v="AP82"/>
    <s v="GEM 100"/>
    <s v="324"/>
    <s v="4.0 UN"/>
    <s v="STANDARD"/>
    <s v="N"/>
    <s v="Y"/>
    <s v="N"/>
    <s v="T20"/>
    <s v="Y"/>
    <s v="N"/>
    <s v="Y"/>
    <s v="N"/>
    <s v="A019"/>
    <d v="2017-01-04T00:00:00"/>
    <s v="10"/>
    <s v="TAN"/>
    <s v="OR"/>
    <d v="2016-12-30T00:00:00"/>
    <s v="CO"/>
    <s v="US"/>
    <s v="ZR"/>
    <d v="2016-12-31T00:00:00"/>
  </r>
  <r>
    <x v="0"/>
    <x v="0"/>
    <x v="1287"/>
    <x v="2"/>
    <s v="Standard order"/>
    <x v="1261"/>
    <x v="1260"/>
    <s v="R059"/>
    <s v="CRYSTAL RR059"/>
    <s v="5003529"/>
    <s v="R059 ACH T20 Kabina MP"/>
    <n v="16"/>
    <n v="0"/>
    <n v="16"/>
    <x v="0"/>
    <s v="AP73"/>
    <s v="MP"/>
    <s v="387"/>
    <s v="4.0 UN"/>
    <s v="STANDARD"/>
    <s v="N"/>
    <s v="N"/>
    <s v="Y"/>
    <s v="T20"/>
    <s v="N"/>
    <s v="N"/>
    <s v="N"/>
    <s v="N"/>
    <s v="A034"/>
    <d v="2017-01-04T00:00:00"/>
    <s v="10"/>
    <s v="TAN"/>
    <s v="OR"/>
    <d v="2016-12-31T00:00:00"/>
    <s v="MI"/>
    <s v="US"/>
    <s v="ZR"/>
    <d v="2016-12-31T00:00:00"/>
  </r>
  <r>
    <x v="0"/>
    <x v="2"/>
    <x v="1288"/>
    <x v="27"/>
    <s v="Standard order"/>
    <x v="1262"/>
    <x v="1261"/>
    <s v="W322"/>
    <s v="CRYSTAL W322NT"/>
    <s v="5003489"/>
    <s v="W322 ACH T20 PB SYSTIVA G50"/>
    <n v="20"/>
    <n v="0"/>
    <n v="20"/>
    <x v="2"/>
    <s v="EE73"/>
    <s v="GEM 50"/>
    <s v="324"/>
    <s v="4.0 UN"/>
    <s v="STANDARD"/>
    <s v="N"/>
    <s v="Y"/>
    <s v="N"/>
    <s v="T20"/>
    <s v="Y"/>
    <s v="N"/>
    <s v="Y"/>
    <s v="N"/>
    <s v="A019"/>
    <d v="2017-01-04T00:00:00"/>
    <s v="10"/>
    <s v="TAN"/>
    <s v="OR"/>
    <d v="2016-12-31T00:00:00"/>
    <s v="CO"/>
    <s v="US"/>
    <s v="ZR"/>
    <d v="2016-12-31T00:00:00"/>
  </r>
  <r>
    <x v="0"/>
    <x v="0"/>
    <x v="1289"/>
    <x v="2"/>
    <s v="Standard order"/>
    <x v="1263"/>
    <x v="1262"/>
    <s v="R059"/>
    <s v="CRYSTAL RR059"/>
    <s v="5003530"/>
    <s v="R059 ACH T20 Kabina RP"/>
    <n v="16"/>
    <n v="0"/>
    <n v="16"/>
    <x v="0"/>
    <s v="AP73"/>
    <s v="RP"/>
    <s v="387"/>
    <s v="4.0 UN"/>
    <s v="STANDARD"/>
    <s v="N"/>
    <s v="N"/>
    <s v="Y"/>
    <s v="T20"/>
    <s v="N"/>
    <s v="N"/>
    <s v="N"/>
    <s v="N"/>
    <s v="A034"/>
    <d v="2017-01-04T00:00:00"/>
    <s v="10"/>
    <s v="TAN"/>
    <s v="OR"/>
    <d v="2016-12-31T00:00:00"/>
    <s v="MI"/>
    <s v="US"/>
    <s v="ZR"/>
    <d v="2016-12-31T00:00:00"/>
  </r>
  <r>
    <x v="0"/>
    <x v="0"/>
    <x v="1290"/>
    <x v="2"/>
    <s v="Standard order"/>
    <x v="1264"/>
    <x v="1263"/>
    <s v="R059"/>
    <s v="CRYSTAL RR059"/>
    <s v="5003530"/>
    <s v="R059 ACH T20 Kabina RP"/>
    <n v="20"/>
    <n v="0"/>
    <n v="20"/>
    <x v="0"/>
    <s v="AP73"/>
    <s v="RP"/>
    <s v="387"/>
    <s v="4.0 UN"/>
    <s v="STANDARD"/>
    <s v="N"/>
    <s v="N"/>
    <s v="Y"/>
    <s v="T20"/>
    <s v="N"/>
    <s v="N"/>
    <s v="N"/>
    <s v="N"/>
    <s v="A034"/>
    <d v="2017-01-04T00:00:00"/>
    <s v="10"/>
    <s v="TAN"/>
    <s v="OR"/>
    <d v="2016-12-31T00:00:00"/>
    <s v="MI"/>
    <s v="US"/>
    <s v="ZR"/>
    <d v="2016-12-31T00:00:00"/>
  </r>
  <r>
    <x v="0"/>
    <x v="2"/>
    <x v="1291"/>
    <x v="27"/>
    <s v="Standard order"/>
    <x v="1265"/>
    <x v="1264"/>
    <s v="R014"/>
    <s v="CRYSTAL RR014"/>
    <s v="5003091"/>
    <s v="R014 ACH T20 PB SYSTIVA G100"/>
    <n v="40"/>
    <n v="0"/>
    <n v="40"/>
    <x v="2"/>
    <s v="AP82"/>
    <s v="GEM 100"/>
    <s v="324"/>
    <s v="4.0 UN"/>
    <s v="STANDARD"/>
    <s v="N"/>
    <s v="Y"/>
    <s v="N"/>
    <s v="T20"/>
    <s v="Y"/>
    <s v="N"/>
    <s v="Y"/>
    <s v="N"/>
    <s v="A019"/>
    <d v="2017-01-04T00:00:00"/>
    <s v="10"/>
    <s v="TAN"/>
    <s v="OR"/>
    <d v="2016-12-31T00:00:00"/>
    <s v="CO"/>
    <s v="US"/>
    <s v="ZR"/>
    <d v="2017-01-01T00:00:00"/>
  </r>
  <r>
    <x v="0"/>
    <x v="2"/>
    <x v="1291"/>
    <x v="27"/>
    <s v="Standard order"/>
    <x v="1265"/>
    <x v="1264"/>
    <s v="W322"/>
    <s v="CRYSTAL W322NT"/>
    <s v="5003488"/>
    <s v="W322 ACH T20 PB SYSTIVA G100"/>
    <n v="52"/>
    <n v="0"/>
    <n v="52"/>
    <x v="2"/>
    <s v="EE73"/>
    <s v="GEM 100"/>
    <s v="324"/>
    <s v="4.0 UN"/>
    <s v="STANDARD"/>
    <s v="N"/>
    <s v="Y"/>
    <s v="N"/>
    <s v="T20"/>
    <s v="Y"/>
    <s v="N"/>
    <s v="Y"/>
    <s v="N"/>
    <s v="A019"/>
    <d v="2017-01-04T00:00:00"/>
    <s v="20"/>
    <s v="TAN"/>
    <s v="OR"/>
    <d v="2016-12-31T00:00:00"/>
    <s v="CO"/>
    <s v="US"/>
    <s v="ZR"/>
    <d v="2017-01-01T00:00:00"/>
  </r>
  <r>
    <x v="0"/>
    <x v="2"/>
    <x v="1292"/>
    <x v="27"/>
    <s v="Standard order"/>
    <x v="1266"/>
    <x v="1265"/>
    <s v="R014"/>
    <s v="CRYSTAL RR014"/>
    <s v="5003091"/>
    <s v="R014 ACH T20 PB SYSTIVA G100"/>
    <n v="84"/>
    <n v="0"/>
    <n v="84"/>
    <x v="2"/>
    <s v="AP82"/>
    <s v="GEM 100"/>
    <s v="324"/>
    <s v="4.0 UN"/>
    <s v="STANDARD"/>
    <s v="N"/>
    <s v="Y"/>
    <s v="N"/>
    <s v="T20"/>
    <s v="Y"/>
    <s v="N"/>
    <s v="Y"/>
    <s v="N"/>
    <s v="A019"/>
    <d v="2017-01-04T00:00:00"/>
    <s v="10"/>
    <s v="TAN"/>
    <s v="OR"/>
    <d v="2016-12-31T00:00:00"/>
    <s v="CO"/>
    <s v="US"/>
    <s v="ZR"/>
    <d v="2017-01-01T00:00:00"/>
  </r>
  <r>
    <x v="0"/>
    <x v="2"/>
    <x v="1292"/>
    <x v="27"/>
    <s v="Standard order"/>
    <x v="1266"/>
    <x v="1265"/>
    <s v="W322"/>
    <s v="CRYSTAL W322NT"/>
    <s v="5003488"/>
    <s v="W322 ACH T20 PB SYSTIVA G100"/>
    <n v="84"/>
    <n v="0"/>
    <n v="84"/>
    <x v="2"/>
    <s v="EE73"/>
    <s v="GEM 100"/>
    <s v="324"/>
    <s v="4.0 UN"/>
    <s v="STANDARD"/>
    <s v="N"/>
    <s v="Y"/>
    <s v="N"/>
    <s v="T20"/>
    <s v="Y"/>
    <s v="N"/>
    <s v="Y"/>
    <s v="N"/>
    <s v="A019"/>
    <d v="2017-01-04T00:00:00"/>
    <s v="20"/>
    <s v="TAN"/>
    <s v="OR"/>
    <d v="2016-12-31T00:00:00"/>
    <s v="CO"/>
    <s v="US"/>
    <s v="ZR"/>
    <d v="2017-01-01T00:00:00"/>
  </r>
  <r>
    <x v="0"/>
    <x v="6"/>
    <x v="1293"/>
    <x v="11"/>
    <s v="Standard order"/>
    <x v="1267"/>
    <x v="1266"/>
    <s v="R052"/>
    <s v="CRYSTAL RR052"/>
    <s v="5003513"/>
    <s v="R052 ACH T20 PB SYSTIVA G100"/>
    <n v="24"/>
    <n v="0"/>
    <n v="24"/>
    <x v="6"/>
    <s v="AP82"/>
    <s v="GEM 100"/>
    <s v="324"/>
    <s v="4.0 UN"/>
    <s v="STANDARD"/>
    <s v="N"/>
    <s v="Y"/>
    <s v="N"/>
    <s v="T20"/>
    <s v="Y"/>
    <s v="N"/>
    <s v="Y"/>
    <s v="N"/>
    <s v="A038"/>
    <d v="2017-01-04T00:00:00"/>
    <s v="10"/>
    <s v="TAN"/>
    <s v="OR"/>
    <d v="2016-12-31T00:00:00"/>
    <s v="MT"/>
    <s v="US"/>
    <s v="ZR"/>
    <d v="2017-01-01T00:00:00"/>
  </r>
  <r>
    <x v="0"/>
    <x v="2"/>
    <x v="1294"/>
    <x v="26"/>
    <s v="Standard order"/>
    <x v="1268"/>
    <x v="1267"/>
    <s v="R014"/>
    <s v="CRYSTAL RR014"/>
    <s v="5003090"/>
    <s v="R014 ACH T20 PB SYSTIVA ELS"/>
    <n v="248"/>
    <n v="0"/>
    <n v="248"/>
    <x v="2"/>
    <s v="AP82"/>
    <s v="ELS"/>
    <s v="324"/>
    <s v="4.0 UN"/>
    <s v="STANDARD"/>
    <s v="N"/>
    <s v="Y"/>
    <s v="N"/>
    <s v="T20"/>
    <s v="Y"/>
    <s v="N"/>
    <s v="Y"/>
    <s v="N"/>
    <s v="A023"/>
    <d v="2017-01-04T00:00:00"/>
    <s v="10"/>
    <s v="TAN"/>
    <s v="OR"/>
    <d v="2016-12-31T00:00:00"/>
    <s v="CO"/>
    <s v="US"/>
    <s v="ZR"/>
    <d v="2017-01-01T00:00:00"/>
  </r>
  <r>
    <x v="0"/>
    <x v="2"/>
    <x v="1295"/>
    <x v="27"/>
    <s v="Standard order"/>
    <x v="1269"/>
    <x v="1268"/>
    <s v="R014"/>
    <s v="CRYSTAL RR014"/>
    <s v="5003091"/>
    <s v="R014 ACH T20 PB SYSTIVA G100"/>
    <n v="128"/>
    <n v="0"/>
    <n v="128"/>
    <x v="2"/>
    <s v="AP82"/>
    <s v="GEM 100"/>
    <s v="324"/>
    <s v="4.0 UN"/>
    <s v="STANDARD"/>
    <s v="N"/>
    <s v="Y"/>
    <s v="N"/>
    <s v="T20"/>
    <s v="Y"/>
    <s v="N"/>
    <s v="Y"/>
    <s v="N"/>
    <s v="A019"/>
    <d v="2017-01-04T00:00:00"/>
    <s v="10"/>
    <s v="TAN"/>
    <s v="OR"/>
    <d v="2016-12-31T00:00:00"/>
    <s v="CO"/>
    <s v="US"/>
    <s v="ZR"/>
    <d v="2017-01-01T00:00:00"/>
  </r>
  <r>
    <x v="0"/>
    <x v="2"/>
    <x v="1296"/>
    <x v="3"/>
    <s v="Standard order"/>
    <x v="634"/>
    <x v="634"/>
    <s v="R014"/>
    <s v="CRYSTAL RR014"/>
    <s v="5003091"/>
    <s v="R014 ACH T20 PB SYSTIVA G100"/>
    <n v="60"/>
    <n v="0"/>
    <n v="60"/>
    <x v="2"/>
    <s v="AP82"/>
    <s v="GEM 100"/>
    <s v="324"/>
    <s v="4.0 UN"/>
    <s v="STANDARD"/>
    <s v="N"/>
    <s v="Y"/>
    <s v="N"/>
    <s v="T20"/>
    <s v="Y"/>
    <s v="N"/>
    <s v="Y"/>
    <s v="N"/>
    <s v="A024"/>
    <d v="2017-01-04T00:00:00"/>
    <s v="10"/>
    <s v="TAN"/>
    <s v="OR"/>
    <d v="2017-01-01T00:00:00"/>
    <s v="NE"/>
    <s v="US"/>
    <s v="ZR"/>
    <d v="2017-01-01T00:00:00"/>
  </r>
  <r>
    <x v="0"/>
    <x v="2"/>
    <x v="1297"/>
    <x v="27"/>
    <s v="Standard order"/>
    <x v="1270"/>
    <x v="1269"/>
    <s v="R272"/>
    <s v="CRYSTAL RR272"/>
    <s v="5003629"/>
    <s v="R272 ACH T20 PB SYSTIVA G100"/>
    <n v="48"/>
    <n v="0"/>
    <n v="48"/>
    <x v="2"/>
    <s v="DG73"/>
    <s v="GEM 100"/>
    <s v="324"/>
    <s v="4.0 UN"/>
    <s v="STANDARD"/>
    <s v="N"/>
    <s v="Y"/>
    <s v="N"/>
    <s v="T20"/>
    <s v="Y"/>
    <s v="N"/>
    <s v="Y"/>
    <s v="N"/>
    <s v="A019"/>
    <d v="2017-01-04T00:00:00"/>
    <s v="10"/>
    <s v="TAN"/>
    <s v="OR"/>
    <d v="2016-12-31T00:00:00"/>
    <s v="CO"/>
    <s v="US"/>
    <s v="ZR"/>
    <d v="2017-01-01T00:00:00"/>
  </r>
  <r>
    <x v="0"/>
    <x v="6"/>
    <x v="1298"/>
    <x v="11"/>
    <s v="Standard order"/>
    <x v="1271"/>
    <x v="1270"/>
    <s v="R052"/>
    <s v="CRYSTAL RR052"/>
    <s v="5003501"/>
    <s v="R052 ACH T20 PB CL SYSTIVA G100"/>
    <n v="12"/>
    <n v="0"/>
    <n v="12"/>
    <x v="6"/>
    <s v="AP82"/>
    <s v="GEM 100"/>
    <s v="321"/>
    <s v="4.0 UN"/>
    <s v="STANDARD"/>
    <s v="N"/>
    <s v="N"/>
    <s v="N"/>
    <s v="T20"/>
    <s v="Y"/>
    <s v="N"/>
    <s v="Y"/>
    <s v="N"/>
    <s v="A038"/>
    <d v="2017-01-04T00:00:00"/>
    <s v="40"/>
    <s v="TAN"/>
    <s v="OR"/>
    <d v="2016-12-31T00:00:00"/>
    <s v="MT"/>
    <s v="US"/>
    <s v="ZR"/>
    <d v="2017-01-01T00:00:00"/>
  </r>
  <r>
    <x v="0"/>
    <x v="6"/>
    <x v="1298"/>
    <x v="11"/>
    <s v="Standard order"/>
    <x v="1271"/>
    <x v="1270"/>
    <s v="S517"/>
    <s v="CRYSTAL S517"/>
    <s v="5003467"/>
    <s v="S517 ACH T20 PB SYSTIVA G100"/>
    <n v="24"/>
    <n v="0"/>
    <n v="24"/>
    <x v="6"/>
    <s v="DVNV"/>
    <s v="GEM 100"/>
    <s v="324"/>
    <s v="4.0 UN"/>
    <s v="STANDARD"/>
    <s v="N"/>
    <s v="Y"/>
    <s v="N"/>
    <s v="T20"/>
    <s v="Y"/>
    <s v="N"/>
    <s v="Y"/>
    <s v="N"/>
    <s v="A038"/>
    <d v="2017-01-04T00:00:00"/>
    <s v="10"/>
    <s v="TAN"/>
    <s v="OR"/>
    <d v="2016-12-31T00:00:00"/>
    <s v="MT"/>
    <s v="US"/>
    <s v="ZR"/>
    <d v="2017-01-01T00:00:00"/>
  </r>
  <r>
    <x v="0"/>
    <x v="6"/>
    <x v="1298"/>
    <x v="11"/>
    <s v="Standard order"/>
    <x v="1271"/>
    <x v="1270"/>
    <s v="S360"/>
    <s v="CRYSTAL S360NT"/>
    <s v="5003413"/>
    <s v="S360 ACH T20 PB SYSTIVA G100"/>
    <n v="20"/>
    <n v="0"/>
    <n v="20"/>
    <x v="6"/>
    <s v="DVNB"/>
    <s v="GEM 100"/>
    <s v="324"/>
    <s v="4.0 UN"/>
    <s v="STANDARD"/>
    <s v="N"/>
    <s v="Y"/>
    <s v="N"/>
    <s v="T20"/>
    <s v="Y"/>
    <s v="N"/>
    <s v="Y"/>
    <s v="N"/>
    <s v="A038"/>
    <d v="2017-01-04T00:00:00"/>
    <s v="20"/>
    <s v="TAN"/>
    <s v="OR"/>
    <d v="2016-12-31T00:00:00"/>
    <s v="MT"/>
    <s v="US"/>
    <s v="ZR"/>
    <d v="2017-01-01T00:00:00"/>
  </r>
  <r>
    <x v="0"/>
    <x v="6"/>
    <x v="1298"/>
    <x v="11"/>
    <s v="Standard order"/>
    <x v="1271"/>
    <x v="1270"/>
    <s v="R052"/>
    <s v="CRYSTAL RR052"/>
    <s v="5003513"/>
    <s v="R052 ACH T20 PB SYSTIVA G100"/>
    <n v="8"/>
    <n v="0"/>
    <n v="8"/>
    <x v="6"/>
    <s v="AP82"/>
    <s v="GEM 100"/>
    <s v="324"/>
    <s v="4.0 UN"/>
    <s v="STANDARD"/>
    <s v="N"/>
    <s v="Y"/>
    <s v="N"/>
    <s v="T20"/>
    <s v="Y"/>
    <s v="N"/>
    <s v="Y"/>
    <s v="N"/>
    <s v="A038"/>
    <d v="2017-01-04T00:00:00"/>
    <s v="30"/>
    <s v="TAN"/>
    <s v="OR"/>
    <d v="2016-12-31T00:00:00"/>
    <s v="MT"/>
    <s v="US"/>
    <s v="ZR"/>
    <d v="2017-01-01T00:00:00"/>
  </r>
  <r>
    <x v="0"/>
    <x v="0"/>
    <x v="1299"/>
    <x v="4"/>
    <s v="Standard order"/>
    <x v="1272"/>
    <x v="1271"/>
    <s v="G351"/>
    <s v="CRYSTAL G351NT"/>
    <s v="5003396"/>
    <s v="G351 ACH T20 Kabina ELS"/>
    <n v="8"/>
    <n v="0"/>
    <n v="8"/>
    <x v="0"/>
    <s v="DA73"/>
    <s v="ELS"/>
    <s v="387"/>
    <s v="4.0 UN"/>
    <s v="STANDARD"/>
    <s v="N"/>
    <s v="N"/>
    <s v="Y"/>
    <s v="T20"/>
    <s v="N"/>
    <s v="N"/>
    <s v="N"/>
    <s v="N"/>
    <s v="A035"/>
    <d v="2017-01-06T00:00:00"/>
    <s v="10"/>
    <s v="TAN"/>
    <s v="OR"/>
    <d v="2017-01-02T00:00:00"/>
    <s v="MI"/>
    <s v="US"/>
    <s v="ZR"/>
    <d v="2017-01-03T00:00:00"/>
  </r>
  <r>
    <x v="0"/>
    <x v="0"/>
    <x v="1299"/>
    <x v="4"/>
    <s v="Standard order"/>
    <x v="1272"/>
    <x v="1271"/>
    <s v="R059"/>
    <s v="CRYSTAL RR059"/>
    <s v="5003528"/>
    <s v="R059 ACH T20 Kabina ELS"/>
    <n v="8"/>
    <n v="0"/>
    <n v="8"/>
    <x v="0"/>
    <s v="AP73"/>
    <s v="ELS"/>
    <s v="387"/>
    <s v="4.0 UN"/>
    <s v="STANDARD"/>
    <s v="N"/>
    <s v="N"/>
    <s v="Y"/>
    <s v="T20"/>
    <s v="N"/>
    <s v="N"/>
    <s v="N"/>
    <s v="N"/>
    <s v="A035"/>
    <d v="2017-01-06T00:00:00"/>
    <s v="20"/>
    <s v="TAN"/>
    <s v="OR"/>
    <d v="2017-01-02T00:00:00"/>
    <s v="MI"/>
    <s v="US"/>
    <s v="ZR"/>
    <d v="2017-01-03T00:00:00"/>
  </r>
  <r>
    <x v="0"/>
    <x v="0"/>
    <x v="1300"/>
    <x v="4"/>
    <s v="Standard order"/>
    <x v="1273"/>
    <x v="1272"/>
    <s v="R059"/>
    <s v="CRYSTAL RR059"/>
    <s v="5003529"/>
    <s v="R059 ACH T20 Kabina MP"/>
    <n v="28"/>
    <n v="0"/>
    <n v="28"/>
    <x v="0"/>
    <s v="AP73"/>
    <s v="MP"/>
    <s v="387"/>
    <s v="4.0 UN"/>
    <s v="STANDARD"/>
    <s v="N"/>
    <s v="N"/>
    <s v="Y"/>
    <s v="T20"/>
    <s v="N"/>
    <s v="N"/>
    <s v="N"/>
    <s v="N"/>
    <s v="A035"/>
    <d v="2017-01-06T00:00:00"/>
    <s v="10"/>
    <s v="TAN"/>
    <s v="OR"/>
    <d v="2017-01-02T00:00:00"/>
    <s v="MI"/>
    <s v="US"/>
    <s v="ZR"/>
    <d v="2017-01-03T00:00:00"/>
  </r>
  <r>
    <x v="0"/>
    <x v="0"/>
    <x v="1300"/>
    <x v="4"/>
    <s v="Standard order"/>
    <x v="1273"/>
    <x v="1272"/>
    <s v="G351"/>
    <s v="CRYSTAL G351NT"/>
    <s v="5003397"/>
    <s v="G351 ACH T20 Kabina MP"/>
    <n v="8"/>
    <n v="0"/>
    <n v="8"/>
    <x v="0"/>
    <s v="DA73"/>
    <s v="MP"/>
    <s v="387"/>
    <s v="4.0 UN"/>
    <s v="STANDARD"/>
    <s v="N"/>
    <s v="N"/>
    <s v="Y"/>
    <s v="T20"/>
    <s v="N"/>
    <s v="N"/>
    <s v="N"/>
    <s v="N"/>
    <s v="A035"/>
    <d v="2017-01-06T00:00:00"/>
    <s v="20"/>
    <s v="TAN"/>
    <s v="OR"/>
    <d v="2017-01-02T00:00:00"/>
    <s v="MI"/>
    <s v="US"/>
    <s v="ZR"/>
    <d v="2017-01-03T00:00:00"/>
  </r>
  <r>
    <x v="0"/>
    <x v="0"/>
    <x v="1300"/>
    <x v="4"/>
    <s v="Standard order"/>
    <x v="1273"/>
    <x v="1272"/>
    <s v="G515"/>
    <s v="CRYSTAL G515"/>
    <s v="5003018"/>
    <s v="G515 ACH T20 Kabina MP"/>
    <n v="12"/>
    <n v="0"/>
    <n v="12"/>
    <x v="0"/>
    <s v="APND"/>
    <s v="MP"/>
    <s v="387"/>
    <s v="4.0 UN"/>
    <s v="STANDARD"/>
    <s v="N"/>
    <s v="N"/>
    <s v="Y"/>
    <s v="T20"/>
    <s v="N"/>
    <s v="N"/>
    <s v="N"/>
    <s v="N"/>
    <s v="A035"/>
    <d v="2017-01-06T00:00:00"/>
    <s v="30"/>
    <s v="TAN"/>
    <s v="OR"/>
    <d v="2017-01-02T00:00:00"/>
    <s v="MI"/>
    <s v="US"/>
    <s v="ZR"/>
    <d v="2017-01-03T00:00:00"/>
  </r>
  <r>
    <x v="0"/>
    <x v="0"/>
    <x v="1301"/>
    <x v="2"/>
    <s v="Standard order"/>
    <x v="1274"/>
    <x v="1273"/>
    <s v="R059"/>
    <s v="CRYSTAL RR059"/>
    <s v="5003529"/>
    <s v="R059 ACH T20 Kabina MP"/>
    <n v="12"/>
    <n v="0"/>
    <n v="12"/>
    <x v="0"/>
    <s v="AP73"/>
    <s v="MP"/>
    <s v="387"/>
    <s v="4.0 UN"/>
    <s v="STANDARD"/>
    <s v="N"/>
    <s v="N"/>
    <s v="Y"/>
    <s v="T20"/>
    <s v="N"/>
    <s v="N"/>
    <s v="N"/>
    <s v="N"/>
    <s v="A034"/>
    <d v="2017-01-06T00:00:00"/>
    <s v="10"/>
    <s v="TAN"/>
    <s v="OR"/>
    <d v="2017-01-03T00:00:00"/>
    <s v="MI"/>
    <s v="US"/>
    <s v="ZR"/>
    <d v="2017-01-03T00:00:00"/>
  </r>
  <r>
    <x v="0"/>
    <x v="0"/>
    <x v="1301"/>
    <x v="2"/>
    <s v="Standard order"/>
    <x v="1274"/>
    <x v="1273"/>
    <s v="G333"/>
    <s v="CRYSTAL G333NT"/>
    <s v="5003377"/>
    <s v="G333 ACH T20 Kabina MP"/>
    <n v="16"/>
    <n v="0"/>
    <n v="16"/>
    <x v="0"/>
    <s v="EE73"/>
    <s v="MP"/>
    <s v="387"/>
    <s v="4.0 UN"/>
    <s v="STANDARD"/>
    <s v="N"/>
    <s v="N"/>
    <s v="Y"/>
    <s v="T20"/>
    <s v="N"/>
    <s v="N"/>
    <s v="N"/>
    <s v="N"/>
    <s v="A034"/>
    <d v="2017-01-06T00:00:00"/>
    <s v="20"/>
    <s v="TAN"/>
    <s v="OR"/>
    <d v="2017-01-03T00:00:00"/>
    <s v="MI"/>
    <s v="US"/>
    <s v="ZR"/>
    <d v="2017-01-03T00:00:00"/>
  </r>
  <r>
    <x v="0"/>
    <x v="0"/>
    <x v="1302"/>
    <x v="4"/>
    <s v="Standard order"/>
    <x v="1275"/>
    <x v="1274"/>
    <s v="G515"/>
    <s v="CRYSTAL G515"/>
    <s v="5003019"/>
    <s v="G515 ACH T20 Kabina RP"/>
    <n v="8"/>
    <n v="0"/>
    <n v="8"/>
    <x v="0"/>
    <s v="APND"/>
    <s v="RP"/>
    <s v="387"/>
    <s v="4.0 UN"/>
    <s v="STANDARD"/>
    <s v="N"/>
    <s v="N"/>
    <s v="Y"/>
    <s v="T20"/>
    <s v="N"/>
    <s v="N"/>
    <s v="N"/>
    <s v="N"/>
    <s v="A035"/>
    <d v="2017-01-06T00:00:00"/>
    <s v="10"/>
    <s v="TAN"/>
    <s v="OR"/>
    <d v="2017-01-03T00:00:00"/>
    <s v="MI"/>
    <s v="US"/>
    <s v="ZR"/>
    <d v="2017-01-03T00:00:00"/>
  </r>
  <r>
    <x v="0"/>
    <x v="0"/>
    <x v="1303"/>
    <x v="4"/>
    <s v="Standard order"/>
    <x v="1276"/>
    <x v="1275"/>
    <s v="G351"/>
    <s v="CRYSTAL G351NT"/>
    <s v="5003397"/>
    <s v="G351 ACH T20 Kabina MP"/>
    <n v="52"/>
    <n v="0"/>
    <n v="52"/>
    <x v="0"/>
    <s v="DA73"/>
    <s v="MP"/>
    <s v="387"/>
    <s v="4.0 UN"/>
    <s v="STANDARD"/>
    <s v="N"/>
    <s v="N"/>
    <s v="Y"/>
    <s v="T20"/>
    <s v="N"/>
    <s v="N"/>
    <s v="N"/>
    <s v="N"/>
    <s v="A035"/>
    <d v="2017-01-06T00:00:00"/>
    <s v="10"/>
    <s v="TAN"/>
    <s v="OR"/>
    <d v="2017-01-03T00:00:00"/>
    <s v="MI"/>
    <s v="US"/>
    <s v="ZR"/>
    <d v="2017-01-03T00:00:00"/>
  </r>
  <r>
    <x v="0"/>
    <x v="0"/>
    <x v="1303"/>
    <x v="4"/>
    <s v="Standard order"/>
    <x v="1276"/>
    <x v="1275"/>
    <s v="G515"/>
    <s v="CRYSTAL G515"/>
    <s v="5003018"/>
    <s v="G515 ACH T20 Kabina MP"/>
    <n v="52"/>
    <n v="0"/>
    <n v="52"/>
    <x v="0"/>
    <s v="APND"/>
    <s v="MP"/>
    <s v="387"/>
    <s v="4.0 UN"/>
    <s v="STANDARD"/>
    <s v="N"/>
    <s v="N"/>
    <s v="Y"/>
    <s v="T20"/>
    <s v="N"/>
    <s v="N"/>
    <s v="N"/>
    <s v="N"/>
    <s v="A035"/>
    <d v="2017-01-06T00:00:00"/>
    <s v="20"/>
    <s v="TAN"/>
    <s v="OR"/>
    <d v="2017-01-03T00:00:00"/>
    <s v="MI"/>
    <s v="US"/>
    <s v="ZR"/>
    <d v="2017-01-03T00:00:00"/>
  </r>
  <r>
    <x v="0"/>
    <x v="0"/>
    <x v="1303"/>
    <x v="4"/>
    <s v="Standard order"/>
    <x v="1276"/>
    <x v="1275"/>
    <s v="G333"/>
    <s v="CRYSTAL G333NT"/>
    <s v="5003377"/>
    <s v="G333 ACH T20 Kabina MP"/>
    <n v="152"/>
    <n v="0"/>
    <n v="152"/>
    <x v="0"/>
    <s v="EE73"/>
    <s v="MP"/>
    <s v="387"/>
    <s v="4.0 UN"/>
    <s v="STANDARD"/>
    <s v="N"/>
    <s v="N"/>
    <s v="Y"/>
    <s v="T20"/>
    <s v="N"/>
    <s v="N"/>
    <s v="N"/>
    <s v="N"/>
    <s v="A035"/>
    <d v="2017-01-06T00:00:00"/>
    <s v="30"/>
    <s v="TAN"/>
    <s v="OR"/>
    <d v="2017-01-03T00:00:00"/>
    <s v="MI"/>
    <s v="US"/>
    <s v="ZR"/>
    <d v="2017-01-03T00:00:00"/>
  </r>
  <r>
    <x v="0"/>
    <x v="0"/>
    <x v="1303"/>
    <x v="4"/>
    <s v="Standard order"/>
    <x v="1276"/>
    <x v="1275"/>
    <s v="R059"/>
    <s v="CRYSTAL RR059"/>
    <s v="5003529"/>
    <s v="R059 ACH T20 Kabina MP"/>
    <n v="152"/>
    <n v="0"/>
    <n v="152"/>
    <x v="0"/>
    <s v="AP73"/>
    <s v="MP"/>
    <s v="387"/>
    <s v="4.0 UN"/>
    <s v="STANDARD"/>
    <s v="N"/>
    <s v="N"/>
    <s v="Y"/>
    <s v="T20"/>
    <s v="N"/>
    <s v="N"/>
    <s v="N"/>
    <s v="N"/>
    <s v="A035"/>
    <d v="2017-01-06T00:00:00"/>
    <s v="40"/>
    <s v="TAN"/>
    <s v="OR"/>
    <d v="2017-01-03T00:00:00"/>
    <s v="MI"/>
    <s v="US"/>
    <s v="ZR"/>
    <d v="2017-01-03T00:00:00"/>
  </r>
  <r>
    <x v="0"/>
    <x v="0"/>
    <x v="1304"/>
    <x v="2"/>
    <s v="Standard order"/>
    <x v="1277"/>
    <x v="1276"/>
    <s v="G333"/>
    <s v="CRYSTAL G333NT"/>
    <s v="5003378"/>
    <s v="G333 ACH T20 Kabina RP"/>
    <n v="72"/>
    <n v="0"/>
    <n v="72"/>
    <x v="0"/>
    <s v="EE73"/>
    <s v="RP"/>
    <s v="387"/>
    <s v="4.0 UN"/>
    <s v="STANDARD"/>
    <s v="N"/>
    <s v="N"/>
    <s v="Y"/>
    <s v="T20"/>
    <s v="N"/>
    <s v="N"/>
    <s v="N"/>
    <s v="N"/>
    <s v="A034"/>
    <d v="2017-01-06T00:00:00"/>
    <s v="10"/>
    <s v="TAN"/>
    <s v="OR"/>
    <d v="2017-01-03T00:00:00"/>
    <s v="MI"/>
    <s v="US"/>
    <s v="ZR"/>
    <d v="2017-01-03T00:00:00"/>
  </r>
  <r>
    <x v="0"/>
    <x v="0"/>
    <x v="1305"/>
    <x v="2"/>
    <s v="Standard order"/>
    <x v="1278"/>
    <x v="1277"/>
    <s v="G333"/>
    <s v="CRYSTAL G333NT"/>
    <s v="5003378"/>
    <s v="G333 ACH T20 Kabina RP"/>
    <n v="12"/>
    <n v="0"/>
    <n v="12"/>
    <x v="0"/>
    <s v="EE73"/>
    <s v="RP"/>
    <s v="387"/>
    <s v="4.0 UN"/>
    <s v="STANDARD"/>
    <s v="N"/>
    <s v="N"/>
    <s v="Y"/>
    <s v="T20"/>
    <s v="N"/>
    <s v="N"/>
    <s v="N"/>
    <s v="N"/>
    <s v="A034"/>
    <d v="2017-01-06T00:00:00"/>
    <s v="10"/>
    <s v="TAN"/>
    <s v="OR"/>
    <d v="2017-01-03T00:00:00"/>
    <s v="MI"/>
    <s v="US"/>
    <s v="ZR"/>
    <d v="2017-01-03T00:00:00"/>
  </r>
  <r>
    <x v="0"/>
    <x v="0"/>
    <x v="1306"/>
    <x v="2"/>
    <s v="Standard order"/>
    <x v="1279"/>
    <x v="1278"/>
    <s v="R059"/>
    <s v="CRYSTAL RR059"/>
    <s v="5003528"/>
    <s v="R059 ACH T20 Kabina ELS"/>
    <n v="100"/>
    <n v="0"/>
    <n v="100"/>
    <x v="0"/>
    <s v="AP73"/>
    <s v="ELS"/>
    <s v="387"/>
    <s v="4.0 UN"/>
    <s v="STANDARD"/>
    <s v="N"/>
    <s v="N"/>
    <s v="Y"/>
    <s v="T20"/>
    <s v="N"/>
    <s v="N"/>
    <s v="N"/>
    <s v="N"/>
    <s v="A034"/>
    <d v="2017-01-09T00:00:00"/>
    <s v="10"/>
    <s v="TAN"/>
    <s v="OR"/>
    <d v="2017-01-04T00:00:00"/>
    <s v="MI"/>
    <s v="US"/>
    <s v="ZR"/>
    <d v="2017-01-04T00:00:00"/>
  </r>
  <r>
    <x v="0"/>
    <x v="0"/>
    <x v="1306"/>
    <x v="2"/>
    <s v="Standard order"/>
    <x v="1279"/>
    <x v="1278"/>
    <s v="G333"/>
    <s v="CRYSTAL G333NT"/>
    <s v="5003376"/>
    <s v="G333 ACH T20 Kabina ELS"/>
    <n v="12"/>
    <n v="0"/>
    <n v="12"/>
    <x v="0"/>
    <s v="EE73"/>
    <s v="ELS"/>
    <s v="387"/>
    <s v="4.0 UN"/>
    <s v="STANDARD"/>
    <s v="N"/>
    <s v="N"/>
    <s v="Y"/>
    <s v="T20"/>
    <s v="N"/>
    <s v="N"/>
    <s v="N"/>
    <s v="N"/>
    <s v="A034"/>
    <d v="2017-01-09T00:00:00"/>
    <s v="20"/>
    <s v="TAN"/>
    <s v="OR"/>
    <d v="2017-01-04T00:00:00"/>
    <s v="MI"/>
    <s v="US"/>
    <s v="ZR"/>
    <d v="2017-01-04T00:00:00"/>
  </r>
  <r>
    <x v="0"/>
    <x v="0"/>
    <x v="1307"/>
    <x v="2"/>
    <s v="Standard order"/>
    <x v="1280"/>
    <x v="1279"/>
    <s v="R059"/>
    <s v="CRYSTAL RR059"/>
    <s v="5003534"/>
    <s v="R059 ACH T20 SYSTIVA ELS"/>
    <n v="56"/>
    <n v="0"/>
    <n v="56"/>
    <x v="0"/>
    <s v="AP73"/>
    <s v="ELS"/>
    <s v="328"/>
    <s v="4.0 UN"/>
    <s v="STANDARD"/>
    <s v="N"/>
    <s v="N"/>
    <s v="N"/>
    <s v="T20"/>
    <s v="Y"/>
    <s v="N"/>
    <s v="Y"/>
    <s v="N"/>
    <s v="A034"/>
    <d v="2017-01-09T00:00:00"/>
    <s v="10"/>
    <s v="TAN"/>
    <s v="OR"/>
    <d v="2017-01-04T00:00:00"/>
    <s v="MI"/>
    <s v="US"/>
    <s v="ZR"/>
    <d v="2017-01-04T00:00:00"/>
  </r>
  <r>
    <x v="0"/>
    <x v="0"/>
    <x v="1308"/>
    <x v="2"/>
    <s v="Standard order"/>
    <x v="1281"/>
    <x v="1280"/>
    <s v="R059"/>
    <s v="CRYSTAL RR059"/>
    <s v="5003530"/>
    <s v="R059 ACH T20 Kabina RP"/>
    <n v="24"/>
    <n v="0"/>
    <n v="24"/>
    <x v="0"/>
    <s v="AP73"/>
    <s v="RP"/>
    <s v="387"/>
    <s v="4.0 UN"/>
    <s v="STANDARD"/>
    <s v="N"/>
    <s v="N"/>
    <s v="Y"/>
    <s v="T20"/>
    <s v="N"/>
    <s v="N"/>
    <s v="N"/>
    <s v="N"/>
    <s v="A034"/>
    <d v="2017-01-09T00:00:00"/>
    <s v="10"/>
    <s v="TAN"/>
    <s v="OR"/>
    <d v="2017-01-04T00:00:00"/>
    <s v="MI"/>
    <s v="US"/>
    <s v="ZR"/>
    <d v="2017-01-04T00:00:00"/>
  </r>
  <r>
    <x v="0"/>
    <x v="0"/>
    <x v="1309"/>
    <x v="4"/>
    <s v="Standard order"/>
    <x v="1282"/>
    <x v="1281"/>
    <s v="R059"/>
    <s v="CRYSTAL RR059"/>
    <s v="5003495"/>
    <s v="R059 ACH T20 PB Kabina ELS"/>
    <n v="20"/>
    <n v="0"/>
    <n v="20"/>
    <x v="0"/>
    <s v="AP73"/>
    <s v="ELS"/>
    <s v="388"/>
    <s v="4.0 UN"/>
    <s v="STANDARD"/>
    <s v="N"/>
    <s v="Y"/>
    <s v="Y"/>
    <s v="T20"/>
    <s v="N"/>
    <s v="N"/>
    <s v="N"/>
    <s v="N"/>
    <s v="A035"/>
    <d v="2017-01-10T00:00:00"/>
    <s v="10"/>
    <s v="TAN"/>
    <s v="OR"/>
    <d v="2017-01-05T00:00:00"/>
    <s v="MI"/>
    <s v="US"/>
    <s v="ZR"/>
    <d v="2017-01-05T00:00:00"/>
  </r>
  <r>
    <x v="0"/>
    <x v="0"/>
    <x v="1310"/>
    <x v="2"/>
    <s v="Standard order"/>
    <x v="1283"/>
    <x v="1282"/>
    <s v="G351"/>
    <s v="CRYSTAL G351NT"/>
    <s v="5003397"/>
    <s v="G351 ACH T20 Kabina MP"/>
    <n v="12"/>
    <n v="0"/>
    <n v="12"/>
    <x v="0"/>
    <s v="DA73"/>
    <s v="MP"/>
    <s v="387"/>
    <s v="4.0 UN"/>
    <s v="STANDARD"/>
    <s v="N"/>
    <s v="N"/>
    <s v="Y"/>
    <s v="T20"/>
    <s v="N"/>
    <s v="N"/>
    <s v="N"/>
    <s v="N"/>
    <s v="A034"/>
    <d v="2017-01-10T00:00:00"/>
    <s v="10"/>
    <s v="TAN"/>
    <s v="OR"/>
    <d v="2017-01-05T00:00:00"/>
    <s v="MI"/>
    <s v="US"/>
    <s v="ZR"/>
    <d v="2017-01-05T00:00:00"/>
  </r>
  <r>
    <x v="0"/>
    <x v="0"/>
    <x v="1311"/>
    <x v="4"/>
    <s v="Standard order"/>
    <x v="1284"/>
    <x v="1283"/>
    <s v="G515"/>
    <s v="CRYSTAL G515"/>
    <s v="5003019"/>
    <s v="G515 ACH T20 Kabina RP"/>
    <n v="8"/>
    <n v="0"/>
    <n v="8"/>
    <x v="0"/>
    <s v="APND"/>
    <s v="RP"/>
    <s v="387"/>
    <s v="4.0 UN"/>
    <s v="STANDARD"/>
    <s v="N"/>
    <s v="N"/>
    <s v="Y"/>
    <s v="T20"/>
    <s v="N"/>
    <s v="N"/>
    <s v="N"/>
    <s v="N"/>
    <s v="A035"/>
    <d v="2017-01-10T00:00:00"/>
    <s v="10"/>
    <s v="TAN"/>
    <s v="OR"/>
    <d v="2017-01-05T00:00:00"/>
    <s v="MI"/>
    <s v="US"/>
    <s v="ZR"/>
    <d v="2017-01-05T00:00:00"/>
  </r>
  <r>
    <x v="0"/>
    <x v="4"/>
    <x v="1312"/>
    <x v="17"/>
    <s v="Standard order"/>
    <x v="1285"/>
    <x v="1284"/>
    <s v="A399"/>
    <s v="CRYSTAL A399NT"/>
    <s v="5003702"/>
    <s v="A399 ACH T20 MP"/>
    <n v="208"/>
    <n v="0"/>
    <n v="208"/>
    <x v="4"/>
    <s v="DP71"/>
    <s v="MP"/>
    <s v="344"/>
    <s v="4.0 UN"/>
    <s v="STANDARD"/>
    <s v="N"/>
    <s v="N"/>
    <s v="N"/>
    <s v="T20"/>
    <s v="N"/>
    <s v="N"/>
    <s v="N"/>
    <s v="N"/>
    <s v="A040"/>
    <d v="2017-01-10T00:00:00"/>
    <s v="30"/>
    <s v="TAN"/>
    <s v="OR"/>
    <d v="2017-01-05T00:00:00"/>
    <s v="ID"/>
    <s v="US"/>
    <s v="ZR"/>
    <d v="2017-01-05T00:00:00"/>
  </r>
  <r>
    <x v="0"/>
    <x v="4"/>
    <x v="1312"/>
    <x v="17"/>
    <s v="Standard order"/>
    <x v="1285"/>
    <x v="1284"/>
    <s v="A399"/>
    <s v="CRYSTAL A399NT"/>
    <s v="5002922"/>
    <s v="A399 ACH MP"/>
    <n v="292"/>
    <n v="0"/>
    <n v="292"/>
    <x v="4"/>
    <s v="DP71"/>
    <s v="MP"/>
    <s v="316"/>
    <s v="4.0 UN"/>
    <s v="STANDARD"/>
    <s v="N"/>
    <s v="N"/>
    <s v="N"/>
    <s v="N"/>
    <s v="N"/>
    <s v="N"/>
    <s v="N"/>
    <s v="N"/>
    <s v="A040"/>
    <d v="2017-01-10T00:00:00"/>
    <s v="10"/>
    <s v="TAN"/>
    <s v="OR"/>
    <d v="2017-01-05T00:00:00"/>
    <s v="ID"/>
    <s v="US"/>
    <s v="ZR"/>
    <d v="2017-01-05T00:00:00"/>
  </r>
  <r>
    <x v="0"/>
    <x v="2"/>
    <x v="1313"/>
    <x v="6"/>
    <s v="Standard order"/>
    <x v="1286"/>
    <x v="1285"/>
    <s v="R272"/>
    <s v="CRYSTAL RR272"/>
    <s v="5003629"/>
    <s v="R272 ACH T20 PB SYSTIVA G100"/>
    <n v="60"/>
    <n v="0"/>
    <n v="60"/>
    <x v="2"/>
    <s v="DG73"/>
    <s v="GEM 100"/>
    <s v="324"/>
    <s v="4.0 UN"/>
    <s v="STANDARD"/>
    <s v="N"/>
    <s v="Y"/>
    <s v="N"/>
    <s v="T20"/>
    <s v="Y"/>
    <s v="N"/>
    <s v="Y"/>
    <s v="N"/>
    <s v="A025"/>
    <d v="2017-01-10T00:00:00"/>
    <s v="10"/>
    <s v="TAN"/>
    <s v="OR"/>
    <d v="2017-01-05T00:00:00"/>
    <s v="NE"/>
    <s v="US"/>
    <s v="ZR"/>
    <d v="2017-01-05T00:00:00"/>
  </r>
  <r>
    <x v="0"/>
    <x v="2"/>
    <x v="1313"/>
    <x v="6"/>
    <s v="Standard order"/>
    <x v="1286"/>
    <x v="1285"/>
    <s v="W322"/>
    <s v="CRYSTAL W322NT"/>
    <s v="5003488"/>
    <s v="W322 ACH T20 PB SYSTIVA G100"/>
    <n v="112"/>
    <n v="0"/>
    <n v="112"/>
    <x v="2"/>
    <s v="EE73"/>
    <s v="GEM 100"/>
    <s v="324"/>
    <s v="4.0 UN"/>
    <s v="STANDARD"/>
    <s v="N"/>
    <s v="Y"/>
    <s v="N"/>
    <s v="T20"/>
    <s v="Y"/>
    <s v="N"/>
    <s v="Y"/>
    <s v="N"/>
    <s v="A025"/>
    <d v="2017-01-10T00:00:00"/>
    <s v="20"/>
    <s v="TAN"/>
    <s v="OR"/>
    <d v="2017-01-05T00:00:00"/>
    <s v="NE"/>
    <s v="US"/>
    <s v="ZR"/>
    <d v="2017-01-05T00:00:00"/>
  </r>
  <r>
    <x v="0"/>
    <x v="0"/>
    <x v="1314"/>
    <x v="2"/>
    <s v="Standard order"/>
    <x v="1287"/>
    <x v="1286"/>
    <s v="R059"/>
    <s v="CRYSTAL RR059"/>
    <s v="5003530"/>
    <s v="R059 ACH T20 Kabina RP"/>
    <n v="136"/>
    <n v="0"/>
    <n v="136"/>
    <x v="0"/>
    <s v="AP73"/>
    <s v="RP"/>
    <s v="387"/>
    <s v="4.0 UN"/>
    <s v="STANDARD"/>
    <s v="N"/>
    <s v="N"/>
    <s v="Y"/>
    <s v="T20"/>
    <s v="N"/>
    <s v="N"/>
    <s v="N"/>
    <s v="N"/>
    <s v="A034"/>
    <d v="2017-01-11T00:00:00"/>
    <s v="10"/>
    <s v="TAN"/>
    <s v="OR"/>
    <d v="2017-01-06T00:00:00"/>
    <s v="MI"/>
    <s v="US"/>
    <s v="ZR"/>
    <d v="2017-01-06T00:00:00"/>
  </r>
  <r>
    <x v="0"/>
    <x v="0"/>
    <x v="1314"/>
    <x v="2"/>
    <s v="Standard order"/>
    <x v="1287"/>
    <x v="1286"/>
    <s v="G515"/>
    <s v="CRYSTAL G515"/>
    <s v="5003019"/>
    <s v="G515 ACH T20 Kabina RP"/>
    <n v="12"/>
    <n v="0"/>
    <n v="12"/>
    <x v="0"/>
    <s v="APND"/>
    <s v="RP"/>
    <s v="387"/>
    <s v="4.0 UN"/>
    <s v="STANDARD"/>
    <s v="N"/>
    <s v="N"/>
    <s v="Y"/>
    <s v="T20"/>
    <s v="N"/>
    <s v="N"/>
    <s v="N"/>
    <s v="N"/>
    <s v="A034"/>
    <d v="2017-01-11T00:00:00"/>
    <s v="20"/>
    <s v="TAN"/>
    <s v="OR"/>
    <d v="2017-01-06T00:00:00"/>
    <s v="MI"/>
    <s v="US"/>
    <s v="ZR"/>
    <d v="2017-01-06T00:00:00"/>
  </r>
  <r>
    <x v="0"/>
    <x v="0"/>
    <x v="1315"/>
    <x v="2"/>
    <s v="Standard order"/>
    <x v="1288"/>
    <x v="1287"/>
    <s v="G333"/>
    <s v="CRYSTAL G333NT"/>
    <s v="5003378"/>
    <s v="G333 ACH T20 Kabina RP"/>
    <n v="56"/>
    <n v="0"/>
    <n v="56"/>
    <x v="0"/>
    <s v="EE73"/>
    <s v="RP"/>
    <s v="387"/>
    <s v="4.0 UN"/>
    <s v="STANDARD"/>
    <s v="N"/>
    <s v="N"/>
    <s v="Y"/>
    <s v="T20"/>
    <s v="N"/>
    <s v="N"/>
    <s v="N"/>
    <s v="N"/>
    <s v="A034"/>
    <d v="2017-01-11T00:00:00"/>
    <s v="10"/>
    <s v="TAN"/>
    <s v="OR"/>
    <d v="2017-01-06T00:00:00"/>
    <s v="MI"/>
    <s v="US"/>
    <s v="ZR"/>
    <d v="2017-01-06T00:00:00"/>
  </r>
  <r>
    <x v="0"/>
    <x v="0"/>
    <x v="1316"/>
    <x v="2"/>
    <s v="Standard order"/>
    <x v="1289"/>
    <x v="1288"/>
    <s v="R059"/>
    <s v="CRYSTAL RR059"/>
    <s v="5003536"/>
    <s v="R059 ACH T20 SYSTIVA RP"/>
    <n v="48"/>
    <n v="0"/>
    <n v="48"/>
    <x v="0"/>
    <s v="AP73"/>
    <s v="RP"/>
    <s v="328"/>
    <s v="4.0 UN"/>
    <s v="STANDARD"/>
    <s v="N"/>
    <s v="N"/>
    <s v="N"/>
    <s v="T20"/>
    <s v="Y"/>
    <s v="N"/>
    <s v="Y"/>
    <s v="N"/>
    <s v="A034"/>
    <d v="2017-01-11T00:00:00"/>
    <s v="10"/>
    <s v="TAN"/>
    <s v="OR"/>
    <d v="2017-01-06T00:00:00"/>
    <s v="MI"/>
    <s v="US"/>
    <s v="ZR"/>
    <d v="2017-01-06T00:00:00"/>
  </r>
  <r>
    <x v="0"/>
    <x v="0"/>
    <x v="1317"/>
    <x v="2"/>
    <s v="Standard order"/>
    <x v="1290"/>
    <x v="1289"/>
    <s v="R059"/>
    <s v="CRYSTAL RR059"/>
    <s v="5003529"/>
    <s v="R059 ACH T20 Kabina MP"/>
    <n v="28"/>
    <n v="0"/>
    <n v="28"/>
    <x v="0"/>
    <s v="AP73"/>
    <s v="MP"/>
    <s v="387"/>
    <s v="4.0 UN"/>
    <s v="STANDARD"/>
    <s v="N"/>
    <s v="N"/>
    <s v="Y"/>
    <s v="T20"/>
    <s v="N"/>
    <s v="N"/>
    <s v="N"/>
    <s v="N"/>
    <s v="A034"/>
    <d v="2017-01-11T00:00:00"/>
    <s v="10"/>
    <s v="TAN"/>
    <s v="OR"/>
    <d v="2017-01-06T00:00:00"/>
    <s v="MI"/>
    <s v="US"/>
    <s v="ZR"/>
    <d v="2017-01-06T00:00:00"/>
  </r>
  <r>
    <x v="0"/>
    <x v="4"/>
    <x v="1318"/>
    <x v="7"/>
    <s v="Standard order"/>
    <x v="1291"/>
    <x v="1290"/>
    <s v="A399"/>
    <s v="CRYSTAL A399NT"/>
    <s v="5002928"/>
    <s v="A399 ACH PB LRG"/>
    <n v="40"/>
    <n v="0"/>
    <n v="40"/>
    <x v="4"/>
    <s v="DP71"/>
    <s v="LARGE"/>
    <s v="314"/>
    <s v="4.0 UN"/>
    <s v="STANDARD"/>
    <s v="N"/>
    <s v="Y"/>
    <s v="N"/>
    <s v="N"/>
    <s v="N"/>
    <s v="N"/>
    <s v="N"/>
    <s v="N"/>
    <s v="A045"/>
    <d v="2017-01-11T00:00:00"/>
    <s v="10"/>
    <s v="TAN"/>
    <s v="OR"/>
    <d v="2017-01-06T00:00:00"/>
    <s v="OR"/>
    <s v="US"/>
    <s v="ZR"/>
    <d v="2017-01-06T00:00:00"/>
  </r>
  <r>
    <x v="0"/>
    <x v="4"/>
    <x v="1318"/>
    <x v="7"/>
    <s v="Standard order"/>
    <x v="1291"/>
    <x v="1290"/>
    <s v="A488"/>
    <s v="CRYSTAL A488NT"/>
    <s v="5002980"/>
    <s v="A488 ACH PB LRG"/>
    <n v="40"/>
    <n v="0"/>
    <n v="40"/>
    <x v="4"/>
    <s v="EENE"/>
    <s v="LARGE"/>
    <s v="314"/>
    <s v="4.0 UN"/>
    <s v="STANDARD"/>
    <s v="N"/>
    <s v="Y"/>
    <s v="N"/>
    <s v="N"/>
    <s v="N"/>
    <s v="N"/>
    <s v="N"/>
    <s v="N"/>
    <s v="A045"/>
    <d v="2017-01-11T00:00:00"/>
    <s v="20"/>
    <s v="TAN"/>
    <s v="OR"/>
    <d v="2017-01-06T00:00:00"/>
    <s v="OR"/>
    <s v="US"/>
    <s v="ZR"/>
    <d v="2017-01-06T00:00:00"/>
  </r>
  <r>
    <x v="0"/>
    <x v="0"/>
    <x v="1319"/>
    <x v="2"/>
    <s v="Standard order"/>
    <x v="1292"/>
    <x v="1291"/>
    <s v="G515"/>
    <s v="CRYSTAL G515"/>
    <s v="5003019"/>
    <s v="G515 ACH T20 Kabina RP"/>
    <n v="12"/>
    <n v="0"/>
    <n v="12"/>
    <x v="0"/>
    <s v="APND"/>
    <s v="RP"/>
    <s v="387"/>
    <s v="4.0 UN"/>
    <s v="STANDARD"/>
    <s v="N"/>
    <s v="N"/>
    <s v="Y"/>
    <s v="T20"/>
    <s v="N"/>
    <s v="N"/>
    <s v="N"/>
    <s v="N"/>
    <s v="A034"/>
    <d v="2017-01-11T00:00:00"/>
    <s v="10"/>
    <s v="TAN"/>
    <s v="OR"/>
    <d v="2017-01-06T00:00:00"/>
    <s v="MI"/>
    <s v="US"/>
    <s v="ZR"/>
    <d v="2017-01-06T00:00:00"/>
  </r>
  <r>
    <x v="0"/>
    <x v="0"/>
    <x v="1319"/>
    <x v="2"/>
    <s v="Standard order"/>
    <x v="1292"/>
    <x v="1291"/>
    <s v="R202"/>
    <s v="CRYSTAL RR202"/>
    <s v="5003119"/>
    <s v="R202 ACH T20 Kabina RP"/>
    <n v="72"/>
    <n v="0"/>
    <n v="72"/>
    <x v="0"/>
    <s v="4ULM"/>
    <s v="RP"/>
    <s v="387"/>
    <s v="4.0 UN"/>
    <s v="STANDARD"/>
    <s v="N"/>
    <s v="N"/>
    <s v="Y"/>
    <s v="T20"/>
    <s v="N"/>
    <s v="N"/>
    <s v="N"/>
    <s v="N"/>
    <s v="A034"/>
    <d v="2017-01-11T00:00:00"/>
    <s v="20"/>
    <s v="TAN"/>
    <s v="OR"/>
    <d v="2017-01-06T00:00:00"/>
    <s v="MI"/>
    <s v="US"/>
    <s v="ZR"/>
    <d v="2017-01-06T00:00:00"/>
  </r>
  <r>
    <x v="0"/>
    <x v="0"/>
    <x v="1319"/>
    <x v="2"/>
    <s v="Standard order"/>
    <x v="1292"/>
    <x v="1291"/>
    <s v="R059"/>
    <s v="CRYSTAL RR059"/>
    <s v="5003536"/>
    <s v="R059 ACH T20 SYSTIVA RP"/>
    <n v="44"/>
    <n v="0"/>
    <n v="44"/>
    <x v="0"/>
    <s v="AP73"/>
    <s v="RP"/>
    <s v="328"/>
    <s v="4.0 UN"/>
    <s v="STANDARD"/>
    <s v="N"/>
    <s v="N"/>
    <s v="N"/>
    <s v="T20"/>
    <s v="Y"/>
    <s v="N"/>
    <s v="Y"/>
    <s v="N"/>
    <s v="A034"/>
    <d v="2017-01-11T00:00:00"/>
    <s v="30"/>
    <s v="TAN"/>
    <s v="OR"/>
    <d v="2017-01-06T00:00:00"/>
    <s v="MI"/>
    <s v="US"/>
    <s v="ZR"/>
    <d v="2017-01-06T00:00:00"/>
  </r>
  <r>
    <x v="0"/>
    <x v="0"/>
    <x v="1320"/>
    <x v="2"/>
    <s v="Standard order"/>
    <x v="1293"/>
    <x v="1292"/>
    <s v="R059"/>
    <s v="CRYSTAL RR059"/>
    <s v="5003529"/>
    <s v="R059 ACH T20 Kabina MP"/>
    <n v="60"/>
    <n v="0"/>
    <n v="60"/>
    <x v="0"/>
    <s v="AP73"/>
    <s v="MP"/>
    <s v="387"/>
    <s v="4.0 UN"/>
    <s v="STANDARD"/>
    <s v="N"/>
    <s v="N"/>
    <s v="Y"/>
    <s v="T20"/>
    <s v="N"/>
    <s v="N"/>
    <s v="N"/>
    <s v="N"/>
    <s v="A034"/>
    <d v="2017-01-11T00:00:00"/>
    <s v="10"/>
    <s v="TAN"/>
    <s v="OR"/>
    <d v="2017-01-06T00:00:00"/>
    <s v="MI"/>
    <s v="US"/>
    <s v="ZR"/>
    <d v="2017-01-06T00:00:00"/>
  </r>
  <r>
    <x v="0"/>
    <x v="0"/>
    <x v="1321"/>
    <x v="4"/>
    <s v="Standard order"/>
    <x v="1294"/>
    <x v="1293"/>
    <s v="R059"/>
    <s v="CRYSTAL RR059"/>
    <s v="5003530"/>
    <s v="R059 ACH T20 Kabina RP"/>
    <n v="36"/>
    <n v="0"/>
    <n v="36"/>
    <x v="0"/>
    <s v="AP73"/>
    <s v="RP"/>
    <s v="387"/>
    <s v="4.0 UN"/>
    <s v="STANDARD"/>
    <s v="N"/>
    <s v="N"/>
    <s v="Y"/>
    <s v="T20"/>
    <s v="N"/>
    <s v="N"/>
    <s v="N"/>
    <s v="N"/>
    <s v="A035"/>
    <d v="2017-01-11T00:00:00"/>
    <s v="10"/>
    <s v="TAN"/>
    <s v="OR"/>
    <d v="2017-01-05T00:00:00"/>
    <s v="MI"/>
    <s v="US"/>
    <s v="ZR"/>
    <d v="2017-01-06T00:00:00"/>
  </r>
  <r>
    <x v="0"/>
    <x v="0"/>
    <x v="1321"/>
    <x v="4"/>
    <s v="Standard order"/>
    <x v="1294"/>
    <x v="1293"/>
    <s v="G351"/>
    <s v="CRYSTAL G351NT"/>
    <s v="5003398"/>
    <s v="G351 ACH T20 Kabina RP"/>
    <n v="12"/>
    <n v="0"/>
    <n v="12"/>
    <x v="0"/>
    <s v="DA73"/>
    <s v="RP"/>
    <s v="387"/>
    <s v="4.0 UN"/>
    <s v="STANDARD"/>
    <s v="N"/>
    <s v="N"/>
    <s v="Y"/>
    <s v="T20"/>
    <s v="N"/>
    <s v="N"/>
    <s v="N"/>
    <s v="N"/>
    <s v="A035"/>
    <d v="2017-01-11T00:00:00"/>
    <s v="20"/>
    <s v="TAN"/>
    <s v="OR"/>
    <d v="2017-01-05T00:00:00"/>
    <s v="MI"/>
    <s v="US"/>
    <s v="ZR"/>
    <d v="2017-01-06T00:00:00"/>
  </r>
  <r>
    <x v="0"/>
    <x v="0"/>
    <x v="1321"/>
    <x v="4"/>
    <s v="Standard order"/>
    <x v="1294"/>
    <x v="1293"/>
    <s v="G333"/>
    <s v="CRYSTAL G333NT"/>
    <s v="5003378"/>
    <s v="G333 ACH T20 Kabina RP"/>
    <n v="12"/>
    <n v="0"/>
    <n v="12"/>
    <x v="0"/>
    <s v="EE73"/>
    <s v="RP"/>
    <s v="387"/>
    <s v="4.0 UN"/>
    <s v="STANDARD"/>
    <s v="N"/>
    <s v="N"/>
    <s v="Y"/>
    <s v="T20"/>
    <s v="N"/>
    <s v="N"/>
    <s v="N"/>
    <s v="N"/>
    <s v="A035"/>
    <d v="2017-01-11T00:00:00"/>
    <s v="30"/>
    <s v="TAN"/>
    <s v="OR"/>
    <d v="2017-01-05T00:00:00"/>
    <s v="MI"/>
    <s v="US"/>
    <s v="ZR"/>
    <d v="2017-01-06T00:00:00"/>
  </r>
  <r>
    <x v="0"/>
    <x v="0"/>
    <x v="1321"/>
    <x v="4"/>
    <s v="Standard order"/>
    <x v="1294"/>
    <x v="1293"/>
    <s v="G515"/>
    <s v="CRYSTAL G515"/>
    <s v="5003019"/>
    <s v="G515 ACH T20 Kabina RP"/>
    <n v="8"/>
    <n v="0"/>
    <n v="8"/>
    <x v="0"/>
    <s v="APND"/>
    <s v="RP"/>
    <s v="387"/>
    <s v="4.0 UN"/>
    <s v="STANDARD"/>
    <s v="N"/>
    <s v="N"/>
    <s v="Y"/>
    <s v="T20"/>
    <s v="N"/>
    <s v="N"/>
    <s v="N"/>
    <s v="N"/>
    <s v="A035"/>
    <d v="2017-01-11T00:00:00"/>
    <s v="40"/>
    <s v="TAN"/>
    <s v="OR"/>
    <d v="2017-01-05T00:00:00"/>
    <s v="MI"/>
    <s v="US"/>
    <s v="ZR"/>
    <d v="2017-01-06T00:00:00"/>
  </r>
  <r>
    <x v="0"/>
    <x v="4"/>
    <x v="1322"/>
    <x v="7"/>
    <s v="Standard order"/>
    <x v="1295"/>
    <x v="1294"/>
    <s v="R240"/>
    <s v="CRYSTAL RR240NT"/>
    <s v="5003159"/>
    <s v="R240 ACH PB LRG"/>
    <n v="16"/>
    <n v="0"/>
    <n v="16"/>
    <x v="4"/>
    <s v="BHMP"/>
    <s v="LARGE"/>
    <s v="314"/>
    <s v="4.0 UN"/>
    <s v="STANDARD"/>
    <s v="N"/>
    <s v="Y"/>
    <s v="N"/>
    <s v="N"/>
    <s v="N"/>
    <s v="N"/>
    <s v="N"/>
    <s v="N"/>
    <s v="A045"/>
    <d v="2017-01-11T00:00:00"/>
    <s v="30"/>
    <s v="TAN"/>
    <s v="OR"/>
    <d v="2017-01-07T00:00:00"/>
    <s v="OR"/>
    <s v="US"/>
    <s v="ZR"/>
    <d v="2017-01-07T00:00:00"/>
  </r>
  <r>
    <x v="0"/>
    <x v="4"/>
    <x v="1322"/>
    <x v="7"/>
    <s v="Standard order"/>
    <x v="1295"/>
    <x v="1294"/>
    <s v="A399"/>
    <s v="CRYSTAL A399NT"/>
    <s v="5002928"/>
    <s v="A399 ACH PB LRG"/>
    <n v="12"/>
    <n v="0"/>
    <n v="12"/>
    <x v="4"/>
    <s v="DP71"/>
    <s v="LARGE"/>
    <s v="314"/>
    <s v="4.0 UN"/>
    <s v="STANDARD"/>
    <s v="N"/>
    <s v="Y"/>
    <s v="N"/>
    <s v="N"/>
    <s v="N"/>
    <s v="N"/>
    <s v="N"/>
    <s v="N"/>
    <s v="A045"/>
    <d v="2017-01-11T00:00:00"/>
    <s v="10"/>
    <s v="TAN"/>
    <s v="OR"/>
    <d v="2017-01-07T00:00:00"/>
    <s v="OR"/>
    <s v="US"/>
    <s v="ZR"/>
    <d v="2017-01-07T00:00:00"/>
  </r>
  <r>
    <x v="0"/>
    <x v="4"/>
    <x v="1322"/>
    <x v="7"/>
    <s v="Standard order"/>
    <x v="1295"/>
    <x v="1294"/>
    <s v="A404"/>
    <s v="CRYSTAL A404NT"/>
    <s v="5002954"/>
    <s v="A404 ACH PB LRG"/>
    <n v="16"/>
    <n v="0"/>
    <n v="16"/>
    <x v="4"/>
    <s v="DPNE"/>
    <s v="LARGE"/>
    <s v="314"/>
    <s v="4.0 UN"/>
    <s v="STANDARD"/>
    <s v="N"/>
    <s v="Y"/>
    <s v="N"/>
    <s v="N"/>
    <s v="N"/>
    <s v="N"/>
    <s v="N"/>
    <s v="N"/>
    <s v="A045"/>
    <d v="2017-01-11T00:00:00"/>
    <s v="20"/>
    <s v="TAN"/>
    <s v="OR"/>
    <d v="2017-01-07T00:00:00"/>
    <s v="OR"/>
    <s v="US"/>
    <s v="ZR"/>
    <d v="2017-01-07T00:00:00"/>
  </r>
  <r>
    <x v="0"/>
    <x v="0"/>
    <x v="1323"/>
    <x v="2"/>
    <s v="Standard order"/>
    <x v="1296"/>
    <x v="1295"/>
    <s v="R059"/>
    <s v="CRYSTAL RR059"/>
    <s v="5003530"/>
    <s v="R059 ACH T20 Kabina RP"/>
    <n v="60"/>
    <n v="0"/>
    <n v="60"/>
    <x v="0"/>
    <s v="AP73"/>
    <s v="RP"/>
    <s v="387"/>
    <s v="4.0 UN"/>
    <s v="STANDARD"/>
    <s v="N"/>
    <s v="N"/>
    <s v="Y"/>
    <s v="T20"/>
    <s v="N"/>
    <s v="N"/>
    <s v="N"/>
    <s v="N"/>
    <s v="A034"/>
    <d v="2017-01-12T00:00:00"/>
    <s v="10"/>
    <s v="TAN"/>
    <s v="OR"/>
    <d v="2017-01-09T00:00:00"/>
    <s v="MI"/>
    <s v="US"/>
    <s v="ZR"/>
    <d v="2017-01-09T00:00:00"/>
  </r>
  <r>
    <x v="0"/>
    <x v="0"/>
    <x v="1324"/>
    <x v="4"/>
    <s v="Standard order"/>
    <x v="1297"/>
    <x v="1296"/>
    <s v="G515"/>
    <s v="CRYSTAL G515"/>
    <s v="5003017"/>
    <s v="G515 ACH T20 Kabina ELS"/>
    <n v="40"/>
    <n v="0"/>
    <n v="40"/>
    <x v="0"/>
    <s v="APND"/>
    <s v="ELS"/>
    <s v="387"/>
    <s v="4.0 UN"/>
    <s v="STANDARD"/>
    <s v="N"/>
    <s v="N"/>
    <s v="Y"/>
    <s v="T20"/>
    <s v="N"/>
    <s v="N"/>
    <s v="N"/>
    <s v="N"/>
    <s v="A035"/>
    <d v="2017-01-12T00:00:00"/>
    <s v="10"/>
    <s v="TAN"/>
    <s v="OR"/>
    <d v="2017-01-09T00:00:00"/>
    <s v="MI"/>
    <s v="US"/>
    <s v="ZR"/>
    <d v="2017-01-09T00:00:00"/>
  </r>
  <r>
    <x v="0"/>
    <x v="0"/>
    <x v="1324"/>
    <x v="4"/>
    <s v="Standard order"/>
    <x v="1297"/>
    <x v="1296"/>
    <s v="R059"/>
    <s v="CRYSTAL RR059"/>
    <s v="5003528"/>
    <s v="R059 ACH T20 Kabina ELS"/>
    <n v="216"/>
    <n v="0"/>
    <n v="216"/>
    <x v="0"/>
    <s v="AP73"/>
    <s v="ELS"/>
    <s v="387"/>
    <s v="4.0 UN"/>
    <s v="STANDARD"/>
    <s v="N"/>
    <s v="N"/>
    <s v="Y"/>
    <s v="T20"/>
    <s v="N"/>
    <s v="N"/>
    <s v="N"/>
    <s v="N"/>
    <s v="A035"/>
    <d v="2017-01-12T00:00:00"/>
    <s v="20"/>
    <s v="TAN"/>
    <s v="OR"/>
    <d v="2017-01-09T00:00:00"/>
    <s v="MI"/>
    <s v="US"/>
    <s v="ZR"/>
    <d v="2017-01-09T00:00:00"/>
  </r>
  <r>
    <x v="0"/>
    <x v="0"/>
    <x v="1325"/>
    <x v="4"/>
    <s v="Standard order"/>
    <x v="1298"/>
    <x v="1297"/>
    <s v="R059"/>
    <s v="CRYSTAL RR059"/>
    <s v="5003528"/>
    <s v="R059 ACH T20 Kabina ELS"/>
    <n v="100"/>
    <n v="0"/>
    <n v="100"/>
    <x v="0"/>
    <s v="AP73"/>
    <s v="ELS"/>
    <s v="387"/>
    <s v="4.0 UN"/>
    <s v="STANDARD"/>
    <s v="N"/>
    <s v="N"/>
    <s v="Y"/>
    <s v="T20"/>
    <s v="N"/>
    <s v="N"/>
    <s v="N"/>
    <s v="N"/>
    <s v="A035"/>
    <d v="2017-01-12T00:00:00"/>
    <s v="10"/>
    <s v="TAN"/>
    <s v="OR"/>
    <d v="2017-01-09T00:00:00"/>
    <s v="MI"/>
    <s v="US"/>
    <s v="ZR"/>
    <d v="2017-01-09T00:00:00"/>
  </r>
  <r>
    <x v="0"/>
    <x v="0"/>
    <x v="1326"/>
    <x v="2"/>
    <s v="Standard order"/>
    <x v="1299"/>
    <x v="1298"/>
    <s v="R059"/>
    <s v="CRYSTAL RR059"/>
    <s v="5003536"/>
    <s v="R059 ACH T20 SYSTIVA RP"/>
    <n v="24"/>
    <n v="0"/>
    <n v="24"/>
    <x v="0"/>
    <s v="AP73"/>
    <s v="RP"/>
    <s v="328"/>
    <s v="4.0 UN"/>
    <s v="STANDARD"/>
    <s v="N"/>
    <s v="N"/>
    <s v="N"/>
    <s v="T20"/>
    <s v="Y"/>
    <s v="N"/>
    <s v="Y"/>
    <s v="N"/>
    <s v="A034"/>
    <d v="2017-01-12T00:00:00"/>
    <s v="10"/>
    <s v="TAN"/>
    <s v="OR"/>
    <d v="2017-01-09T00:00:00"/>
    <s v="MI"/>
    <s v="US"/>
    <s v="ZR"/>
    <d v="2017-01-09T00:00:00"/>
  </r>
  <r>
    <x v="0"/>
    <x v="0"/>
    <x v="1327"/>
    <x v="2"/>
    <s v="Standard order"/>
    <x v="1300"/>
    <x v="1299"/>
    <s v="G333"/>
    <s v="CRYSTAL G333NT"/>
    <s v="5003376"/>
    <s v="G333 ACH T20 Kabina ELS"/>
    <n v="16"/>
    <n v="0"/>
    <n v="16"/>
    <x v="0"/>
    <s v="EE73"/>
    <s v="ELS"/>
    <s v="387"/>
    <s v="4.0 UN"/>
    <s v="STANDARD"/>
    <s v="N"/>
    <s v="N"/>
    <s v="Y"/>
    <s v="T20"/>
    <s v="N"/>
    <s v="N"/>
    <s v="N"/>
    <s v="N"/>
    <s v="A034"/>
    <d v="2017-01-12T00:00:00"/>
    <s v="10"/>
    <s v="TAN"/>
    <s v="OR"/>
    <d v="2017-01-09T00:00:00"/>
    <s v="MI"/>
    <s v="US"/>
    <s v="ZR"/>
    <d v="2017-01-09T00:00:00"/>
  </r>
  <r>
    <x v="0"/>
    <x v="0"/>
    <x v="1327"/>
    <x v="2"/>
    <s v="Standard order"/>
    <x v="1300"/>
    <x v="1299"/>
    <s v="G351"/>
    <s v="CRYSTAL G351NT"/>
    <s v="5003396"/>
    <s v="G351 ACH T20 Kabina ELS"/>
    <n v="12"/>
    <n v="0"/>
    <n v="12"/>
    <x v="0"/>
    <s v="DA73"/>
    <s v="ELS"/>
    <s v="387"/>
    <s v="4.0 UN"/>
    <s v="STANDARD"/>
    <s v="N"/>
    <s v="N"/>
    <s v="Y"/>
    <s v="T20"/>
    <s v="N"/>
    <s v="N"/>
    <s v="N"/>
    <s v="N"/>
    <s v="A034"/>
    <d v="2017-01-12T00:00:00"/>
    <s v="20"/>
    <s v="TAN"/>
    <s v="OR"/>
    <d v="2017-01-09T00:00:00"/>
    <s v="MI"/>
    <s v="US"/>
    <s v="ZR"/>
    <d v="2017-01-09T00:00:00"/>
  </r>
  <r>
    <x v="0"/>
    <x v="0"/>
    <x v="1328"/>
    <x v="2"/>
    <s v="Standard order"/>
    <x v="1301"/>
    <x v="1300"/>
    <s v="G333"/>
    <s v="CRYSTAL G333NT"/>
    <s v="5003384"/>
    <s v="G333 ACH T20 SYSTIVA RP"/>
    <n v="20"/>
    <n v="0"/>
    <n v="20"/>
    <x v="0"/>
    <s v="EE73"/>
    <s v="RP"/>
    <s v="328"/>
    <s v="4.0 UN"/>
    <s v="STANDARD"/>
    <s v="N"/>
    <s v="N"/>
    <s v="N"/>
    <s v="T20"/>
    <s v="Y"/>
    <s v="N"/>
    <s v="Y"/>
    <s v="N"/>
    <s v="A034"/>
    <d v="2017-01-17T00:00:00"/>
    <s v="10"/>
    <s v="TAN"/>
    <s v="OR"/>
    <d v="2017-01-11T00:00:00"/>
    <s v="MI"/>
    <s v="US"/>
    <s v="ZR"/>
    <d v="2017-01-11T00:00:00"/>
  </r>
  <r>
    <x v="0"/>
    <x v="0"/>
    <x v="1329"/>
    <x v="2"/>
    <s v="Standard order"/>
    <x v="1302"/>
    <x v="1301"/>
    <s v="G351"/>
    <s v="CRYSTAL G351NT"/>
    <s v="5003396"/>
    <s v="G351 ACH T20 Kabina ELS"/>
    <n v="8"/>
    <n v="0"/>
    <n v="8"/>
    <x v="0"/>
    <s v="DA73"/>
    <s v="ELS"/>
    <s v="387"/>
    <s v="4.0 UN"/>
    <s v="STANDARD"/>
    <s v="N"/>
    <s v="N"/>
    <s v="Y"/>
    <s v="T20"/>
    <s v="N"/>
    <s v="N"/>
    <s v="N"/>
    <s v="N"/>
    <s v="A034"/>
    <d v="2017-01-17T00:00:00"/>
    <s v="10"/>
    <s v="TAN"/>
    <s v="OR"/>
    <d v="2017-01-11T00:00:00"/>
    <s v="MI"/>
    <s v="US"/>
    <s v="ZR"/>
    <d v="2017-01-11T00:00:00"/>
  </r>
  <r>
    <x v="0"/>
    <x v="0"/>
    <x v="1330"/>
    <x v="2"/>
    <s v="Standard order"/>
    <x v="1303"/>
    <x v="1302"/>
    <s v="R059"/>
    <s v="CRYSTAL RR059"/>
    <s v="5003529"/>
    <s v="R059 ACH T20 Kabina MP"/>
    <n v="148"/>
    <n v="0"/>
    <n v="148"/>
    <x v="0"/>
    <s v="AP73"/>
    <s v="MP"/>
    <s v="387"/>
    <s v="4.0 UN"/>
    <s v="STANDARD"/>
    <s v="N"/>
    <s v="N"/>
    <s v="Y"/>
    <s v="T20"/>
    <s v="N"/>
    <s v="N"/>
    <s v="N"/>
    <s v="N"/>
    <s v="A034"/>
    <d v="2017-01-17T00:00:00"/>
    <s v="10"/>
    <s v="TAN"/>
    <s v="OR"/>
    <d v="2017-01-11T00:00:00"/>
    <s v="MI"/>
    <s v="US"/>
    <s v="ZR"/>
    <d v="2017-01-11T00:00:00"/>
  </r>
  <r>
    <x v="0"/>
    <x v="4"/>
    <x v="1331"/>
    <x v="15"/>
    <s v="Standard order"/>
    <x v="1304"/>
    <x v="1303"/>
    <s v="A399"/>
    <s v="CRYSTAL A399NT"/>
    <s v="5002935"/>
    <s v="A399 ACH T20 PB Kabina CL MP"/>
    <n v="60"/>
    <n v="0"/>
    <n v="60"/>
    <x v="4"/>
    <s v="DP71"/>
    <s v="MP"/>
    <s v="323"/>
    <s v="4.0 UN"/>
    <s v="STANDARD"/>
    <s v="N"/>
    <s v="Y"/>
    <s v="Y"/>
    <s v="T20"/>
    <s v="N"/>
    <s v="N"/>
    <s v="N"/>
    <s v="N"/>
    <s v="A043"/>
    <d v="2017-01-17T00:00:00"/>
    <s v="10"/>
    <s v="TAN"/>
    <s v="OR"/>
    <d v="2017-01-10T00:00:00"/>
    <s v="ID"/>
    <s v="US"/>
    <s v="ZR"/>
    <d v="2017-01-11T00:00:00"/>
  </r>
  <r>
    <x v="0"/>
    <x v="4"/>
    <x v="1331"/>
    <x v="15"/>
    <s v="Standard order"/>
    <x v="1304"/>
    <x v="1303"/>
    <s v="A404"/>
    <s v="CRYSTAL A404NT"/>
    <s v="5002961"/>
    <s v="A404 ACH T20 PB Kabina CL MP"/>
    <n v="20"/>
    <n v="0"/>
    <n v="20"/>
    <x v="4"/>
    <s v="DPNE"/>
    <s v="MP"/>
    <s v="323"/>
    <s v="4.0 UN"/>
    <s v="STANDARD"/>
    <s v="N"/>
    <s v="Y"/>
    <s v="Y"/>
    <s v="T20"/>
    <s v="N"/>
    <s v="N"/>
    <s v="N"/>
    <s v="N"/>
    <s v="A043"/>
    <d v="2017-01-17T00:00:00"/>
    <s v="20"/>
    <s v="TAN"/>
    <s v="OR"/>
    <d v="2017-01-10T00:00:00"/>
    <s v="ID"/>
    <s v="US"/>
    <s v="ZR"/>
    <d v="2017-01-11T00:00:00"/>
  </r>
  <r>
    <x v="0"/>
    <x v="4"/>
    <x v="1331"/>
    <x v="15"/>
    <s v="Standard order"/>
    <x v="1304"/>
    <x v="1303"/>
    <s v="A488"/>
    <s v="CRYSTAL A488NT"/>
    <s v="5002987"/>
    <s v="A488 ACH T20 PB Kabina CL MP"/>
    <n v="20"/>
    <n v="0"/>
    <n v="20"/>
    <x v="4"/>
    <s v="EENE"/>
    <s v="MP"/>
    <s v="323"/>
    <s v="4.0 UN"/>
    <s v="STANDARD"/>
    <s v="N"/>
    <s v="Y"/>
    <s v="Y"/>
    <s v="T20"/>
    <s v="N"/>
    <s v="N"/>
    <s v="N"/>
    <s v="N"/>
    <s v="A043"/>
    <d v="2017-01-17T00:00:00"/>
    <s v="30"/>
    <s v="TAN"/>
    <s v="OR"/>
    <d v="2017-01-10T00:00:00"/>
    <s v="ID"/>
    <s v="US"/>
    <s v="ZR"/>
    <d v="2017-01-11T00:00:00"/>
  </r>
  <r>
    <x v="0"/>
    <x v="4"/>
    <x v="1331"/>
    <x v="15"/>
    <s v="Standard order"/>
    <x v="1304"/>
    <x v="1303"/>
    <s v="R240"/>
    <s v="CRYSTAL RR240NT"/>
    <s v="5003166"/>
    <s v="R240 ACH T20 PB Kabina CL MP"/>
    <n v="20"/>
    <n v="0"/>
    <n v="20"/>
    <x v="4"/>
    <s v="BHMP"/>
    <s v="MP"/>
    <s v="323"/>
    <s v="4.0 UN"/>
    <s v="STANDARD"/>
    <s v="N"/>
    <s v="Y"/>
    <s v="Y"/>
    <s v="T20"/>
    <s v="N"/>
    <s v="N"/>
    <s v="N"/>
    <s v="N"/>
    <s v="A043"/>
    <d v="2017-01-17T00:00:00"/>
    <s v="40"/>
    <s v="TAN"/>
    <s v="OR"/>
    <d v="2017-01-10T00:00:00"/>
    <s v="ID"/>
    <s v="US"/>
    <s v="ZR"/>
    <d v="2017-01-11T00:00:00"/>
  </r>
  <r>
    <x v="0"/>
    <x v="0"/>
    <x v="1332"/>
    <x v="2"/>
    <s v="Standard order"/>
    <x v="1305"/>
    <x v="1304"/>
    <s v="R059"/>
    <s v="CRYSTAL RR059"/>
    <s v="5003528"/>
    <s v="R059 ACH T20 Kabina ELS"/>
    <n v="56"/>
    <n v="0"/>
    <n v="56"/>
    <x v="0"/>
    <s v="AP73"/>
    <s v="ELS"/>
    <s v="387"/>
    <s v="4.0 UN"/>
    <s v="STANDARD"/>
    <s v="N"/>
    <s v="N"/>
    <s v="Y"/>
    <s v="T20"/>
    <s v="N"/>
    <s v="N"/>
    <s v="N"/>
    <s v="N"/>
    <s v="A034"/>
    <d v="2017-01-17T00:00:00"/>
    <s v="10"/>
    <s v="TAN"/>
    <s v="OR"/>
    <d v="2017-01-10T00:00:00"/>
    <s v="MI"/>
    <s v="US"/>
    <s v="ZR"/>
    <d v="2017-01-11T00:00:00"/>
  </r>
  <r>
    <x v="0"/>
    <x v="6"/>
    <x v="1333"/>
    <x v="11"/>
    <s v="Standard order"/>
    <x v="1306"/>
    <x v="1305"/>
    <s v="S498"/>
    <s v="CRYSTAL S498"/>
    <s v="5003430"/>
    <s v="S498 ACH T20 PB SYSTIVA ELS"/>
    <n v="88"/>
    <n v="0"/>
    <n v="88"/>
    <x v="6"/>
    <s v="FE73"/>
    <s v="ELS"/>
    <s v="324"/>
    <s v="4.0 UN"/>
    <s v="STANDARD"/>
    <s v="N"/>
    <s v="Y"/>
    <s v="N"/>
    <s v="T20"/>
    <s v="Y"/>
    <s v="N"/>
    <s v="Y"/>
    <s v="N"/>
    <s v="A038"/>
    <d v="2017-01-17T00:00:00"/>
    <s v="10"/>
    <s v="TAN"/>
    <s v="OR"/>
    <d v="2017-01-11T00:00:00"/>
    <s v="MT"/>
    <s v="US"/>
    <s v="ZR"/>
    <d v="2017-01-11T00:00:00"/>
  </r>
  <r>
    <x v="0"/>
    <x v="0"/>
    <x v="1334"/>
    <x v="0"/>
    <s v="Standard order"/>
    <x v="1307"/>
    <x v="1306"/>
    <s v="R059"/>
    <s v="CRYSTAL RR059"/>
    <s v="5003537"/>
    <s v="R059 ACH Vibrance RP"/>
    <n v="12"/>
    <n v="0"/>
    <n v="12"/>
    <x v="0"/>
    <s v="AP73"/>
    <s v="RP"/>
    <s v="392"/>
    <s v="4.0 UN"/>
    <s v="STANDARD"/>
    <s v="N"/>
    <s v="N"/>
    <s v="N"/>
    <s v="N"/>
    <s v="N"/>
    <s v="N"/>
    <s v="N"/>
    <s v="Y"/>
    <s v="A037"/>
    <d v="2017-01-17T00:00:00"/>
    <s v="10"/>
    <s v="TAN"/>
    <s v="OR"/>
    <d v="2017-01-11T00:00:00"/>
    <s v="ON"/>
    <s v="CA"/>
    <s v="ZR"/>
    <d v="2017-01-11T00:00:00"/>
  </r>
  <r>
    <x v="0"/>
    <x v="0"/>
    <x v="1335"/>
    <x v="4"/>
    <s v="Standard order"/>
    <x v="1308"/>
    <x v="1307"/>
    <s v="R059"/>
    <s v="CRYSTAL RR059"/>
    <s v="5003528"/>
    <s v="R059 ACH T20 Kabina ELS"/>
    <n v="48"/>
    <n v="0"/>
    <n v="48"/>
    <x v="0"/>
    <s v="AP73"/>
    <s v="ELS"/>
    <s v="387"/>
    <s v="4.0 UN"/>
    <s v="STANDARD"/>
    <s v="N"/>
    <s v="N"/>
    <s v="Y"/>
    <s v="T20"/>
    <s v="N"/>
    <s v="N"/>
    <s v="N"/>
    <s v="N"/>
    <s v="A035"/>
    <d v="2017-01-17T00:00:00"/>
    <s v="10"/>
    <s v="TAN"/>
    <s v="OR"/>
    <d v="2017-01-11T00:00:00"/>
    <s v="MI"/>
    <s v="US"/>
    <s v="ZR"/>
    <d v="2017-01-11T00:00:00"/>
  </r>
  <r>
    <x v="0"/>
    <x v="0"/>
    <x v="1336"/>
    <x v="4"/>
    <s v="Standard order"/>
    <x v="1309"/>
    <x v="1308"/>
    <s v="R059"/>
    <s v="CRYSTAL RR059"/>
    <s v="5003528"/>
    <s v="R059 ACH T20 Kabina ELS"/>
    <n v="68"/>
    <n v="0"/>
    <n v="68"/>
    <x v="0"/>
    <s v="AP73"/>
    <s v="ELS"/>
    <s v="387"/>
    <s v="4.0 UN"/>
    <s v="STANDARD"/>
    <s v="N"/>
    <s v="N"/>
    <s v="Y"/>
    <s v="T20"/>
    <s v="N"/>
    <s v="N"/>
    <s v="N"/>
    <s v="N"/>
    <s v="A035"/>
    <d v="2017-01-17T00:00:00"/>
    <s v="10"/>
    <s v="TAN"/>
    <s v="OR"/>
    <d v="2017-01-11T00:00:00"/>
    <s v="MI"/>
    <s v="US"/>
    <s v="ZR"/>
    <d v="2017-01-11T00:00:00"/>
  </r>
  <r>
    <x v="0"/>
    <x v="0"/>
    <x v="1336"/>
    <x v="4"/>
    <s v="Standard order"/>
    <x v="1309"/>
    <x v="1308"/>
    <s v="G333"/>
    <s v="CRYSTAL G333NT"/>
    <s v="5003376"/>
    <s v="G333 ACH T20 Kabina ELS"/>
    <n v="32"/>
    <n v="0"/>
    <n v="32"/>
    <x v="0"/>
    <s v="EE73"/>
    <s v="ELS"/>
    <s v="387"/>
    <s v="4.0 UN"/>
    <s v="STANDARD"/>
    <s v="N"/>
    <s v="N"/>
    <s v="Y"/>
    <s v="T20"/>
    <s v="N"/>
    <s v="N"/>
    <s v="N"/>
    <s v="N"/>
    <s v="A035"/>
    <d v="2017-01-17T00:00:00"/>
    <s v="20"/>
    <s v="TAN"/>
    <s v="OR"/>
    <d v="2017-01-11T00:00:00"/>
    <s v="MI"/>
    <s v="US"/>
    <s v="ZR"/>
    <d v="2017-01-11T00:00:00"/>
  </r>
  <r>
    <x v="0"/>
    <x v="0"/>
    <x v="1337"/>
    <x v="10"/>
    <s v="Standard order"/>
    <x v="1310"/>
    <x v="1309"/>
    <s v="R059"/>
    <s v="CRYSTAL RR059"/>
    <s v="5003530"/>
    <s v="R059 ACH T20 Kabina RP"/>
    <n v="40"/>
    <n v="0"/>
    <n v="40"/>
    <x v="0"/>
    <s v="AP73"/>
    <s v="RP"/>
    <s v="387"/>
    <s v="4.0 UN"/>
    <s v="STANDARD"/>
    <s v="N"/>
    <s v="N"/>
    <s v="Y"/>
    <s v="T20"/>
    <s v="N"/>
    <s v="N"/>
    <s v="N"/>
    <s v="N"/>
    <s v="A036"/>
    <d v="2017-01-17T00:00:00"/>
    <s v="10"/>
    <s v="TAN"/>
    <s v="OR"/>
    <d v="2017-01-10T00:00:00"/>
    <s v="MI"/>
    <s v="US"/>
    <s v="ZR"/>
    <d v="2017-01-11T00:00:00"/>
  </r>
  <r>
    <x v="0"/>
    <x v="0"/>
    <x v="1338"/>
    <x v="10"/>
    <s v="Standard order"/>
    <x v="1311"/>
    <x v="1310"/>
    <s v="R059"/>
    <s v="CRYSTAL RR059"/>
    <s v="5003530"/>
    <s v="R059 ACH T20 Kabina RP"/>
    <n v="72"/>
    <n v="0"/>
    <n v="72"/>
    <x v="0"/>
    <s v="AP73"/>
    <s v="RP"/>
    <s v="387"/>
    <s v="4.0 UN"/>
    <s v="STANDARD"/>
    <s v="N"/>
    <s v="N"/>
    <s v="Y"/>
    <s v="T20"/>
    <s v="N"/>
    <s v="N"/>
    <s v="N"/>
    <s v="N"/>
    <s v="A036"/>
    <d v="2017-01-17T00:00:00"/>
    <s v="10"/>
    <s v="TAN"/>
    <s v="OR"/>
    <d v="2017-01-10T00:00:00"/>
    <s v="MI"/>
    <s v="US"/>
    <s v="ZR"/>
    <d v="2017-01-11T00:00:00"/>
  </r>
  <r>
    <x v="0"/>
    <x v="0"/>
    <x v="1338"/>
    <x v="10"/>
    <s v="Standard order"/>
    <x v="1311"/>
    <x v="1310"/>
    <s v="G515"/>
    <s v="CRYSTAL G515"/>
    <s v="5003019"/>
    <s v="G515 ACH T20 Kabina RP"/>
    <n v="32"/>
    <n v="0"/>
    <n v="32"/>
    <x v="0"/>
    <s v="APND"/>
    <s v="RP"/>
    <s v="387"/>
    <s v="4.0 UN"/>
    <s v="STANDARD"/>
    <s v="N"/>
    <s v="N"/>
    <s v="Y"/>
    <s v="T20"/>
    <s v="N"/>
    <s v="N"/>
    <s v="N"/>
    <s v="N"/>
    <s v="A036"/>
    <d v="2017-01-17T00:00:00"/>
    <s v="20"/>
    <s v="TAN"/>
    <s v="OR"/>
    <d v="2017-01-10T00:00:00"/>
    <s v="MI"/>
    <s v="US"/>
    <s v="ZR"/>
    <d v="2017-01-11T00:00:00"/>
  </r>
  <r>
    <x v="0"/>
    <x v="0"/>
    <x v="1339"/>
    <x v="4"/>
    <s v="Standard order"/>
    <x v="1312"/>
    <x v="1311"/>
    <s v="G515"/>
    <s v="CRYSTAL G515"/>
    <s v="5003017"/>
    <s v="G515 ACH T20 Kabina ELS"/>
    <n v="28"/>
    <n v="0"/>
    <n v="28"/>
    <x v="0"/>
    <s v="APND"/>
    <s v="ELS"/>
    <s v="387"/>
    <s v="4.0 UN"/>
    <s v="STANDARD"/>
    <s v="N"/>
    <s v="N"/>
    <s v="Y"/>
    <s v="T20"/>
    <s v="N"/>
    <s v="N"/>
    <s v="N"/>
    <s v="N"/>
    <s v="A035"/>
    <d v="2017-01-18T00:00:00"/>
    <s v="30"/>
    <s v="TAN"/>
    <s v="OR"/>
    <d v="2017-01-11T00:00:00"/>
    <s v="MI"/>
    <s v="US"/>
    <s v="ZR"/>
    <d v="2017-01-12T00:00:00"/>
  </r>
  <r>
    <x v="0"/>
    <x v="4"/>
    <x v="1340"/>
    <x v="8"/>
    <s v="Standard order"/>
    <x v="1313"/>
    <x v="1312"/>
    <s v="A501"/>
    <s v="CRYSTAL A501"/>
    <s v="5003305"/>
    <s v="A501 ACH PB LRG"/>
    <n v="24"/>
    <n v="0"/>
    <n v="24"/>
    <x v="4"/>
    <s v="EZPB"/>
    <s v="LARGE"/>
    <s v="314"/>
    <s v="4.0 UN"/>
    <s v="STANDARD"/>
    <s v="N"/>
    <s v="Y"/>
    <s v="N"/>
    <s v="N"/>
    <s v="N"/>
    <s v="N"/>
    <s v="N"/>
    <s v="N"/>
    <s v="A044"/>
    <d v="2017-01-18T00:00:00"/>
    <s v="10"/>
    <s v="TAN"/>
    <s v="OR"/>
    <d v="2017-01-11T00:00:00"/>
    <s v="ID"/>
    <s v="US"/>
    <s v="ZR"/>
    <d v="2017-01-12T00:00:00"/>
  </r>
  <r>
    <x v="0"/>
    <x v="4"/>
    <x v="1340"/>
    <x v="8"/>
    <s v="Standard order"/>
    <x v="1313"/>
    <x v="1312"/>
    <s v="A404"/>
    <s v="CRYSTAL A404NT"/>
    <s v="5002954"/>
    <s v="A404 ACH PB LRG"/>
    <n v="24"/>
    <n v="0"/>
    <n v="24"/>
    <x v="4"/>
    <s v="DPNE"/>
    <s v="LARGE"/>
    <s v="314"/>
    <s v="4.0 UN"/>
    <s v="STANDARD"/>
    <s v="N"/>
    <s v="Y"/>
    <s v="N"/>
    <s v="N"/>
    <s v="N"/>
    <s v="N"/>
    <s v="N"/>
    <s v="N"/>
    <s v="A044"/>
    <d v="2017-01-18T00:00:00"/>
    <s v="20"/>
    <s v="TAN"/>
    <s v="OR"/>
    <d v="2017-01-11T00:00:00"/>
    <s v="ID"/>
    <s v="US"/>
    <s v="ZR"/>
    <d v="2017-01-12T00:00:00"/>
  </r>
  <r>
    <x v="0"/>
    <x v="4"/>
    <x v="1340"/>
    <x v="8"/>
    <s v="Standard order"/>
    <x v="1313"/>
    <x v="1312"/>
    <s v="A399"/>
    <s v="CRYSTAL A399NT"/>
    <s v="5002928"/>
    <s v="A399 ACH PB LRG"/>
    <n v="20"/>
    <n v="0"/>
    <n v="20"/>
    <x v="4"/>
    <s v="DP71"/>
    <s v="LARGE"/>
    <s v="314"/>
    <s v="4.0 UN"/>
    <s v="STANDARD"/>
    <s v="N"/>
    <s v="Y"/>
    <s v="N"/>
    <s v="N"/>
    <s v="N"/>
    <s v="N"/>
    <s v="N"/>
    <s v="N"/>
    <s v="A044"/>
    <d v="2017-01-18T00:00:00"/>
    <s v="30"/>
    <s v="TAN"/>
    <s v="OR"/>
    <d v="2017-01-11T00:00:00"/>
    <s v="ID"/>
    <s v="US"/>
    <s v="ZR"/>
    <d v="2017-01-12T00:00:00"/>
  </r>
  <r>
    <x v="0"/>
    <x v="0"/>
    <x v="1341"/>
    <x v="10"/>
    <s v="Standard order"/>
    <x v="1314"/>
    <x v="1313"/>
    <s v="R059"/>
    <s v="CRYSTAL RR059"/>
    <s v="5003530"/>
    <s v="R059 ACH T20 Kabina RP"/>
    <n v="12"/>
    <n v="0"/>
    <n v="12"/>
    <x v="0"/>
    <s v="AP73"/>
    <s v="RP"/>
    <s v="387"/>
    <s v="4.0 UN"/>
    <s v="STANDARD"/>
    <s v="N"/>
    <s v="N"/>
    <s v="Y"/>
    <s v="T20"/>
    <s v="N"/>
    <s v="N"/>
    <s v="N"/>
    <s v="N"/>
    <s v="A036"/>
    <d v="2017-01-18T00:00:00"/>
    <s v="10"/>
    <s v="TAN"/>
    <s v="OR"/>
    <d v="2017-01-11T00:00:00"/>
    <s v="MI"/>
    <s v="US"/>
    <s v="ZR"/>
    <d v="2017-01-12T00:00:00"/>
  </r>
  <r>
    <x v="0"/>
    <x v="0"/>
    <x v="1342"/>
    <x v="4"/>
    <s v="Standard order"/>
    <x v="1315"/>
    <x v="1314"/>
    <s v="R059"/>
    <s v="CRYSTAL RR059"/>
    <s v="5003534"/>
    <s v="R059 ACH T20 SYSTIVA ELS"/>
    <n v="16"/>
    <n v="0"/>
    <n v="16"/>
    <x v="0"/>
    <s v="AP73"/>
    <s v="ELS"/>
    <s v="328"/>
    <s v="4.0 UN"/>
    <s v="STANDARD"/>
    <s v="N"/>
    <s v="N"/>
    <s v="N"/>
    <s v="T20"/>
    <s v="Y"/>
    <s v="N"/>
    <s v="Y"/>
    <s v="N"/>
    <s v="A035"/>
    <d v="2017-01-19T00:00:00"/>
    <s v="10"/>
    <s v="TAN"/>
    <s v="OR"/>
    <d v="2017-01-13T00:00:00"/>
    <s v="MI"/>
    <s v="US"/>
    <s v="ZR"/>
    <d v="2017-01-13T00:00:00"/>
  </r>
  <r>
    <x v="0"/>
    <x v="0"/>
    <x v="1342"/>
    <x v="4"/>
    <s v="Standard order"/>
    <x v="1315"/>
    <x v="1314"/>
    <s v="G333"/>
    <s v="CRYSTAL G333NT"/>
    <s v="5003376"/>
    <s v="G333 ACH T20 Kabina ELS"/>
    <n v="20"/>
    <n v="0"/>
    <n v="20"/>
    <x v="0"/>
    <s v="EE73"/>
    <s v="ELS"/>
    <s v="387"/>
    <s v="4.0 UN"/>
    <s v="STANDARD"/>
    <s v="N"/>
    <s v="N"/>
    <s v="Y"/>
    <s v="T20"/>
    <s v="N"/>
    <s v="N"/>
    <s v="N"/>
    <s v="N"/>
    <s v="A035"/>
    <d v="2017-01-19T00:00:00"/>
    <s v="20"/>
    <s v="TAN"/>
    <s v="OR"/>
    <d v="2017-01-13T00:00:00"/>
    <s v="MI"/>
    <s v="US"/>
    <s v="ZR"/>
    <d v="2017-01-13T00:00:00"/>
  </r>
  <r>
    <x v="0"/>
    <x v="0"/>
    <x v="1343"/>
    <x v="2"/>
    <s v="Standard order"/>
    <x v="1316"/>
    <x v="1315"/>
    <s v="G351"/>
    <s v="CRYSTAL G351NT"/>
    <s v="5003396"/>
    <s v="G351 ACH T20 Kabina ELS"/>
    <n v="4"/>
    <n v="0"/>
    <n v="4"/>
    <x v="0"/>
    <s v="DA73"/>
    <s v="ELS"/>
    <s v="387"/>
    <s v="4.0 UN"/>
    <s v="STANDARD"/>
    <s v="N"/>
    <s v="N"/>
    <s v="Y"/>
    <s v="T20"/>
    <s v="N"/>
    <s v="N"/>
    <s v="N"/>
    <s v="N"/>
    <s v="A034"/>
    <d v="2017-01-19T00:00:00"/>
    <s v="10"/>
    <s v="TAN"/>
    <s v="OR"/>
    <d v="2017-01-13T00:00:00"/>
    <s v="MI"/>
    <s v="US"/>
    <s v="ZR"/>
    <d v="2017-01-13T00:00:00"/>
  </r>
  <r>
    <x v="0"/>
    <x v="0"/>
    <x v="1344"/>
    <x v="10"/>
    <s v="Standard order"/>
    <x v="1317"/>
    <x v="1316"/>
    <s v="R059"/>
    <s v="CRYSTAL RR059"/>
    <s v="5003528"/>
    <s v="R059 ACH T20 Kabina ELS"/>
    <n v="96"/>
    <n v="0"/>
    <n v="96"/>
    <x v="0"/>
    <s v="AP73"/>
    <s v="ELS"/>
    <s v="387"/>
    <s v="4.0 UN"/>
    <s v="STANDARD"/>
    <s v="N"/>
    <s v="N"/>
    <s v="Y"/>
    <s v="T20"/>
    <s v="N"/>
    <s v="N"/>
    <s v="N"/>
    <s v="N"/>
    <s v="A036"/>
    <d v="2017-01-19T00:00:00"/>
    <s v="10"/>
    <s v="TAN"/>
    <s v="OR"/>
    <d v="2017-01-13T00:00:00"/>
    <s v="MI"/>
    <s v="US"/>
    <s v="ZR"/>
    <d v="2017-01-13T00:00:00"/>
  </r>
  <r>
    <x v="0"/>
    <x v="0"/>
    <x v="1344"/>
    <x v="10"/>
    <s v="Standard order"/>
    <x v="1317"/>
    <x v="1316"/>
    <s v="G515"/>
    <s v="CRYSTAL G515"/>
    <s v="5003017"/>
    <s v="G515 ACH T20 Kabina ELS"/>
    <n v="36"/>
    <n v="0"/>
    <n v="36"/>
    <x v="0"/>
    <s v="APND"/>
    <s v="ELS"/>
    <s v="387"/>
    <s v="4.0 UN"/>
    <s v="STANDARD"/>
    <s v="N"/>
    <s v="N"/>
    <s v="Y"/>
    <s v="T20"/>
    <s v="N"/>
    <s v="N"/>
    <s v="N"/>
    <s v="N"/>
    <s v="A036"/>
    <d v="2017-01-19T00:00:00"/>
    <s v="20"/>
    <s v="TAN"/>
    <s v="OR"/>
    <d v="2017-01-13T00:00:00"/>
    <s v="MI"/>
    <s v="US"/>
    <s v="ZR"/>
    <d v="2017-01-13T00:00:00"/>
  </r>
  <r>
    <x v="0"/>
    <x v="0"/>
    <x v="1345"/>
    <x v="4"/>
    <s v="Standard order"/>
    <x v="1318"/>
    <x v="1317"/>
    <s v="G515"/>
    <s v="CRYSTAL G515"/>
    <s v="5003017"/>
    <s v="G515 ACH T20 Kabina ELS"/>
    <n v="16"/>
    <n v="0"/>
    <n v="16"/>
    <x v="0"/>
    <s v="APND"/>
    <s v="ELS"/>
    <s v="387"/>
    <s v="4.0 UN"/>
    <s v="STANDARD"/>
    <s v="N"/>
    <s v="N"/>
    <s v="Y"/>
    <s v="T20"/>
    <s v="N"/>
    <s v="N"/>
    <s v="N"/>
    <s v="N"/>
    <s v="A035"/>
    <d v="2017-01-19T00:00:00"/>
    <s v="10"/>
    <s v="TAN"/>
    <s v="OR"/>
    <d v="2017-01-13T00:00:00"/>
    <s v="MI"/>
    <s v="US"/>
    <s v="ZR"/>
    <d v="2017-01-13T00:00:00"/>
  </r>
  <r>
    <x v="0"/>
    <x v="0"/>
    <x v="1346"/>
    <x v="4"/>
    <s v="Standard order"/>
    <x v="1319"/>
    <x v="1318"/>
    <s v="R059"/>
    <s v="CRYSTAL RR059"/>
    <s v="5003528"/>
    <s v="R059 ACH T20 Kabina ELS"/>
    <n v="16"/>
    <n v="0"/>
    <n v="16"/>
    <x v="0"/>
    <s v="AP73"/>
    <s v="ELS"/>
    <s v="387"/>
    <s v="4.0 UN"/>
    <s v="STANDARD"/>
    <s v="N"/>
    <s v="N"/>
    <s v="Y"/>
    <s v="T20"/>
    <s v="N"/>
    <s v="N"/>
    <s v="N"/>
    <s v="N"/>
    <s v="A035"/>
    <d v="2017-01-19T00:00:00"/>
    <s v="10"/>
    <s v="TAN"/>
    <s v="OR"/>
    <d v="2017-01-13T00:00:00"/>
    <s v="MI"/>
    <s v="US"/>
    <s v="ZR"/>
    <d v="2017-01-13T00:00:00"/>
  </r>
  <r>
    <x v="0"/>
    <x v="0"/>
    <x v="1347"/>
    <x v="4"/>
    <s v="Standard order"/>
    <x v="1320"/>
    <x v="1319"/>
    <s v="R059"/>
    <s v="CRYSTAL RR059"/>
    <s v="5003530"/>
    <s v="R059 ACH T20 Kabina RP"/>
    <n v="24"/>
    <n v="0"/>
    <n v="24"/>
    <x v="0"/>
    <s v="AP73"/>
    <s v="RP"/>
    <s v="387"/>
    <s v="4.0 UN"/>
    <s v="STANDARD"/>
    <s v="N"/>
    <s v="N"/>
    <s v="Y"/>
    <s v="T20"/>
    <s v="N"/>
    <s v="N"/>
    <s v="N"/>
    <s v="N"/>
    <s v="A035"/>
    <d v="2017-01-19T00:00:00"/>
    <s v="10"/>
    <s v="TAN"/>
    <s v="OR"/>
    <d v="2017-01-13T00:00:00"/>
    <s v="MI"/>
    <s v="US"/>
    <s v="ZR"/>
    <d v="2017-01-13T00:00:00"/>
  </r>
  <r>
    <x v="0"/>
    <x v="0"/>
    <x v="1347"/>
    <x v="4"/>
    <s v="Standard order"/>
    <x v="1320"/>
    <x v="1319"/>
    <s v="G515"/>
    <s v="CRYSTAL G515"/>
    <s v="5003019"/>
    <s v="G515 ACH T20 Kabina RP"/>
    <n v="28"/>
    <n v="0"/>
    <n v="28"/>
    <x v="0"/>
    <s v="APND"/>
    <s v="RP"/>
    <s v="387"/>
    <s v="4.0 UN"/>
    <s v="STANDARD"/>
    <s v="N"/>
    <s v="N"/>
    <s v="Y"/>
    <s v="T20"/>
    <s v="N"/>
    <s v="N"/>
    <s v="N"/>
    <s v="N"/>
    <s v="A035"/>
    <d v="2017-01-19T00:00:00"/>
    <s v="20"/>
    <s v="TAN"/>
    <s v="OR"/>
    <d v="2017-01-13T00:00:00"/>
    <s v="MI"/>
    <s v="US"/>
    <s v="ZR"/>
    <d v="2017-01-13T00:00:00"/>
  </r>
  <r>
    <x v="0"/>
    <x v="0"/>
    <x v="1347"/>
    <x v="4"/>
    <s v="Standard order"/>
    <x v="1320"/>
    <x v="1319"/>
    <s v="G351"/>
    <s v="CRYSTAL G351NT"/>
    <s v="5003398"/>
    <s v="G351 ACH T20 Kabina RP"/>
    <n v="28"/>
    <n v="0"/>
    <n v="28"/>
    <x v="0"/>
    <s v="DA73"/>
    <s v="RP"/>
    <s v="387"/>
    <s v="4.0 UN"/>
    <s v="STANDARD"/>
    <s v="N"/>
    <s v="N"/>
    <s v="Y"/>
    <s v="T20"/>
    <s v="N"/>
    <s v="N"/>
    <s v="N"/>
    <s v="N"/>
    <s v="A035"/>
    <d v="2017-01-19T00:00:00"/>
    <s v="30"/>
    <s v="TAN"/>
    <s v="OR"/>
    <d v="2017-01-13T00:00:00"/>
    <s v="MI"/>
    <s v="US"/>
    <s v="ZR"/>
    <d v="2017-01-13T00:00:00"/>
  </r>
  <r>
    <x v="0"/>
    <x v="0"/>
    <x v="1348"/>
    <x v="10"/>
    <s v="Standard order"/>
    <x v="1321"/>
    <x v="1320"/>
    <s v="R059"/>
    <s v="CRYSTAL RR059"/>
    <s v="5003528"/>
    <s v="R059 ACH T20 Kabina ELS"/>
    <n v="56"/>
    <n v="0"/>
    <n v="56"/>
    <x v="0"/>
    <s v="AP73"/>
    <s v="ELS"/>
    <s v="387"/>
    <s v="4.0 UN"/>
    <s v="STANDARD"/>
    <s v="N"/>
    <s v="N"/>
    <s v="Y"/>
    <s v="T20"/>
    <s v="N"/>
    <s v="N"/>
    <s v="N"/>
    <s v="N"/>
    <s v="A036"/>
    <d v="2017-01-19T00:00:00"/>
    <s v="10"/>
    <s v="TAN"/>
    <s v="OR"/>
    <d v="2017-01-13T00:00:00"/>
    <s v="MI"/>
    <s v="US"/>
    <s v="ZR"/>
    <d v="2017-01-13T00:00:00"/>
  </r>
  <r>
    <x v="0"/>
    <x v="0"/>
    <x v="1349"/>
    <x v="2"/>
    <s v="Standard order"/>
    <x v="1322"/>
    <x v="1321"/>
    <s v="G351"/>
    <s v="CRYSTAL G351NT"/>
    <s v="5003396"/>
    <s v="G351 ACH T20 Kabina ELS"/>
    <n v="36"/>
    <n v="0"/>
    <n v="36"/>
    <x v="0"/>
    <s v="DA73"/>
    <s v="ELS"/>
    <s v="387"/>
    <s v="4.0 UN"/>
    <s v="STANDARD"/>
    <s v="N"/>
    <s v="N"/>
    <s v="Y"/>
    <s v="T20"/>
    <s v="N"/>
    <s v="N"/>
    <s v="N"/>
    <s v="N"/>
    <s v="A034"/>
    <d v="2017-01-19T00:00:00"/>
    <s v="10"/>
    <s v="TAN"/>
    <s v="OR"/>
    <d v="2017-01-13T00:00:00"/>
    <s v="MI"/>
    <s v="US"/>
    <s v="ZR"/>
    <d v="2017-01-13T00:00:00"/>
  </r>
  <r>
    <x v="0"/>
    <x v="0"/>
    <x v="1350"/>
    <x v="10"/>
    <s v="Standard order"/>
    <x v="1323"/>
    <x v="1322"/>
    <s v="R059"/>
    <s v="CRYSTAL RR059"/>
    <s v="5003529"/>
    <s v="R059 ACH T20 Kabina MP"/>
    <n v="60"/>
    <n v="0"/>
    <n v="60"/>
    <x v="0"/>
    <s v="AP73"/>
    <s v="MP"/>
    <s v="387"/>
    <s v="4.0 UN"/>
    <s v="STANDARD"/>
    <s v="N"/>
    <s v="N"/>
    <s v="Y"/>
    <s v="T20"/>
    <s v="N"/>
    <s v="N"/>
    <s v="N"/>
    <s v="N"/>
    <s v="A036"/>
    <d v="2017-01-19T00:00:00"/>
    <s v="10"/>
    <s v="TAN"/>
    <s v="OR"/>
    <d v="2017-01-13T00:00:00"/>
    <s v="MI"/>
    <s v="US"/>
    <s v="ZR"/>
    <d v="2017-01-13T00:00:00"/>
  </r>
  <r>
    <x v="0"/>
    <x v="0"/>
    <x v="1351"/>
    <x v="10"/>
    <s v="Standard order"/>
    <x v="1324"/>
    <x v="1323"/>
    <s v="R059"/>
    <s v="CRYSTAL RR059"/>
    <s v="5003530"/>
    <s v="R059 ACH T20 Kabina RP"/>
    <n v="40"/>
    <n v="0"/>
    <n v="40"/>
    <x v="0"/>
    <s v="AP73"/>
    <s v="RP"/>
    <s v="387"/>
    <s v="4.0 UN"/>
    <s v="STANDARD"/>
    <s v="N"/>
    <s v="N"/>
    <s v="Y"/>
    <s v="T20"/>
    <s v="N"/>
    <s v="N"/>
    <s v="N"/>
    <s v="N"/>
    <s v="A036"/>
    <d v="2017-01-19T00:00:00"/>
    <s v="10"/>
    <s v="TAN"/>
    <s v="OR"/>
    <d v="2017-01-13T00:00:00"/>
    <s v="MI"/>
    <s v="US"/>
    <s v="ZR"/>
    <d v="2017-01-13T00:00:00"/>
  </r>
  <r>
    <x v="0"/>
    <x v="0"/>
    <x v="1352"/>
    <x v="4"/>
    <s v="Standard order"/>
    <x v="1325"/>
    <x v="1324"/>
    <s v="R059"/>
    <s v="CRYSTAL RR059"/>
    <s v="5003528"/>
    <s v="R059 ACH T20 Kabina ELS"/>
    <n v="40"/>
    <n v="0"/>
    <n v="40"/>
    <x v="0"/>
    <s v="AP73"/>
    <s v="ELS"/>
    <s v="387"/>
    <s v="4.0 UN"/>
    <s v="STANDARD"/>
    <s v="N"/>
    <s v="N"/>
    <s v="Y"/>
    <s v="T20"/>
    <s v="N"/>
    <s v="N"/>
    <s v="N"/>
    <s v="N"/>
    <s v="A035"/>
    <d v="2017-01-19T00:00:00"/>
    <s v="10"/>
    <s v="TAN"/>
    <s v="OR"/>
    <d v="2017-01-13T00:00:00"/>
    <s v="MI"/>
    <s v="US"/>
    <s v="ZR"/>
    <d v="2017-01-13T00:00:00"/>
  </r>
  <r>
    <x v="0"/>
    <x v="0"/>
    <x v="1353"/>
    <x v="4"/>
    <s v="Standard order"/>
    <x v="1326"/>
    <x v="1325"/>
    <s v="R059"/>
    <s v="CRYSTAL RR059"/>
    <s v="5003528"/>
    <s v="R059 ACH T20 Kabina ELS"/>
    <n v="24"/>
    <n v="0"/>
    <n v="24"/>
    <x v="0"/>
    <s v="AP73"/>
    <s v="ELS"/>
    <s v="387"/>
    <s v="4.0 UN"/>
    <s v="STANDARD"/>
    <s v="N"/>
    <s v="N"/>
    <s v="Y"/>
    <s v="T20"/>
    <s v="N"/>
    <s v="N"/>
    <s v="N"/>
    <s v="N"/>
    <s v="A035"/>
    <d v="2017-01-19T00:00:00"/>
    <s v="10"/>
    <s v="TAN"/>
    <s v="OR"/>
    <d v="2017-01-13T00:00:00"/>
    <s v="MI"/>
    <s v="US"/>
    <s v="ZR"/>
    <d v="2017-01-13T00:00:00"/>
  </r>
  <r>
    <x v="0"/>
    <x v="0"/>
    <x v="1353"/>
    <x v="4"/>
    <s v="Standard order"/>
    <x v="1326"/>
    <x v="1325"/>
    <s v="G515"/>
    <s v="CRYSTAL G515"/>
    <s v="5003017"/>
    <s v="G515 ACH T20 Kabina ELS"/>
    <n v="24"/>
    <n v="0"/>
    <n v="24"/>
    <x v="0"/>
    <s v="APND"/>
    <s v="ELS"/>
    <s v="387"/>
    <s v="4.0 UN"/>
    <s v="STANDARD"/>
    <s v="N"/>
    <s v="N"/>
    <s v="Y"/>
    <s v="T20"/>
    <s v="N"/>
    <s v="N"/>
    <s v="N"/>
    <s v="N"/>
    <s v="A035"/>
    <d v="2017-01-19T00:00:00"/>
    <s v="20"/>
    <s v="TAN"/>
    <s v="OR"/>
    <d v="2017-01-13T00:00:00"/>
    <s v="MI"/>
    <s v="US"/>
    <s v="ZR"/>
    <d v="2017-01-13T00:00:00"/>
  </r>
  <r>
    <x v="0"/>
    <x v="0"/>
    <x v="1353"/>
    <x v="4"/>
    <s v="Standard order"/>
    <x v="1326"/>
    <x v="1325"/>
    <s v="G333"/>
    <s v="CRYSTAL G333NT"/>
    <s v="5003376"/>
    <s v="G333 ACH T20 Kabina ELS"/>
    <n v="32"/>
    <n v="0"/>
    <n v="32"/>
    <x v="0"/>
    <s v="EE73"/>
    <s v="ELS"/>
    <s v="387"/>
    <s v="4.0 UN"/>
    <s v="STANDARD"/>
    <s v="N"/>
    <s v="N"/>
    <s v="Y"/>
    <s v="T20"/>
    <s v="N"/>
    <s v="N"/>
    <s v="N"/>
    <s v="N"/>
    <s v="A035"/>
    <d v="2017-01-19T00:00:00"/>
    <s v="30"/>
    <s v="TAN"/>
    <s v="OR"/>
    <d v="2017-01-13T00:00:00"/>
    <s v="MI"/>
    <s v="US"/>
    <s v="ZR"/>
    <d v="2017-01-13T00:00:00"/>
  </r>
  <r>
    <x v="0"/>
    <x v="0"/>
    <x v="1354"/>
    <x v="4"/>
    <s v="Standard order"/>
    <x v="312"/>
    <x v="312"/>
    <s v="R059"/>
    <s v="CRYSTAL RR059"/>
    <s v="5003529"/>
    <s v="R059 ACH T20 Kabina MP"/>
    <n v="168"/>
    <n v="0"/>
    <n v="168"/>
    <x v="0"/>
    <s v="AP73"/>
    <s v="MP"/>
    <s v="387"/>
    <s v="4.0 UN"/>
    <s v="STANDARD"/>
    <s v="N"/>
    <s v="N"/>
    <s v="Y"/>
    <s v="T20"/>
    <s v="N"/>
    <s v="N"/>
    <s v="N"/>
    <s v="N"/>
    <s v="A035"/>
    <d v="2017-01-19T00:00:00"/>
    <s v="10"/>
    <s v="TAN"/>
    <s v="OR"/>
    <d v="2017-01-14T00:00:00"/>
    <s v="MI"/>
    <s v="US"/>
    <s v="ZR"/>
    <d v="2017-01-14T00:00:00"/>
  </r>
  <r>
    <x v="0"/>
    <x v="0"/>
    <x v="1355"/>
    <x v="2"/>
    <s v="Standard order"/>
    <x v="1327"/>
    <x v="1326"/>
    <s v="G333"/>
    <s v="CRYSTAL G333NT"/>
    <s v="5003377"/>
    <s v="G333 ACH T20 Kabina MP"/>
    <n v="12"/>
    <n v="0"/>
    <n v="12"/>
    <x v="0"/>
    <s v="EE73"/>
    <s v="MP"/>
    <s v="387"/>
    <s v="4.0 UN"/>
    <s v="STANDARD"/>
    <s v="N"/>
    <s v="N"/>
    <s v="Y"/>
    <s v="T20"/>
    <s v="N"/>
    <s v="N"/>
    <s v="N"/>
    <s v="N"/>
    <s v="A034"/>
    <d v="2017-01-19T00:00:00"/>
    <s v="10"/>
    <s v="TAN"/>
    <s v="OR"/>
    <d v="2017-01-13T00:00:00"/>
    <s v="MI"/>
    <s v="US"/>
    <s v="ZR"/>
    <d v="2017-01-14T00:00:00"/>
  </r>
  <r>
    <x v="0"/>
    <x v="0"/>
    <x v="1356"/>
    <x v="4"/>
    <s v="Standard order"/>
    <x v="1215"/>
    <x v="1214"/>
    <s v="G351"/>
    <s v="CRYSTAL G351NT"/>
    <s v="5003398"/>
    <s v="G351 ACH T20 Kabina RP"/>
    <n v="4"/>
    <n v="0"/>
    <n v="4"/>
    <x v="0"/>
    <s v="DA73"/>
    <s v="RP"/>
    <s v="387"/>
    <s v="4.0 UN"/>
    <s v="STANDARD"/>
    <s v="N"/>
    <s v="N"/>
    <s v="Y"/>
    <s v="T20"/>
    <s v="N"/>
    <s v="N"/>
    <s v="N"/>
    <s v="N"/>
    <s v="A035"/>
    <d v="2017-01-19T00:00:00"/>
    <s v="10"/>
    <s v="TAN"/>
    <s v="OR"/>
    <d v="2017-01-14T00:00:00"/>
    <s v="MI"/>
    <s v="US"/>
    <s v="ZR"/>
    <d v="2017-01-14T00:00:00"/>
  </r>
  <r>
    <x v="0"/>
    <x v="0"/>
    <x v="1356"/>
    <x v="4"/>
    <s v="Standard order"/>
    <x v="1215"/>
    <x v="1214"/>
    <s v="R202"/>
    <s v="CRYSTAL RR202"/>
    <s v="5003118"/>
    <s v="R202 ACH T20 Kabina MP"/>
    <n v="8"/>
    <n v="0"/>
    <n v="8"/>
    <x v="0"/>
    <s v="4ULM"/>
    <s v="MP"/>
    <s v="387"/>
    <s v="4.0 UN"/>
    <s v="STANDARD"/>
    <s v="N"/>
    <s v="N"/>
    <s v="Y"/>
    <s v="T20"/>
    <s v="N"/>
    <s v="N"/>
    <s v="N"/>
    <s v="N"/>
    <s v="A035"/>
    <d v="2017-01-19T00:00:00"/>
    <s v="20"/>
    <s v="TAN"/>
    <s v="OR"/>
    <d v="2017-01-14T00:00:00"/>
    <s v="MI"/>
    <s v="US"/>
    <s v="ZR"/>
    <d v="2017-01-14T00:00:00"/>
  </r>
  <r>
    <x v="0"/>
    <x v="0"/>
    <x v="1356"/>
    <x v="4"/>
    <s v="Standard order"/>
    <x v="1215"/>
    <x v="1214"/>
    <s v="R059"/>
    <s v="CRYSTAL RR059"/>
    <s v="5003529"/>
    <s v="R059 ACH T20 Kabina MP"/>
    <n v="4"/>
    <n v="0"/>
    <n v="4"/>
    <x v="0"/>
    <s v="AP73"/>
    <s v="MP"/>
    <s v="387"/>
    <s v="4.0 UN"/>
    <s v="STANDARD"/>
    <s v="N"/>
    <s v="N"/>
    <s v="Y"/>
    <s v="T20"/>
    <s v="N"/>
    <s v="N"/>
    <s v="N"/>
    <s v="N"/>
    <s v="A035"/>
    <d v="2017-01-19T00:00:00"/>
    <s v="30"/>
    <s v="TAN"/>
    <s v="OR"/>
    <d v="2017-01-14T00:00:00"/>
    <s v="MI"/>
    <s v="US"/>
    <s v="ZR"/>
    <d v="2017-01-14T00:00:00"/>
  </r>
  <r>
    <x v="0"/>
    <x v="2"/>
    <x v="1357"/>
    <x v="23"/>
    <s v="Standard order"/>
    <x v="543"/>
    <x v="543"/>
    <s v="R014"/>
    <s v="CRYSTAL RR014"/>
    <s v="5003091"/>
    <s v="R014 ACH T20 PB SYSTIVA G100"/>
    <n v="16"/>
    <n v="0"/>
    <n v="16"/>
    <x v="2"/>
    <s v="AP82"/>
    <s v="GEM 100"/>
    <s v="324"/>
    <s v="4.0 UN"/>
    <s v="STANDARD"/>
    <s v="N"/>
    <s v="Y"/>
    <s v="N"/>
    <s v="T20"/>
    <s v="Y"/>
    <s v="N"/>
    <s v="Y"/>
    <s v="N"/>
    <s v="A055"/>
    <d v="2017-01-19T00:00:00"/>
    <s v="10"/>
    <s v="TAN"/>
    <s v="OR"/>
    <d v="2017-01-16T00:00:00"/>
    <s v="WY"/>
    <s v="US"/>
    <s v="ZR"/>
    <d v="2017-01-16T00:00:00"/>
  </r>
  <r>
    <x v="0"/>
    <x v="0"/>
    <x v="1358"/>
    <x v="4"/>
    <s v="Standard order"/>
    <x v="1328"/>
    <x v="1327"/>
    <s v="R059"/>
    <s v="CRYSTAL RR059"/>
    <s v="5003529"/>
    <s v="R059 ACH T20 Kabina MP"/>
    <n v="28"/>
    <n v="0"/>
    <n v="28"/>
    <x v="0"/>
    <s v="AP73"/>
    <s v="MP"/>
    <s v="387"/>
    <s v="4.0 UN"/>
    <s v="STANDARD"/>
    <s v="N"/>
    <s v="N"/>
    <s v="Y"/>
    <s v="T20"/>
    <s v="N"/>
    <s v="N"/>
    <s v="N"/>
    <s v="N"/>
    <s v="A035"/>
    <d v="2017-01-25T00:00:00"/>
    <s v="10"/>
    <s v="TAN"/>
    <s v="OR"/>
    <d v="2017-01-21T00:00:00"/>
    <s v="MI"/>
    <s v="US"/>
    <s v="ZR"/>
    <d v="2017-01-21T00:00:00"/>
  </r>
  <r>
    <x v="0"/>
    <x v="2"/>
    <x v="1359"/>
    <x v="3"/>
    <s v="Standard order"/>
    <x v="1329"/>
    <x v="1328"/>
    <s v="R014"/>
    <s v="CRYSTAL RR014"/>
    <s v="5003091"/>
    <s v="R014 ACH T20 PB SYSTIVA G100"/>
    <n v="136"/>
    <n v="0"/>
    <n v="136"/>
    <x v="2"/>
    <s v="AP82"/>
    <s v="GEM 100"/>
    <s v="324"/>
    <s v="4.0 UN"/>
    <s v="STANDARD"/>
    <s v="N"/>
    <s v="Y"/>
    <s v="N"/>
    <s v="T20"/>
    <s v="Y"/>
    <s v="N"/>
    <s v="Y"/>
    <s v="N"/>
    <s v="A024"/>
    <d v="2017-01-25T00:00:00"/>
    <s v="10"/>
    <s v="TAN"/>
    <s v="OR"/>
    <d v="2017-01-21T00:00:00"/>
    <s v="NE"/>
    <s v="US"/>
    <s v="ZR"/>
    <d v="2017-01-21T00:00:00"/>
  </r>
  <r>
    <x v="0"/>
    <x v="0"/>
    <x v="1360"/>
    <x v="4"/>
    <s v="Standard order"/>
    <x v="1330"/>
    <x v="1329"/>
    <s v="R059"/>
    <s v="CRYSTAL RR059"/>
    <s v="5003530"/>
    <s v="R059 ACH T20 Kabina RP"/>
    <n v="12"/>
    <n v="0"/>
    <n v="12"/>
    <x v="0"/>
    <s v="AP73"/>
    <s v="RP"/>
    <s v="387"/>
    <s v="4.0 UN"/>
    <s v="STANDARD"/>
    <s v="N"/>
    <s v="N"/>
    <s v="Y"/>
    <s v="T20"/>
    <s v="N"/>
    <s v="N"/>
    <s v="N"/>
    <s v="N"/>
    <s v="A035"/>
    <d v="2017-01-25T00:00:00"/>
    <s v="10"/>
    <s v="TAN"/>
    <s v="OR"/>
    <d v="2017-01-21T00:00:00"/>
    <s v="MI"/>
    <s v="US"/>
    <s v="ZR"/>
    <d v="2017-01-21T00:00:00"/>
  </r>
  <r>
    <x v="0"/>
    <x v="0"/>
    <x v="1361"/>
    <x v="4"/>
    <s v="Standard order"/>
    <x v="31"/>
    <x v="31"/>
    <s v="R059"/>
    <s v="CRYSTAL RR059"/>
    <s v="5003529"/>
    <s v="R059 ACH T20 Kabina MP"/>
    <n v="8"/>
    <n v="0"/>
    <n v="8"/>
    <x v="0"/>
    <s v="AP73"/>
    <s v="MP"/>
    <s v="387"/>
    <s v="4.0 UN"/>
    <s v="STANDARD"/>
    <s v="N"/>
    <s v="N"/>
    <s v="Y"/>
    <s v="T20"/>
    <s v="N"/>
    <s v="N"/>
    <s v="N"/>
    <s v="N"/>
    <s v="A035"/>
    <d v="2017-01-25T00:00:00"/>
    <s v="10"/>
    <s v="TAN"/>
    <s v="OR"/>
    <d v="2017-01-21T00:00:00"/>
    <s v="MI"/>
    <s v="US"/>
    <s v="ZR"/>
    <d v="2017-01-21T00:00:00"/>
  </r>
  <r>
    <x v="1"/>
    <x v="7"/>
    <x v="1362"/>
    <x v="28"/>
    <s v="Replant Order"/>
    <x v="1331"/>
    <x v="1330"/>
    <s v="8363"/>
    <s v="BTS 8363"/>
    <s v="5002812"/>
    <s v="8363 RP BetaShield"/>
    <n v="8"/>
    <n v="8"/>
    <n v="0"/>
    <x v="7"/>
    <s v="DMMZ"/>
    <s v="RP"/>
    <s v="398"/>
    <s v="4.0 UN"/>
    <s v="STANDARD"/>
    <s v="N"/>
    <s v="Y"/>
    <s v="Y"/>
    <s v="T35"/>
    <s v="N"/>
    <s v="N"/>
    <s v="N"/>
    <s v="N"/>
    <s v=""/>
    <d v="2016-09-14T00:00:00"/>
    <s v="10"/>
    <s v="TAN"/>
    <s v="ZRPU"/>
    <d v="2016-09-14T00:00:00"/>
    <s v="ND"/>
    <s v="US"/>
    <s v="ZR"/>
    <d v="2016-05-12T00:00:00"/>
  </r>
  <r>
    <x v="1"/>
    <x v="7"/>
    <x v="1363"/>
    <x v="28"/>
    <s v="Returns Standard SAP"/>
    <x v="1331"/>
    <x v="1330"/>
    <s v="8363"/>
    <s v="BTS 8363"/>
    <s v="5002812"/>
    <s v="8363 RP BetaShield"/>
    <n v="-20"/>
    <n v="-20"/>
    <n v="0"/>
    <x v="7"/>
    <s v="DMMZ"/>
    <s v="RP"/>
    <s v="398"/>
    <s v="4.0 UN"/>
    <s v="STANDARD"/>
    <s v="N"/>
    <s v="Y"/>
    <s v="Y"/>
    <s v="T35"/>
    <s v="N"/>
    <s v="N"/>
    <s v="N"/>
    <s v="N"/>
    <s v=""/>
    <m/>
    <s v="10"/>
    <s v="ZSRE"/>
    <s v="ZSRE"/>
    <d v="2016-09-14T00:00:00"/>
    <s v="ND"/>
    <s v="US"/>
    <s v="ZR"/>
    <d v="2016-05-12T00:00:00"/>
  </r>
  <r>
    <x v="1"/>
    <x v="7"/>
    <x v="1364"/>
    <x v="28"/>
    <s v="Replant Order"/>
    <x v="1331"/>
    <x v="1330"/>
    <s v="8363"/>
    <s v="BTS 8363"/>
    <s v="5002812"/>
    <s v="8363 RP BetaShield"/>
    <n v="12"/>
    <n v="12"/>
    <n v="0"/>
    <x v="7"/>
    <s v="DMMZ"/>
    <s v="RP"/>
    <s v="398"/>
    <s v="4.0 UN"/>
    <s v="STANDARD"/>
    <s v="N"/>
    <s v="Y"/>
    <s v="Y"/>
    <s v="T35"/>
    <s v="N"/>
    <s v="N"/>
    <s v="N"/>
    <s v="N"/>
    <s v=""/>
    <d v="2016-09-14T00:00:00"/>
    <s v="10"/>
    <s v="TAN"/>
    <s v="ZRPU"/>
    <d v="2016-09-14T00:00:00"/>
    <s v="ND"/>
    <s v="US"/>
    <s v="ZR"/>
    <d v="2016-06-09T00:00:00"/>
  </r>
  <r>
    <x v="1"/>
    <x v="0"/>
    <x v="1365"/>
    <x v="29"/>
    <s v="Replant Order"/>
    <x v="1332"/>
    <x v="1022"/>
    <s v="184N"/>
    <s v="BTS 18RR4N"/>
    <s v="5003288"/>
    <s v="184N BTS T20 Kabina RP"/>
    <n v="4"/>
    <n v="4"/>
    <n v="0"/>
    <x v="0"/>
    <s v="2773"/>
    <s v="RP"/>
    <s v="380"/>
    <s v="4.0 UN"/>
    <s v="STANDARD"/>
    <s v="N"/>
    <s v="N"/>
    <s v="Y"/>
    <s v="T20"/>
    <s v="N"/>
    <s v="N"/>
    <s v="N"/>
    <s v="N"/>
    <s v=""/>
    <d v="2016-06-20T00:00:00"/>
    <s v="10"/>
    <s v="TAN"/>
    <s v="ZRPU"/>
    <d v="2016-08-26T00:00:00"/>
    <s v="MI"/>
    <s v="US"/>
    <s v="ZR"/>
    <d v="2016-06-20T00:00:00"/>
  </r>
  <r>
    <x v="1"/>
    <x v="0"/>
    <x v="1366"/>
    <x v="30"/>
    <s v="Returns Standard SAP"/>
    <x v="1333"/>
    <x v="1331"/>
    <s v="1399"/>
    <s v="BTS 1399"/>
    <s v="5002346"/>
    <s v="1399 MP BetaShield"/>
    <n v="-4"/>
    <n v="-4"/>
    <n v="0"/>
    <x v="0"/>
    <s v="EG74"/>
    <s v="MP"/>
    <s v="380"/>
    <s v="4.0 UN"/>
    <s v="STANDARD"/>
    <s v="N"/>
    <s v="N"/>
    <s v="Y"/>
    <s v="T20"/>
    <s v="N"/>
    <s v="N"/>
    <s v="N"/>
    <s v="N"/>
    <s v=""/>
    <m/>
    <s v="10"/>
    <s v="ZSRE"/>
    <s v="ZSRE"/>
    <d v="2016-08-31T00:00:00"/>
    <s v="MI"/>
    <s v="US"/>
    <s v="ZR"/>
    <d v="2016-06-23T00:00:00"/>
  </r>
  <r>
    <x v="1"/>
    <x v="7"/>
    <x v="1367"/>
    <x v="28"/>
    <s v="Replant Order"/>
    <x v="1334"/>
    <x v="1332"/>
    <s v="8337"/>
    <s v="BTS 8337"/>
    <s v="5002781"/>
    <s v="8337 MP BetaShield"/>
    <n v="44"/>
    <n v="44"/>
    <n v="0"/>
    <x v="7"/>
    <s v="DHMC"/>
    <s v="MP"/>
    <s v="382"/>
    <s v="4.0 UN"/>
    <s v="STANDARD"/>
    <s v="N"/>
    <s v="Y"/>
    <s v="Y"/>
    <s v="T20"/>
    <s v="N"/>
    <s v="N"/>
    <s v="N"/>
    <s v="N"/>
    <s v="MB02"/>
    <d v="2016-06-26T00:00:00"/>
    <s v="10"/>
    <s v="TAN"/>
    <s v="ZRPU"/>
    <d v="2016-08-26T00:00:00"/>
    <s v="ND"/>
    <s v="US"/>
    <s v="ZR"/>
    <d v="2016-06-26T00:00:00"/>
  </r>
  <r>
    <x v="1"/>
    <x v="2"/>
    <x v="1368"/>
    <x v="3"/>
    <s v="Returns Standard SAP"/>
    <x v="1335"/>
    <x v="5"/>
    <s v="628N"/>
    <s v="BTS 62RR8N"/>
    <s v="5002677"/>
    <s v="62RR8N P100 BetaShield PLUS"/>
    <n v="-4"/>
    <n v="-4"/>
    <n v="0"/>
    <x v="2"/>
    <s v="BL73"/>
    <s v="PRO 100"/>
    <s v="382"/>
    <s v="4.0 UN"/>
    <s v="STANDARD"/>
    <s v="N"/>
    <s v="Y"/>
    <s v="Y"/>
    <s v="T20"/>
    <s v="N"/>
    <s v="N"/>
    <s v="N"/>
    <s v="N"/>
    <s v=""/>
    <m/>
    <s v="10"/>
    <s v="ZSRE"/>
    <s v="ZSRE"/>
    <d v="2016-09-26T00:00:00"/>
    <s v="NE"/>
    <s v="US"/>
    <s v="ZR"/>
    <d v="2016-06-27T00:00:00"/>
  </r>
  <r>
    <x v="1"/>
    <x v="7"/>
    <x v="1369"/>
    <x v="31"/>
    <s v="Replant Order"/>
    <x v="1336"/>
    <x v="1333"/>
    <s v="83CN"/>
    <s v="BTS 83CN"/>
    <s v="5002831"/>
    <s v="83CN P200 BetaShield"/>
    <n v="8"/>
    <n v="8"/>
    <n v="0"/>
    <x v="7"/>
    <s v="EE73"/>
    <s v="PRO 200"/>
    <s v="398"/>
    <s v="4.0 UN"/>
    <s v="STANDARD"/>
    <s v="N"/>
    <s v="Y"/>
    <s v="Y"/>
    <s v="T35"/>
    <s v="N"/>
    <s v="N"/>
    <s v="N"/>
    <s v="N"/>
    <s v=""/>
    <d v="2016-06-28T00:00:00"/>
    <s v="10"/>
    <s v="TAN"/>
    <s v="ZRPU"/>
    <d v="2016-08-26T00:00:00"/>
    <s v="ND"/>
    <s v="US"/>
    <s v="ZR"/>
    <d v="2016-06-28T00:00:00"/>
  </r>
  <r>
    <x v="1"/>
    <x v="1"/>
    <x v="1370"/>
    <x v="32"/>
    <s v="Returns Standard SAP"/>
    <x v="1337"/>
    <x v="2"/>
    <s v="9475"/>
    <s v="BTS 9475"/>
    <s v="5003247"/>
    <s v="9475 RP BetaShield PLUS"/>
    <n v="-8"/>
    <n v="-8"/>
    <n v="0"/>
    <x v="1"/>
    <s v="FE73"/>
    <s v="RP"/>
    <s v="381"/>
    <s v="4.0 UN"/>
    <s v="STANDARD"/>
    <s v="N"/>
    <s v="N"/>
    <s v="Y"/>
    <s v="T45"/>
    <s v="N"/>
    <s v="N"/>
    <s v="N"/>
    <s v="N"/>
    <s v=""/>
    <m/>
    <s v="10"/>
    <s v="ZSRE"/>
    <s v="ZSRE"/>
    <d v="2016-08-30T00:00:00"/>
    <s v="MN"/>
    <s v="US"/>
    <s v="ZR"/>
    <d v="2016-06-28T00:00:00"/>
  </r>
  <r>
    <x v="1"/>
    <x v="1"/>
    <x v="1370"/>
    <x v="32"/>
    <s v="Returns Standard SAP"/>
    <x v="1337"/>
    <x v="2"/>
    <s v="9260"/>
    <s v="BTS 92RR60"/>
    <s v="5003239"/>
    <s v="92RR60 RP BetaShield PLUS"/>
    <n v="-4"/>
    <n v="-4"/>
    <n v="0"/>
    <x v="1"/>
    <s v="DTMC"/>
    <s v="RP"/>
    <s v="381"/>
    <s v="4.0 UN"/>
    <s v="STANDARD"/>
    <s v="N"/>
    <s v="N"/>
    <s v="Y"/>
    <s v="T45"/>
    <s v="N"/>
    <s v="N"/>
    <s v="N"/>
    <s v="N"/>
    <s v=""/>
    <m/>
    <s v="20"/>
    <s v="ZSRE"/>
    <s v="ZSRE"/>
    <d v="2016-08-30T00:00:00"/>
    <s v="MN"/>
    <s v="US"/>
    <s v="ZR"/>
    <d v="2016-06-28T00:00:00"/>
  </r>
  <r>
    <x v="1"/>
    <x v="1"/>
    <x v="1371"/>
    <x v="32"/>
    <s v="Replant Order"/>
    <x v="1337"/>
    <x v="2"/>
    <s v="9260"/>
    <s v="BTS 92RR60"/>
    <s v="5003239"/>
    <s v="92RR60 RP BetaShield PLUS"/>
    <n v="4"/>
    <n v="4"/>
    <n v="0"/>
    <x v="1"/>
    <s v="DTMC"/>
    <s v="RP"/>
    <s v="381"/>
    <s v="4.0 UN"/>
    <s v="STANDARD"/>
    <s v="N"/>
    <s v="N"/>
    <s v="Y"/>
    <s v="T45"/>
    <s v="N"/>
    <s v="N"/>
    <s v="N"/>
    <s v="N"/>
    <s v=""/>
    <d v="2016-06-28T00:00:00"/>
    <s v="10"/>
    <s v="TAN"/>
    <s v="ZRPU"/>
    <d v="2016-08-30T00:00:00"/>
    <s v="MN"/>
    <s v="US"/>
    <s v="ZR"/>
    <d v="2016-06-28T00:00:00"/>
  </r>
  <r>
    <x v="1"/>
    <x v="1"/>
    <x v="1371"/>
    <x v="32"/>
    <s v="Replant Order"/>
    <x v="1337"/>
    <x v="2"/>
    <s v="9475"/>
    <s v="BTS 9475"/>
    <s v="5003247"/>
    <s v="9475 RP BetaShield PLUS"/>
    <n v="8"/>
    <n v="8"/>
    <n v="0"/>
    <x v="1"/>
    <s v="FE73"/>
    <s v="RP"/>
    <s v="381"/>
    <s v="4.0 UN"/>
    <s v="STANDARD"/>
    <s v="N"/>
    <s v="N"/>
    <s v="Y"/>
    <s v="T45"/>
    <s v="N"/>
    <s v="N"/>
    <s v="N"/>
    <s v="N"/>
    <s v=""/>
    <d v="2016-06-28T00:00:00"/>
    <s v="20"/>
    <s v="TAN"/>
    <s v="ZRPU"/>
    <d v="2016-08-30T00:00:00"/>
    <s v="MN"/>
    <s v="US"/>
    <s v="ZR"/>
    <d v="2016-06-28T00:00:00"/>
  </r>
  <r>
    <x v="1"/>
    <x v="7"/>
    <x v="1372"/>
    <x v="33"/>
    <s v="Replant Order"/>
    <x v="1338"/>
    <x v="1334"/>
    <s v="8337"/>
    <s v="BTS 8337"/>
    <s v="5002791"/>
    <s v="8337 RP BetaShield"/>
    <n v="4"/>
    <n v="4"/>
    <n v="0"/>
    <x v="7"/>
    <s v="DHMC"/>
    <s v="RP"/>
    <s v="398"/>
    <s v="4.0 UN"/>
    <s v="STANDARD"/>
    <s v="N"/>
    <s v="Y"/>
    <s v="Y"/>
    <s v="T35"/>
    <s v="N"/>
    <s v="N"/>
    <s v="N"/>
    <s v="N"/>
    <s v=""/>
    <d v="2016-06-29T00:00:00"/>
    <s v="10"/>
    <s v="TAN"/>
    <s v="ZRPU"/>
    <d v="2016-08-26T00:00:00"/>
    <s v="ND"/>
    <s v="US"/>
    <s v="ZR"/>
    <d v="2016-06-29T00:00:00"/>
  </r>
  <r>
    <x v="1"/>
    <x v="7"/>
    <x v="1372"/>
    <x v="33"/>
    <s v="Replant Order"/>
    <x v="1338"/>
    <x v="1334"/>
    <s v="8337"/>
    <s v="BTS 8337"/>
    <s v="5002790"/>
    <s v="8337 P200 BetaShield"/>
    <n v="8"/>
    <n v="8"/>
    <n v="0"/>
    <x v="7"/>
    <s v="DHMC"/>
    <s v="PRO 200"/>
    <s v="398"/>
    <s v="4.0 UN"/>
    <s v="STANDARD"/>
    <s v="N"/>
    <s v="Y"/>
    <s v="Y"/>
    <s v="T35"/>
    <s v="N"/>
    <s v="N"/>
    <s v="N"/>
    <s v="N"/>
    <s v="MB02"/>
    <d v="2016-06-29T00:00:00"/>
    <s v="20"/>
    <s v="TAN"/>
    <s v="ZRPU"/>
    <d v="2016-08-26T00:00:00"/>
    <s v="ND"/>
    <s v="US"/>
    <s v="ZR"/>
    <d v="2016-06-29T00:00:00"/>
  </r>
  <r>
    <x v="1"/>
    <x v="7"/>
    <x v="1373"/>
    <x v="33"/>
    <s v="Returns Standard SAP"/>
    <x v="1338"/>
    <x v="1334"/>
    <s v="8337"/>
    <s v="BTS 8337"/>
    <s v="5002791"/>
    <s v="8337 RP BetaShield"/>
    <n v="-4"/>
    <n v="-4"/>
    <n v="0"/>
    <x v="7"/>
    <s v="DHMC"/>
    <s v="RP"/>
    <s v="398"/>
    <s v="4.0 UN"/>
    <s v="STANDARD"/>
    <s v="N"/>
    <s v="Y"/>
    <s v="Y"/>
    <s v="T35"/>
    <s v="N"/>
    <s v="N"/>
    <s v="N"/>
    <s v="N"/>
    <s v=""/>
    <d v="2016-06-29T00:00:00"/>
    <s v="10"/>
    <s v="ZSRE"/>
    <s v="ZSRE"/>
    <d v="2016-08-26T00:00:00"/>
    <s v="ND"/>
    <s v="US"/>
    <s v="ZR"/>
    <d v="2016-06-29T00:00:00"/>
  </r>
  <r>
    <x v="1"/>
    <x v="8"/>
    <x v="1374"/>
    <x v="34"/>
    <s v="Standard order"/>
    <x v="1339"/>
    <x v="1335"/>
    <s v="5499"/>
    <s v="BTS 5499"/>
    <s v="5002605"/>
    <s v="5499 BTS P100"/>
    <n v="16"/>
    <n v="16"/>
    <n v="0"/>
    <x v="8"/>
    <s v="DRMG"/>
    <s v="PRO 100"/>
    <s v="306"/>
    <s v="4.0 UN"/>
    <s v="STANDARD"/>
    <s v="N"/>
    <s v="N"/>
    <s v="N"/>
    <s v="N"/>
    <s v="N"/>
    <s v="N"/>
    <s v="N"/>
    <s v="N"/>
    <s v="B052"/>
    <d v="2016-07-22T00:00:00"/>
    <s v="30"/>
    <s v="TAN"/>
    <s v="OR"/>
    <d v="2016-07-22T00:00:00"/>
    <s v="CA"/>
    <s v="US"/>
    <s v="ZR"/>
    <d v="2016-07-01T00:00:00"/>
  </r>
  <r>
    <x v="1"/>
    <x v="8"/>
    <x v="1374"/>
    <x v="34"/>
    <s v="Standard order"/>
    <x v="1339"/>
    <x v="1335"/>
    <s v="5499"/>
    <s v="BTS 5499"/>
    <s v="5002606"/>
    <s v="5499 P50"/>
    <n v="164"/>
    <n v="164"/>
    <n v="0"/>
    <x v="8"/>
    <s v="DRMG"/>
    <s v="PRO 50"/>
    <s v="306"/>
    <s v="4.0 UN"/>
    <s v="STANDARD"/>
    <s v="N"/>
    <s v="N"/>
    <s v="N"/>
    <s v="N"/>
    <s v="N"/>
    <s v="N"/>
    <s v="N"/>
    <s v="N"/>
    <s v=""/>
    <d v="2016-07-22T00:00:00"/>
    <s v="40"/>
    <s v="TAN"/>
    <s v="OR"/>
    <d v="2016-07-22T00:00:00"/>
    <s v="CA"/>
    <s v="US"/>
    <s v="ZR"/>
    <d v="2016-07-01T00:00:00"/>
  </r>
  <r>
    <x v="1"/>
    <x v="3"/>
    <x v="1375"/>
    <x v="32"/>
    <s v="Replant Order"/>
    <x v="1340"/>
    <x v="6"/>
    <s v="7099"/>
    <s v="BTS 70RR99"/>
    <s v="5002443"/>
    <s v="70RR99 RP BetaShield"/>
    <n v="24"/>
    <n v="24"/>
    <n v="0"/>
    <x v="3"/>
    <s v="AP82"/>
    <s v="RP"/>
    <s v="379"/>
    <s v="4.0 UN"/>
    <s v="STANDARD"/>
    <s v="N"/>
    <s v="N"/>
    <s v="Y"/>
    <s v="N"/>
    <s v="N"/>
    <s v="N"/>
    <s v="N"/>
    <s v="N"/>
    <s v=""/>
    <d v="2016-09-14T00:00:00"/>
    <s v="10"/>
    <s v="TAN"/>
    <s v="ZRPU"/>
    <d v="2016-09-14T00:00:00"/>
    <s v="ND"/>
    <s v="US"/>
    <s v="ZR"/>
    <d v="2016-07-01T00:00:00"/>
  </r>
  <r>
    <x v="1"/>
    <x v="3"/>
    <x v="1375"/>
    <x v="32"/>
    <s v="Replant Order"/>
    <x v="1340"/>
    <x v="6"/>
    <s v="7099"/>
    <s v="BTS 70RR99"/>
    <s v="5002441"/>
    <s v="70RR99 MP BetaShield"/>
    <n v="16"/>
    <n v="16"/>
    <n v="0"/>
    <x v="3"/>
    <s v="AP82"/>
    <s v="MP"/>
    <s v="379"/>
    <s v="4.0 UN"/>
    <s v="STANDARD"/>
    <s v="N"/>
    <s v="N"/>
    <s v="Y"/>
    <s v="N"/>
    <s v="N"/>
    <s v="N"/>
    <s v="N"/>
    <s v="N"/>
    <s v=""/>
    <d v="2016-09-14T00:00:00"/>
    <s v="20"/>
    <s v="TAN"/>
    <s v="ZRPU"/>
    <d v="2016-09-14T00:00:00"/>
    <s v="ND"/>
    <s v="US"/>
    <s v="ZR"/>
    <d v="2016-07-01T00:00:00"/>
  </r>
  <r>
    <x v="1"/>
    <x v="3"/>
    <x v="1375"/>
    <x v="32"/>
    <s v="Replant Order"/>
    <x v="1340"/>
    <x v="6"/>
    <s v="73MN"/>
    <s v="BTS 73MN"/>
    <s v="5002475"/>
    <s v="73MN RP BetaShield"/>
    <n v="36"/>
    <n v="36"/>
    <n v="0"/>
    <x v="3"/>
    <s v="EE73"/>
    <s v="RP"/>
    <s v="379"/>
    <s v="4.0 UN"/>
    <s v="STANDARD"/>
    <s v="N"/>
    <s v="N"/>
    <s v="Y"/>
    <s v="N"/>
    <s v="N"/>
    <s v="N"/>
    <s v="N"/>
    <s v="N"/>
    <s v=""/>
    <d v="2016-09-14T00:00:00"/>
    <s v="30"/>
    <s v="TAN"/>
    <s v="ZRPU"/>
    <d v="2016-09-14T00:00:00"/>
    <s v="ND"/>
    <s v="US"/>
    <s v="ZR"/>
    <d v="2016-07-01T00:00:00"/>
  </r>
  <r>
    <x v="1"/>
    <x v="3"/>
    <x v="1376"/>
    <x v="32"/>
    <s v="Replant Order"/>
    <x v="1340"/>
    <x v="6"/>
    <s v="7099"/>
    <s v="BTS 70RR99"/>
    <s v="5002443"/>
    <s v="70RR99 RP BetaShield"/>
    <n v="4"/>
    <n v="4"/>
    <n v="0"/>
    <x v="3"/>
    <s v="AP82"/>
    <s v="RP"/>
    <s v="379"/>
    <s v="4.0 UN"/>
    <s v="STANDARD"/>
    <s v="N"/>
    <s v="N"/>
    <s v="Y"/>
    <s v="N"/>
    <s v="N"/>
    <s v="N"/>
    <s v="N"/>
    <s v="N"/>
    <s v=""/>
    <d v="2016-09-14T00:00:00"/>
    <s v="10"/>
    <s v="TAN"/>
    <s v="ZRPU"/>
    <d v="2016-09-14T00:00:00"/>
    <s v="ND"/>
    <s v="US"/>
    <s v="ZR"/>
    <d v="2016-07-01T00:00:00"/>
  </r>
  <r>
    <x v="1"/>
    <x v="3"/>
    <x v="1377"/>
    <x v="32"/>
    <s v="Returns Standard SAP"/>
    <x v="1340"/>
    <x v="6"/>
    <s v="7099"/>
    <s v="BTS 70RR99"/>
    <s v="5002446"/>
    <s v="70RR99 RP BetaShield PLUS"/>
    <n v="-52"/>
    <n v="-52"/>
    <n v="0"/>
    <x v="3"/>
    <s v="AP82"/>
    <s v="RP"/>
    <s v="384"/>
    <s v="4.0 UN"/>
    <s v="STANDARD"/>
    <s v="N"/>
    <s v="Y"/>
    <s v="Y"/>
    <s v="N"/>
    <s v="N"/>
    <s v="N"/>
    <s v="N"/>
    <s v="N"/>
    <s v=""/>
    <m/>
    <s v="10"/>
    <s v="ZSRE"/>
    <s v="ZSRE"/>
    <d v="2016-09-14T00:00:00"/>
    <s v="ND"/>
    <s v="US"/>
    <s v="ZR"/>
    <d v="2016-07-01T00:00:00"/>
  </r>
  <r>
    <x v="1"/>
    <x v="3"/>
    <x v="1378"/>
    <x v="32"/>
    <s v="Returns Standard SAP"/>
    <x v="1340"/>
    <x v="6"/>
    <s v="7099"/>
    <s v="BTS 70RR99"/>
    <s v="5002443"/>
    <s v="70RR99 RP BetaShield"/>
    <n v="-52"/>
    <n v="-52"/>
    <n v="0"/>
    <x v="3"/>
    <s v="AP82"/>
    <s v="RP"/>
    <s v="379"/>
    <s v="4.0 UN"/>
    <s v="STANDARD"/>
    <s v="N"/>
    <s v="N"/>
    <s v="Y"/>
    <s v="N"/>
    <s v="N"/>
    <s v="N"/>
    <s v="N"/>
    <s v="N"/>
    <s v=""/>
    <m/>
    <s v="10"/>
    <s v="ZSRE"/>
    <s v="ZSRE"/>
    <d v="2016-09-14T00:00:00"/>
    <s v="ND"/>
    <s v="US"/>
    <s v="ZR"/>
    <d v="2016-07-01T00:00:00"/>
  </r>
  <r>
    <x v="1"/>
    <x v="3"/>
    <x v="1379"/>
    <x v="32"/>
    <s v="Standard order"/>
    <x v="1340"/>
    <x v="6"/>
    <s v="7099"/>
    <s v="BTS 70RR99"/>
    <s v="5002443"/>
    <s v="70RR99 RP BetaShield"/>
    <n v="52"/>
    <n v="52"/>
    <n v="0"/>
    <x v="3"/>
    <s v="AP82"/>
    <s v="RP"/>
    <s v="379"/>
    <s v="4.0 UN"/>
    <s v="STANDARD"/>
    <s v="N"/>
    <s v="N"/>
    <s v="Y"/>
    <s v="N"/>
    <s v="N"/>
    <s v="N"/>
    <s v="N"/>
    <s v="N"/>
    <s v=""/>
    <d v="2016-09-14T00:00:00"/>
    <s v="10"/>
    <s v="TAN"/>
    <s v="OR"/>
    <d v="2016-09-14T00:00:00"/>
    <s v="ND"/>
    <s v="US"/>
    <s v="ZR"/>
    <d v="2016-07-01T00:00:00"/>
  </r>
  <r>
    <x v="1"/>
    <x v="3"/>
    <x v="1380"/>
    <x v="32"/>
    <s v="Returns Standard SAP"/>
    <x v="1340"/>
    <x v="6"/>
    <s v="7099"/>
    <s v="BTS 70RR99"/>
    <s v="5002443"/>
    <s v="70RR99 RP BetaShield"/>
    <n v="-4"/>
    <n v="-4"/>
    <n v="0"/>
    <x v="3"/>
    <s v="AP82"/>
    <s v="RP"/>
    <s v="379"/>
    <s v="4.0 UN"/>
    <s v="STANDARD"/>
    <s v="N"/>
    <s v="N"/>
    <s v="Y"/>
    <s v="N"/>
    <s v="N"/>
    <s v="N"/>
    <s v="N"/>
    <s v="N"/>
    <s v=""/>
    <m/>
    <s v="10"/>
    <s v="ZSRE"/>
    <s v="ZSRE"/>
    <d v="2016-09-14T00:00:00"/>
    <s v="ND"/>
    <s v="US"/>
    <s v="ZR"/>
    <d v="2016-07-01T00:00:00"/>
  </r>
  <r>
    <x v="1"/>
    <x v="3"/>
    <x v="1381"/>
    <x v="32"/>
    <s v="Returns Standard SAP"/>
    <x v="1340"/>
    <x v="6"/>
    <s v="7099"/>
    <s v="BTS 70RR99"/>
    <s v="5002443"/>
    <s v="70RR99 RP BetaShield"/>
    <n v="-24"/>
    <n v="-24"/>
    <n v="0"/>
    <x v="3"/>
    <s v="AP82"/>
    <s v="RP"/>
    <s v="379"/>
    <s v="4.0 UN"/>
    <s v="STANDARD"/>
    <s v="N"/>
    <s v="N"/>
    <s v="Y"/>
    <s v="N"/>
    <s v="N"/>
    <s v="N"/>
    <s v="N"/>
    <s v="N"/>
    <s v=""/>
    <m/>
    <s v="10"/>
    <s v="ZSRE"/>
    <s v="ZSRE"/>
    <d v="2016-09-14T00:00:00"/>
    <s v="ND"/>
    <s v="US"/>
    <s v="ZR"/>
    <d v="2016-07-01T00:00:00"/>
  </r>
  <r>
    <x v="1"/>
    <x v="3"/>
    <x v="1381"/>
    <x v="32"/>
    <s v="Returns Standard SAP"/>
    <x v="1340"/>
    <x v="6"/>
    <s v="7099"/>
    <s v="BTS 70RR99"/>
    <s v="5002441"/>
    <s v="70RR99 MP BetaShield"/>
    <n v="-16"/>
    <n v="-16"/>
    <n v="0"/>
    <x v="3"/>
    <s v="AP82"/>
    <s v="MP"/>
    <s v="379"/>
    <s v="4.0 UN"/>
    <s v="STANDARD"/>
    <s v="N"/>
    <s v="N"/>
    <s v="Y"/>
    <s v="N"/>
    <s v="N"/>
    <s v="N"/>
    <s v="N"/>
    <s v="N"/>
    <s v=""/>
    <m/>
    <s v="20"/>
    <s v="ZSRE"/>
    <s v="ZSRE"/>
    <d v="2016-09-14T00:00:00"/>
    <s v="ND"/>
    <s v="US"/>
    <s v="ZR"/>
    <d v="2016-07-01T00:00:00"/>
  </r>
  <r>
    <x v="1"/>
    <x v="3"/>
    <x v="1381"/>
    <x v="32"/>
    <s v="Returns Standard SAP"/>
    <x v="1340"/>
    <x v="6"/>
    <s v="73MN"/>
    <s v="BTS 73MN"/>
    <s v="5002475"/>
    <s v="73MN RP BetaShield"/>
    <n v="-36"/>
    <n v="-36"/>
    <n v="0"/>
    <x v="3"/>
    <s v="EE73"/>
    <s v="RP"/>
    <s v="379"/>
    <s v="4.0 UN"/>
    <s v="STANDARD"/>
    <s v="N"/>
    <s v="N"/>
    <s v="Y"/>
    <s v="N"/>
    <s v="N"/>
    <s v="N"/>
    <s v="N"/>
    <s v="N"/>
    <s v=""/>
    <m/>
    <s v="30"/>
    <s v="ZSRE"/>
    <s v="ZSRE"/>
    <d v="2016-09-14T00:00:00"/>
    <s v="ND"/>
    <s v="US"/>
    <s v="ZR"/>
    <d v="2016-07-01T00:00:00"/>
  </r>
  <r>
    <x v="1"/>
    <x v="3"/>
    <x v="1382"/>
    <x v="32"/>
    <s v="Replant Order"/>
    <x v="1340"/>
    <x v="6"/>
    <s v="7099"/>
    <s v="BTS 70RR99"/>
    <s v="5002446"/>
    <s v="70RR99 RP BetaShield PLUS"/>
    <n v="52"/>
    <n v="52"/>
    <n v="0"/>
    <x v="3"/>
    <s v="AP82"/>
    <s v="RP"/>
    <s v="384"/>
    <s v="4.0 UN"/>
    <s v="STANDARD"/>
    <s v="N"/>
    <s v="Y"/>
    <s v="Y"/>
    <s v="N"/>
    <s v="N"/>
    <s v="N"/>
    <s v="N"/>
    <s v="N"/>
    <s v=""/>
    <d v="2016-09-14T00:00:00"/>
    <s v="10"/>
    <s v="TAN"/>
    <s v="ZRPU"/>
    <d v="2016-09-14T00:00:00"/>
    <s v="ND"/>
    <s v="US"/>
    <s v="ZR"/>
    <d v="2016-07-01T00:00:00"/>
  </r>
  <r>
    <x v="1"/>
    <x v="1"/>
    <x v="1383"/>
    <x v="32"/>
    <s v="Returns Accr. FY-0"/>
    <x v="1337"/>
    <x v="2"/>
    <s v="9230"/>
    <s v="BTS 92RR30"/>
    <s v="5003231"/>
    <s v="92RR30 RP BetaShield PLUS"/>
    <n v="-4"/>
    <n v="0"/>
    <n v="-4"/>
    <x v="1"/>
    <s v="DH73"/>
    <s v="RP"/>
    <s v="381"/>
    <s v="4.0 UN"/>
    <s v="STANDARD"/>
    <s v="N"/>
    <s v="N"/>
    <s v="Y"/>
    <s v="T45"/>
    <s v="N"/>
    <s v="N"/>
    <s v="N"/>
    <s v="N"/>
    <s v=""/>
    <m/>
    <s v="10"/>
    <s v="REN"/>
    <s v="RE"/>
    <d v="2016-08-24T00:00:00"/>
    <s v="MN"/>
    <s v="US"/>
    <s v="ZR"/>
    <d v="2016-07-01T00:00:00"/>
  </r>
  <r>
    <x v="1"/>
    <x v="1"/>
    <x v="1384"/>
    <x v="32"/>
    <s v="Returns Standard SAP"/>
    <x v="1337"/>
    <x v="2"/>
    <s v="9230"/>
    <s v="BTS 92RR30"/>
    <s v="5003231"/>
    <s v="92RR30 RP BetaShield PLUS"/>
    <n v="-4"/>
    <n v="-4"/>
    <n v="0"/>
    <x v="1"/>
    <s v="DH73"/>
    <s v="RP"/>
    <s v="381"/>
    <s v="4.0 UN"/>
    <s v="STANDARD"/>
    <s v="N"/>
    <s v="N"/>
    <s v="Y"/>
    <s v="T45"/>
    <s v="N"/>
    <s v="N"/>
    <s v="N"/>
    <s v="N"/>
    <s v=""/>
    <m/>
    <s v="10"/>
    <s v="ZSRE"/>
    <s v="ZSRE"/>
    <d v="2016-08-24T00:00:00"/>
    <s v="MN"/>
    <s v="US"/>
    <s v="ZR"/>
    <d v="2016-07-01T00:00:00"/>
  </r>
  <r>
    <x v="1"/>
    <x v="8"/>
    <x v="1385"/>
    <x v="34"/>
    <s v="Standard order"/>
    <x v="1341"/>
    <x v="1336"/>
    <s v="5499"/>
    <s v="BTS 5499"/>
    <s v="5002605"/>
    <s v="5499 P100"/>
    <n v="468"/>
    <n v="468"/>
    <n v="0"/>
    <x v="8"/>
    <s v="DRMG"/>
    <s v="PRO 100"/>
    <s v="306"/>
    <s v="4.0 UN"/>
    <s v="STANDARD"/>
    <s v="N"/>
    <s v="N"/>
    <s v="N"/>
    <s v="N"/>
    <s v="N"/>
    <s v="N"/>
    <s v="N"/>
    <s v="N"/>
    <s v=""/>
    <d v="2016-07-15T00:00:00"/>
    <s v="10"/>
    <s v="TAN"/>
    <s v="OR"/>
    <d v="2016-07-15T00:00:00"/>
    <s v="CA"/>
    <s v="US"/>
    <s v="ZR"/>
    <d v="2016-07-05T00:00:00"/>
  </r>
  <r>
    <x v="1"/>
    <x v="8"/>
    <x v="1386"/>
    <x v="34"/>
    <s v="Standard order"/>
    <x v="1342"/>
    <x v="1337"/>
    <s v="5499"/>
    <s v="BTS 5499"/>
    <s v="5002606"/>
    <s v="5499 P50"/>
    <n v="224"/>
    <n v="224"/>
    <n v="0"/>
    <x v="8"/>
    <s v="DRMG"/>
    <s v="PRO 50"/>
    <s v="306"/>
    <s v="4.0 UN"/>
    <s v="STANDARD"/>
    <s v="N"/>
    <s v="N"/>
    <s v="N"/>
    <s v="N"/>
    <s v="N"/>
    <s v="N"/>
    <s v="N"/>
    <s v="N"/>
    <s v=""/>
    <d v="2016-07-15T00:00:00"/>
    <s v="50"/>
    <s v="TAN"/>
    <s v="OR"/>
    <d v="2016-07-15T00:00:00"/>
    <s v="CA"/>
    <s v="US"/>
    <s v="ZR"/>
    <d v="2016-07-05T00:00:00"/>
  </r>
  <r>
    <x v="1"/>
    <x v="8"/>
    <x v="1386"/>
    <x v="34"/>
    <s v="Standard order"/>
    <x v="1342"/>
    <x v="1337"/>
    <s v="541N"/>
    <s v="BTS 541N"/>
    <s v="5002602"/>
    <s v="541N P50"/>
    <n v="144"/>
    <n v="144"/>
    <n v="0"/>
    <x v="8"/>
    <s v="BK71"/>
    <s v="PRO 50"/>
    <s v="306"/>
    <s v="4.0 UN"/>
    <s v="STANDARD"/>
    <s v="N"/>
    <s v="N"/>
    <s v="N"/>
    <s v="N"/>
    <s v="N"/>
    <s v="N"/>
    <s v="N"/>
    <s v="N"/>
    <s v=""/>
    <d v="2016-07-15T00:00:00"/>
    <s v="60"/>
    <s v="TAN"/>
    <s v="OR"/>
    <d v="2016-07-15T00:00:00"/>
    <s v="CA"/>
    <s v="US"/>
    <s v="ZR"/>
    <d v="2016-07-05T00:00:00"/>
  </r>
  <r>
    <x v="1"/>
    <x v="8"/>
    <x v="1387"/>
    <x v="34"/>
    <s v="Standard order"/>
    <x v="1343"/>
    <x v="1338"/>
    <s v="5245"/>
    <s v="BTS 52RR45"/>
    <s v="5002300"/>
    <s v="52RR45 P100"/>
    <n v="292"/>
    <n v="292"/>
    <n v="0"/>
    <x v="8"/>
    <s v="4D15"/>
    <s v="PRO 100"/>
    <s v="306"/>
    <s v="4.0 UN"/>
    <s v="STANDARD"/>
    <s v="N"/>
    <s v="N"/>
    <s v="N"/>
    <s v="N"/>
    <s v="N"/>
    <s v="N"/>
    <s v="N"/>
    <s v="N"/>
    <s v=""/>
    <d v="2016-07-15T00:00:00"/>
    <s v="30"/>
    <s v="TAN"/>
    <s v="OR"/>
    <d v="2016-07-15T00:00:00"/>
    <s v="CA"/>
    <s v="US"/>
    <s v="ZR"/>
    <d v="2016-07-06T00:00:00"/>
  </r>
  <r>
    <x v="1"/>
    <x v="8"/>
    <x v="1387"/>
    <x v="34"/>
    <s v="Standard order"/>
    <x v="1343"/>
    <x v="1338"/>
    <s v="541N"/>
    <s v="BTS 541N"/>
    <s v="5002601"/>
    <s v="541N P100"/>
    <n v="8"/>
    <n v="8"/>
    <n v="0"/>
    <x v="8"/>
    <s v="BK71"/>
    <s v="PRO 100"/>
    <s v="306"/>
    <s v="4.0 UN"/>
    <s v="STANDARD"/>
    <s v="N"/>
    <s v="N"/>
    <s v="N"/>
    <s v="N"/>
    <s v="N"/>
    <s v="N"/>
    <s v="N"/>
    <s v="N"/>
    <s v=""/>
    <d v="2016-07-15T00:00:00"/>
    <s v="40"/>
    <s v="TAN"/>
    <s v="OR"/>
    <d v="2016-07-15T00:00:00"/>
    <s v="CA"/>
    <s v="US"/>
    <s v="ZR"/>
    <d v="2016-07-06T00:00:00"/>
  </r>
  <r>
    <x v="1"/>
    <x v="7"/>
    <x v="1388"/>
    <x v="28"/>
    <s v="Replant Order"/>
    <x v="1344"/>
    <x v="1339"/>
    <s v="8052"/>
    <s v="BTS 80RR52"/>
    <s v="5002721"/>
    <s v="80RR52 MP BetaShield"/>
    <n v="16"/>
    <n v="16"/>
    <n v="0"/>
    <x v="7"/>
    <s v="AP82"/>
    <s v="MP"/>
    <s v="382"/>
    <s v="4.0 UN"/>
    <s v="STANDARD"/>
    <s v="N"/>
    <s v="Y"/>
    <s v="Y"/>
    <s v="T20"/>
    <s v="N"/>
    <s v="N"/>
    <s v="N"/>
    <s v="N"/>
    <s v=""/>
    <d v="2016-07-06T00:00:00"/>
    <s v="10"/>
    <s v="TAN"/>
    <s v="ZRPU"/>
    <d v="2016-08-26T00:00:00"/>
    <s v="ND"/>
    <s v="US"/>
    <s v="ZR"/>
    <d v="2016-07-06T00:00:00"/>
  </r>
  <r>
    <x v="1"/>
    <x v="7"/>
    <x v="1389"/>
    <x v="28"/>
    <s v="Returns Standard SAP"/>
    <x v="1345"/>
    <x v="1340"/>
    <s v="8233"/>
    <s v="BTS 82RR33"/>
    <s v="5002771"/>
    <s v="82RR33 RP BetaShield"/>
    <n v="-24"/>
    <n v="-24"/>
    <n v="0"/>
    <x v="7"/>
    <s v="DRMC"/>
    <s v="RP"/>
    <s v="398"/>
    <s v="4.0 UN"/>
    <s v="STANDARD"/>
    <s v="N"/>
    <s v="Y"/>
    <s v="Y"/>
    <s v="T35"/>
    <s v="N"/>
    <s v="N"/>
    <s v="N"/>
    <s v="N"/>
    <s v=""/>
    <m/>
    <s v="10"/>
    <s v="ZSRE"/>
    <s v="ZSRE"/>
    <d v="2016-08-25T00:00:00"/>
    <s v="ND"/>
    <s v="US"/>
    <s v="ZR"/>
    <d v="2016-07-06T00:00:00"/>
  </r>
  <r>
    <x v="1"/>
    <x v="7"/>
    <x v="1390"/>
    <x v="28"/>
    <s v="Replant Order"/>
    <x v="1346"/>
    <x v="1341"/>
    <s v="8052"/>
    <s v="BTS 80RR52"/>
    <s v="5002727"/>
    <s v="80RR52 RP T35 Kabina"/>
    <n v="8"/>
    <n v="8"/>
    <n v="0"/>
    <x v="7"/>
    <s v="AP82"/>
    <s v="RP"/>
    <s v="397"/>
    <s v="4.0 UN"/>
    <s v="STANDARD"/>
    <s v="N"/>
    <s v="N"/>
    <s v="Y"/>
    <s v="T35"/>
    <s v="N"/>
    <s v="N"/>
    <s v="N"/>
    <s v="N"/>
    <s v=""/>
    <d v="2016-07-06T00:00:00"/>
    <s v="10"/>
    <s v="TAN"/>
    <s v="ZRPU"/>
    <d v="2016-08-26T00:00:00"/>
    <s v="ND"/>
    <s v="US"/>
    <s v="ZR"/>
    <d v="2016-07-06T00:00:00"/>
  </r>
  <r>
    <x v="1"/>
    <x v="0"/>
    <x v="1391"/>
    <x v="29"/>
    <s v="Replant Order"/>
    <x v="1347"/>
    <x v="1342"/>
    <s v="1399"/>
    <s v="BTS 1399"/>
    <s v="5002348"/>
    <s v="1399 RP BetaShield"/>
    <n v="60"/>
    <n v="0"/>
    <n v="60"/>
    <x v="0"/>
    <s v="EG74"/>
    <s v="RP"/>
    <s v="380"/>
    <s v="4.0 UN"/>
    <s v="STANDARD"/>
    <s v="N"/>
    <s v="N"/>
    <s v="Y"/>
    <s v="T20"/>
    <s v="N"/>
    <s v="N"/>
    <s v="N"/>
    <s v="N"/>
    <s v=""/>
    <d v="2016-07-06T00:00:00"/>
    <s v="10"/>
    <s v="TAN"/>
    <s v="ZRPU"/>
    <d v="2016-08-26T00:00:00"/>
    <s v="MI"/>
    <s v="US"/>
    <s v="ZR"/>
    <d v="2016-07-06T00:00:00"/>
  </r>
  <r>
    <x v="1"/>
    <x v="7"/>
    <x v="1392"/>
    <x v="28"/>
    <s v="Replant Order"/>
    <x v="1345"/>
    <x v="1340"/>
    <s v="8233"/>
    <s v="BTS 82RR33"/>
    <s v="5002771"/>
    <s v="82RR33 RP BetaShield"/>
    <n v="24"/>
    <n v="24"/>
    <n v="0"/>
    <x v="7"/>
    <s v="DRMC"/>
    <s v="RP"/>
    <s v="398"/>
    <s v="4.0 UN"/>
    <s v="STANDARD"/>
    <s v="N"/>
    <s v="Y"/>
    <s v="Y"/>
    <s v="T35"/>
    <s v="N"/>
    <s v="N"/>
    <s v="N"/>
    <s v="N"/>
    <s v=""/>
    <d v="2016-07-06T00:00:00"/>
    <s v="10"/>
    <s v="TAN"/>
    <s v="ZRPU"/>
    <d v="2016-08-25T00:00:00"/>
    <s v="ND"/>
    <s v="US"/>
    <s v="ZR"/>
    <d v="2016-07-06T00:00:00"/>
  </r>
  <r>
    <x v="1"/>
    <x v="7"/>
    <x v="1393"/>
    <x v="28"/>
    <s v="Returns Standard SAP"/>
    <x v="1344"/>
    <x v="1339"/>
    <s v="8052"/>
    <s v="BTS 80RR52"/>
    <s v="5002721"/>
    <s v="80RR52 MP BetaShield"/>
    <n v="-16"/>
    <n v="-16"/>
    <n v="0"/>
    <x v="7"/>
    <s v="AP82"/>
    <s v="MP"/>
    <s v="382"/>
    <s v="4.0 UN"/>
    <s v="STANDARD"/>
    <s v="N"/>
    <s v="Y"/>
    <s v="Y"/>
    <s v="T20"/>
    <s v="N"/>
    <s v="N"/>
    <s v="N"/>
    <s v="N"/>
    <s v=""/>
    <m/>
    <s v="10"/>
    <s v="ZSRE"/>
    <s v="ZSRE"/>
    <d v="2016-08-26T00:00:00"/>
    <s v="ND"/>
    <s v="US"/>
    <s v="ZR"/>
    <d v="2016-07-06T00:00:00"/>
  </r>
  <r>
    <x v="1"/>
    <x v="7"/>
    <x v="1394"/>
    <x v="28"/>
    <s v="Returns Standard SAP"/>
    <x v="1346"/>
    <x v="1341"/>
    <s v="8052"/>
    <s v="BTS 80RR52"/>
    <s v="5002727"/>
    <s v="80RR52 RP T35 Kabina"/>
    <n v="-8"/>
    <n v="-8"/>
    <n v="0"/>
    <x v="7"/>
    <s v="AP82"/>
    <s v="RP"/>
    <s v="397"/>
    <s v="4.0 UN"/>
    <s v="STANDARD"/>
    <s v="N"/>
    <s v="N"/>
    <s v="Y"/>
    <s v="T35"/>
    <s v="N"/>
    <s v="N"/>
    <s v="N"/>
    <s v="N"/>
    <s v=""/>
    <d v="2016-07-06T00:00:00"/>
    <s v="10"/>
    <s v="ZSRE"/>
    <s v="ZSRE"/>
    <d v="2016-08-26T00:00:00"/>
    <s v="ND"/>
    <s v="US"/>
    <s v="ZR"/>
    <d v="2016-07-06T00:00:00"/>
  </r>
  <r>
    <x v="1"/>
    <x v="8"/>
    <x v="1395"/>
    <x v="34"/>
    <s v="Standard order"/>
    <x v="1348"/>
    <x v="1343"/>
    <s v="5499"/>
    <s v="BTS 5499"/>
    <s v="5002606"/>
    <s v="5499 P50"/>
    <n v="256"/>
    <n v="256"/>
    <n v="0"/>
    <x v="8"/>
    <s v="DRMG"/>
    <s v="PRO 50"/>
    <s v="306"/>
    <s v="4.0 UN"/>
    <s v="STANDARD"/>
    <s v="N"/>
    <s v="N"/>
    <s v="N"/>
    <s v="N"/>
    <s v="N"/>
    <s v="N"/>
    <s v="N"/>
    <s v="N"/>
    <s v=""/>
    <d v="2016-07-15T00:00:00"/>
    <s v="10"/>
    <s v="TAN"/>
    <s v="OR"/>
    <d v="2016-07-15T00:00:00"/>
    <s v="CA"/>
    <s v="US"/>
    <s v="ZR"/>
    <d v="2016-07-08T00:00:00"/>
  </r>
  <r>
    <x v="1"/>
    <x v="8"/>
    <x v="1395"/>
    <x v="34"/>
    <s v="Standard order"/>
    <x v="1348"/>
    <x v="1343"/>
    <s v="541N"/>
    <s v="BTS 541N"/>
    <s v="5002602"/>
    <s v="541N P50"/>
    <n v="88"/>
    <n v="88"/>
    <n v="0"/>
    <x v="8"/>
    <s v="BK71"/>
    <s v="PRO 50"/>
    <s v="306"/>
    <s v="4.0 UN"/>
    <s v="STANDARD"/>
    <s v="N"/>
    <s v="N"/>
    <s v="N"/>
    <s v="N"/>
    <s v="N"/>
    <s v="N"/>
    <s v="N"/>
    <s v="N"/>
    <s v=""/>
    <d v="2016-07-15T00:00:00"/>
    <s v="20"/>
    <s v="TAN"/>
    <s v="OR"/>
    <d v="2016-07-15T00:00:00"/>
    <s v="CA"/>
    <s v="US"/>
    <s v="ZR"/>
    <d v="2016-07-08T00:00:00"/>
  </r>
  <r>
    <x v="1"/>
    <x v="8"/>
    <x v="1396"/>
    <x v="34"/>
    <s v="Standard order"/>
    <x v="1349"/>
    <x v="1344"/>
    <s v="5499"/>
    <s v="BTS 5499"/>
    <s v="5002606"/>
    <s v="5499 P50"/>
    <n v="152"/>
    <n v="152"/>
    <n v="0"/>
    <x v="8"/>
    <s v="DRMG"/>
    <s v="PRO 50"/>
    <s v="306"/>
    <s v="4.0 UN"/>
    <s v="STANDARD"/>
    <s v="N"/>
    <s v="N"/>
    <s v="N"/>
    <s v="N"/>
    <s v="N"/>
    <s v="N"/>
    <s v="N"/>
    <s v="N"/>
    <s v=""/>
    <d v="2016-09-19T00:00:00"/>
    <s v="10"/>
    <s v="TAN"/>
    <s v="OR"/>
    <d v="2016-08-12T00:00:00"/>
    <s v="CA"/>
    <s v="US"/>
    <s v="ZR"/>
    <d v="2016-07-13T00:00:00"/>
  </r>
  <r>
    <x v="1"/>
    <x v="8"/>
    <x v="1396"/>
    <x v="34"/>
    <s v="Standard order"/>
    <x v="1349"/>
    <x v="1344"/>
    <s v="541N"/>
    <s v="BTS 541N"/>
    <s v="5002602"/>
    <s v="541N P50"/>
    <n v="20"/>
    <n v="20"/>
    <n v="0"/>
    <x v="8"/>
    <s v="BK71"/>
    <s v="PRO 50"/>
    <s v="306"/>
    <s v="4.0 UN"/>
    <s v="STANDARD"/>
    <s v="N"/>
    <s v="N"/>
    <s v="N"/>
    <s v="N"/>
    <s v="N"/>
    <s v="N"/>
    <s v="N"/>
    <s v="N"/>
    <s v=""/>
    <d v="2016-09-19T00:00:00"/>
    <s v="20"/>
    <s v="TAN"/>
    <s v="OR"/>
    <d v="2016-08-12T00:00:00"/>
    <s v="CA"/>
    <s v="US"/>
    <s v="ZR"/>
    <d v="2016-07-13T00:00:00"/>
  </r>
  <r>
    <x v="1"/>
    <x v="8"/>
    <x v="1397"/>
    <x v="34"/>
    <s v="Standard order"/>
    <x v="1350"/>
    <x v="1345"/>
    <s v="5499"/>
    <s v="BTS 5499"/>
    <s v="5002606"/>
    <s v="5499 P50"/>
    <n v="160"/>
    <n v="160"/>
    <n v="0"/>
    <x v="8"/>
    <s v="DRMG"/>
    <s v="PRO 50"/>
    <s v="306"/>
    <s v="4.0 UN"/>
    <s v="STANDARD"/>
    <s v="N"/>
    <s v="N"/>
    <s v="N"/>
    <s v="N"/>
    <s v="N"/>
    <s v="N"/>
    <s v="N"/>
    <s v="N"/>
    <s v="B052"/>
    <d v="2016-07-16T00:00:00"/>
    <s v="10"/>
    <s v="TAN"/>
    <s v="OR"/>
    <d v="2016-07-14T00:00:00"/>
    <s v="CA"/>
    <s v="US"/>
    <s v="ZR"/>
    <d v="2016-07-14T00:00:00"/>
  </r>
  <r>
    <x v="1"/>
    <x v="8"/>
    <x v="1397"/>
    <x v="34"/>
    <s v="Standard order"/>
    <x v="1350"/>
    <x v="1345"/>
    <s v="5245"/>
    <s v="BTS 52RR45"/>
    <s v="5002600"/>
    <s v="52RR45 P50"/>
    <n v="100"/>
    <n v="100"/>
    <n v="0"/>
    <x v="8"/>
    <s v="4D15"/>
    <s v="PRO 50"/>
    <s v="306"/>
    <s v="4.0 UN"/>
    <s v="STANDARD"/>
    <s v="N"/>
    <s v="N"/>
    <s v="N"/>
    <s v="N"/>
    <s v="N"/>
    <s v="N"/>
    <s v="N"/>
    <s v="N"/>
    <s v="B052"/>
    <d v="2016-07-16T00:00:00"/>
    <s v="20"/>
    <s v="TAN"/>
    <s v="OR"/>
    <d v="2016-07-14T00:00:00"/>
    <s v="CA"/>
    <s v="US"/>
    <s v="ZR"/>
    <d v="2016-07-14T00:00:00"/>
  </r>
  <r>
    <x v="1"/>
    <x v="8"/>
    <x v="1398"/>
    <x v="34"/>
    <s v="Standard order"/>
    <x v="1351"/>
    <x v="1346"/>
    <s v="5499"/>
    <s v="BTS 5499"/>
    <s v="5002606"/>
    <s v="5499 P50"/>
    <n v="152"/>
    <n v="152"/>
    <n v="0"/>
    <x v="8"/>
    <s v="DRMG"/>
    <s v="PRO 50"/>
    <s v="306"/>
    <s v="4.0 UN"/>
    <s v="STANDARD"/>
    <s v="N"/>
    <s v="N"/>
    <s v="N"/>
    <s v="N"/>
    <s v="N"/>
    <s v="N"/>
    <s v="N"/>
    <s v="N"/>
    <s v=""/>
    <d v="2016-07-15T00:00:00"/>
    <s v="70"/>
    <s v="TAN"/>
    <s v="OR"/>
    <d v="2016-07-15T00:00:00"/>
    <s v="CA"/>
    <s v="US"/>
    <s v="ZR"/>
    <d v="2016-07-15T00:00:00"/>
  </r>
  <r>
    <x v="1"/>
    <x v="8"/>
    <x v="1398"/>
    <x v="34"/>
    <s v="Standard order"/>
    <x v="1351"/>
    <x v="1346"/>
    <s v="5499"/>
    <s v="BTS 5499"/>
    <s v="5002605"/>
    <s v="5499 P100"/>
    <n v="1228"/>
    <n v="1228"/>
    <n v="0"/>
    <x v="8"/>
    <s v="DRMG"/>
    <s v="PRO 100"/>
    <s v="306"/>
    <s v="4.0 UN"/>
    <s v="STANDARD"/>
    <s v="N"/>
    <s v="N"/>
    <s v="N"/>
    <s v="N"/>
    <s v="N"/>
    <s v="N"/>
    <s v="N"/>
    <s v="N"/>
    <s v=""/>
    <d v="2016-07-15T00:00:00"/>
    <s v="60"/>
    <s v="TAN"/>
    <s v="OR"/>
    <d v="2016-07-15T00:00:00"/>
    <s v="CA"/>
    <s v="US"/>
    <s v="ZR"/>
    <d v="2016-07-15T00:00:00"/>
  </r>
  <r>
    <x v="1"/>
    <x v="8"/>
    <x v="1398"/>
    <x v="34"/>
    <s v="Standard order"/>
    <x v="1351"/>
    <x v="1346"/>
    <s v="5245"/>
    <s v="BTS 52RR45"/>
    <s v="5002300"/>
    <s v="52RR45 P100"/>
    <n v="152"/>
    <n v="152"/>
    <n v="0"/>
    <x v="8"/>
    <s v="4D15"/>
    <s v="PRO 100"/>
    <s v="306"/>
    <s v="4.0 UN"/>
    <s v="STANDARD"/>
    <s v="N"/>
    <s v="N"/>
    <s v="N"/>
    <s v="N"/>
    <s v="N"/>
    <s v="N"/>
    <s v="N"/>
    <s v="N"/>
    <s v=""/>
    <d v="2016-07-15T00:00:00"/>
    <s v="50"/>
    <s v="TAN"/>
    <s v="OR"/>
    <d v="2016-07-15T00:00:00"/>
    <s v="CA"/>
    <s v="US"/>
    <s v="ZR"/>
    <d v="2016-07-15T00:00:00"/>
  </r>
  <r>
    <x v="1"/>
    <x v="9"/>
    <x v="1399"/>
    <x v="35"/>
    <s v="Standard order"/>
    <x v="1352"/>
    <x v="1347"/>
    <s v="A346"/>
    <s v="BTS AN346"/>
    <s v="5002172"/>
    <s v="AN346 P200 BetaShield"/>
    <n v="28"/>
    <n v="28"/>
    <n v="0"/>
    <x v="9"/>
    <s v="BK71"/>
    <s v="PRO 200"/>
    <s v="308"/>
    <s v="4.0 UN"/>
    <s v="STANDARD"/>
    <s v="N"/>
    <s v="Y"/>
    <s v="N"/>
    <s v="T20"/>
    <s v="N"/>
    <s v="N"/>
    <s v="N"/>
    <s v="N"/>
    <s v=""/>
    <d v="2016-09-12T00:00:00"/>
    <s v="20"/>
    <s v="TAN"/>
    <s v="OR"/>
    <d v="2016-09-12T00:00:00"/>
    <s v="AZ"/>
    <s v="US"/>
    <s v="ZR"/>
    <d v="2016-07-18T00:00:00"/>
  </r>
  <r>
    <x v="1"/>
    <x v="9"/>
    <x v="1399"/>
    <x v="35"/>
    <s v="Standard order"/>
    <x v="1352"/>
    <x v="1347"/>
    <s v="A241"/>
    <s v="BTS AR241"/>
    <s v="5003280"/>
    <s v="AR241 RP BetaShield"/>
    <n v="32"/>
    <n v="32"/>
    <n v="0"/>
    <x v="9"/>
    <s v="4D15"/>
    <s v="RP"/>
    <s v="308"/>
    <s v="4.0 UN"/>
    <s v="STANDARD"/>
    <s v="N"/>
    <s v="Y"/>
    <s v="N"/>
    <s v="T20"/>
    <s v="N"/>
    <s v="N"/>
    <s v="N"/>
    <s v="N"/>
    <s v=""/>
    <d v="2016-09-12T00:00:00"/>
    <s v="30"/>
    <s v="TAN"/>
    <s v="OR"/>
    <d v="2016-09-12T00:00:00"/>
    <s v="AZ"/>
    <s v="US"/>
    <s v="ZR"/>
    <d v="2016-07-18T00:00:00"/>
  </r>
  <r>
    <x v="1"/>
    <x v="8"/>
    <x v="1400"/>
    <x v="34"/>
    <s v="Standard order"/>
    <x v="1353"/>
    <x v="1348"/>
    <s v="5499"/>
    <s v="BTS 5499"/>
    <s v="5002605"/>
    <s v="5499 BTS P100"/>
    <n v="384"/>
    <n v="192"/>
    <n v="192"/>
    <x v="8"/>
    <s v="DRMG"/>
    <s v="PRO 100"/>
    <s v="306"/>
    <s v="4.0 UN"/>
    <s v="STANDARD"/>
    <s v="N"/>
    <s v="N"/>
    <s v="N"/>
    <s v="N"/>
    <s v="N"/>
    <s v="N"/>
    <s v="N"/>
    <s v="N"/>
    <s v="B052"/>
    <d v="2016-07-22T00:00:00"/>
    <s v="10"/>
    <s v="TAN"/>
    <s v="OR"/>
    <d v="2016-07-20T00:00:00"/>
    <s v="CA"/>
    <s v="US"/>
    <s v="ZR"/>
    <d v="2016-07-20T00:00:00"/>
  </r>
  <r>
    <x v="1"/>
    <x v="8"/>
    <x v="1401"/>
    <x v="34"/>
    <s v="Standard order"/>
    <x v="1354"/>
    <x v="1349"/>
    <s v="5245"/>
    <s v="BTS 52RR45"/>
    <s v="5002600"/>
    <s v="52RR45 P50"/>
    <n v="100"/>
    <n v="100"/>
    <n v="0"/>
    <x v="8"/>
    <s v="4D15"/>
    <s v="PRO 50"/>
    <s v="306"/>
    <s v="4.0 UN"/>
    <s v="STANDARD"/>
    <s v="N"/>
    <s v="N"/>
    <s v="N"/>
    <s v="N"/>
    <s v="N"/>
    <s v="N"/>
    <s v="N"/>
    <s v="N"/>
    <s v=""/>
    <d v="2016-07-22T00:00:00"/>
    <s v="40"/>
    <s v="TAN"/>
    <s v="OR"/>
    <d v="2016-07-20T00:00:00"/>
    <s v="CA"/>
    <s v="US"/>
    <s v="ZR"/>
    <d v="2016-07-20T00:00:00"/>
  </r>
  <r>
    <x v="1"/>
    <x v="8"/>
    <x v="1401"/>
    <x v="34"/>
    <s v="Standard order"/>
    <x v="1354"/>
    <x v="1349"/>
    <s v="5245"/>
    <s v="BTS 52RR45"/>
    <s v="5002600"/>
    <s v="5245 BTS P50"/>
    <n v="148"/>
    <n v="148"/>
    <n v="0"/>
    <x v="8"/>
    <s v="4D15"/>
    <s v="PRO 50"/>
    <s v="306"/>
    <s v="4.0 UN"/>
    <s v="STANDARD"/>
    <s v="N"/>
    <s v="N"/>
    <s v="N"/>
    <s v="N"/>
    <s v="N"/>
    <s v="N"/>
    <s v="N"/>
    <s v="N"/>
    <s v="B052"/>
    <d v="2016-07-22T00:00:00"/>
    <s v="30"/>
    <s v="TAN"/>
    <s v="OR"/>
    <d v="2016-07-20T00:00:00"/>
    <s v="CA"/>
    <s v="US"/>
    <s v="ZR"/>
    <d v="2016-07-20T00:00:00"/>
  </r>
  <r>
    <x v="1"/>
    <x v="8"/>
    <x v="1401"/>
    <x v="34"/>
    <s v="Standard order"/>
    <x v="1354"/>
    <x v="1349"/>
    <s v="5499"/>
    <s v="BTS 5499"/>
    <s v="5002606"/>
    <s v="5499 BTS P50"/>
    <n v="300"/>
    <n v="300"/>
    <n v="0"/>
    <x v="8"/>
    <s v="DRMG"/>
    <s v="PRO 50"/>
    <s v="306"/>
    <s v="4.0 UN"/>
    <s v="STANDARD"/>
    <s v="N"/>
    <s v="N"/>
    <s v="N"/>
    <s v="N"/>
    <s v="N"/>
    <s v="N"/>
    <s v="N"/>
    <s v="N"/>
    <s v="B052"/>
    <d v="2016-07-22T00:00:00"/>
    <s v="10"/>
    <s v="TAN"/>
    <s v="OR"/>
    <d v="2016-07-20T00:00:00"/>
    <s v="CA"/>
    <s v="US"/>
    <s v="ZR"/>
    <d v="2016-07-20T00:00:00"/>
  </r>
  <r>
    <x v="1"/>
    <x v="8"/>
    <x v="1402"/>
    <x v="34"/>
    <s v="Standard order"/>
    <x v="1355"/>
    <x v="1350"/>
    <s v="5499"/>
    <s v="BTS 5499"/>
    <s v="5002606"/>
    <s v="5499 P50"/>
    <n v="140"/>
    <n v="140"/>
    <n v="0"/>
    <x v="8"/>
    <s v="DRMG"/>
    <s v="PRO 50"/>
    <s v="306"/>
    <s v="4.0 UN"/>
    <s v="STANDARD"/>
    <s v="N"/>
    <s v="N"/>
    <s v="N"/>
    <s v="N"/>
    <s v="N"/>
    <s v="N"/>
    <s v="N"/>
    <s v="N"/>
    <s v=""/>
    <d v="2016-07-22T00:00:00"/>
    <s v="10"/>
    <s v="TAN"/>
    <s v="OR"/>
    <d v="2016-07-22T00:00:00"/>
    <s v="CA"/>
    <s v="US"/>
    <s v="ZR"/>
    <d v="2016-07-20T00:00:00"/>
  </r>
  <r>
    <x v="1"/>
    <x v="8"/>
    <x v="1402"/>
    <x v="34"/>
    <s v="Standard order"/>
    <x v="1355"/>
    <x v="1350"/>
    <s v="5245"/>
    <s v="BTS 52RR45"/>
    <s v="5002600"/>
    <s v="52RR45 P50"/>
    <n v="80"/>
    <n v="80"/>
    <n v="0"/>
    <x v="8"/>
    <s v="4D15"/>
    <s v="PRO 50"/>
    <s v="306"/>
    <s v="4.0 UN"/>
    <s v="STANDARD"/>
    <s v="N"/>
    <s v="N"/>
    <s v="N"/>
    <s v="N"/>
    <s v="N"/>
    <s v="N"/>
    <s v="N"/>
    <s v="N"/>
    <s v=""/>
    <d v="2016-07-22T00:00:00"/>
    <s v="30"/>
    <s v="TAN"/>
    <s v="OR"/>
    <d v="2016-07-22T00:00:00"/>
    <s v="CA"/>
    <s v="US"/>
    <s v="ZR"/>
    <d v="2016-07-20T00:00:00"/>
  </r>
  <r>
    <x v="1"/>
    <x v="8"/>
    <x v="1402"/>
    <x v="34"/>
    <s v="Standard order"/>
    <x v="1355"/>
    <x v="1350"/>
    <s v="541N"/>
    <s v="BTS 541N"/>
    <s v="5002602"/>
    <s v="541N P50"/>
    <n v="40"/>
    <n v="40"/>
    <n v="0"/>
    <x v="8"/>
    <s v="BK71"/>
    <s v="PRO 50"/>
    <s v="306"/>
    <s v="4.0 UN"/>
    <s v="STANDARD"/>
    <s v="N"/>
    <s v="N"/>
    <s v="N"/>
    <s v="N"/>
    <s v="N"/>
    <s v="N"/>
    <s v="N"/>
    <s v="N"/>
    <s v=""/>
    <d v="2016-07-22T00:00:00"/>
    <s v="40"/>
    <s v="TAN"/>
    <s v="OR"/>
    <d v="2016-07-22T00:00:00"/>
    <s v="CA"/>
    <s v="US"/>
    <s v="ZR"/>
    <d v="2016-07-20T00:00:00"/>
  </r>
  <r>
    <x v="1"/>
    <x v="8"/>
    <x v="1403"/>
    <x v="34"/>
    <s v="Standard order"/>
    <x v="1356"/>
    <x v="1351"/>
    <s v="5245"/>
    <s v="BTS 52RR45"/>
    <s v="5002600"/>
    <s v="52RR45 P50"/>
    <n v="28"/>
    <n v="28"/>
    <n v="0"/>
    <x v="8"/>
    <s v="4D15"/>
    <s v="PRO 50"/>
    <s v="306"/>
    <s v="4.0 UN"/>
    <s v="STANDARD"/>
    <s v="N"/>
    <s v="N"/>
    <s v="N"/>
    <s v="N"/>
    <s v="N"/>
    <s v="N"/>
    <s v="N"/>
    <s v="N"/>
    <s v=""/>
    <d v="2016-07-22T00:00:00"/>
    <s v="30"/>
    <s v="TAN"/>
    <s v="OR"/>
    <d v="2016-07-22T00:00:00"/>
    <s v="CA"/>
    <s v="US"/>
    <s v="ZR"/>
    <d v="2016-07-20T00:00:00"/>
  </r>
  <r>
    <x v="1"/>
    <x v="8"/>
    <x v="1403"/>
    <x v="34"/>
    <s v="Standard order"/>
    <x v="1356"/>
    <x v="1351"/>
    <s v="5499"/>
    <s v="BTS 5499"/>
    <s v="5002605"/>
    <s v="5499 P100"/>
    <n v="64"/>
    <n v="64"/>
    <n v="0"/>
    <x v="8"/>
    <s v="DRMG"/>
    <s v="PRO 100"/>
    <s v="306"/>
    <s v="4.0 UN"/>
    <s v="STANDARD"/>
    <s v="N"/>
    <s v="N"/>
    <s v="N"/>
    <s v="N"/>
    <s v="N"/>
    <s v="N"/>
    <s v="N"/>
    <s v="N"/>
    <s v=""/>
    <d v="2016-07-22T00:00:00"/>
    <s v="20"/>
    <s v="TAN"/>
    <s v="OR"/>
    <d v="2016-07-22T00:00:00"/>
    <s v="CA"/>
    <s v="US"/>
    <s v="ZR"/>
    <d v="2016-07-20T00:00:00"/>
  </r>
  <r>
    <x v="1"/>
    <x v="8"/>
    <x v="1404"/>
    <x v="34"/>
    <s v="Standard order"/>
    <x v="1357"/>
    <x v="1352"/>
    <s v="5499"/>
    <s v="BTS 5499"/>
    <s v="5002605"/>
    <s v="5499 P100"/>
    <n v="436"/>
    <n v="436"/>
    <n v="0"/>
    <x v="8"/>
    <s v="DRMG"/>
    <s v="PRO 100"/>
    <s v="306"/>
    <s v="4.0 UN"/>
    <s v="STANDARD"/>
    <s v="N"/>
    <s v="N"/>
    <s v="N"/>
    <s v="N"/>
    <s v="N"/>
    <s v="N"/>
    <s v="N"/>
    <s v="N"/>
    <s v=""/>
    <d v="2016-07-22T00:00:00"/>
    <s v="40"/>
    <s v="TAN"/>
    <s v="OR"/>
    <d v="2016-07-22T00:00:00"/>
    <s v="CA"/>
    <s v="US"/>
    <s v="ZR"/>
    <d v="2016-07-20T00:00:00"/>
  </r>
  <r>
    <x v="1"/>
    <x v="8"/>
    <x v="1404"/>
    <x v="34"/>
    <s v="Standard order"/>
    <x v="1357"/>
    <x v="1352"/>
    <s v="5245"/>
    <s v="BTS 52RR45"/>
    <s v="5002300"/>
    <s v="5245 BTS P100"/>
    <n v="52"/>
    <n v="52"/>
    <n v="0"/>
    <x v="8"/>
    <s v="4D15"/>
    <s v="PRO 100"/>
    <s v="306"/>
    <s v="4.0 UN"/>
    <s v="STANDARD"/>
    <s v="N"/>
    <s v="N"/>
    <s v="N"/>
    <s v="N"/>
    <s v="N"/>
    <s v="N"/>
    <s v="N"/>
    <s v="N"/>
    <s v="B052"/>
    <d v="2016-07-22T00:00:00"/>
    <s v="30"/>
    <s v="TAN"/>
    <s v="OR"/>
    <d v="2016-07-22T00:00:00"/>
    <s v="CA"/>
    <s v="US"/>
    <s v="ZR"/>
    <d v="2016-07-20T00:00:00"/>
  </r>
  <r>
    <x v="1"/>
    <x v="8"/>
    <x v="1405"/>
    <x v="34"/>
    <s v="Standard order"/>
    <x v="1358"/>
    <x v="1353"/>
    <s v="5499"/>
    <s v="BTS 5499"/>
    <s v="5002606"/>
    <s v="5499 P50"/>
    <n v="128"/>
    <n v="128"/>
    <n v="0"/>
    <x v="8"/>
    <s v="DRMG"/>
    <s v="PRO 50"/>
    <s v="306"/>
    <s v="4.0 UN"/>
    <s v="STANDARD"/>
    <s v="N"/>
    <s v="N"/>
    <s v="N"/>
    <s v="N"/>
    <s v="N"/>
    <s v="N"/>
    <s v="N"/>
    <s v="N"/>
    <s v=""/>
    <d v="2016-07-22T00:00:00"/>
    <s v="40"/>
    <s v="TAN"/>
    <s v="OR"/>
    <d v="2016-07-22T00:00:00"/>
    <s v="CA"/>
    <s v="US"/>
    <s v="ZR"/>
    <d v="2016-07-20T00:00:00"/>
  </r>
  <r>
    <x v="1"/>
    <x v="8"/>
    <x v="1405"/>
    <x v="34"/>
    <s v="Standard order"/>
    <x v="1358"/>
    <x v="1353"/>
    <s v="5245"/>
    <s v="BTS 52RR45"/>
    <s v="5002600"/>
    <s v="52RR45 P50"/>
    <n v="24"/>
    <n v="24"/>
    <n v="0"/>
    <x v="8"/>
    <s v="4D15"/>
    <s v="PRO 50"/>
    <s v="306"/>
    <s v="4.0 UN"/>
    <s v="STANDARD"/>
    <s v="N"/>
    <s v="N"/>
    <s v="N"/>
    <s v="N"/>
    <s v="N"/>
    <s v="N"/>
    <s v="N"/>
    <s v="N"/>
    <s v=""/>
    <d v="2016-07-22T00:00:00"/>
    <s v="50"/>
    <s v="TAN"/>
    <s v="OR"/>
    <d v="2016-07-22T00:00:00"/>
    <s v="CA"/>
    <s v="US"/>
    <s v="ZR"/>
    <d v="2016-07-20T00:00:00"/>
  </r>
  <r>
    <x v="1"/>
    <x v="8"/>
    <x v="1406"/>
    <x v="34"/>
    <s v="Standard order"/>
    <x v="1359"/>
    <x v="1354"/>
    <s v="5499"/>
    <s v="BTS 5499"/>
    <s v="5002605"/>
    <s v="5499 P100"/>
    <n v="40"/>
    <n v="40"/>
    <n v="0"/>
    <x v="8"/>
    <s v="DRMG"/>
    <s v="PRO 100"/>
    <s v="306"/>
    <s v="4.0 UN"/>
    <s v="STANDARD"/>
    <s v="N"/>
    <s v="N"/>
    <s v="N"/>
    <s v="N"/>
    <s v="N"/>
    <s v="N"/>
    <s v="N"/>
    <s v="N"/>
    <s v=""/>
    <d v="2016-07-22T00:00:00"/>
    <s v="20"/>
    <s v="TAN"/>
    <s v="OR"/>
    <d v="2016-07-22T00:00:00"/>
    <s v="CA"/>
    <s v="US"/>
    <s v="ZR"/>
    <d v="2016-07-20T00:00:00"/>
  </r>
  <r>
    <x v="1"/>
    <x v="8"/>
    <x v="1407"/>
    <x v="34"/>
    <s v="Standard order"/>
    <x v="1360"/>
    <x v="1355"/>
    <s v="5499"/>
    <s v="BTS 5499"/>
    <s v="5002606"/>
    <s v="5499 P50"/>
    <n v="296"/>
    <n v="296"/>
    <n v="0"/>
    <x v="8"/>
    <s v="DRMG"/>
    <s v="PRO 50"/>
    <s v="306"/>
    <s v="4.0 UN"/>
    <s v="STANDARD"/>
    <s v="N"/>
    <s v="N"/>
    <s v="N"/>
    <s v="N"/>
    <s v="N"/>
    <s v="N"/>
    <s v="N"/>
    <s v="N"/>
    <s v=""/>
    <d v="2016-07-22T00:00:00"/>
    <s v="10"/>
    <s v="TAN"/>
    <s v="OR"/>
    <d v="2016-07-22T00:00:00"/>
    <s v="CA"/>
    <s v="US"/>
    <s v="ZR"/>
    <d v="2016-07-20T00:00:00"/>
  </r>
  <r>
    <x v="1"/>
    <x v="8"/>
    <x v="1407"/>
    <x v="34"/>
    <s v="Standard order"/>
    <x v="1360"/>
    <x v="1355"/>
    <s v="5245"/>
    <s v="BTS 52RR45"/>
    <s v="5002600"/>
    <s v="5245 BTS P50"/>
    <n v="100"/>
    <n v="100"/>
    <n v="0"/>
    <x v="8"/>
    <s v="4D15"/>
    <s v="PRO 50"/>
    <s v="306"/>
    <s v="4.0 UN"/>
    <s v="STANDARD"/>
    <s v="N"/>
    <s v="N"/>
    <s v="N"/>
    <s v="N"/>
    <s v="N"/>
    <s v="N"/>
    <s v="N"/>
    <s v="N"/>
    <s v="B052"/>
    <d v="2016-07-22T00:00:00"/>
    <s v="20"/>
    <s v="TAN"/>
    <s v="OR"/>
    <d v="2016-07-22T00:00:00"/>
    <s v="CA"/>
    <s v="US"/>
    <s v="ZR"/>
    <d v="2016-07-20T00:00:00"/>
  </r>
  <r>
    <x v="1"/>
    <x v="8"/>
    <x v="1408"/>
    <x v="34"/>
    <s v="Standard order"/>
    <x v="1361"/>
    <x v="1356"/>
    <s v="5499"/>
    <s v="BTS 5499"/>
    <s v="5002606"/>
    <s v="5499 P50"/>
    <n v="92"/>
    <n v="92"/>
    <n v="0"/>
    <x v="8"/>
    <s v="DRMG"/>
    <s v="PRO 50"/>
    <s v="306"/>
    <s v="4.0 UN"/>
    <s v="STANDARD"/>
    <s v="N"/>
    <s v="N"/>
    <s v="N"/>
    <s v="N"/>
    <s v="N"/>
    <s v="N"/>
    <s v="N"/>
    <s v="N"/>
    <s v=""/>
    <d v="2016-07-22T00:00:00"/>
    <s v="10"/>
    <s v="TAN"/>
    <s v="OR"/>
    <d v="2016-07-22T00:00:00"/>
    <s v="CA"/>
    <s v="US"/>
    <s v="ZR"/>
    <d v="2016-07-20T00:00:00"/>
  </r>
  <r>
    <x v="1"/>
    <x v="8"/>
    <x v="1408"/>
    <x v="34"/>
    <s v="Standard order"/>
    <x v="1361"/>
    <x v="1356"/>
    <s v="5245"/>
    <s v="BTS 52RR45"/>
    <s v="5002600"/>
    <s v="52RR45 P50"/>
    <n v="92"/>
    <n v="92"/>
    <n v="0"/>
    <x v="8"/>
    <s v="4D15"/>
    <s v="PRO 50"/>
    <s v="306"/>
    <s v="4.0 UN"/>
    <s v="STANDARD"/>
    <s v="N"/>
    <s v="N"/>
    <s v="N"/>
    <s v="N"/>
    <s v="N"/>
    <s v="N"/>
    <s v="N"/>
    <s v="N"/>
    <s v=""/>
    <d v="2016-07-22T00:00:00"/>
    <s v="20"/>
    <s v="TAN"/>
    <s v="OR"/>
    <d v="2016-07-22T00:00:00"/>
    <s v="CA"/>
    <s v="US"/>
    <s v="ZR"/>
    <d v="2016-07-20T00:00:00"/>
  </r>
  <r>
    <x v="1"/>
    <x v="9"/>
    <x v="1409"/>
    <x v="35"/>
    <s v="Standard order"/>
    <x v="1362"/>
    <x v="1357"/>
    <s v="A346"/>
    <s v="BTS AN346"/>
    <s v="5002172"/>
    <s v="AN346 P200 BetaShield"/>
    <n v="40"/>
    <n v="20"/>
    <n v="20"/>
    <x v="9"/>
    <s v="BK71"/>
    <s v="PRO 200"/>
    <s v="308"/>
    <s v="4.0 UN"/>
    <s v="STANDARD"/>
    <s v="N"/>
    <s v="Y"/>
    <s v="N"/>
    <s v="T20"/>
    <s v="N"/>
    <s v="N"/>
    <s v="N"/>
    <s v="N"/>
    <s v=""/>
    <d v="2016-09-12T00:00:00"/>
    <s v="20"/>
    <s v="TAN"/>
    <s v="OR"/>
    <d v="2016-09-12T00:00:00"/>
    <s v="AZ"/>
    <s v="US"/>
    <s v="ZR"/>
    <d v="2016-07-20T00:00:00"/>
  </r>
  <r>
    <x v="1"/>
    <x v="9"/>
    <x v="1409"/>
    <x v="35"/>
    <s v="Standard order"/>
    <x v="1362"/>
    <x v="1357"/>
    <s v="A241"/>
    <s v="BTS AR241"/>
    <s v="5003280"/>
    <s v="AR241 RP BetaShield"/>
    <n v="80"/>
    <n v="40"/>
    <n v="40"/>
    <x v="9"/>
    <s v="4D15"/>
    <s v="RP"/>
    <s v="308"/>
    <s v="4.0 UN"/>
    <s v="STANDARD"/>
    <s v="N"/>
    <s v="Y"/>
    <s v="N"/>
    <s v="T20"/>
    <s v="N"/>
    <s v="N"/>
    <s v="N"/>
    <s v="N"/>
    <s v=""/>
    <d v="2016-09-12T00:00:00"/>
    <s v="30"/>
    <s v="TAN"/>
    <s v="OR"/>
    <d v="2016-09-12T00:00:00"/>
    <s v="AZ"/>
    <s v="US"/>
    <s v="ZR"/>
    <d v="2016-07-20T00:00:00"/>
  </r>
  <r>
    <x v="1"/>
    <x v="8"/>
    <x v="1410"/>
    <x v="34"/>
    <s v="Returns Standard SAP"/>
    <x v="1361"/>
    <x v="1356"/>
    <s v="5499"/>
    <s v="BTS 5499"/>
    <s v="5002606"/>
    <s v="5499 P50"/>
    <n v="-20"/>
    <n v="-20"/>
    <n v="0"/>
    <x v="8"/>
    <s v="DRMG"/>
    <s v="PRO 50"/>
    <s v="306"/>
    <s v="4.0 UN"/>
    <s v="STANDARD"/>
    <s v="N"/>
    <s v="N"/>
    <s v="N"/>
    <s v="N"/>
    <s v="N"/>
    <s v="N"/>
    <s v="N"/>
    <s v="N"/>
    <s v=""/>
    <m/>
    <s v="10"/>
    <s v="ZSRE"/>
    <s v="ZSRE"/>
    <d v="2016-10-21T00:00:00"/>
    <s v="CA"/>
    <s v="US"/>
    <s v="ZR"/>
    <d v="2016-07-22T00:00:00"/>
  </r>
  <r>
    <x v="1"/>
    <x v="8"/>
    <x v="1411"/>
    <x v="34"/>
    <s v="Standard order"/>
    <x v="1363"/>
    <x v="1358"/>
    <s v="5499"/>
    <s v="BTS 5499"/>
    <s v="5002606"/>
    <s v="5499 P50"/>
    <n v="100"/>
    <n v="100"/>
    <n v="0"/>
    <x v="8"/>
    <s v="DRMG"/>
    <s v="PRO 50"/>
    <s v="306"/>
    <s v="4.0 UN"/>
    <s v="STANDARD"/>
    <s v="N"/>
    <s v="N"/>
    <s v="N"/>
    <s v="N"/>
    <s v="N"/>
    <s v="N"/>
    <s v="N"/>
    <s v="N"/>
    <s v=""/>
    <d v="2016-09-19T00:00:00"/>
    <s v="10"/>
    <s v="TAN"/>
    <s v="OR"/>
    <d v="2016-08-12T00:00:00"/>
    <s v="CA"/>
    <s v="US"/>
    <s v="ZR"/>
    <d v="2016-07-22T00:00:00"/>
  </r>
  <r>
    <x v="1"/>
    <x v="8"/>
    <x v="1411"/>
    <x v="34"/>
    <s v="Standard order"/>
    <x v="1363"/>
    <x v="1358"/>
    <s v="541N"/>
    <s v="BTS 541N"/>
    <s v="5002602"/>
    <s v="541N P50"/>
    <n v="72"/>
    <n v="72"/>
    <n v="0"/>
    <x v="8"/>
    <s v="BK71"/>
    <s v="PRO 50"/>
    <s v="306"/>
    <s v="4.0 UN"/>
    <s v="STANDARD"/>
    <s v="N"/>
    <s v="N"/>
    <s v="N"/>
    <s v="N"/>
    <s v="N"/>
    <s v="N"/>
    <s v="N"/>
    <s v="N"/>
    <s v=""/>
    <d v="2016-09-19T00:00:00"/>
    <s v="20"/>
    <s v="TAN"/>
    <s v="OR"/>
    <d v="2016-08-12T00:00:00"/>
    <s v="CA"/>
    <s v="US"/>
    <s v="ZR"/>
    <d v="2016-07-22T00:00:00"/>
  </r>
  <r>
    <x v="1"/>
    <x v="8"/>
    <x v="1412"/>
    <x v="34"/>
    <s v="Standard order"/>
    <x v="1364"/>
    <x v="1359"/>
    <s v="5245"/>
    <s v="BTS 52RR45"/>
    <s v="5002600"/>
    <s v="52RR45 P50"/>
    <n v="20"/>
    <n v="20"/>
    <n v="0"/>
    <x v="8"/>
    <s v="4D15"/>
    <s v="PRO 50"/>
    <s v="306"/>
    <s v="4.0 UN"/>
    <s v="STANDARD"/>
    <s v="N"/>
    <s v="N"/>
    <s v="N"/>
    <s v="N"/>
    <s v="N"/>
    <s v="N"/>
    <s v="N"/>
    <s v="N"/>
    <s v=""/>
    <d v="2016-07-22T00:00:00"/>
    <s v="40"/>
    <s v="TAN"/>
    <s v="OR"/>
    <d v="2016-07-22T00:00:00"/>
    <s v="CA"/>
    <s v="US"/>
    <s v="ZR"/>
    <d v="2016-07-22T00:00:00"/>
  </r>
  <r>
    <x v="1"/>
    <x v="8"/>
    <x v="1412"/>
    <x v="34"/>
    <s v="Standard order"/>
    <x v="1364"/>
    <x v="1359"/>
    <s v="541N"/>
    <s v="BTS 541N"/>
    <s v="5002602"/>
    <s v="541N P50"/>
    <n v="52"/>
    <n v="52"/>
    <n v="0"/>
    <x v="8"/>
    <s v="BK71"/>
    <s v="PRO 50"/>
    <s v="306"/>
    <s v="4.0 UN"/>
    <s v="STANDARD"/>
    <s v="N"/>
    <s v="N"/>
    <s v="N"/>
    <s v="N"/>
    <s v="N"/>
    <s v="N"/>
    <s v="N"/>
    <s v="N"/>
    <s v=""/>
    <d v="2016-07-22T00:00:00"/>
    <s v="20"/>
    <s v="TAN"/>
    <s v="OR"/>
    <d v="2016-07-22T00:00:00"/>
    <s v="CA"/>
    <s v="US"/>
    <s v="ZR"/>
    <d v="2016-07-22T00:00:00"/>
  </r>
  <r>
    <x v="1"/>
    <x v="8"/>
    <x v="1412"/>
    <x v="34"/>
    <s v="Standard order"/>
    <x v="1364"/>
    <x v="1359"/>
    <s v="5499"/>
    <s v="BTS 5499"/>
    <s v="5002606"/>
    <s v="5499 P50"/>
    <n v="52"/>
    <n v="52"/>
    <n v="0"/>
    <x v="8"/>
    <s v="DRMG"/>
    <s v="PRO 50"/>
    <s v="306"/>
    <s v="4.0 UN"/>
    <s v="STANDARD"/>
    <s v="N"/>
    <s v="N"/>
    <s v="N"/>
    <s v="N"/>
    <s v="N"/>
    <s v="N"/>
    <s v="N"/>
    <s v="N"/>
    <s v=""/>
    <d v="2016-07-22T00:00:00"/>
    <s v="30"/>
    <s v="TAN"/>
    <s v="OR"/>
    <d v="2016-07-22T00:00:00"/>
    <s v="CA"/>
    <s v="US"/>
    <s v="ZR"/>
    <d v="2016-07-22T00:00:00"/>
  </r>
  <r>
    <x v="1"/>
    <x v="8"/>
    <x v="1413"/>
    <x v="34"/>
    <s v="Standard order"/>
    <x v="1365"/>
    <x v="1360"/>
    <s v="5499"/>
    <s v="BTS 5499"/>
    <s v="5002606"/>
    <s v="5499 P50"/>
    <n v="216"/>
    <n v="216"/>
    <n v="0"/>
    <x v="8"/>
    <s v="DRMG"/>
    <s v="PRO 50"/>
    <s v="306"/>
    <s v="4.0 UN"/>
    <s v="STANDARD"/>
    <s v="N"/>
    <s v="N"/>
    <s v="N"/>
    <s v="N"/>
    <s v="N"/>
    <s v="N"/>
    <s v="N"/>
    <s v="N"/>
    <s v=""/>
    <d v="2016-07-22T00:00:00"/>
    <s v="10"/>
    <s v="TAN"/>
    <s v="OR"/>
    <d v="2016-07-22T00:00:00"/>
    <s v="CA"/>
    <s v="US"/>
    <s v="ZR"/>
    <d v="2016-07-22T00:00:00"/>
  </r>
  <r>
    <x v="1"/>
    <x v="8"/>
    <x v="1413"/>
    <x v="34"/>
    <s v="Standard order"/>
    <x v="1365"/>
    <x v="1360"/>
    <s v="5245"/>
    <s v="BTS 52RR45"/>
    <s v="5002600"/>
    <s v="52RR45 P50"/>
    <n v="52"/>
    <n v="52"/>
    <n v="0"/>
    <x v="8"/>
    <s v="4D15"/>
    <s v="PRO 50"/>
    <s v="306"/>
    <s v="4.0 UN"/>
    <s v="STANDARD"/>
    <s v="N"/>
    <s v="N"/>
    <s v="N"/>
    <s v="N"/>
    <s v="N"/>
    <s v="N"/>
    <s v="N"/>
    <s v="N"/>
    <s v=""/>
    <d v="2016-07-22T00:00:00"/>
    <s v="20"/>
    <s v="TAN"/>
    <s v="OR"/>
    <d v="2016-07-22T00:00:00"/>
    <s v="CA"/>
    <s v="US"/>
    <s v="ZR"/>
    <d v="2016-07-22T00:00:00"/>
  </r>
  <r>
    <x v="1"/>
    <x v="8"/>
    <x v="1414"/>
    <x v="34"/>
    <s v="Standard order"/>
    <x v="1366"/>
    <x v="1361"/>
    <s v="5499"/>
    <s v="BTS 5499"/>
    <s v="5002605"/>
    <s v="5499 BTS P100"/>
    <n v="960"/>
    <n v="960"/>
    <n v="0"/>
    <x v="8"/>
    <s v="DRMG"/>
    <s v="PRO 100"/>
    <s v="306"/>
    <s v="4.0 UN"/>
    <s v="STANDARD"/>
    <s v="N"/>
    <s v="N"/>
    <s v="N"/>
    <s v="N"/>
    <s v="N"/>
    <s v="N"/>
    <s v="N"/>
    <s v="N"/>
    <s v="B052"/>
    <d v="2016-09-19T00:00:00"/>
    <s v="10"/>
    <s v="TAN"/>
    <s v="OR"/>
    <d v="2016-08-03T00:00:00"/>
    <s v="CA"/>
    <s v="US"/>
    <s v="ZR"/>
    <d v="2016-08-03T00:00:00"/>
  </r>
  <r>
    <x v="1"/>
    <x v="8"/>
    <x v="1415"/>
    <x v="34"/>
    <s v="Standard order"/>
    <x v="1367"/>
    <x v="1362"/>
    <s v="541N"/>
    <s v="BTS 541N"/>
    <s v="5002601"/>
    <s v="541N P100"/>
    <n v="28"/>
    <n v="28"/>
    <n v="0"/>
    <x v="8"/>
    <s v="BK71"/>
    <s v="PRO 100"/>
    <s v="306"/>
    <s v="4.0 UN"/>
    <s v="STANDARD"/>
    <s v="N"/>
    <s v="N"/>
    <s v="N"/>
    <s v="N"/>
    <s v="N"/>
    <s v="N"/>
    <s v="N"/>
    <s v="N"/>
    <s v=""/>
    <d v="2016-09-19T00:00:00"/>
    <s v="50"/>
    <s v="TAN"/>
    <s v="OR"/>
    <d v="2016-08-03T00:00:00"/>
    <s v="CA"/>
    <s v="US"/>
    <s v="ZR"/>
    <d v="2016-08-03T00:00:00"/>
  </r>
  <r>
    <x v="1"/>
    <x v="8"/>
    <x v="1415"/>
    <x v="34"/>
    <s v="Standard order"/>
    <x v="1367"/>
    <x v="1362"/>
    <s v="5245"/>
    <s v="BTS 52RR45"/>
    <s v="5002300"/>
    <s v="5245 BTS P100"/>
    <n v="100"/>
    <n v="100"/>
    <n v="0"/>
    <x v="8"/>
    <s v="4D15"/>
    <s v="PRO 100"/>
    <s v="306"/>
    <s v="4.0 UN"/>
    <s v="STANDARD"/>
    <s v="N"/>
    <s v="N"/>
    <s v="N"/>
    <s v="N"/>
    <s v="N"/>
    <s v="N"/>
    <s v="N"/>
    <s v="N"/>
    <s v="B052"/>
    <d v="2016-09-19T00:00:00"/>
    <s v="10"/>
    <s v="TAN"/>
    <s v="OR"/>
    <d v="2016-08-03T00:00:00"/>
    <s v="CA"/>
    <s v="US"/>
    <s v="ZR"/>
    <d v="2016-08-03T00:00:00"/>
  </r>
  <r>
    <x v="1"/>
    <x v="8"/>
    <x v="1415"/>
    <x v="34"/>
    <s v="Standard order"/>
    <x v="1367"/>
    <x v="1362"/>
    <s v="541N"/>
    <s v="BTS 541N"/>
    <s v="5002601"/>
    <s v="541N BTS P100"/>
    <n v="72"/>
    <n v="72"/>
    <n v="0"/>
    <x v="8"/>
    <s v="BK71"/>
    <s v="PRO 100"/>
    <s v="306"/>
    <s v="4.0 UN"/>
    <s v="STANDARD"/>
    <s v="N"/>
    <s v="N"/>
    <s v="N"/>
    <s v="N"/>
    <s v="N"/>
    <s v="N"/>
    <s v="N"/>
    <s v="N"/>
    <s v="B052"/>
    <d v="2016-09-19T00:00:00"/>
    <s v="20"/>
    <s v="TAN"/>
    <s v="OR"/>
    <d v="2016-08-03T00:00:00"/>
    <s v="CA"/>
    <s v="US"/>
    <s v="ZR"/>
    <d v="2016-08-03T00:00:00"/>
  </r>
  <r>
    <x v="1"/>
    <x v="8"/>
    <x v="1415"/>
    <x v="34"/>
    <s v="Standard order"/>
    <x v="1367"/>
    <x v="1362"/>
    <s v="5499"/>
    <s v="BTS 5499"/>
    <s v="5002605"/>
    <s v="5499 BTS P100"/>
    <n v="412"/>
    <n v="412"/>
    <n v="0"/>
    <x v="8"/>
    <s v="DRMG"/>
    <s v="PRO 100"/>
    <s v="306"/>
    <s v="4.0 UN"/>
    <s v="STANDARD"/>
    <s v="N"/>
    <s v="N"/>
    <s v="N"/>
    <s v="N"/>
    <s v="N"/>
    <s v="N"/>
    <s v="N"/>
    <s v="N"/>
    <s v="B052"/>
    <d v="2016-09-19T00:00:00"/>
    <s v="40"/>
    <s v="TAN"/>
    <s v="OR"/>
    <d v="2016-08-03T00:00:00"/>
    <s v="CA"/>
    <s v="US"/>
    <s v="ZR"/>
    <d v="2016-08-03T00:00:00"/>
  </r>
  <r>
    <x v="1"/>
    <x v="8"/>
    <x v="1416"/>
    <x v="34"/>
    <s v="Standard order"/>
    <x v="1368"/>
    <x v="1363"/>
    <s v="541N"/>
    <s v="BTS 541N"/>
    <s v="5002601"/>
    <s v="541N P100"/>
    <n v="52"/>
    <n v="52"/>
    <n v="0"/>
    <x v="8"/>
    <s v="BK71"/>
    <s v="PRO 100"/>
    <s v="306"/>
    <s v="4.0 UN"/>
    <s v="STANDARD"/>
    <s v="N"/>
    <s v="N"/>
    <s v="N"/>
    <s v="N"/>
    <s v="N"/>
    <s v="N"/>
    <s v="N"/>
    <s v="N"/>
    <s v=""/>
    <d v="2016-09-07T00:00:00"/>
    <s v="40"/>
    <s v="TAN"/>
    <s v="OR"/>
    <d v="2016-08-11T00:00:00"/>
    <s v="CA"/>
    <s v="US"/>
    <s v="ZR"/>
    <d v="2016-08-11T00:00:00"/>
  </r>
  <r>
    <x v="1"/>
    <x v="8"/>
    <x v="1416"/>
    <x v="34"/>
    <s v="Standard order"/>
    <x v="1368"/>
    <x v="1363"/>
    <s v="5499"/>
    <s v="BTS 5499"/>
    <s v="5002605"/>
    <s v="5499 BTS P100"/>
    <n v="352"/>
    <n v="352"/>
    <n v="0"/>
    <x v="8"/>
    <s v="DRMG"/>
    <s v="PRO 100"/>
    <s v="306"/>
    <s v="4.0 UN"/>
    <s v="STANDARD"/>
    <s v="N"/>
    <s v="N"/>
    <s v="N"/>
    <s v="N"/>
    <s v="N"/>
    <s v="N"/>
    <s v="N"/>
    <s v="N"/>
    <s v="B052"/>
    <d v="2016-09-07T00:00:00"/>
    <s v="10"/>
    <s v="TAN"/>
    <s v="OR"/>
    <d v="2016-08-11T00:00:00"/>
    <s v="CA"/>
    <s v="US"/>
    <s v="ZR"/>
    <d v="2016-08-11T00:00:00"/>
  </r>
  <r>
    <x v="1"/>
    <x v="8"/>
    <x v="1416"/>
    <x v="34"/>
    <s v="Standard order"/>
    <x v="1368"/>
    <x v="1363"/>
    <s v="5245"/>
    <s v="BTS 52RR45"/>
    <s v="5002300"/>
    <s v="5245 BTS P100"/>
    <n v="52"/>
    <n v="52"/>
    <n v="0"/>
    <x v="8"/>
    <s v="4D15"/>
    <s v="PRO 100"/>
    <s v="306"/>
    <s v="4.0 UN"/>
    <s v="STANDARD"/>
    <s v="N"/>
    <s v="N"/>
    <s v="N"/>
    <s v="N"/>
    <s v="N"/>
    <s v="N"/>
    <s v="N"/>
    <s v="N"/>
    <s v="B052"/>
    <d v="2016-09-07T00:00:00"/>
    <s v="20"/>
    <s v="TAN"/>
    <s v="OR"/>
    <d v="2016-08-11T00:00:00"/>
    <s v="CA"/>
    <s v="US"/>
    <s v="ZR"/>
    <d v="2016-08-11T00:00:00"/>
  </r>
  <r>
    <x v="1"/>
    <x v="8"/>
    <x v="1417"/>
    <x v="34"/>
    <s v="Standard order"/>
    <x v="1369"/>
    <x v="1364"/>
    <s v="5499"/>
    <s v="BTS 5499"/>
    <s v="5002605"/>
    <s v="5499 BTS P100"/>
    <n v="300"/>
    <n v="300"/>
    <n v="0"/>
    <x v="8"/>
    <s v="DRMG"/>
    <s v="PRO 100"/>
    <s v="306"/>
    <s v="4.0 UN"/>
    <s v="STANDARD"/>
    <s v="N"/>
    <s v="N"/>
    <s v="N"/>
    <s v="N"/>
    <s v="N"/>
    <s v="N"/>
    <s v="N"/>
    <s v="N"/>
    <s v="B052"/>
    <d v="2016-09-19T00:00:00"/>
    <s v="10"/>
    <s v="TAN"/>
    <s v="OR"/>
    <d v="2016-08-11T00:00:00"/>
    <s v="CA"/>
    <s v="US"/>
    <s v="ZR"/>
    <d v="2016-08-11T00:00:00"/>
  </r>
  <r>
    <x v="1"/>
    <x v="8"/>
    <x v="1418"/>
    <x v="34"/>
    <s v="Standard order"/>
    <x v="1370"/>
    <x v="1365"/>
    <s v="5499"/>
    <s v="BTS 5499"/>
    <s v="5002606"/>
    <s v="5499 P50"/>
    <n v="8"/>
    <n v="8"/>
    <n v="0"/>
    <x v="8"/>
    <s v="DRMG"/>
    <s v="PRO 50"/>
    <s v="306"/>
    <s v="4.0 UN"/>
    <s v="STANDARD"/>
    <s v="N"/>
    <s v="N"/>
    <s v="N"/>
    <s v="N"/>
    <s v="N"/>
    <s v="N"/>
    <s v="N"/>
    <s v="N"/>
    <s v=""/>
    <d v="2016-09-19T00:00:00"/>
    <s v="20"/>
    <s v="TAN"/>
    <s v="OR"/>
    <d v="2016-08-11T00:00:00"/>
    <s v="CA"/>
    <s v="US"/>
    <s v="ZR"/>
    <d v="2016-08-11T00:00:00"/>
  </r>
  <r>
    <x v="1"/>
    <x v="8"/>
    <x v="1418"/>
    <x v="34"/>
    <s v="Standard order"/>
    <x v="1370"/>
    <x v="1365"/>
    <s v="5499"/>
    <s v="BTS 5499"/>
    <s v="5002606"/>
    <s v="5499 BTS P50"/>
    <n v="128"/>
    <n v="128"/>
    <n v="0"/>
    <x v="8"/>
    <s v="DRMG"/>
    <s v="PRO 50"/>
    <s v="306"/>
    <s v="4.0 UN"/>
    <s v="STANDARD"/>
    <s v="N"/>
    <s v="N"/>
    <s v="N"/>
    <s v="N"/>
    <s v="N"/>
    <s v="N"/>
    <s v="N"/>
    <s v="N"/>
    <s v="B052"/>
    <d v="2016-09-19T00:00:00"/>
    <s v="10"/>
    <s v="TAN"/>
    <s v="OR"/>
    <d v="2016-08-11T00:00:00"/>
    <s v="CA"/>
    <s v="US"/>
    <s v="ZR"/>
    <d v="2016-08-11T00:00:00"/>
  </r>
  <r>
    <x v="1"/>
    <x v="8"/>
    <x v="1419"/>
    <x v="34"/>
    <s v="Standard order"/>
    <x v="1371"/>
    <x v="1366"/>
    <s v="5499"/>
    <s v="BTS 5499"/>
    <s v="5002606"/>
    <s v="5499 BTS P50"/>
    <n v="32"/>
    <n v="32"/>
    <n v="0"/>
    <x v="8"/>
    <s v="DRMG"/>
    <s v="PRO 50"/>
    <s v="306"/>
    <s v="4.0 UN"/>
    <s v="STANDARD"/>
    <s v="N"/>
    <s v="N"/>
    <s v="N"/>
    <s v="N"/>
    <s v="N"/>
    <s v="N"/>
    <s v="N"/>
    <s v="N"/>
    <s v="B052"/>
    <d v="2016-09-19T00:00:00"/>
    <s v="10"/>
    <s v="TAN"/>
    <s v="OR"/>
    <d v="2016-08-11T00:00:00"/>
    <s v="CA"/>
    <s v="US"/>
    <s v="ZR"/>
    <d v="2016-08-11T00:00:00"/>
  </r>
  <r>
    <x v="1"/>
    <x v="8"/>
    <x v="1420"/>
    <x v="34"/>
    <s v="Standard order"/>
    <x v="1372"/>
    <x v="1367"/>
    <s v="5245"/>
    <s v="BTS 52RR45"/>
    <s v="5002600"/>
    <s v="5245 BTS P50"/>
    <n v="156"/>
    <n v="156"/>
    <n v="0"/>
    <x v="8"/>
    <s v="4D15"/>
    <s v="PRO 50"/>
    <s v="306"/>
    <s v="4.0 UN"/>
    <s v="STANDARD"/>
    <s v="N"/>
    <s v="N"/>
    <s v="N"/>
    <s v="N"/>
    <s v="N"/>
    <s v="N"/>
    <s v="N"/>
    <s v="N"/>
    <s v="B052"/>
    <d v="2016-09-19T00:00:00"/>
    <s v="10"/>
    <s v="TAN"/>
    <s v="OR"/>
    <d v="2016-08-11T00:00:00"/>
    <s v="CA"/>
    <s v="US"/>
    <s v="ZR"/>
    <d v="2016-08-11T00:00:00"/>
  </r>
  <r>
    <x v="1"/>
    <x v="8"/>
    <x v="1421"/>
    <x v="34"/>
    <s v="Standard order"/>
    <x v="1373"/>
    <x v="1368"/>
    <s v="5499"/>
    <s v="BTS 5499"/>
    <s v="5002606"/>
    <s v="5499 BTS P50"/>
    <n v="148"/>
    <n v="148"/>
    <n v="0"/>
    <x v="8"/>
    <s v="DRMG"/>
    <s v="PRO 50"/>
    <s v="306"/>
    <s v="4.0 UN"/>
    <s v="STANDARD"/>
    <s v="N"/>
    <s v="N"/>
    <s v="N"/>
    <s v="N"/>
    <s v="N"/>
    <s v="N"/>
    <s v="N"/>
    <s v="N"/>
    <s v="B052"/>
    <d v="2016-09-19T00:00:00"/>
    <s v="10"/>
    <s v="TAN"/>
    <s v="OR"/>
    <d v="2016-08-11T00:00:00"/>
    <s v="CA"/>
    <s v="US"/>
    <s v="ZR"/>
    <d v="2016-08-11T00:00:00"/>
  </r>
  <r>
    <x v="1"/>
    <x v="8"/>
    <x v="1421"/>
    <x v="34"/>
    <s v="Standard order"/>
    <x v="1373"/>
    <x v="1368"/>
    <s v="5245"/>
    <s v="BTS 52RR45"/>
    <s v="5002600"/>
    <s v="52RR45 P50"/>
    <n v="52"/>
    <n v="52"/>
    <n v="0"/>
    <x v="8"/>
    <s v="4D15"/>
    <s v="PRO 50"/>
    <s v="306"/>
    <s v="4.0 UN"/>
    <s v="STANDARD"/>
    <s v="N"/>
    <s v="N"/>
    <s v="N"/>
    <s v="N"/>
    <s v="N"/>
    <s v="N"/>
    <s v="N"/>
    <s v="N"/>
    <s v=""/>
    <d v="2016-09-19T00:00:00"/>
    <s v="20"/>
    <s v="TAN"/>
    <s v="OR"/>
    <d v="2016-08-11T00:00:00"/>
    <s v="CA"/>
    <s v="US"/>
    <s v="ZR"/>
    <d v="2016-08-11T00:00:00"/>
  </r>
  <r>
    <x v="1"/>
    <x v="8"/>
    <x v="1421"/>
    <x v="34"/>
    <s v="Standard order"/>
    <x v="1373"/>
    <x v="1368"/>
    <s v="541N"/>
    <s v="BTS 541N"/>
    <s v="5002602"/>
    <s v="541N P50"/>
    <n v="16"/>
    <n v="16"/>
    <n v="0"/>
    <x v="8"/>
    <s v="BK71"/>
    <s v="PRO 50"/>
    <s v="306"/>
    <s v="4.0 UN"/>
    <s v="STANDARD"/>
    <s v="N"/>
    <s v="N"/>
    <s v="N"/>
    <s v="N"/>
    <s v="N"/>
    <s v="N"/>
    <s v="N"/>
    <s v="N"/>
    <s v=""/>
    <d v="2016-09-19T00:00:00"/>
    <s v="30"/>
    <s v="TAN"/>
    <s v="OR"/>
    <d v="2016-08-11T00:00:00"/>
    <s v="CA"/>
    <s v="US"/>
    <s v="ZR"/>
    <d v="2016-08-11T00:00:00"/>
  </r>
  <r>
    <x v="1"/>
    <x v="8"/>
    <x v="1422"/>
    <x v="34"/>
    <s v="Standard order"/>
    <x v="1374"/>
    <x v="1369"/>
    <s v="5499"/>
    <s v="BTS 5499"/>
    <s v="5002606"/>
    <s v="5499 BTS P50"/>
    <n v="160"/>
    <n v="160"/>
    <n v="0"/>
    <x v="8"/>
    <s v="DRMG"/>
    <s v="PRO 50"/>
    <s v="306"/>
    <s v="4.0 UN"/>
    <s v="STANDARD"/>
    <s v="N"/>
    <s v="N"/>
    <s v="N"/>
    <s v="N"/>
    <s v="N"/>
    <s v="N"/>
    <s v="N"/>
    <s v="N"/>
    <s v="B052"/>
    <d v="2016-09-19T00:00:00"/>
    <s v="10"/>
    <s v="TAN"/>
    <s v="OR"/>
    <d v="2016-08-11T00:00:00"/>
    <s v="CA"/>
    <s v="US"/>
    <s v="ZR"/>
    <d v="2016-08-11T00:00:00"/>
  </r>
  <r>
    <x v="1"/>
    <x v="8"/>
    <x v="1422"/>
    <x v="34"/>
    <s v="Standard order"/>
    <x v="1374"/>
    <x v="1369"/>
    <s v="5245"/>
    <s v="BTS 52RR45"/>
    <s v="5002600"/>
    <s v="5245 BTS P50"/>
    <n v="100"/>
    <n v="100"/>
    <n v="0"/>
    <x v="8"/>
    <s v="4D15"/>
    <s v="PRO 50"/>
    <s v="306"/>
    <s v="4.0 UN"/>
    <s v="STANDARD"/>
    <s v="N"/>
    <s v="N"/>
    <s v="N"/>
    <s v="N"/>
    <s v="N"/>
    <s v="N"/>
    <s v="N"/>
    <s v="N"/>
    <s v="B052"/>
    <d v="2016-09-19T00:00:00"/>
    <s v="20"/>
    <s v="TAN"/>
    <s v="OR"/>
    <d v="2016-08-11T00:00:00"/>
    <s v="CA"/>
    <s v="US"/>
    <s v="ZR"/>
    <d v="2016-08-11T00:00:00"/>
  </r>
  <r>
    <x v="1"/>
    <x v="8"/>
    <x v="1423"/>
    <x v="34"/>
    <s v="Standard order"/>
    <x v="1375"/>
    <x v="1370"/>
    <s v="5499"/>
    <s v="BTS 5499"/>
    <s v="5002606"/>
    <s v="5499 BTS P50"/>
    <n v="48"/>
    <n v="48"/>
    <n v="0"/>
    <x v="8"/>
    <s v="DRMG"/>
    <s v="PRO 50"/>
    <s v="306"/>
    <s v="4.0 UN"/>
    <s v="STANDARD"/>
    <s v="N"/>
    <s v="N"/>
    <s v="N"/>
    <s v="N"/>
    <s v="N"/>
    <s v="N"/>
    <s v="N"/>
    <s v="N"/>
    <s v="B052"/>
    <d v="2016-09-19T00:00:00"/>
    <s v="10"/>
    <s v="TAN"/>
    <s v="OR"/>
    <d v="2016-08-11T00:00:00"/>
    <s v="CA"/>
    <s v="US"/>
    <s v="ZR"/>
    <d v="2016-08-11T00:00:00"/>
  </r>
  <r>
    <x v="1"/>
    <x v="8"/>
    <x v="1424"/>
    <x v="34"/>
    <s v="Standard order"/>
    <x v="1376"/>
    <x v="1371"/>
    <s v="5499"/>
    <s v="BTS 5499"/>
    <s v="5002606"/>
    <s v="5499 BTS P50"/>
    <n v="116"/>
    <n v="116"/>
    <n v="0"/>
    <x v="8"/>
    <s v="DRMG"/>
    <s v="PRO 50"/>
    <s v="306"/>
    <s v="4.0 UN"/>
    <s v="STANDARD"/>
    <s v="N"/>
    <s v="N"/>
    <s v="N"/>
    <s v="N"/>
    <s v="N"/>
    <s v="N"/>
    <s v="N"/>
    <s v="N"/>
    <s v="B052"/>
    <d v="2016-09-19T00:00:00"/>
    <s v="10"/>
    <s v="TAN"/>
    <s v="OR"/>
    <d v="2016-08-11T00:00:00"/>
    <s v="CA"/>
    <s v="US"/>
    <s v="ZR"/>
    <d v="2016-08-11T00:00:00"/>
  </r>
  <r>
    <x v="1"/>
    <x v="8"/>
    <x v="1424"/>
    <x v="34"/>
    <s v="Standard order"/>
    <x v="1376"/>
    <x v="1371"/>
    <s v="5245"/>
    <s v="BTS 52RR45"/>
    <s v="5002600"/>
    <s v="5245 BTS P50"/>
    <n v="56"/>
    <n v="56"/>
    <n v="0"/>
    <x v="8"/>
    <s v="4D15"/>
    <s v="PRO 50"/>
    <s v="306"/>
    <s v="4.0 UN"/>
    <s v="STANDARD"/>
    <s v="N"/>
    <s v="N"/>
    <s v="N"/>
    <s v="N"/>
    <s v="N"/>
    <s v="N"/>
    <s v="N"/>
    <s v="N"/>
    <s v="B052"/>
    <d v="2016-09-19T00:00:00"/>
    <s v="20"/>
    <s v="TAN"/>
    <s v="OR"/>
    <d v="2016-08-11T00:00:00"/>
    <s v="CA"/>
    <s v="US"/>
    <s v="ZR"/>
    <d v="2016-08-11T00:00:00"/>
  </r>
  <r>
    <x v="1"/>
    <x v="8"/>
    <x v="1425"/>
    <x v="34"/>
    <s v="Standard order"/>
    <x v="1377"/>
    <x v="1372"/>
    <s v="5499"/>
    <s v="BTS 5499"/>
    <s v="5002606"/>
    <s v="5499 BTS P50"/>
    <n v="60"/>
    <n v="60"/>
    <n v="0"/>
    <x v="8"/>
    <s v="DRMG"/>
    <s v="PRO 50"/>
    <s v="306"/>
    <s v="4.0 UN"/>
    <s v="STANDARD"/>
    <s v="N"/>
    <s v="N"/>
    <s v="N"/>
    <s v="N"/>
    <s v="N"/>
    <s v="N"/>
    <s v="N"/>
    <s v="N"/>
    <s v="B052"/>
    <d v="2016-09-19T00:00:00"/>
    <s v="10"/>
    <s v="TAN"/>
    <s v="OR"/>
    <d v="2016-08-11T00:00:00"/>
    <s v="CA"/>
    <s v="US"/>
    <s v="ZR"/>
    <d v="2016-08-11T00:00:00"/>
  </r>
  <r>
    <x v="1"/>
    <x v="8"/>
    <x v="1425"/>
    <x v="34"/>
    <s v="Standard order"/>
    <x v="1377"/>
    <x v="1372"/>
    <s v="5245"/>
    <s v="BTS 52RR45"/>
    <s v="5002600"/>
    <s v="5245 BTS P50"/>
    <n v="60"/>
    <n v="60"/>
    <n v="0"/>
    <x v="8"/>
    <s v="4D15"/>
    <s v="PRO 50"/>
    <s v="306"/>
    <s v="4.0 UN"/>
    <s v="STANDARD"/>
    <s v="N"/>
    <s v="N"/>
    <s v="N"/>
    <s v="N"/>
    <s v="N"/>
    <s v="N"/>
    <s v="N"/>
    <s v="N"/>
    <s v="B052"/>
    <d v="2016-09-19T00:00:00"/>
    <s v="20"/>
    <s v="TAN"/>
    <s v="OR"/>
    <d v="2016-08-11T00:00:00"/>
    <s v="CA"/>
    <s v="US"/>
    <s v="ZR"/>
    <d v="2016-08-11T00:00:00"/>
  </r>
  <r>
    <x v="1"/>
    <x v="8"/>
    <x v="1426"/>
    <x v="34"/>
    <s v="Standard order"/>
    <x v="1378"/>
    <x v="1373"/>
    <s v="541N"/>
    <s v="BTS 541N"/>
    <s v="5002601"/>
    <s v="541N BTS P100"/>
    <n v="44"/>
    <n v="44"/>
    <n v="0"/>
    <x v="8"/>
    <s v="BK71"/>
    <s v="PRO 100"/>
    <s v="306"/>
    <s v="4.0 UN"/>
    <s v="STANDARD"/>
    <s v="N"/>
    <s v="N"/>
    <s v="N"/>
    <s v="N"/>
    <s v="N"/>
    <s v="N"/>
    <s v="N"/>
    <s v="N"/>
    <s v="B052"/>
    <d v="2016-09-19T00:00:00"/>
    <s v="30"/>
    <s v="TAN"/>
    <s v="OR"/>
    <d v="2016-08-11T00:00:00"/>
    <s v="CA"/>
    <s v="US"/>
    <s v="ZR"/>
    <d v="2016-08-11T00:00:00"/>
  </r>
  <r>
    <x v="1"/>
    <x v="8"/>
    <x v="1426"/>
    <x v="34"/>
    <s v="Standard order"/>
    <x v="1378"/>
    <x v="1373"/>
    <s v="5499"/>
    <s v="BTS 5499"/>
    <s v="5002605"/>
    <s v="5499 BTS P100"/>
    <n v="52"/>
    <n v="52"/>
    <n v="0"/>
    <x v="8"/>
    <s v="DRMG"/>
    <s v="PRO 100"/>
    <s v="306"/>
    <s v="4.0 UN"/>
    <s v="STANDARD"/>
    <s v="N"/>
    <s v="N"/>
    <s v="N"/>
    <s v="N"/>
    <s v="N"/>
    <s v="N"/>
    <s v="N"/>
    <s v="N"/>
    <s v="B052"/>
    <d v="2016-09-19T00:00:00"/>
    <s v="10"/>
    <s v="TAN"/>
    <s v="OR"/>
    <d v="2016-08-11T00:00:00"/>
    <s v="CA"/>
    <s v="US"/>
    <s v="ZR"/>
    <d v="2016-08-11T00:00:00"/>
  </r>
  <r>
    <x v="1"/>
    <x v="8"/>
    <x v="1426"/>
    <x v="34"/>
    <s v="Standard order"/>
    <x v="1378"/>
    <x v="1373"/>
    <s v="5245"/>
    <s v="BTS 52RR45"/>
    <s v="5002300"/>
    <s v="5245 BTS P100"/>
    <n v="76"/>
    <n v="76"/>
    <n v="0"/>
    <x v="8"/>
    <s v="4D15"/>
    <s v="PRO 100"/>
    <s v="306"/>
    <s v="4.0 UN"/>
    <s v="STANDARD"/>
    <s v="N"/>
    <s v="N"/>
    <s v="N"/>
    <s v="N"/>
    <s v="N"/>
    <s v="N"/>
    <s v="N"/>
    <s v="N"/>
    <s v="B052"/>
    <d v="2016-09-19T00:00:00"/>
    <s v="20"/>
    <s v="TAN"/>
    <s v="OR"/>
    <d v="2016-08-11T00:00:00"/>
    <s v="CA"/>
    <s v="US"/>
    <s v="ZR"/>
    <d v="2016-08-11T00:00:00"/>
  </r>
  <r>
    <x v="1"/>
    <x v="8"/>
    <x v="1427"/>
    <x v="34"/>
    <s v="Standard order"/>
    <x v="1379"/>
    <x v="1374"/>
    <s v="5245"/>
    <s v="BTS 52RR45"/>
    <s v="5002300"/>
    <s v="52RR45 P100"/>
    <n v="40"/>
    <n v="40"/>
    <n v="0"/>
    <x v="8"/>
    <s v="4D15"/>
    <s v="PRO 100"/>
    <s v="306"/>
    <s v="4.0 UN"/>
    <s v="STANDARD"/>
    <s v="N"/>
    <s v="N"/>
    <s v="N"/>
    <s v="N"/>
    <s v="N"/>
    <s v="N"/>
    <s v="N"/>
    <s v="N"/>
    <s v=""/>
    <d v="2016-09-19T00:00:00"/>
    <s v="40"/>
    <s v="TAN"/>
    <s v="OR"/>
    <d v="2016-08-11T00:00:00"/>
    <s v="CA"/>
    <s v="US"/>
    <s v="ZR"/>
    <d v="2016-08-11T00:00:00"/>
  </r>
  <r>
    <x v="1"/>
    <x v="8"/>
    <x v="1427"/>
    <x v="34"/>
    <s v="Standard order"/>
    <x v="1379"/>
    <x v="1374"/>
    <s v="5499"/>
    <s v="BTS 5499"/>
    <s v="5002605"/>
    <s v="5499 BTS P100"/>
    <n v="280"/>
    <n v="280"/>
    <n v="0"/>
    <x v="8"/>
    <s v="DRMG"/>
    <s v="PRO 100"/>
    <s v="306"/>
    <s v="4.0 UN"/>
    <s v="STANDARD"/>
    <s v="N"/>
    <s v="N"/>
    <s v="N"/>
    <s v="N"/>
    <s v="N"/>
    <s v="N"/>
    <s v="N"/>
    <s v="N"/>
    <s v="B052"/>
    <d v="2016-09-19T00:00:00"/>
    <s v="10"/>
    <s v="TAN"/>
    <s v="OR"/>
    <d v="2016-08-11T00:00:00"/>
    <s v="CA"/>
    <s v="US"/>
    <s v="ZR"/>
    <d v="2016-08-11T00:00:00"/>
  </r>
  <r>
    <x v="1"/>
    <x v="8"/>
    <x v="1427"/>
    <x v="34"/>
    <s v="Standard order"/>
    <x v="1379"/>
    <x v="1374"/>
    <s v="541N"/>
    <s v="BTS 541N"/>
    <s v="5002601"/>
    <s v="541N BTS P100"/>
    <n v="32"/>
    <n v="32"/>
    <n v="0"/>
    <x v="8"/>
    <s v="BK71"/>
    <s v="PRO 100"/>
    <s v="306"/>
    <s v="4.0 UN"/>
    <s v="STANDARD"/>
    <s v="N"/>
    <s v="N"/>
    <s v="N"/>
    <s v="N"/>
    <s v="N"/>
    <s v="N"/>
    <s v="N"/>
    <s v="N"/>
    <s v="B052"/>
    <d v="2016-09-19T00:00:00"/>
    <s v="30"/>
    <s v="TAN"/>
    <s v="OR"/>
    <d v="2016-08-11T00:00:00"/>
    <s v="CA"/>
    <s v="US"/>
    <s v="ZR"/>
    <d v="2016-08-11T00:00:00"/>
  </r>
  <r>
    <x v="1"/>
    <x v="8"/>
    <x v="1428"/>
    <x v="34"/>
    <s v="Standard order"/>
    <x v="1380"/>
    <x v="1375"/>
    <s v="5499"/>
    <s v="BTS 5499"/>
    <s v="5002606"/>
    <s v="5499 BTS P50"/>
    <n v="48"/>
    <n v="48"/>
    <n v="0"/>
    <x v="8"/>
    <s v="DRMG"/>
    <s v="PRO 50"/>
    <s v="306"/>
    <s v="4.0 UN"/>
    <s v="STANDARD"/>
    <s v="N"/>
    <s v="N"/>
    <s v="N"/>
    <s v="N"/>
    <s v="N"/>
    <s v="N"/>
    <s v="N"/>
    <s v="N"/>
    <s v=""/>
    <d v="2016-09-19T00:00:00"/>
    <s v="30"/>
    <s v="TAN"/>
    <s v="OR"/>
    <d v="2016-08-11T00:00:00"/>
    <s v="CA"/>
    <s v="US"/>
    <s v="ZR"/>
    <d v="2016-08-11T00:00:00"/>
  </r>
  <r>
    <x v="1"/>
    <x v="8"/>
    <x v="1428"/>
    <x v="34"/>
    <s v="Standard order"/>
    <x v="1380"/>
    <x v="1375"/>
    <s v="5245"/>
    <s v="BTS 52RR45"/>
    <s v="5002600"/>
    <s v="5245 BTS P50"/>
    <n v="52"/>
    <n v="52"/>
    <n v="0"/>
    <x v="8"/>
    <s v="4D15"/>
    <s v="PRO 50"/>
    <s v="306"/>
    <s v="4.0 UN"/>
    <s v="STANDARD"/>
    <s v="N"/>
    <s v="N"/>
    <s v="N"/>
    <s v="N"/>
    <s v="N"/>
    <s v="N"/>
    <s v="N"/>
    <s v="N"/>
    <s v="B052"/>
    <d v="2016-09-19T00:00:00"/>
    <s v="10"/>
    <s v="TAN"/>
    <s v="OR"/>
    <d v="2016-08-11T00:00:00"/>
    <s v="CA"/>
    <s v="US"/>
    <s v="ZR"/>
    <d v="2016-08-11T00:00:00"/>
  </r>
  <r>
    <x v="1"/>
    <x v="8"/>
    <x v="1428"/>
    <x v="34"/>
    <s v="Standard order"/>
    <x v="1380"/>
    <x v="1375"/>
    <s v="5499"/>
    <s v="BTS 5499"/>
    <s v="5002606"/>
    <s v="5499 BTS P50"/>
    <n v="52"/>
    <n v="52"/>
    <n v="0"/>
    <x v="8"/>
    <s v="DRMG"/>
    <s v="PRO 50"/>
    <s v="306"/>
    <s v="4.0 UN"/>
    <s v="STANDARD"/>
    <s v="N"/>
    <s v="N"/>
    <s v="N"/>
    <s v="N"/>
    <s v="N"/>
    <s v="N"/>
    <s v="N"/>
    <s v="N"/>
    <s v="B052"/>
    <d v="2016-09-19T00:00:00"/>
    <s v="20"/>
    <s v="TAN"/>
    <s v="OR"/>
    <d v="2016-08-11T00:00:00"/>
    <s v="CA"/>
    <s v="US"/>
    <s v="ZR"/>
    <d v="2016-08-11T00:00:00"/>
  </r>
  <r>
    <x v="1"/>
    <x v="8"/>
    <x v="1429"/>
    <x v="34"/>
    <s v="Standard order"/>
    <x v="1381"/>
    <x v="1376"/>
    <s v="5499"/>
    <s v="BTS 5499"/>
    <s v="5002606"/>
    <s v="5499 BTS P50"/>
    <n v="180"/>
    <n v="180"/>
    <n v="0"/>
    <x v="8"/>
    <s v="DRMG"/>
    <s v="PRO 50"/>
    <s v="306"/>
    <s v="4.0 UN"/>
    <s v="STANDARD"/>
    <s v="N"/>
    <s v="N"/>
    <s v="N"/>
    <s v="N"/>
    <s v="N"/>
    <s v="N"/>
    <s v="N"/>
    <s v="N"/>
    <s v="B052"/>
    <d v="2016-09-19T00:00:00"/>
    <s v="10"/>
    <s v="TAN"/>
    <s v="OR"/>
    <d v="2016-08-11T00:00:00"/>
    <s v="CA"/>
    <s v="US"/>
    <s v="ZR"/>
    <d v="2016-08-11T00:00:00"/>
  </r>
  <r>
    <x v="1"/>
    <x v="8"/>
    <x v="1429"/>
    <x v="34"/>
    <s v="Standard order"/>
    <x v="1381"/>
    <x v="1376"/>
    <s v="5245"/>
    <s v="BTS 52RR45"/>
    <s v="5002600"/>
    <s v="5245 BTS P50"/>
    <n v="80"/>
    <n v="80"/>
    <n v="0"/>
    <x v="8"/>
    <s v="4D15"/>
    <s v="PRO 50"/>
    <s v="306"/>
    <s v="4.0 UN"/>
    <s v="STANDARD"/>
    <s v="N"/>
    <s v="N"/>
    <s v="N"/>
    <s v="N"/>
    <s v="N"/>
    <s v="N"/>
    <s v="N"/>
    <s v="N"/>
    <s v="B052"/>
    <d v="2016-09-19T00:00:00"/>
    <s v="20"/>
    <s v="TAN"/>
    <s v="OR"/>
    <d v="2016-08-11T00:00:00"/>
    <s v="CA"/>
    <s v="US"/>
    <s v="ZR"/>
    <d v="2016-08-11T00:00:00"/>
  </r>
  <r>
    <x v="1"/>
    <x v="1"/>
    <x v="1430"/>
    <x v="32"/>
    <s v="Returns Standard SAP"/>
    <x v="1337"/>
    <x v="2"/>
    <s v="9475"/>
    <s v="BTS 9475"/>
    <s v="5003247"/>
    <s v="9475 RP BetaShield PLUS"/>
    <n v="-8"/>
    <n v="-8"/>
    <n v="0"/>
    <x v="1"/>
    <s v="FE73"/>
    <s v="RP"/>
    <s v="381"/>
    <s v="4.0 UN"/>
    <s v="STANDARD"/>
    <s v="N"/>
    <s v="N"/>
    <s v="Y"/>
    <s v="T45"/>
    <s v="N"/>
    <s v="N"/>
    <s v="N"/>
    <s v="N"/>
    <s v=""/>
    <m/>
    <s v="10"/>
    <s v="ZSRE"/>
    <s v="ZSRE"/>
    <d v="2016-09-15T00:00:00"/>
    <s v="MN"/>
    <s v="US"/>
    <s v="ZR"/>
    <d v="2016-08-16T00:00:00"/>
  </r>
  <r>
    <x v="1"/>
    <x v="8"/>
    <x v="1431"/>
    <x v="34"/>
    <s v="Standard order"/>
    <x v="1382"/>
    <x v="1377"/>
    <s v="5245"/>
    <s v="BTS 52RR45"/>
    <s v="5002600"/>
    <s v="52RR45 P50"/>
    <n v="16"/>
    <n v="16"/>
    <n v="0"/>
    <x v="8"/>
    <s v="4D15"/>
    <s v="PRO 50"/>
    <s v="306"/>
    <s v="4.0 UN"/>
    <s v="STANDARD"/>
    <s v="N"/>
    <s v="N"/>
    <s v="N"/>
    <s v="N"/>
    <s v="N"/>
    <s v="N"/>
    <s v="N"/>
    <s v="N"/>
    <s v=""/>
    <d v="2016-09-19T00:00:00"/>
    <s v="30"/>
    <s v="TAN"/>
    <s v="OR"/>
    <d v="2016-08-26T00:00:00"/>
    <s v="CA"/>
    <s v="US"/>
    <s v="ZR"/>
    <d v="2016-08-24T00:00:00"/>
  </r>
  <r>
    <x v="1"/>
    <x v="8"/>
    <x v="1431"/>
    <x v="34"/>
    <s v="Standard order"/>
    <x v="1382"/>
    <x v="1377"/>
    <s v="5499"/>
    <s v="BTS 5499"/>
    <s v="5002606"/>
    <s v="5499 P50"/>
    <n v="48"/>
    <n v="48"/>
    <n v="0"/>
    <x v="8"/>
    <s v="DRMG"/>
    <s v="PRO 50"/>
    <s v="306"/>
    <s v="4.0 UN"/>
    <s v="STANDARD"/>
    <s v="N"/>
    <s v="N"/>
    <s v="N"/>
    <s v="N"/>
    <s v="N"/>
    <s v="N"/>
    <s v="N"/>
    <s v="N"/>
    <s v=""/>
    <d v="2016-09-19T00:00:00"/>
    <s v="40"/>
    <s v="TAN"/>
    <s v="OR"/>
    <d v="2016-08-26T00:00:00"/>
    <s v="CA"/>
    <s v="US"/>
    <s v="ZR"/>
    <d v="2016-08-24T00:00:00"/>
  </r>
  <r>
    <x v="1"/>
    <x v="8"/>
    <x v="1432"/>
    <x v="34"/>
    <s v="Returns Standard SAP"/>
    <x v="1382"/>
    <x v="1377"/>
    <s v="5499"/>
    <s v="BTS 5499"/>
    <s v="5002606"/>
    <s v="5499 P50"/>
    <n v="-4"/>
    <n v="-4"/>
    <n v="0"/>
    <x v="8"/>
    <s v="DRMG"/>
    <s v="PRO 50"/>
    <s v="306"/>
    <s v="4.0 UN"/>
    <s v="STANDARD"/>
    <s v="N"/>
    <s v="N"/>
    <s v="N"/>
    <s v="N"/>
    <s v="N"/>
    <s v="N"/>
    <s v="N"/>
    <s v="N"/>
    <s v=""/>
    <m/>
    <s v="10"/>
    <s v="ZSRE"/>
    <s v="ZSRE"/>
    <d v="2016-10-20T00:00:00"/>
    <s v="CA"/>
    <s v="US"/>
    <s v="ZR"/>
    <d v="2016-08-26T00:00:00"/>
  </r>
  <r>
    <x v="1"/>
    <x v="9"/>
    <x v="1433"/>
    <x v="35"/>
    <s v="Standard order"/>
    <x v="1383"/>
    <x v="1378"/>
    <s v="A241"/>
    <s v="BTS AR241"/>
    <s v="5003279"/>
    <s v="AR241 P200 BetaShield"/>
    <n v="148"/>
    <n v="148"/>
    <n v="0"/>
    <x v="9"/>
    <s v="4D15"/>
    <s v="PRO 200"/>
    <s v="308"/>
    <s v="4.0 UN"/>
    <s v="STANDARD"/>
    <s v="N"/>
    <s v="Y"/>
    <s v="N"/>
    <s v="T20"/>
    <s v="N"/>
    <s v="N"/>
    <s v="N"/>
    <s v="N"/>
    <s v=""/>
    <d v="2016-09-12T00:00:00"/>
    <s v="20"/>
    <s v="TAN"/>
    <s v="OR"/>
    <d v="2016-09-12T00:00:00"/>
    <s v="AZ"/>
    <s v="US"/>
    <s v="ZR"/>
    <d v="2016-08-29T00:00:00"/>
  </r>
  <r>
    <x v="1"/>
    <x v="9"/>
    <x v="1434"/>
    <x v="35"/>
    <s v="Standard order"/>
    <x v="1384"/>
    <x v="1379"/>
    <s v="A241"/>
    <s v="BTS AR241"/>
    <s v="5003279"/>
    <s v="AR241 P200 BetaShield"/>
    <n v="96"/>
    <n v="0"/>
    <n v="96"/>
    <x v="9"/>
    <s v="4D15"/>
    <s v="PRO 200"/>
    <s v="308"/>
    <s v="4.0 UN"/>
    <s v="STANDARD"/>
    <s v="N"/>
    <s v="Y"/>
    <s v="N"/>
    <s v="T20"/>
    <s v="N"/>
    <s v="N"/>
    <s v="N"/>
    <s v="N"/>
    <s v=""/>
    <d v="2016-09-12T00:00:00"/>
    <s v="10"/>
    <s v="TAN"/>
    <s v="OR"/>
    <d v="2016-09-12T00:00:00"/>
    <s v="AZ"/>
    <s v="US"/>
    <s v="ZR"/>
    <d v="2016-08-29T00:00:00"/>
  </r>
  <r>
    <x v="1"/>
    <x v="9"/>
    <x v="1434"/>
    <x v="35"/>
    <s v="Standard order"/>
    <x v="1384"/>
    <x v="1379"/>
    <s v="A346"/>
    <s v="BTS AN346"/>
    <s v="5002172"/>
    <s v="AN346 P200 BetaShield"/>
    <n v="36"/>
    <n v="0"/>
    <n v="36"/>
    <x v="9"/>
    <s v="BK71"/>
    <s v="PRO 200"/>
    <s v="308"/>
    <s v="4.0 UN"/>
    <s v="STANDARD"/>
    <s v="N"/>
    <s v="Y"/>
    <s v="N"/>
    <s v="T20"/>
    <s v="N"/>
    <s v="N"/>
    <s v="N"/>
    <s v="N"/>
    <s v=""/>
    <d v="2016-09-12T00:00:00"/>
    <s v="20"/>
    <s v="TAN"/>
    <s v="OR"/>
    <d v="2016-09-12T00:00:00"/>
    <s v="AZ"/>
    <s v="US"/>
    <s v="ZR"/>
    <d v="2016-08-29T00:00:00"/>
  </r>
  <r>
    <x v="1"/>
    <x v="8"/>
    <x v="1435"/>
    <x v="34"/>
    <s v="Standard order"/>
    <x v="1385"/>
    <x v="1380"/>
    <s v="5245"/>
    <s v="BTS 52RR45"/>
    <s v="5002600"/>
    <s v="5245 BTS P50"/>
    <n v="188"/>
    <n v="188"/>
    <n v="0"/>
    <x v="8"/>
    <s v="4D15"/>
    <s v="PRO 50"/>
    <s v="306"/>
    <s v="4.0 UN"/>
    <s v="STANDARD"/>
    <s v="N"/>
    <s v="N"/>
    <s v="N"/>
    <s v="N"/>
    <s v="N"/>
    <s v="N"/>
    <s v="N"/>
    <s v="N"/>
    <s v="B052"/>
    <d v="2016-09-02T00:00:00"/>
    <s v="10"/>
    <s v="TAN"/>
    <s v="OR"/>
    <d v="2016-08-31T00:00:00"/>
    <s v="CA"/>
    <s v="US"/>
    <s v="ZR"/>
    <d v="2016-08-31T00:00:00"/>
  </r>
  <r>
    <x v="1"/>
    <x v="8"/>
    <x v="1435"/>
    <x v="34"/>
    <s v="Standard order"/>
    <x v="1385"/>
    <x v="1380"/>
    <s v="5499"/>
    <s v="BTS 5499"/>
    <s v="5002606"/>
    <s v="5499 BTS P50"/>
    <n v="296"/>
    <n v="296"/>
    <n v="0"/>
    <x v="8"/>
    <s v="DRMG"/>
    <s v="PRO 50"/>
    <s v="306"/>
    <s v="4.0 UN"/>
    <s v="STANDARD"/>
    <s v="N"/>
    <s v="N"/>
    <s v="N"/>
    <s v="N"/>
    <s v="N"/>
    <s v="N"/>
    <s v="N"/>
    <s v="N"/>
    <s v="B052"/>
    <d v="2016-09-02T00:00:00"/>
    <s v="20"/>
    <s v="TAN"/>
    <s v="OR"/>
    <d v="2016-08-31T00:00:00"/>
    <s v="CA"/>
    <s v="US"/>
    <s v="ZR"/>
    <d v="2016-08-31T00:00:00"/>
  </r>
  <r>
    <x v="1"/>
    <x v="8"/>
    <x v="1436"/>
    <x v="34"/>
    <s v="Standard order"/>
    <x v="1386"/>
    <x v="1381"/>
    <s v="5499"/>
    <s v="BTS 5499"/>
    <s v="5002605"/>
    <s v="5499 P100"/>
    <n v="120"/>
    <n v="120"/>
    <n v="0"/>
    <x v="8"/>
    <s v="DRMG"/>
    <s v="PRO 100"/>
    <s v="306"/>
    <s v="4.0 UN"/>
    <s v="STANDARD"/>
    <s v="N"/>
    <s v="N"/>
    <s v="N"/>
    <s v="N"/>
    <s v="N"/>
    <s v="N"/>
    <s v="N"/>
    <s v="N"/>
    <s v=""/>
    <d v="2016-09-07T00:00:00"/>
    <s v="10"/>
    <s v="TAN"/>
    <s v="OR"/>
    <d v="2016-10-05T00:00:00"/>
    <s v="CA"/>
    <s v="US"/>
    <s v="ZR"/>
    <d v="2016-09-07T00:00:00"/>
  </r>
  <r>
    <x v="1"/>
    <x v="9"/>
    <x v="1437"/>
    <x v="35"/>
    <s v="Standard order"/>
    <x v="1362"/>
    <x v="1357"/>
    <s v="A346"/>
    <s v="BTS AN346"/>
    <s v="5002172"/>
    <s v="AN346 P200 BetaShield"/>
    <n v="20"/>
    <n v="20"/>
    <n v="0"/>
    <x v="9"/>
    <s v="BK71"/>
    <s v="PRO 200"/>
    <s v="308"/>
    <s v="4.0 UN"/>
    <s v="STANDARD"/>
    <s v="N"/>
    <s v="Y"/>
    <s v="N"/>
    <s v="T20"/>
    <s v="N"/>
    <s v="N"/>
    <s v="N"/>
    <s v="N"/>
    <s v=""/>
    <d v="2016-09-14T00:00:00"/>
    <s v="20"/>
    <s v="TAN"/>
    <s v="OR"/>
    <d v="2016-09-26T00:00:00"/>
    <s v="AZ"/>
    <s v="US"/>
    <s v="ZR"/>
    <d v="2016-09-14T00:00:00"/>
  </r>
  <r>
    <x v="1"/>
    <x v="8"/>
    <x v="1438"/>
    <x v="34"/>
    <s v="Standard order"/>
    <x v="1387"/>
    <x v="1382"/>
    <s v="541N"/>
    <s v="BTS 541N"/>
    <s v="5002601"/>
    <s v="541N P100"/>
    <n v="100"/>
    <n v="100"/>
    <n v="0"/>
    <x v="8"/>
    <s v="BK71"/>
    <s v="PRO 100"/>
    <s v="306"/>
    <s v="4.0 UN"/>
    <s v="STANDARD"/>
    <s v="N"/>
    <s v="N"/>
    <s v="N"/>
    <s v="N"/>
    <s v="N"/>
    <s v="N"/>
    <s v="N"/>
    <s v="N"/>
    <s v=""/>
    <d v="2016-09-22T00:00:00"/>
    <s v="10"/>
    <s v="TAN"/>
    <s v="OR"/>
    <d v="2016-09-22T00:00:00"/>
    <s v="CA"/>
    <s v="US"/>
    <s v="ZR"/>
    <d v="2016-09-22T00:00:00"/>
  </r>
  <r>
    <x v="1"/>
    <x v="8"/>
    <x v="1438"/>
    <x v="34"/>
    <s v="Standard order"/>
    <x v="1387"/>
    <x v="1382"/>
    <s v="5245"/>
    <s v="BTS 52RR45"/>
    <s v="5002300"/>
    <s v="52RR45 P100"/>
    <n v="100"/>
    <n v="100"/>
    <n v="0"/>
    <x v="8"/>
    <s v="4D15"/>
    <s v="PRO 100"/>
    <s v="306"/>
    <s v="4.0 UN"/>
    <s v="STANDARD"/>
    <s v="N"/>
    <s v="N"/>
    <s v="N"/>
    <s v="N"/>
    <s v="N"/>
    <s v="N"/>
    <s v="N"/>
    <s v="N"/>
    <s v=""/>
    <d v="2016-09-22T00:00:00"/>
    <s v="20"/>
    <s v="TAN"/>
    <s v="OR"/>
    <d v="2016-09-22T00:00:00"/>
    <s v="CA"/>
    <s v="US"/>
    <s v="ZR"/>
    <d v="2016-09-22T00:00:00"/>
  </r>
  <r>
    <x v="1"/>
    <x v="8"/>
    <x v="1438"/>
    <x v="34"/>
    <s v="Standard order"/>
    <x v="1387"/>
    <x v="1382"/>
    <s v="5499"/>
    <s v="BTS 5499"/>
    <s v="5002605"/>
    <s v="5499 P100"/>
    <n v="80"/>
    <n v="80"/>
    <n v="0"/>
    <x v="8"/>
    <s v="DRMG"/>
    <s v="PRO 100"/>
    <s v="306"/>
    <s v="4.0 UN"/>
    <s v="STANDARD"/>
    <s v="N"/>
    <s v="N"/>
    <s v="N"/>
    <s v="N"/>
    <s v="N"/>
    <s v="N"/>
    <s v="N"/>
    <s v="N"/>
    <s v=""/>
    <d v="2016-09-22T00:00:00"/>
    <s v="30"/>
    <s v="TAN"/>
    <s v="OR"/>
    <d v="2016-09-22T00:00:00"/>
    <s v="CA"/>
    <s v="US"/>
    <s v="ZR"/>
    <d v="2016-09-22T00:00:00"/>
  </r>
  <r>
    <x v="1"/>
    <x v="9"/>
    <x v="1439"/>
    <x v="35"/>
    <s v="Standard order"/>
    <x v="1384"/>
    <x v="1379"/>
    <s v="A253"/>
    <s v="BTS AT253"/>
    <s v="5003281"/>
    <s v="AT253 P200 BetaShield"/>
    <n v="132"/>
    <n v="132"/>
    <n v="0"/>
    <x v="9"/>
    <s v="3571"/>
    <s v="PRO 200"/>
    <s v="308"/>
    <s v="4.0 UN"/>
    <s v="STANDARD"/>
    <s v="N"/>
    <s v="Y"/>
    <s v="N"/>
    <s v="T20"/>
    <s v="N"/>
    <s v="N"/>
    <s v="N"/>
    <s v="N"/>
    <s v=""/>
    <d v="2016-10-06T00:00:00"/>
    <s v="10"/>
    <s v="TAN"/>
    <s v="OR"/>
    <d v="2016-10-26T00:00:00"/>
    <s v="AZ"/>
    <s v="US"/>
    <s v="ZR"/>
    <d v="2016-09-27T00:00:00"/>
  </r>
  <r>
    <x v="1"/>
    <x v="8"/>
    <x v="1440"/>
    <x v="34"/>
    <s v="Standard order"/>
    <x v="1369"/>
    <x v="1364"/>
    <s v="541N"/>
    <s v="BTS 541N"/>
    <s v="5002601"/>
    <s v="541N P100"/>
    <n v="60"/>
    <n v="60"/>
    <n v="0"/>
    <x v="8"/>
    <s v="BK71"/>
    <s v="PRO 100"/>
    <s v="306"/>
    <s v="4.0 UN"/>
    <s v="STANDARD"/>
    <s v="N"/>
    <s v="N"/>
    <s v="N"/>
    <s v="N"/>
    <s v="N"/>
    <s v="N"/>
    <s v="N"/>
    <s v="N"/>
    <s v=""/>
    <d v="2016-09-29T00:00:00"/>
    <s v="10"/>
    <s v="TAN"/>
    <s v="OR"/>
    <d v="2016-10-25T00:00:00"/>
    <s v="CA"/>
    <s v="US"/>
    <s v="ZR"/>
    <d v="2016-09-29T00:00:00"/>
  </r>
  <r>
    <x v="1"/>
    <x v="9"/>
    <x v="1441"/>
    <x v="35"/>
    <s v="Standard order"/>
    <x v="1352"/>
    <x v="1347"/>
    <s v="A253"/>
    <s v="BTS AT253"/>
    <s v="5003281"/>
    <s v="AT253 P200 BetaShield"/>
    <n v="60"/>
    <n v="60"/>
    <n v="0"/>
    <x v="9"/>
    <s v="3571"/>
    <s v="PRO 200"/>
    <s v="308"/>
    <s v="4.0 UN"/>
    <s v="STANDARD"/>
    <s v="N"/>
    <s v="Y"/>
    <s v="N"/>
    <s v="T20"/>
    <s v="N"/>
    <s v="N"/>
    <s v="N"/>
    <s v="N"/>
    <s v=""/>
    <d v="2016-09-30T00:00:00"/>
    <s v="10"/>
    <s v="TAN"/>
    <s v="OR"/>
    <d v="2016-10-24T00:00:00"/>
    <s v="AZ"/>
    <s v="US"/>
    <s v="ZR"/>
    <d v="2016-09-30T00:00:00"/>
  </r>
  <r>
    <x v="1"/>
    <x v="8"/>
    <x v="1442"/>
    <x v="34"/>
    <s v="Standard order"/>
    <x v="1358"/>
    <x v="1353"/>
    <s v="5245"/>
    <s v="BTS 52RR45"/>
    <s v="5002600"/>
    <s v="52RR45 P50"/>
    <n v="76"/>
    <n v="76"/>
    <n v="0"/>
    <x v="8"/>
    <s v="4D15"/>
    <s v="PRO 50"/>
    <s v="306"/>
    <s v="4.0 UN"/>
    <s v="STANDARD"/>
    <s v="N"/>
    <s v="N"/>
    <s v="N"/>
    <s v="N"/>
    <s v="N"/>
    <s v="N"/>
    <s v="N"/>
    <s v="N"/>
    <s v=""/>
    <d v="2016-10-01T00:00:00"/>
    <s v="10"/>
    <s v="TAN"/>
    <s v="OR"/>
    <d v="2016-12-08T00:00:00"/>
    <s v="CA"/>
    <s v="US"/>
    <s v="ZR"/>
    <d v="2016-10-01T00:00:00"/>
  </r>
  <r>
    <x v="1"/>
    <x v="8"/>
    <x v="1443"/>
    <x v="34"/>
    <s v="Replant Order"/>
    <x v="1381"/>
    <x v="1376"/>
    <s v="5499"/>
    <s v="BTS 5499"/>
    <s v="5002606"/>
    <s v="5499 P50"/>
    <n v="42"/>
    <n v="42"/>
    <n v="0"/>
    <x v="8"/>
    <s v="DRMG"/>
    <s v="PRO 50"/>
    <s v="306"/>
    <s v="4.0 UN"/>
    <s v="STANDARD"/>
    <s v="N"/>
    <s v="N"/>
    <s v="N"/>
    <s v="N"/>
    <s v="N"/>
    <s v="N"/>
    <s v="N"/>
    <s v="N"/>
    <s v=""/>
    <d v="2016-10-01T00:00:00"/>
    <s v="10"/>
    <s v="TAN"/>
    <s v="ZRPU"/>
    <d v="2016-10-27T00:00:00"/>
    <s v="CA"/>
    <s v="US"/>
    <s v="ZR"/>
    <d v="2016-10-01T00:00:00"/>
  </r>
  <r>
    <x v="1"/>
    <x v="8"/>
    <x v="1444"/>
    <x v="34"/>
    <s v="Standard order"/>
    <x v="1381"/>
    <x v="1376"/>
    <s v="5499"/>
    <s v="BTS 5499"/>
    <s v="5002606"/>
    <s v="5499 P50"/>
    <n v="4"/>
    <n v="4"/>
    <n v="0"/>
    <x v="8"/>
    <s v="DRMG"/>
    <s v="PRO 50"/>
    <s v="306"/>
    <s v="4.0 UN"/>
    <s v="STANDARD"/>
    <s v="N"/>
    <s v="N"/>
    <s v="N"/>
    <s v="N"/>
    <s v="N"/>
    <s v="N"/>
    <s v="N"/>
    <s v="N"/>
    <s v=""/>
    <d v="2016-10-01T00:00:00"/>
    <s v="10"/>
    <s v="TAN"/>
    <s v="ZTAS"/>
    <d v="2016-10-27T00:00:00"/>
    <s v="CA"/>
    <s v="US"/>
    <s v="ZR"/>
    <d v="2016-10-01T00:00:00"/>
  </r>
  <r>
    <x v="1"/>
    <x v="8"/>
    <x v="1445"/>
    <x v="34"/>
    <s v="Standard order"/>
    <x v="1353"/>
    <x v="1348"/>
    <s v="5499"/>
    <s v="BTS 5499"/>
    <s v="5002606"/>
    <s v="5499 P50"/>
    <n v="152"/>
    <n v="152"/>
    <n v="0"/>
    <x v="8"/>
    <s v="DRMG"/>
    <s v="PRO 50"/>
    <s v="306"/>
    <s v="4.0 UN"/>
    <s v="STANDARD"/>
    <s v="N"/>
    <s v="N"/>
    <s v="N"/>
    <s v="N"/>
    <s v="N"/>
    <s v="N"/>
    <s v="N"/>
    <s v="N"/>
    <s v=""/>
    <d v="2016-10-01T00:00:00"/>
    <s v="10"/>
    <s v="TAN"/>
    <s v="OR"/>
    <d v="2016-10-19T00:00:00"/>
    <s v="CA"/>
    <s v="US"/>
    <s v="ZR"/>
    <d v="2016-10-01T00:00:00"/>
  </r>
  <r>
    <x v="1"/>
    <x v="8"/>
    <x v="1446"/>
    <x v="34"/>
    <s v="Standard order"/>
    <x v="1359"/>
    <x v="1354"/>
    <s v="5499"/>
    <s v="BTS 5499"/>
    <s v="5002606"/>
    <s v="5499 P50"/>
    <n v="80"/>
    <n v="80"/>
    <n v="0"/>
    <x v="8"/>
    <s v="DRMG"/>
    <s v="PRO 50"/>
    <s v="306"/>
    <s v="4.0 UN"/>
    <s v="STANDARD"/>
    <s v="N"/>
    <s v="N"/>
    <s v="N"/>
    <s v="N"/>
    <s v="N"/>
    <s v="N"/>
    <s v="N"/>
    <s v="N"/>
    <s v=""/>
    <d v="2016-10-01T00:00:00"/>
    <s v="10"/>
    <s v="TAN"/>
    <s v="OR"/>
    <d v="2016-10-19T00:00:00"/>
    <s v="CA"/>
    <s v="US"/>
    <s v="ZR"/>
    <d v="2016-10-01T00:00:00"/>
  </r>
  <r>
    <x v="1"/>
    <x v="8"/>
    <x v="1447"/>
    <x v="34"/>
    <s v="Replant Order"/>
    <x v="1381"/>
    <x v="1376"/>
    <s v="5499"/>
    <s v="BTS 5499"/>
    <s v="5002606"/>
    <s v="5499 P50"/>
    <n v="16"/>
    <n v="16"/>
    <n v="0"/>
    <x v="8"/>
    <s v="DRMG"/>
    <s v="PRO 50"/>
    <s v="306"/>
    <s v="4.0 UN"/>
    <s v="STANDARD"/>
    <s v="N"/>
    <s v="N"/>
    <s v="N"/>
    <s v="N"/>
    <s v="N"/>
    <s v="N"/>
    <s v="N"/>
    <s v="N"/>
    <s v=""/>
    <d v="2016-10-02T00:00:00"/>
    <s v="10"/>
    <s v="TAN"/>
    <s v="ZRPU"/>
    <d v="2016-10-27T00:00:00"/>
    <s v="CA"/>
    <s v="US"/>
    <s v="ZR"/>
    <d v="2016-10-02T00:00:00"/>
  </r>
  <r>
    <x v="1"/>
    <x v="8"/>
    <x v="1448"/>
    <x v="34"/>
    <s v="Returns Standard SAP"/>
    <x v="1373"/>
    <x v="1368"/>
    <s v="5499"/>
    <s v="BTS 5499"/>
    <s v="5002606"/>
    <s v="5499 P50"/>
    <n v="-20"/>
    <n v="-20"/>
    <n v="0"/>
    <x v="8"/>
    <s v="DRMG"/>
    <s v="PRO 50"/>
    <s v="306"/>
    <s v="4.0 UN"/>
    <s v="STANDARD"/>
    <s v="N"/>
    <s v="N"/>
    <s v="N"/>
    <s v="N"/>
    <s v="N"/>
    <s v="N"/>
    <s v="N"/>
    <s v="N"/>
    <s v=""/>
    <m/>
    <s v="10"/>
    <s v="ZSRE"/>
    <s v="ZSRE"/>
    <d v="2016-10-20T00:00:00"/>
    <s v="CA"/>
    <s v="US"/>
    <s v="ZR"/>
    <d v="2016-10-06T00:00:00"/>
  </r>
  <r>
    <x v="1"/>
    <x v="8"/>
    <x v="1448"/>
    <x v="34"/>
    <s v="Returns Standard SAP"/>
    <x v="1373"/>
    <x v="1368"/>
    <s v="5245"/>
    <s v="BTS 52RR45"/>
    <s v="5002600"/>
    <s v="52RR45 P50"/>
    <n v="-4"/>
    <n v="-4"/>
    <n v="0"/>
    <x v="8"/>
    <s v="4D15"/>
    <s v="PRO 50"/>
    <s v="306"/>
    <s v="4.0 UN"/>
    <s v="STANDARD"/>
    <s v="N"/>
    <s v="N"/>
    <s v="N"/>
    <s v="N"/>
    <s v="N"/>
    <s v="N"/>
    <s v="N"/>
    <s v="N"/>
    <s v=""/>
    <m/>
    <s v="20"/>
    <s v="ZSRE"/>
    <s v="ZSRE"/>
    <d v="2016-10-20T00:00:00"/>
    <s v="CA"/>
    <s v="US"/>
    <s v="ZR"/>
    <d v="2016-10-06T00:00:00"/>
  </r>
  <r>
    <x v="1"/>
    <x v="8"/>
    <x v="1448"/>
    <x v="34"/>
    <s v="Returns Standard SAP"/>
    <x v="1373"/>
    <x v="1368"/>
    <s v="541N"/>
    <s v="BTS 541N"/>
    <s v="5002602"/>
    <s v="541N P50"/>
    <n v="-4"/>
    <n v="-4"/>
    <n v="0"/>
    <x v="8"/>
    <s v="BK71"/>
    <s v="PRO 50"/>
    <s v="306"/>
    <s v="4.0 UN"/>
    <s v="STANDARD"/>
    <s v="N"/>
    <s v="N"/>
    <s v="N"/>
    <s v="N"/>
    <s v="N"/>
    <s v="N"/>
    <s v="N"/>
    <s v="N"/>
    <s v=""/>
    <m/>
    <s v="30"/>
    <s v="ZSRE"/>
    <s v="ZSRE"/>
    <d v="2016-10-20T00:00:00"/>
    <s v="CA"/>
    <s v="US"/>
    <s v="ZR"/>
    <d v="2016-10-06T00:00:00"/>
  </r>
  <r>
    <x v="1"/>
    <x v="8"/>
    <x v="1449"/>
    <x v="34"/>
    <s v="Standard order"/>
    <x v="1386"/>
    <x v="1381"/>
    <s v="5499"/>
    <s v="BTS 5499"/>
    <s v="5002606"/>
    <s v="5499 P50"/>
    <n v="64"/>
    <n v="64"/>
    <n v="0"/>
    <x v="8"/>
    <s v="DRMG"/>
    <s v="PRO 50"/>
    <s v="306"/>
    <s v="4.0 UN"/>
    <s v="STANDARD"/>
    <s v="N"/>
    <s v="N"/>
    <s v="N"/>
    <s v="N"/>
    <s v="N"/>
    <s v="N"/>
    <s v="N"/>
    <s v="N"/>
    <s v=""/>
    <d v="2016-10-07T00:00:00"/>
    <s v="10"/>
    <s v="TAN"/>
    <s v="ZTAS"/>
    <d v="2016-10-24T00:00:00"/>
    <s v="CA"/>
    <s v="US"/>
    <s v="ZR"/>
    <d v="2016-10-07T00:00:00"/>
  </r>
  <r>
    <x v="1"/>
    <x v="7"/>
    <x v="1450"/>
    <x v="31"/>
    <s v="Standard order"/>
    <x v="1336"/>
    <x v="1333"/>
    <s v="8052"/>
    <s v="BTS 80RR52"/>
    <s v="5002734"/>
    <s v="8052 BTS T35 PB SS P200"/>
    <n v="420"/>
    <n v="0"/>
    <n v="420"/>
    <x v="7"/>
    <s v="AP82"/>
    <s v="PRO 200"/>
    <s v="333"/>
    <s v="4.0 UN"/>
    <s v="STANDARD"/>
    <s v="N"/>
    <s v="Y"/>
    <s v="N"/>
    <s v="T35"/>
    <s v="Y"/>
    <s v="N"/>
    <s v="Y"/>
    <s v="N"/>
    <s v="B052"/>
    <d v="2016-10-13T00:00:00"/>
    <s v="10"/>
    <s v="TAN"/>
    <s v="OR"/>
    <d v="2016-10-07T00:00:00"/>
    <s v="ND"/>
    <s v="US"/>
    <s v="ZR"/>
    <d v="2016-10-07T00:00:00"/>
  </r>
  <r>
    <x v="1"/>
    <x v="7"/>
    <x v="1450"/>
    <x v="31"/>
    <s v="Standard order"/>
    <x v="1336"/>
    <x v="1333"/>
    <s v="8524"/>
    <s v="BTS 8524"/>
    <s v="5002895"/>
    <s v="8524 BTS T35 PB SS P200"/>
    <n v="80"/>
    <n v="0"/>
    <n v="80"/>
    <x v="7"/>
    <s v="FWND"/>
    <s v="PRO 200"/>
    <s v="333"/>
    <s v="4.0 UN"/>
    <s v="STANDARD"/>
    <s v="N"/>
    <s v="Y"/>
    <s v="N"/>
    <s v="T35"/>
    <s v="Y"/>
    <s v="N"/>
    <s v="Y"/>
    <s v="N"/>
    <s v="B052"/>
    <d v="2016-10-13T00:00:00"/>
    <s v="20"/>
    <s v="TAN"/>
    <s v="OR"/>
    <d v="2016-10-07T00:00:00"/>
    <s v="ND"/>
    <s v="US"/>
    <s v="ZR"/>
    <d v="2016-10-07T00:00:00"/>
  </r>
  <r>
    <x v="1"/>
    <x v="7"/>
    <x v="1451"/>
    <x v="36"/>
    <s v="Standard order"/>
    <x v="1388"/>
    <x v="1383"/>
    <s v="8337"/>
    <s v="BTS 8337"/>
    <s v="5002799"/>
    <s v="8337 BTS T35 SYSTIVA RP"/>
    <n v="60"/>
    <n v="0"/>
    <n v="60"/>
    <x v="7"/>
    <s v="DHMC"/>
    <s v="RP"/>
    <s v="334"/>
    <s v="4.0 UN"/>
    <s v="STANDARD"/>
    <s v="N"/>
    <s v="N"/>
    <s v="N"/>
    <s v="T35"/>
    <s v="Y"/>
    <s v="N"/>
    <s v="Y"/>
    <s v="N"/>
    <s v="B027"/>
    <d v="2016-10-13T00:00:00"/>
    <s v="40"/>
    <s v="TAN"/>
    <s v="OR"/>
    <d v="2016-10-07T00:00:00"/>
    <s v="MN"/>
    <s v="US"/>
    <s v="ZR"/>
    <d v="2016-10-07T00:00:00"/>
  </r>
  <r>
    <x v="1"/>
    <x v="7"/>
    <x v="1451"/>
    <x v="36"/>
    <s v="Standard order"/>
    <x v="1388"/>
    <x v="1383"/>
    <s v="8572"/>
    <s v="BTS 8572"/>
    <s v="5003219"/>
    <s v="8572 BTS T35 SS RP"/>
    <n v="92"/>
    <n v="0"/>
    <n v="92"/>
    <x v="7"/>
    <s v="FENB"/>
    <s v="RP"/>
    <s v="334"/>
    <s v="4.0 UN"/>
    <s v="STANDARD"/>
    <s v="N"/>
    <s v="N"/>
    <s v="N"/>
    <s v="T35"/>
    <s v="Y"/>
    <s v="N"/>
    <s v="Y"/>
    <s v="N"/>
    <s v="B052"/>
    <d v="2016-10-13T00:00:00"/>
    <s v="20"/>
    <s v="TAN"/>
    <s v="OR"/>
    <d v="2016-10-07T00:00:00"/>
    <s v="MN"/>
    <s v="US"/>
    <s v="ZR"/>
    <d v="2016-10-07T00:00:00"/>
  </r>
  <r>
    <x v="1"/>
    <x v="7"/>
    <x v="1452"/>
    <x v="31"/>
    <s v="Standard order"/>
    <x v="1389"/>
    <x v="1384"/>
    <s v="8524"/>
    <s v="BTS 8524"/>
    <s v="5002896"/>
    <s v="8524 BTS T35 PB SS RP"/>
    <n v="68"/>
    <n v="0"/>
    <n v="68"/>
    <x v="7"/>
    <s v="FWND"/>
    <s v="RP"/>
    <s v="333"/>
    <s v="4.0 UN"/>
    <s v="STANDARD"/>
    <s v="N"/>
    <s v="Y"/>
    <s v="N"/>
    <s v="T35"/>
    <s v="Y"/>
    <s v="N"/>
    <s v="Y"/>
    <s v="N"/>
    <s v="B052"/>
    <d v="2016-10-13T00:00:00"/>
    <s v="10"/>
    <s v="TAN"/>
    <s v="OR"/>
    <d v="2016-10-07T00:00:00"/>
    <s v="ND"/>
    <s v="US"/>
    <s v="ZR"/>
    <d v="2016-10-07T00:00:00"/>
  </r>
  <r>
    <x v="1"/>
    <x v="7"/>
    <x v="1452"/>
    <x v="31"/>
    <s v="Standard order"/>
    <x v="1389"/>
    <x v="1384"/>
    <s v="8337"/>
    <s v="BTS 8337"/>
    <s v="5002795"/>
    <s v="8337 BTS T35 PB SS RP"/>
    <n v="12"/>
    <n v="0"/>
    <n v="12"/>
    <x v="7"/>
    <s v="DHMC"/>
    <s v="RP"/>
    <s v="333"/>
    <s v="4.0 UN"/>
    <s v="STANDARD"/>
    <s v="N"/>
    <s v="Y"/>
    <s v="N"/>
    <s v="T35"/>
    <s v="Y"/>
    <s v="N"/>
    <s v="Y"/>
    <s v="N"/>
    <s v="B052"/>
    <d v="2016-10-13T00:00:00"/>
    <s v="20"/>
    <s v="TAN"/>
    <s v="OR"/>
    <d v="2016-10-07T00:00:00"/>
    <s v="ND"/>
    <s v="US"/>
    <s v="ZR"/>
    <d v="2016-10-07T00:00:00"/>
  </r>
  <r>
    <x v="1"/>
    <x v="8"/>
    <x v="1453"/>
    <x v="34"/>
    <s v="Replant Order"/>
    <x v="1373"/>
    <x v="1368"/>
    <s v="5499"/>
    <s v="BTS 5499"/>
    <s v="5002606"/>
    <s v="5499 P50"/>
    <n v="36"/>
    <n v="36"/>
    <n v="0"/>
    <x v="8"/>
    <s v="DRMG"/>
    <s v="PRO 50"/>
    <s v="306"/>
    <s v="4.0 UN"/>
    <s v="STANDARD"/>
    <s v="N"/>
    <s v="N"/>
    <s v="N"/>
    <s v="N"/>
    <s v="N"/>
    <s v="N"/>
    <s v="N"/>
    <s v="N"/>
    <s v=""/>
    <d v="2016-10-07T00:00:00"/>
    <s v="10"/>
    <s v="TAN"/>
    <s v="ZRPU"/>
    <d v="2016-10-20T00:00:00"/>
    <s v="CA"/>
    <s v="US"/>
    <s v="ZR"/>
    <d v="2016-10-07T00:00:00"/>
  </r>
  <r>
    <x v="1"/>
    <x v="7"/>
    <x v="1454"/>
    <x v="28"/>
    <s v="Standard order"/>
    <x v="1390"/>
    <x v="1385"/>
    <s v="8052"/>
    <s v="BTS 80RR52"/>
    <s v="5002735"/>
    <s v="8052 BTS T35 PB SS RP"/>
    <n v="96"/>
    <n v="0"/>
    <n v="96"/>
    <x v="7"/>
    <s v="AP82"/>
    <s v="RP"/>
    <s v="333"/>
    <s v="4.0 UN"/>
    <s v="STANDARD"/>
    <s v="N"/>
    <s v="Y"/>
    <s v="N"/>
    <s v="T35"/>
    <s v="Y"/>
    <s v="N"/>
    <s v="Y"/>
    <s v="N"/>
    <s v="B056"/>
    <d v="2016-10-14T00:00:00"/>
    <s v="10"/>
    <s v="TAN"/>
    <s v="OR"/>
    <d v="2016-10-11T00:00:00"/>
    <s v="ND"/>
    <s v="US"/>
    <s v="ZR"/>
    <d v="2016-10-11T00:00:00"/>
  </r>
  <r>
    <x v="1"/>
    <x v="8"/>
    <x v="1455"/>
    <x v="34"/>
    <s v="Returns Standard SAP"/>
    <x v="1348"/>
    <x v="1343"/>
    <s v="5499"/>
    <s v="BTS 5499"/>
    <s v="5002606"/>
    <s v="5499 P50"/>
    <n v="-48"/>
    <n v="-48"/>
    <n v="0"/>
    <x v="8"/>
    <s v="DRMG"/>
    <s v="PRO 50"/>
    <s v="306"/>
    <s v="4.0 UN"/>
    <s v="STANDARD"/>
    <s v="N"/>
    <s v="N"/>
    <s v="N"/>
    <s v="N"/>
    <s v="N"/>
    <s v="N"/>
    <s v="N"/>
    <s v="N"/>
    <s v=""/>
    <m/>
    <s v="10"/>
    <s v="ZSRE"/>
    <s v="ZSRE"/>
    <d v="2016-10-24T00:00:00"/>
    <s v="CA"/>
    <s v="US"/>
    <s v="ZR"/>
    <d v="2016-10-12T00:00:00"/>
  </r>
  <r>
    <x v="1"/>
    <x v="8"/>
    <x v="1456"/>
    <x v="34"/>
    <s v="Replant Order"/>
    <x v="1348"/>
    <x v="1343"/>
    <s v="541N"/>
    <s v="BTS 541N"/>
    <s v="5002602"/>
    <s v="541N P50"/>
    <n v="48"/>
    <n v="48"/>
    <n v="0"/>
    <x v="8"/>
    <s v="BK71"/>
    <s v="PRO 50"/>
    <s v="306"/>
    <s v="4.0 UN"/>
    <s v="STANDARD"/>
    <s v="N"/>
    <s v="N"/>
    <s v="N"/>
    <s v="N"/>
    <s v="N"/>
    <s v="N"/>
    <s v="N"/>
    <s v="N"/>
    <s v=""/>
    <d v="2016-10-24T00:00:00"/>
    <s v="10"/>
    <s v="TAN"/>
    <s v="ZRPU"/>
    <d v="2016-10-24T00:00:00"/>
    <s v="CA"/>
    <s v="US"/>
    <s v="ZR"/>
    <d v="2016-10-12T00:00:00"/>
  </r>
  <r>
    <x v="1"/>
    <x v="8"/>
    <x v="1457"/>
    <x v="34"/>
    <s v="Returns Standard SAP"/>
    <x v="1350"/>
    <x v="1345"/>
    <s v="5245"/>
    <s v="BTS 52RR45"/>
    <s v="5002600"/>
    <s v="52RR45 P50"/>
    <n v="-24"/>
    <n v="-24"/>
    <n v="0"/>
    <x v="8"/>
    <s v="4D15"/>
    <s v="PRO 50"/>
    <s v="306"/>
    <s v="4.0 UN"/>
    <s v="STANDARD"/>
    <s v="N"/>
    <s v="N"/>
    <s v="N"/>
    <s v="N"/>
    <s v="N"/>
    <s v="N"/>
    <s v="N"/>
    <s v="N"/>
    <s v=""/>
    <m/>
    <s v="10"/>
    <s v="ZSRE"/>
    <s v="ZSRE"/>
    <d v="2016-10-27T00:00:00"/>
    <s v="CA"/>
    <s v="US"/>
    <s v="ZR"/>
    <d v="2016-10-12T00:00:00"/>
  </r>
  <r>
    <x v="1"/>
    <x v="7"/>
    <x v="1458"/>
    <x v="36"/>
    <s v="Standard order"/>
    <x v="1391"/>
    <x v="1386"/>
    <s v="8500"/>
    <s v="BTS 8500"/>
    <s v="5002856"/>
    <s v="8500 BTS T35 PB SYSTIVA RP"/>
    <n v="32"/>
    <n v="0"/>
    <n v="32"/>
    <x v="7"/>
    <s v="FTND"/>
    <s v="RP"/>
    <s v="333"/>
    <s v="4.0 UN"/>
    <s v="STANDARD"/>
    <s v="N"/>
    <s v="Y"/>
    <s v="N"/>
    <s v="T35"/>
    <s v="Y"/>
    <s v="N"/>
    <s v="Y"/>
    <s v="N"/>
    <s v="B027"/>
    <d v="2016-10-17T00:00:00"/>
    <s v="20"/>
    <s v="TAN"/>
    <s v="OR"/>
    <d v="2016-10-11T00:00:00"/>
    <s v="MN"/>
    <s v="US"/>
    <s v="ZR"/>
    <d v="2016-10-12T00:00:00"/>
  </r>
  <r>
    <x v="1"/>
    <x v="8"/>
    <x v="1459"/>
    <x v="34"/>
    <s v="Standard order"/>
    <x v="1357"/>
    <x v="1352"/>
    <s v="541N"/>
    <s v="BTS 541N"/>
    <s v="5002601"/>
    <s v="541N P100"/>
    <n v="20"/>
    <n v="20"/>
    <n v="0"/>
    <x v="8"/>
    <s v="BK71"/>
    <s v="PRO 100"/>
    <s v="306"/>
    <s v="4.0 UN"/>
    <s v="STANDARD"/>
    <s v="N"/>
    <s v="N"/>
    <s v="N"/>
    <s v="N"/>
    <s v="N"/>
    <s v="N"/>
    <s v="N"/>
    <s v="N"/>
    <s v=""/>
    <d v="2016-10-12T00:00:00"/>
    <s v="10"/>
    <s v="TAN"/>
    <s v="OR"/>
    <d v="2016-10-19T00:00:00"/>
    <s v="CA"/>
    <s v="US"/>
    <s v="ZR"/>
    <d v="2016-10-12T00:00:00"/>
  </r>
  <r>
    <x v="1"/>
    <x v="8"/>
    <x v="1460"/>
    <x v="34"/>
    <s v="Replant Order"/>
    <x v="1353"/>
    <x v="1348"/>
    <s v="5499"/>
    <s v="BTS 5499"/>
    <s v="5002606"/>
    <s v="5499 P50"/>
    <n v="224"/>
    <n v="224"/>
    <n v="0"/>
    <x v="8"/>
    <s v="DRMG"/>
    <s v="PRO 50"/>
    <s v="306"/>
    <s v="4.0 UN"/>
    <s v="STANDARD"/>
    <s v="N"/>
    <s v="N"/>
    <s v="N"/>
    <s v="N"/>
    <s v="N"/>
    <s v="N"/>
    <s v="N"/>
    <s v="N"/>
    <s v=""/>
    <d v="2016-10-12T00:00:00"/>
    <s v="10"/>
    <s v="TAN"/>
    <s v="ZRPU"/>
    <d v="2016-10-19T00:00:00"/>
    <s v="CA"/>
    <s v="US"/>
    <s v="ZR"/>
    <d v="2016-10-12T00:00:00"/>
  </r>
  <r>
    <x v="1"/>
    <x v="8"/>
    <x v="1461"/>
    <x v="34"/>
    <s v="Replant Order"/>
    <x v="1377"/>
    <x v="1372"/>
    <s v="5245"/>
    <s v="BTS 52RR45"/>
    <s v="5002600"/>
    <s v="52RR45 P50"/>
    <n v="24"/>
    <n v="24"/>
    <n v="0"/>
    <x v="8"/>
    <s v="4D15"/>
    <s v="PRO 50"/>
    <s v="306"/>
    <s v="4.0 UN"/>
    <s v="STANDARD"/>
    <s v="N"/>
    <s v="N"/>
    <s v="N"/>
    <s v="N"/>
    <s v="N"/>
    <s v="N"/>
    <s v="N"/>
    <s v="N"/>
    <s v=""/>
    <d v="2016-10-12T00:00:00"/>
    <s v="10"/>
    <s v="TAN"/>
    <s v="ZRPU"/>
    <d v="2016-10-19T00:00:00"/>
    <s v="CA"/>
    <s v="US"/>
    <s v="ZR"/>
    <d v="2016-10-12T00:00:00"/>
  </r>
  <r>
    <x v="1"/>
    <x v="8"/>
    <x v="1461"/>
    <x v="34"/>
    <s v="Replant Order"/>
    <x v="1377"/>
    <x v="1372"/>
    <s v="5245"/>
    <s v="BTS 52RR45"/>
    <s v="5002600"/>
    <s v="52RR45 P50"/>
    <n v="24"/>
    <n v="24"/>
    <n v="0"/>
    <x v="8"/>
    <s v="4D15"/>
    <s v="PRO 50"/>
    <s v="306"/>
    <s v="4.0 UN"/>
    <s v="STANDARD"/>
    <s v="N"/>
    <s v="N"/>
    <s v="N"/>
    <s v="N"/>
    <s v="N"/>
    <s v="N"/>
    <s v="N"/>
    <s v="N"/>
    <s v=""/>
    <d v="2016-10-12T00:00:00"/>
    <s v="20"/>
    <s v="TAN"/>
    <s v="ZRPU"/>
    <d v="2016-10-19T00:00:00"/>
    <s v="CA"/>
    <s v="US"/>
    <s v="ZR"/>
    <d v="2016-10-12T00:00:00"/>
  </r>
  <r>
    <x v="1"/>
    <x v="8"/>
    <x v="1461"/>
    <x v="34"/>
    <s v="Replant Order"/>
    <x v="1377"/>
    <x v="1372"/>
    <s v="541N"/>
    <s v="BTS 541N"/>
    <s v="5002602"/>
    <s v="541N P50"/>
    <n v="12"/>
    <n v="12"/>
    <n v="0"/>
    <x v="8"/>
    <s v="BK71"/>
    <s v="PRO 50"/>
    <s v="306"/>
    <s v="4.0 UN"/>
    <s v="STANDARD"/>
    <s v="N"/>
    <s v="N"/>
    <s v="N"/>
    <s v="N"/>
    <s v="N"/>
    <s v="N"/>
    <s v="N"/>
    <s v="N"/>
    <s v=""/>
    <d v="2016-10-12T00:00:00"/>
    <s v="30"/>
    <s v="TAN"/>
    <s v="ZRPU"/>
    <d v="2016-10-19T00:00:00"/>
    <s v="CA"/>
    <s v="US"/>
    <s v="ZR"/>
    <d v="2016-10-12T00:00:00"/>
  </r>
  <r>
    <x v="1"/>
    <x v="9"/>
    <x v="1462"/>
    <x v="35"/>
    <s v="Standard order"/>
    <x v="1392"/>
    <x v="1387"/>
    <s v="A241"/>
    <s v="BTS AR241"/>
    <s v="5003279"/>
    <s v="AR241 P200 BetaShield"/>
    <n v="60"/>
    <n v="60"/>
    <n v="0"/>
    <x v="9"/>
    <s v="4D15"/>
    <s v="PRO 200"/>
    <s v="308"/>
    <s v="4.0 UN"/>
    <s v="STANDARD"/>
    <s v="N"/>
    <s v="Y"/>
    <s v="N"/>
    <s v="T20"/>
    <s v="N"/>
    <s v="N"/>
    <s v="N"/>
    <s v="N"/>
    <s v=""/>
    <d v="2016-10-14T00:00:00"/>
    <s v="10"/>
    <s v="TAN"/>
    <s v="OR"/>
    <d v="2016-10-26T00:00:00"/>
    <s v="AZ"/>
    <s v="US"/>
    <s v="ZR"/>
    <d v="2016-10-14T00:00:00"/>
  </r>
  <r>
    <x v="1"/>
    <x v="8"/>
    <x v="1463"/>
    <x v="34"/>
    <s v="Replant Order"/>
    <x v="1353"/>
    <x v="1348"/>
    <s v="5499"/>
    <s v="BTS 5499"/>
    <s v="5002606"/>
    <s v="5499 P50"/>
    <n v="20"/>
    <n v="20"/>
    <n v="0"/>
    <x v="8"/>
    <s v="DRMG"/>
    <s v="PRO 50"/>
    <s v="306"/>
    <s v="4.0 UN"/>
    <s v="STANDARD"/>
    <s v="N"/>
    <s v="N"/>
    <s v="N"/>
    <s v="N"/>
    <s v="N"/>
    <s v="N"/>
    <s v="N"/>
    <s v="N"/>
    <s v=""/>
    <d v="2016-10-14T00:00:00"/>
    <s v="10"/>
    <s v="TAN"/>
    <s v="ZRPU"/>
    <d v="2016-10-19T00:00:00"/>
    <s v="CA"/>
    <s v="US"/>
    <s v="ZR"/>
    <d v="2016-10-14T00:00:00"/>
  </r>
  <r>
    <x v="1"/>
    <x v="7"/>
    <x v="1464"/>
    <x v="37"/>
    <s v="Standard order"/>
    <x v="1393"/>
    <x v="1388"/>
    <s v="8233"/>
    <s v="BTS 82RR33"/>
    <s v="5002775"/>
    <s v="8233 BTS T35 PB SS RP"/>
    <n v="80"/>
    <n v="0"/>
    <n v="80"/>
    <x v="7"/>
    <s v="DRMC"/>
    <s v="RP"/>
    <s v="333"/>
    <s v="4.0 UN"/>
    <s v="STANDARD"/>
    <s v="N"/>
    <s v="Y"/>
    <s v="N"/>
    <s v="T35"/>
    <s v="Y"/>
    <s v="N"/>
    <s v="Y"/>
    <s v="N"/>
    <s v="B033"/>
    <d v="2016-10-20T00:00:00"/>
    <s v="10"/>
    <s v="TAN"/>
    <s v="OR"/>
    <d v="2016-10-17T00:00:00"/>
    <s v="ND"/>
    <s v="US"/>
    <s v="ZR"/>
    <d v="2016-10-17T00:00:00"/>
  </r>
  <r>
    <x v="1"/>
    <x v="7"/>
    <x v="1465"/>
    <x v="33"/>
    <s v="Standard order"/>
    <x v="1394"/>
    <x v="1389"/>
    <s v="8337"/>
    <s v="BTS 8337"/>
    <s v="5002794"/>
    <s v="8337 BTS T35 PB SS P200"/>
    <n v="48"/>
    <n v="0"/>
    <n v="48"/>
    <x v="7"/>
    <s v="DHMC"/>
    <s v="PRO 200"/>
    <s v="333"/>
    <s v="4.0 UN"/>
    <s v="STANDARD"/>
    <s v="N"/>
    <s v="Y"/>
    <s v="N"/>
    <s v="T35"/>
    <s v="Y"/>
    <s v="N"/>
    <s v="Y"/>
    <s v="N"/>
    <s v="B026"/>
    <d v="2016-10-20T00:00:00"/>
    <s v="10"/>
    <s v="TAN"/>
    <s v="OR"/>
    <d v="2016-10-17T00:00:00"/>
    <s v="MN"/>
    <s v="US"/>
    <s v="ZR"/>
    <d v="2016-10-17T00:00:00"/>
  </r>
  <r>
    <x v="1"/>
    <x v="7"/>
    <x v="1465"/>
    <x v="33"/>
    <s v="Standard order"/>
    <x v="1394"/>
    <x v="1389"/>
    <s v="8524"/>
    <s v="BTS 8524"/>
    <s v="5002895"/>
    <s v="8524 BTS T35 PB SS P200"/>
    <n v="48"/>
    <n v="0"/>
    <n v="48"/>
    <x v="7"/>
    <s v="FWND"/>
    <s v="PRO 200"/>
    <s v="333"/>
    <s v="4.0 UN"/>
    <s v="STANDARD"/>
    <s v="N"/>
    <s v="Y"/>
    <s v="N"/>
    <s v="T35"/>
    <s v="Y"/>
    <s v="N"/>
    <s v="Y"/>
    <s v="N"/>
    <s v="B026"/>
    <d v="2016-10-20T00:00:00"/>
    <s v="20"/>
    <s v="TAN"/>
    <s v="OR"/>
    <d v="2016-10-17T00:00:00"/>
    <s v="MN"/>
    <s v="US"/>
    <s v="ZR"/>
    <d v="2016-10-17T00:00:00"/>
  </r>
  <r>
    <x v="1"/>
    <x v="7"/>
    <x v="1466"/>
    <x v="37"/>
    <s v="Standard order"/>
    <x v="1395"/>
    <x v="1390"/>
    <s v="8233"/>
    <s v="BTS 82RR33"/>
    <s v="5002775"/>
    <s v="8233 BTS T35 PB SS RP"/>
    <n v="116"/>
    <n v="0"/>
    <n v="116"/>
    <x v="7"/>
    <s v="DRMC"/>
    <s v="RP"/>
    <s v="333"/>
    <s v="4.0 UN"/>
    <s v="STANDARD"/>
    <s v="N"/>
    <s v="Y"/>
    <s v="N"/>
    <s v="T35"/>
    <s v="Y"/>
    <s v="N"/>
    <s v="Y"/>
    <s v="N"/>
    <s v="B033"/>
    <d v="2016-10-20T00:00:00"/>
    <s v="10"/>
    <s v="TAN"/>
    <s v="OR"/>
    <d v="2016-10-17T00:00:00"/>
    <s v="ND"/>
    <s v="US"/>
    <s v="ZR"/>
    <d v="2016-10-17T00:00:00"/>
  </r>
  <r>
    <x v="1"/>
    <x v="7"/>
    <x v="1467"/>
    <x v="38"/>
    <s v="Standard order"/>
    <x v="1396"/>
    <x v="1391"/>
    <s v="8337"/>
    <s v="BTS 8337"/>
    <s v="5002795"/>
    <s v="8337 BTS T35 PB SS RP"/>
    <n v="192"/>
    <n v="0"/>
    <n v="192"/>
    <x v="7"/>
    <s v="DHMC"/>
    <s v="RP"/>
    <s v="333"/>
    <s v="4.0 UN"/>
    <s v="STANDARD"/>
    <s v="N"/>
    <s v="Y"/>
    <s v="N"/>
    <s v="T35"/>
    <s v="Y"/>
    <s v="N"/>
    <s v="Y"/>
    <s v="N"/>
    <s v="B031"/>
    <d v="2016-10-21T00:00:00"/>
    <s v="10"/>
    <s v="TAN"/>
    <s v="OR"/>
    <d v="2016-10-18T00:00:00"/>
    <s v="MN"/>
    <s v="US"/>
    <s v="ZR"/>
    <d v="2016-10-18T00:00:00"/>
  </r>
  <r>
    <x v="1"/>
    <x v="7"/>
    <x v="1467"/>
    <x v="38"/>
    <s v="Standard order"/>
    <x v="1396"/>
    <x v="1391"/>
    <s v="8524"/>
    <s v="BTS 8524"/>
    <s v="5002896"/>
    <s v="8524 BTS T35 PB SS RP"/>
    <n v="112"/>
    <n v="0"/>
    <n v="112"/>
    <x v="7"/>
    <s v="FWND"/>
    <s v="RP"/>
    <s v="333"/>
    <s v="4.0 UN"/>
    <s v="STANDARD"/>
    <s v="N"/>
    <s v="Y"/>
    <s v="N"/>
    <s v="T35"/>
    <s v="Y"/>
    <s v="N"/>
    <s v="Y"/>
    <s v="N"/>
    <s v="B031"/>
    <d v="2016-10-21T00:00:00"/>
    <s v="20"/>
    <s v="TAN"/>
    <s v="OR"/>
    <d v="2016-10-18T00:00:00"/>
    <s v="MN"/>
    <s v="US"/>
    <s v="ZR"/>
    <d v="2016-10-18T00:00:00"/>
  </r>
  <r>
    <x v="1"/>
    <x v="7"/>
    <x v="1467"/>
    <x v="38"/>
    <s v="Standard order"/>
    <x v="1396"/>
    <x v="1391"/>
    <s v="8052"/>
    <s v="BTS 80RR52"/>
    <s v="5002735"/>
    <s v="8052 BTS T35 PB SS RP"/>
    <n v="92"/>
    <n v="0"/>
    <n v="92"/>
    <x v="7"/>
    <s v="AP82"/>
    <s v="RP"/>
    <s v="333"/>
    <s v="4.0 UN"/>
    <s v="STANDARD"/>
    <s v="N"/>
    <s v="Y"/>
    <s v="N"/>
    <s v="T35"/>
    <s v="Y"/>
    <s v="N"/>
    <s v="Y"/>
    <s v="N"/>
    <s v="B031"/>
    <d v="2016-10-21T00:00:00"/>
    <s v="30"/>
    <s v="TAN"/>
    <s v="OR"/>
    <d v="2016-10-18T00:00:00"/>
    <s v="MN"/>
    <s v="US"/>
    <s v="ZR"/>
    <d v="2016-10-18T00:00:00"/>
  </r>
  <r>
    <x v="1"/>
    <x v="7"/>
    <x v="1468"/>
    <x v="38"/>
    <s v="Standard order"/>
    <x v="1397"/>
    <x v="1392"/>
    <s v="8524"/>
    <s v="BTS 8524"/>
    <s v="5002896"/>
    <s v="8524 BTS T35 PB SS RP"/>
    <n v="204"/>
    <n v="0"/>
    <n v="204"/>
    <x v="7"/>
    <s v="FWND"/>
    <s v="RP"/>
    <s v="333"/>
    <s v="4.0 UN"/>
    <s v="STANDARD"/>
    <s v="N"/>
    <s v="Y"/>
    <s v="N"/>
    <s v="T35"/>
    <s v="Y"/>
    <s v="N"/>
    <s v="Y"/>
    <s v="N"/>
    <s v="B031"/>
    <d v="2016-10-21T00:00:00"/>
    <s v="10"/>
    <s v="TAN"/>
    <s v="OR"/>
    <d v="2016-10-18T00:00:00"/>
    <s v="MN"/>
    <s v="US"/>
    <s v="ZR"/>
    <d v="2016-10-18T00:00:00"/>
  </r>
  <r>
    <x v="1"/>
    <x v="7"/>
    <x v="1468"/>
    <x v="38"/>
    <s v="Standard order"/>
    <x v="1397"/>
    <x v="1392"/>
    <s v="8052"/>
    <s v="BTS 80RR52"/>
    <s v="5002735"/>
    <s v="8052 BTS T35 PB SS RP"/>
    <n v="96"/>
    <n v="0"/>
    <n v="96"/>
    <x v="7"/>
    <s v="AP82"/>
    <s v="RP"/>
    <s v="333"/>
    <s v="4.0 UN"/>
    <s v="STANDARD"/>
    <s v="N"/>
    <s v="Y"/>
    <s v="N"/>
    <s v="T35"/>
    <s v="Y"/>
    <s v="N"/>
    <s v="Y"/>
    <s v="N"/>
    <s v="B031"/>
    <d v="2016-10-21T00:00:00"/>
    <s v="20"/>
    <s v="TAN"/>
    <s v="OR"/>
    <d v="2016-10-18T00:00:00"/>
    <s v="MN"/>
    <s v="US"/>
    <s v="ZR"/>
    <d v="2016-10-18T00:00:00"/>
  </r>
  <r>
    <x v="1"/>
    <x v="7"/>
    <x v="1468"/>
    <x v="38"/>
    <s v="Standard order"/>
    <x v="1397"/>
    <x v="1392"/>
    <s v="8337"/>
    <s v="BTS 8337"/>
    <s v="5002795"/>
    <s v="8337 BTS T35 PB SS RP"/>
    <n v="96"/>
    <n v="0"/>
    <n v="96"/>
    <x v="7"/>
    <s v="DHMC"/>
    <s v="RP"/>
    <s v="333"/>
    <s v="4.0 UN"/>
    <s v="STANDARD"/>
    <s v="N"/>
    <s v="Y"/>
    <s v="N"/>
    <s v="T35"/>
    <s v="Y"/>
    <s v="N"/>
    <s v="Y"/>
    <s v="N"/>
    <s v="B031"/>
    <d v="2016-10-21T00:00:00"/>
    <s v="30"/>
    <s v="TAN"/>
    <s v="OR"/>
    <d v="2016-10-18T00:00:00"/>
    <s v="MN"/>
    <s v="US"/>
    <s v="ZR"/>
    <d v="2016-10-18T00:00:00"/>
  </r>
  <r>
    <x v="1"/>
    <x v="7"/>
    <x v="1468"/>
    <x v="38"/>
    <s v="Standard order"/>
    <x v="1397"/>
    <x v="1392"/>
    <s v="83CN"/>
    <s v="BTS 83CN"/>
    <s v="5002836"/>
    <s v="83CN BTS T35 PB SS RP"/>
    <n v="96"/>
    <n v="0"/>
    <n v="96"/>
    <x v="7"/>
    <s v="EE73"/>
    <s v="RP"/>
    <s v="333"/>
    <s v="4.0 UN"/>
    <s v="STANDARD"/>
    <s v="N"/>
    <s v="Y"/>
    <s v="N"/>
    <s v="T35"/>
    <s v="Y"/>
    <s v="N"/>
    <s v="Y"/>
    <s v="N"/>
    <s v="B031"/>
    <d v="2016-10-21T00:00:00"/>
    <s v="40"/>
    <s v="TAN"/>
    <s v="OR"/>
    <d v="2016-10-18T00:00:00"/>
    <s v="MN"/>
    <s v="US"/>
    <s v="ZR"/>
    <d v="2016-10-18T00:00:00"/>
  </r>
  <r>
    <x v="1"/>
    <x v="7"/>
    <x v="1469"/>
    <x v="38"/>
    <s v="Standard order"/>
    <x v="1398"/>
    <x v="1393"/>
    <s v="8337"/>
    <s v="BTS 8337"/>
    <s v="5002795"/>
    <s v="8337 BTS T35 PB SS RP"/>
    <n v="200"/>
    <n v="0"/>
    <n v="200"/>
    <x v="7"/>
    <s v="DHMC"/>
    <s v="RP"/>
    <s v="333"/>
    <s v="4.0 UN"/>
    <s v="STANDARD"/>
    <s v="N"/>
    <s v="Y"/>
    <s v="N"/>
    <s v="T35"/>
    <s v="Y"/>
    <s v="N"/>
    <s v="Y"/>
    <s v="N"/>
    <s v="B031"/>
    <d v="2016-10-21T00:00:00"/>
    <s v="10"/>
    <s v="TAN"/>
    <s v="OR"/>
    <d v="2016-10-18T00:00:00"/>
    <s v="MN"/>
    <s v="US"/>
    <s v="ZR"/>
    <d v="2016-10-18T00:00:00"/>
  </r>
  <r>
    <x v="1"/>
    <x v="7"/>
    <x v="1469"/>
    <x v="38"/>
    <s v="Standard order"/>
    <x v="1398"/>
    <x v="1393"/>
    <s v="8524"/>
    <s v="BTS 8524"/>
    <s v="5002896"/>
    <s v="8524 BTS T35 PB SS RP"/>
    <n v="100"/>
    <n v="0"/>
    <n v="100"/>
    <x v="7"/>
    <s v="FWND"/>
    <s v="RP"/>
    <s v="333"/>
    <s v="4.0 UN"/>
    <s v="STANDARD"/>
    <s v="N"/>
    <s v="Y"/>
    <s v="N"/>
    <s v="T35"/>
    <s v="Y"/>
    <s v="N"/>
    <s v="Y"/>
    <s v="N"/>
    <s v="B031"/>
    <d v="2016-10-21T00:00:00"/>
    <s v="20"/>
    <s v="TAN"/>
    <s v="OR"/>
    <d v="2016-10-18T00:00:00"/>
    <s v="MN"/>
    <s v="US"/>
    <s v="ZR"/>
    <d v="2016-10-18T00:00:00"/>
  </r>
  <r>
    <x v="1"/>
    <x v="7"/>
    <x v="1470"/>
    <x v="36"/>
    <s v="Replant Order"/>
    <x v="1399"/>
    <x v="1394"/>
    <s v="83CN"/>
    <s v="BTS 83CN"/>
    <s v="5002831"/>
    <s v="83CN P200 BetaShield"/>
    <n v="8"/>
    <n v="8"/>
    <n v="0"/>
    <x v="7"/>
    <s v="EE73"/>
    <s v="PRO 200"/>
    <s v="398"/>
    <s v="4.0 UN"/>
    <s v="STANDARD"/>
    <s v="N"/>
    <s v="Y"/>
    <s v="Y"/>
    <s v="T35"/>
    <s v="N"/>
    <s v="N"/>
    <s v="N"/>
    <s v="N"/>
    <s v=""/>
    <d v="2016-10-20T00:00:00"/>
    <s v="10"/>
    <s v="TAN"/>
    <s v="ZRPU"/>
    <d v="2016-10-20T00:00:00"/>
    <s v="MN"/>
    <s v="US"/>
    <s v="ZR"/>
    <d v="2016-10-20T00:00:00"/>
  </r>
  <r>
    <x v="1"/>
    <x v="7"/>
    <x v="1470"/>
    <x v="36"/>
    <s v="Replant Order"/>
    <x v="1399"/>
    <x v="1394"/>
    <s v="8228"/>
    <s v="BTS 82RR28"/>
    <s v="5002750"/>
    <s v="82RR28 P200 BetaShield"/>
    <n v="10"/>
    <n v="10"/>
    <n v="0"/>
    <x v="7"/>
    <s v="DE73"/>
    <s v="PRO 200"/>
    <s v="398"/>
    <s v="4.0 UN"/>
    <s v="STANDARD"/>
    <s v="N"/>
    <s v="Y"/>
    <s v="Y"/>
    <s v="T35"/>
    <s v="N"/>
    <s v="N"/>
    <s v="N"/>
    <s v="N"/>
    <s v=""/>
    <d v="2016-10-20T00:00:00"/>
    <s v="20"/>
    <s v="TAN"/>
    <s v="ZRPU"/>
    <d v="2016-10-20T00:00:00"/>
    <s v="MN"/>
    <s v="US"/>
    <s v="ZR"/>
    <d v="2016-10-20T00:00:00"/>
  </r>
  <r>
    <x v="1"/>
    <x v="7"/>
    <x v="1470"/>
    <x v="36"/>
    <s v="Replant Order"/>
    <x v="1399"/>
    <x v="1394"/>
    <s v="8363"/>
    <s v="BTS 8363"/>
    <s v="5002812"/>
    <s v="8363 RP BetaShield"/>
    <n v="2"/>
    <n v="2"/>
    <n v="0"/>
    <x v="7"/>
    <s v="DMMZ"/>
    <s v="RP"/>
    <s v="398"/>
    <s v="4.0 UN"/>
    <s v="STANDARD"/>
    <s v="N"/>
    <s v="Y"/>
    <s v="Y"/>
    <s v="T35"/>
    <s v="N"/>
    <s v="N"/>
    <s v="N"/>
    <s v="N"/>
    <s v=""/>
    <d v="2016-10-20T00:00:00"/>
    <s v="30"/>
    <s v="TAN"/>
    <s v="ZRPU"/>
    <d v="2016-10-20T00:00:00"/>
    <s v="MN"/>
    <s v="US"/>
    <s v="ZR"/>
    <d v="2016-10-20T00:00:00"/>
  </r>
  <r>
    <x v="1"/>
    <x v="7"/>
    <x v="1471"/>
    <x v="36"/>
    <s v="Standard order"/>
    <x v="1399"/>
    <x v="1394"/>
    <s v="8228"/>
    <s v="BTS 82RR28"/>
    <s v="5002750"/>
    <s v="82RR28 P200 BetaShield"/>
    <n v="72"/>
    <n v="72"/>
    <n v="0"/>
    <x v="7"/>
    <s v="DE73"/>
    <s v="PRO 200"/>
    <s v="398"/>
    <s v="4.0 UN"/>
    <s v="STANDARD"/>
    <s v="N"/>
    <s v="Y"/>
    <s v="Y"/>
    <s v="T35"/>
    <s v="N"/>
    <s v="N"/>
    <s v="N"/>
    <s v="N"/>
    <s v=""/>
    <d v="2016-10-20T00:00:00"/>
    <s v="10"/>
    <s v="TAN"/>
    <s v="OR"/>
    <d v="2016-10-20T00:00:00"/>
    <s v="MN"/>
    <s v="US"/>
    <s v="ZR"/>
    <d v="2016-10-20T00:00:00"/>
  </r>
  <r>
    <x v="1"/>
    <x v="7"/>
    <x v="1471"/>
    <x v="36"/>
    <s v="Standard order"/>
    <x v="1399"/>
    <x v="1394"/>
    <s v="8052"/>
    <s v="BTS 80RR52"/>
    <s v="5002730"/>
    <s v="80RR52 P200 BetaShield"/>
    <n v="48"/>
    <n v="48"/>
    <n v="0"/>
    <x v="7"/>
    <s v="AP82"/>
    <s v="PRO 200"/>
    <s v="398"/>
    <s v="4.0 UN"/>
    <s v="STANDARD"/>
    <s v="N"/>
    <s v="Y"/>
    <s v="Y"/>
    <s v="T35"/>
    <s v="N"/>
    <s v="N"/>
    <s v="N"/>
    <s v="N"/>
    <s v=""/>
    <d v="2016-10-20T00:00:00"/>
    <s v="20"/>
    <s v="TAN"/>
    <s v="OR"/>
    <d v="2016-10-20T00:00:00"/>
    <s v="MN"/>
    <s v="US"/>
    <s v="ZR"/>
    <d v="2016-10-20T00:00:00"/>
  </r>
  <r>
    <x v="1"/>
    <x v="7"/>
    <x v="1471"/>
    <x v="36"/>
    <s v="Standard order"/>
    <x v="1399"/>
    <x v="1394"/>
    <s v="8363"/>
    <s v="BTS 8363"/>
    <s v="5002811"/>
    <s v="8363 P200 BetaShield"/>
    <n v="48"/>
    <n v="48"/>
    <n v="0"/>
    <x v="7"/>
    <s v="DMMZ"/>
    <s v="PRO 200"/>
    <s v="398"/>
    <s v="4.0 UN"/>
    <s v="STANDARD"/>
    <s v="N"/>
    <s v="Y"/>
    <s v="Y"/>
    <s v="T35"/>
    <s v="N"/>
    <s v="N"/>
    <s v="N"/>
    <s v="N"/>
    <s v=""/>
    <d v="2016-10-20T00:00:00"/>
    <s v="30"/>
    <s v="TAN"/>
    <s v="OR"/>
    <d v="2016-10-20T00:00:00"/>
    <s v="MN"/>
    <s v="US"/>
    <s v="ZR"/>
    <d v="2016-10-20T00:00:00"/>
  </r>
  <r>
    <x v="1"/>
    <x v="7"/>
    <x v="1471"/>
    <x v="36"/>
    <s v="Standard order"/>
    <x v="1399"/>
    <x v="1394"/>
    <s v="83CN"/>
    <s v="BTS 83CN"/>
    <s v="5002831"/>
    <s v="83CN P200 BetaShield"/>
    <n v="8"/>
    <n v="8"/>
    <n v="0"/>
    <x v="7"/>
    <s v="EE73"/>
    <s v="PRO 200"/>
    <s v="398"/>
    <s v="4.0 UN"/>
    <s v="STANDARD"/>
    <s v="N"/>
    <s v="Y"/>
    <s v="Y"/>
    <s v="T35"/>
    <s v="N"/>
    <s v="N"/>
    <s v="N"/>
    <s v="N"/>
    <s v=""/>
    <d v="2016-10-20T00:00:00"/>
    <s v="40"/>
    <s v="TAN"/>
    <s v="OR"/>
    <d v="2016-10-20T00:00:00"/>
    <s v="MN"/>
    <s v="US"/>
    <s v="ZR"/>
    <d v="2016-10-20T00:00:00"/>
  </r>
  <r>
    <x v="1"/>
    <x v="7"/>
    <x v="1472"/>
    <x v="36"/>
    <s v="Standard order"/>
    <x v="1400"/>
    <x v="1395"/>
    <s v="8228"/>
    <s v="BTS 82RR28"/>
    <s v="5002750"/>
    <s v="82RR28 P200 BetaShield"/>
    <n v="72"/>
    <n v="0"/>
    <n v="72"/>
    <x v="7"/>
    <s v="DE73"/>
    <s v="PRO 200"/>
    <s v="398"/>
    <s v="4.0 UN"/>
    <s v="STANDARD"/>
    <s v="N"/>
    <s v="Y"/>
    <s v="Y"/>
    <s v="T35"/>
    <s v="N"/>
    <s v="N"/>
    <s v="N"/>
    <s v="N"/>
    <s v=""/>
    <d v="2016-10-20T00:00:00"/>
    <s v="10"/>
    <s v="TAN"/>
    <s v="OR"/>
    <d v="2016-10-20T00:00:00"/>
    <s v="ND"/>
    <s v="US"/>
    <s v="ZR"/>
    <d v="2016-10-20T00:00:00"/>
  </r>
  <r>
    <x v="1"/>
    <x v="7"/>
    <x v="1472"/>
    <x v="36"/>
    <s v="Standard order"/>
    <x v="1400"/>
    <x v="1395"/>
    <s v="8052"/>
    <s v="BTS 80RR52"/>
    <s v="5002730"/>
    <s v="80RR52 P200 BetaShield"/>
    <n v="48"/>
    <n v="0"/>
    <n v="48"/>
    <x v="7"/>
    <s v="AP82"/>
    <s v="PRO 200"/>
    <s v="398"/>
    <s v="4.0 UN"/>
    <s v="STANDARD"/>
    <s v="N"/>
    <s v="Y"/>
    <s v="Y"/>
    <s v="T35"/>
    <s v="N"/>
    <s v="N"/>
    <s v="N"/>
    <s v="N"/>
    <s v=""/>
    <d v="2016-10-20T00:00:00"/>
    <s v="20"/>
    <s v="TAN"/>
    <s v="OR"/>
    <d v="2016-10-20T00:00:00"/>
    <s v="ND"/>
    <s v="US"/>
    <s v="ZR"/>
    <d v="2016-10-20T00:00:00"/>
  </r>
  <r>
    <x v="1"/>
    <x v="7"/>
    <x v="1472"/>
    <x v="36"/>
    <s v="Standard order"/>
    <x v="1400"/>
    <x v="1395"/>
    <s v="8363"/>
    <s v="BTS 8363"/>
    <s v="5002811"/>
    <s v="8363 P200 BetaShield"/>
    <n v="48"/>
    <n v="0"/>
    <n v="48"/>
    <x v="7"/>
    <s v="DMMZ"/>
    <s v="PRO 200"/>
    <s v="398"/>
    <s v="4.0 UN"/>
    <s v="STANDARD"/>
    <s v="N"/>
    <s v="Y"/>
    <s v="Y"/>
    <s v="T35"/>
    <s v="N"/>
    <s v="N"/>
    <s v="N"/>
    <s v="N"/>
    <s v=""/>
    <d v="2016-10-20T00:00:00"/>
    <s v="30"/>
    <s v="TAN"/>
    <s v="OR"/>
    <d v="2016-10-20T00:00:00"/>
    <s v="ND"/>
    <s v="US"/>
    <s v="ZR"/>
    <d v="2016-10-20T00:00:00"/>
  </r>
  <r>
    <x v="1"/>
    <x v="7"/>
    <x v="1472"/>
    <x v="36"/>
    <s v="Standard order"/>
    <x v="1400"/>
    <x v="1395"/>
    <s v="83CN"/>
    <s v="BTS 83CN"/>
    <s v="5002831"/>
    <s v="83CN P200 BetaShield"/>
    <n v="8"/>
    <n v="0"/>
    <n v="8"/>
    <x v="7"/>
    <s v="EE73"/>
    <s v="PRO 200"/>
    <s v="398"/>
    <s v="4.0 UN"/>
    <s v="STANDARD"/>
    <s v="N"/>
    <s v="Y"/>
    <s v="Y"/>
    <s v="T35"/>
    <s v="N"/>
    <s v="N"/>
    <s v="N"/>
    <s v="N"/>
    <s v=""/>
    <d v="2016-10-20T00:00:00"/>
    <s v="40"/>
    <s v="TAN"/>
    <s v="OR"/>
    <d v="2016-10-20T00:00:00"/>
    <s v="ND"/>
    <s v="US"/>
    <s v="ZR"/>
    <d v="2016-10-20T00:00:00"/>
  </r>
  <r>
    <x v="1"/>
    <x v="7"/>
    <x v="1473"/>
    <x v="36"/>
    <s v="Returns Standard SAP"/>
    <x v="1400"/>
    <x v="1395"/>
    <s v="8228"/>
    <s v="BTS 82RR28"/>
    <s v="5002750"/>
    <s v="82RR28 P200 BetaShield"/>
    <n v="-72"/>
    <n v="-72"/>
    <n v="0"/>
    <x v="7"/>
    <s v="DE73"/>
    <s v="PRO 200"/>
    <s v="398"/>
    <s v="4.0 UN"/>
    <s v="STANDARD"/>
    <s v="N"/>
    <s v="Y"/>
    <s v="Y"/>
    <s v="T35"/>
    <s v="N"/>
    <s v="N"/>
    <s v="N"/>
    <s v="N"/>
    <s v=""/>
    <d v="2016-10-20T00:00:00"/>
    <s v="10"/>
    <s v="ZSRE"/>
    <s v="ZSRE"/>
    <d v="2016-10-20T00:00:00"/>
    <s v="ND"/>
    <s v="US"/>
    <s v="ZR"/>
    <d v="2016-10-20T00:00:00"/>
  </r>
  <r>
    <x v="1"/>
    <x v="7"/>
    <x v="1473"/>
    <x v="36"/>
    <s v="Returns Standard SAP"/>
    <x v="1400"/>
    <x v="1395"/>
    <s v="8052"/>
    <s v="BTS 80RR52"/>
    <s v="5002730"/>
    <s v="80RR52 P200 BetaShield"/>
    <n v="-48"/>
    <n v="-48"/>
    <n v="0"/>
    <x v="7"/>
    <s v="AP82"/>
    <s v="PRO 200"/>
    <s v="398"/>
    <s v="4.0 UN"/>
    <s v="STANDARD"/>
    <s v="N"/>
    <s v="Y"/>
    <s v="Y"/>
    <s v="T35"/>
    <s v="N"/>
    <s v="N"/>
    <s v="N"/>
    <s v="N"/>
    <s v=""/>
    <d v="2016-10-20T00:00:00"/>
    <s v="20"/>
    <s v="ZSRE"/>
    <s v="ZSRE"/>
    <d v="2016-10-20T00:00:00"/>
    <s v="ND"/>
    <s v="US"/>
    <s v="ZR"/>
    <d v="2016-10-20T00:00:00"/>
  </r>
  <r>
    <x v="1"/>
    <x v="7"/>
    <x v="1473"/>
    <x v="36"/>
    <s v="Returns Standard SAP"/>
    <x v="1400"/>
    <x v="1395"/>
    <s v="8363"/>
    <s v="BTS 8363"/>
    <s v="5002811"/>
    <s v="8363 P200 BetaShield"/>
    <n v="-48"/>
    <n v="-48"/>
    <n v="0"/>
    <x v="7"/>
    <s v="DMMZ"/>
    <s v="PRO 200"/>
    <s v="398"/>
    <s v="4.0 UN"/>
    <s v="STANDARD"/>
    <s v="N"/>
    <s v="Y"/>
    <s v="Y"/>
    <s v="T35"/>
    <s v="N"/>
    <s v="N"/>
    <s v="N"/>
    <s v="N"/>
    <s v=""/>
    <d v="2016-10-20T00:00:00"/>
    <s v="30"/>
    <s v="ZSRE"/>
    <s v="ZSRE"/>
    <d v="2016-10-20T00:00:00"/>
    <s v="ND"/>
    <s v="US"/>
    <s v="ZR"/>
    <d v="2016-10-20T00:00:00"/>
  </r>
  <r>
    <x v="1"/>
    <x v="7"/>
    <x v="1473"/>
    <x v="36"/>
    <s v="Returns Standard SAP"/>
    <x v="1400"/>
    <x v="1395"/>
    <s v="83CN"/>
    <s v="BTS 83CN"/>
    <s v="5002831"/>
    <s v="83CN P200 BetaShield"/>
    <n v="-8"/>
    <n v="-8"/>
    <n v="0"/>
    <x v="7"/>
    <s v="EE73"/>
    <s v="PRO 200"/>
    <s v="398"/>
    <s v="4.0 UN"/>
    <s v="STANDARD"/>
    <s v="N"/>
    <s v="Y"/>
    <s v="Y"/>
    <s v="T35"/>
    <s v="N"/>
    <s v="N"/>
    <s v="N"/>
    <s v="N"/>
    <s v=""/>
    <d v="2016-10-20T00:00:00"/>
    <s v="40"/>
    <s v="ZSRE"/>
    <s v="ZSRE"/>
    <d v="2016-10-20T00:00:00"/>
    <s v="ND"/>
    <s v="US"/>
    <s v="ZR"/>
    <d v="2016-10-20T00:00:00"/>
  </r>
  <r>
    <x v="1"/>
    <x v="7"/>
    <x v="1474"/>
    <x v="36"/>
    <s v="Returns Standard SAP"/>
    <x v="1400"/>
    <x v="1395"/>
    <s v="83CN"/>
    <s v="BTS 83CN"/>
    <s v="5002831"/>
    <s v="83CN P200 BetaShield"/>
    <n v="-8"/>
    <n v="-8"/>
    <n v="0"/>
    <x v="7"/>
    <s v="EE73"/>
    <s v="PRO 200"/>
    <s v="398"/>
    <s v="4.0 UN"/>
    <s v="STANDARD"/>
    <s v="N"/>
    <s v="Y"/>
    <s v="Y"/>
    <s v="T35"/>
    <s v="N"/>
    <s v="N"/>
    <s v="N"/>
    <s v="N"/>
    <s v=""/>
    <m/>
    <s v="10"/>
    <s v="ZSRE"/>
    <s v="ZSRE"/>
    <d v="2016-10-20T00:00:00"/>
    <s v="ND"/>
    <s v="US"/>
    <s v="ZR"/>
    <d v="2016-10-20T00:00:00"/>
  </r>
  <r>
    <x v="1"/>
    <x v="7"/>
    <x v="1474"/>
    <x v="36"/>
    <s v="Returns Standard SAP"/>
    <x v="1400"/>
    <x v="1395"/>
    <s v="8228"/>
    <s v="BTS 82RR28"/>
    <s v="5002750"/>
    <s v="82RR28 P200 BetaShield"/>
    <n v="-10"/>
    <n v="-10"/>
    <n v="0"/>
    <x v="7"/>
    <s v="DE73"/>
    <s v="PRO 200"/>
    <s v="398"/>
    <s v="4.0 UN"/>
    <s v="STANDARD"/>
    <s v="N"/>
    <s v="Y"/>
    <s v="Y"/>
    <s v="T35"/>
    <s v="N"/>
    <s v="N"/>
    <s v="N"/>
    <s v="N"/>
    <s v=""/>
    <m/>
    <s v="20"/>
    <s v="ZSRE"/>
    <s v="ZSRE"/>
    <d v="2016-10-20T00:00:00"/>
    <s v="ND"/>
    <s v="US"/>
    <s v="ZR"/>
    <d v="2016-10-20T00:00:00"/>
  </r>
  <r>
    <x v="1"/>
    <x v="7"/>
    <x v="1474"/>
    <x v="36"/>
    <s v="Returns Standard SAP"/>
    <x v="1400"/>
    <x v="1395"/>
    <s v="8363"/>
    <s v="BTS 8363"/>
    <s v="5002812"/>
    <s v="8363 RP BetaShield"/>
    <n v="-2"/>
    <n v="-2"/>
    <n v="0"/>
    <x v="7"/>
    <s v="DMMZ"/>
    <s v="RP"/>
    <s v="398"/>
    <s v="4.0 UN"/>
    <s v="STANDARD"/>
    <s v="N"/>
    <s v="Y"/>
    <s v="Y"/>
    <s v="T35"/>
    <s v="N"/>
    <s v="N"/>
    <s v="N"/>
    <s v="N"/>
    <s v=""/>
    <m/>
    <s v="30"/>
    <s v="ZSRE"/>
    <s v="ZSRE"/>
    <d v="2016-10-20T00:00:00"/>
    <s v="ND"/>
    <s v="US"/>
    <s v="ZR"/>
    <d v="2016-10-20T00:00:00"/>
  </r>
  <r>
    <x v="1"/>
    <x v="8"/>
    <x v="1475"/>
    <x v="34"/>
    <s v="Standard order"/>
    <x v="1353"/>
    <x v="1348"/>
    <s v="5499"/>
    <s v="BTS 5499"/>
    <s v="5002606"/>
    <s v="5499 P50"/>
    <n v="16"/>
    <n v="16"/>
    <n v="0"/>
    <x v="8"/>
    <s v="DRMG"/>
    <s v="PRO 50"/>
    <s v="306"/>
    <s v="4.0 UN"/>
    <s v="STANDARD"/>
    <s v="N"/>
    <s v="N"/>
    <s v="N"/>
    <s v="N"/>
    <s v="N"/>
    <s v="N"/>
    <s v="N"/>
    <s v="N"/>
    <s v=""/>
    <d v="2016-10-21T00:00:00"/>
    <s v="10"/>
    <s v="TAN"/>
    <s v="OR"/>
    <d v="2016-10-25T00:00:00"/>
    <s v="CA"/>
    <s v="US"/>
    <s v="ZR"/>
    <d v="2016-10-21T00:00:00"/>
  </r>
  <r>
    <x v="1"/>
    <x v="8"/>
    <x v="1476"/>
    <x v="34"/>
    <s v="Standard order"/>
    <x v="1367"/>
    <x v="1362"/>
    <s v="5245"/>
    <s v="BTS 52RR45"/>
    <s v="5002600"/>
    <s v="52RR45 P50"/>
    <n v="24"/>
    <n v="24"/>
    <n v="0"/>
    <x v="8"/>
    <s v="4D15"/>
    <s v="PRO 50"/>
    <s v="306"/>
    <s v="4.0 UN"/>
    <s v="STANDARD"/>
    <s v="N"/>
    <s v="N"/>
    <s v="N"/>
    <s v="N"/>
    <s v="N"/>
    <s v="N"/>
    <s v="N"/>
    <s v="N"/>
    <s v=""/>
    <d v="2016-10-21T00:00:00"/>
    <s v="10"/>
    <s v="TAN"/>
    <s v="ZTAS"/>
    <d v="2016-10-25T00:00:00"/>
    <s v="CA"/>
    <s v="US"/>
    <s v="ZR"/>
    <d v="2016-10-21T00:00:00"/>
  </r>
  <r>
    <x v="1"/>
    <x v="8"/>
    <x v="1477"/>
    <x v="34"/>
    <s v="Replant Order"/>
    <x v="1351"/>
    <x v="1346"/>
    <s v="5499"/>
    <s v="BTS 5499"/>
    <s v="5002606"/>
    <s v="5499 P50"/>
    <n v="32"/>
    <n v="32"/>
    <n v="0"/>
    <x v="8"/>
    <s v="DRMG"/>
    <s v="PRO 50"/>
    <s v="306"/>
    <s v="4.0 UN"/>
    <s v="STANDARD"/>
    <s v="N"/>
    <s v="N"/>
    <s v="N"/>
    <s v="N"/>
    <s v="N"/>
    <s v="N"/>
    <s v="N"/>
    <s v="N"/>
    <s v=""/>
    <d v="2016-10-21T00:00:00"/>
    <s v="10"/>
    <s v="TAN"/>
    <s v="ZRPU"/>
    <d v="2016-10-25T00:00:00"/>
    <s v="CA"/>
    <s v="US"/>
    <s v="ZR"/>
    <d v="2016-10-21T00:00:00"/>
  </r>
  <r>
    <x v="1"/>
    <x v="8"/>
    <x v="1478"/>
    <x v="34"/>
    <s v="Standard order"/>
    <x v="1351"/>
    <x v="1346"/>
    <s v="5245"/>
    <s v="BTS 52RR45"/>
    <s v="5002600"/>
    <s v="52RR45 P50"/>
    <n v="24"/>
    <n v="24"/>
    <n v="0"/>
    <x v="8"/>
    <s v="4D15"/>
    <s v="PRO 50"/>
    <s v="306"/>
    <s v="4.0 UN"/>
    <s v="STANDARD"/>
    <s v="N"/>
    <s v="N"/>
    <s v="N"/>
    <s v="N"/>
    <s v="N"/>
    <s v="N"/>
    <s v="N"/>
    <s v="N"/>
    <s v=""/>
    <d v="2016-10-21T00:00:00"/>
    <s v="10"/>
    <s v="TAN"/>
    <s v="OR"/>
    <d v="2016-10-25T00:00:00"/>
    <s v="CA"/>
    <s v="US"/>
    <s v="ZR"/>
    <d v="2016-10-21T00:00:00"/>
  </r>
  <r>
    <x v="1"/>
    <x v="8"/>
    <x v="1478"/>
    <x v="34"/>
    <s v="Standard order"/>
    <x v="1351"/>
    <x v="1346"/>
    <s v="5499"/>
    <s v="BTS 5499"/>
    <s v="5002606"/>
    <s v="5499 P50"/>
    <n v="40"/>
    <n v="40"/>
    <n v="0"/>
    <x v="8"/>
    <s v="DRMG"/>
    <s v="PRO 50"/>
    <s v="306"/>
    <s v="4.0 UN"/>
    <s v="STANDARD"/>
    <s v="N"/>
    <s v="N"/>
    <s v="N"/>
    <s v="N"/>
    <s v="N"/>
    <s v="N"/>
    <s v="N"/>
    <s v="N"/>
    <s v=""/>
    <d v="2016-10-21T00:00:00"/>
    <s v="20"/>
    <s v="TAN"/>
    <s v="OR"/>
    <d v="2016-10-25T00:00:00"/>
    <s v="CA"/>
    <s v="US"/>
    <s v="ZR"/>
    <d v="2016-10-21T00:00:00"/>
  </r>
  <r>
    <x v="1"/>
    <x v="8"/>
    <x v="1479"/>
    <x v="34"/>
    <s v="Returns Standard SAP"/>
    <x v="1360"/>
    <x v="1355"/>
    <s v="5499"/>
    <s v="BTS 5499"/>
    <s v="5002606"/>
    <s v="5499 P50"/>
    <n v="-172"/>
    <n v="-172"/>
    <n v="0"/>
    <x v="8"/>
    <s v="DRMG"/>
    <s v="PRO 50"/>
    <s v="306"/>
    <s v="4.0 UN"/>
    <s v="STANDARD"/>
    <s v="N"/>
    <s v="N"/>
    <s v="N"/>
    <s v="N"/>
    <s v="N"/>
    <s v="N"/>
    <s v="N"/>
    <s v="N"/>
    <s v=""/>
    <m/>
    <s v="10"/>
    <s v="ZSRE"/>
    <s v="ZSRE"/>
    <d v="2016-10-24T00:00:00"/>
    <s v="CA"/>
    <s v="US"/>
    <s v="ZR"/>
    <d v="2016-10-24T00:00:00"/>
  </r>
  <r>
    <x v="1"/>
    <x v="8"/>
    <x v="1479"/>
    <x v="34"/>
    <s v="Returns Standard SAP"/>
    <x v="1360"/>
    <x v="1355"/>
    <s v="5245"/>
    <s v="BTS 52RR45"/>
    <s v="5002600"/>
    <s v="52RR45 P50"/>
    <n v="-16"/>
    <n v="-16"/>
    <n v="0"/>
    <x v="8"/>
    <s v="4D15"/>
    <s v="PRO 50"/>
    <s v="306"/>
    <s v="4.0 UN"/>
    <s v="STANDARD"/>
    <s v="N"/>
    <s v="N"/>
    <s v="N"/>
    <s v="N"/>
    <s v="N"/>
    <s v="N"/>
    <s v="N"/>
    <s v="N"/>
    <s v=""/>
    <m/>
    <s v="20"/>
    <s v="ZSRE"/>
    <s v="ZSRE"/>
    <d v="2016-10-24T00:00:00"/>
    <s v="CA"/>
    <s v="US"/>
    <s v="ZR"/>
    <d v="2016-10-24T00:00:00"/>
  </r>
  <r>
    <x v="1"/>
    <x v="7"/>
    <x v="1480"/>
    <x v="28"/>
    <s v="Standard order"/>
    <x v="1401"/>
    <x v="1396"/>
    <s v="8524"/>
    <s v="BTS 8524"/>
    <s v="5002896"/>
    <s v="8524 BTS T35 PB SYSTIVA RP"/>
    <n v="96"/>
    <n v="0"/>
    <n v="96"/>
    <x v="7"/>
    <s v="FWND"/>
    <s v="RP"/>
    <s v="333"/>
    <s v="4.0 UN"/>
    <s v="STANDARD"/>
    <s v="N"/>
    <s v="Y"/>
    <s v="N"/>
    <s v="T35"/>
    <s v="Y"/>
    <s v="N"/>
    <s v="Y"/>
    <s v="N"/>
    <s v="B056"/>
    <d v="2016-10-27T00:00:00"/>
    <s v="10"/>
    <s v="TAN"/>
    <s v="OR"/>
    <d v="2016-10-24T00:00:00"/>
    <s v="ND"/>
    <s v="US"/>
    <s v="ZR"/>
    <d v="2016-10-24T00:00:00"/>
  </r>
  <r>
    <x v="1"/>
    <x v="7"/>
    <x v="1480"/>
    <x v="28"/>
    <s v="Standard order"/>
    <x v="1401"/>
    <x v="1396"/>
    <s v="8052"/>
    <s v="BTS 80RR52"/>
    <s v="5002735"/>
    <s v="8052 BTS T35 PB SYSTIVA RP"/>
    <n v="120"/>
    <n v="0"/>
    <n v="120"/>
    <x v="7"/>
    <s v="AP82"/>
    <s v="RP"/>
    <s v="333"/>
    <s v="4.0 UN"/>
    <s v="STANDARD"/>
    <s v="N"/>
    <s v="Y"/>
    <s v="N"/>
    <s v="T35"/>
    <s v="Y"/>
    <s v="N"/>
    <s v="Y"/>
    <s v="N"/>
    <s v="B056"/>
    <d v="2016-10-27T00:00:00"/>
    <s v="20"/>
    <s v="TAN"/>
    <s v="OR"/>
    <d v="2016-10-24T00:00:00"/>
    <s v="ND"/>
    <s v="US"/>
    <s v="ZR"/>
    <d v="2016-10-24T00:00:00"/>
  </r>
  <r>
    <x v="1"/>
    <x v="7"/>
    <x v="1480"/>
    <x v="28"/>
    <s v="Standard order"/>
    <x v="1401"/>
    <x v="1396"/>
    <s v="8500"/>
    <s v="BTS 8500"/>
    <s v="5002856"/>
    <s v="8500 BTS T35 PB SYSTIVA RP"/>
    <n v="96"/>
    <n v="0"/>
    <n v="96"/>
    <x v="7"/>
    <s v="FTND"/>
    <s v="RP"/>
    <s v="333"/>
    <s v="4.0 UN"/>
    <s v="STANDARD"/>
    <s v="N"/>
    <s v="Y"/>
    <s v="N"/>
    <s v="T35"/>
    <s v="Y"/>
    <s v="N"/>
    <s v="Y"/>
    <s v="N"/>
    <s v="B056"/>
    <d v="2016-10-27T00:00:00"/>
    <s v="40"/>
    <s v="TAN"/>
    <s v="OR"/>
    <d v="2016-10-24T00:00:00"/>
    <s v="ND"/>
    <s v="US"/>
    <s v="ZR"/>
    <d v="2016-10-24T00:00:00"/>
  </r>
  <r>
    <x v="1"/>
    <x v="7"/>
    <x v="1480"/>
    <x v="28"/>
    <s v="Standard order"/>
    <x v="1401"/>
    <x v="1396"/>
    <s v="8337"/>
    <s v="BTS 8337"/>
    <s v="5002795"/>
    <s v="8337 BTS T35 PB SYSTIVA RP"/>
    <n v="16"/>
    <n v="0"/>
    <n v="16"/>
    <x v="7"/>
    <s v="DHMC"/>
    <s v="RP"/>
    <s v="333"/>
    <s v="4.0 UN"/>
    <s v="STANDARD"/>
    <s v="N"/>
    <s v="Y"/>
    <s v="N"/>
    <s v="T35"/>
    <s v="Y"/>
    <s v="N"/>
    <s v="Y"/>
    <s v="N"/>
    <s v="B056"/>
    <d v="2016-10-27T00:00:00"/>
    <s v="50"/>
    <s v="TAN"/>
    <s v="OR"/>
    <d v="2016-10-24T00:00:00"/>
    <s v="ND"/>
    <s v="US"/>
    <s v="ZR"/>
    <d v="2016-10-24T00:00:00"/>
  </r>
  <r>
    <x v="1"/>
    <x v="8"/>
    <x v="1481"/>
    <x v="34"/>
    <s v="Returns Standard SAP"/>
    <x v="1366"/>
    <x v="1361"/>
    <s v="5499"/>
    <s v="BTS 5499"/>
    <s v="5002605"/>
    <s v="5499 BTS P100"/>
    <n v="-32"/>
    <n v="-32"/>
    <n v="0"/>
    <x v="8"/>
    <s v="DRMG"/>
    <s v="PRO 100"/>
    <s v="306"/>
    <s v="4.0 UN"/>
    <s v="STANDARD"/>
    <s v="N"/>
    <s v="N"/>
    <s v="N"/>
    <s v="N"/>
    <s v="N"/>
    <s v="N"/>
    <s v="N"/>
    <s v="N"/>
    <s v="B052"/>
    <m/>
    <s v="10"/>
    <s v="ZSRE"/>
    <s v="ZSRE"/>
    <d v="2016-10-26T00:00:00"/>
    <s v="CA"/>
    <s v="US"/>
    <s v="ZR"/>
    <d v="2016-10-24T00:00:00"/>
  </r>
  <r>
    <x v="1"/>
    <x v="9"/>
    <x v="1482"/>
    <x v="35"/>
    <s v="Standard order"/>
    <x v="1352"/>
    <x v="1347"/>
    <s v="A346"/>
    <s v="BTS AN346"/>
    <s v="5002172"/>
    <s v="AN346 P200 BetaShield"/>
    <n v="12"/>
    <n v="12"/>
    <n v="0"/>
    <x v="9"/>
    <s v="BK71"/>
    <s v="PRO 200"/>
    <s v="308"/>
    <s v="4.0 UN"/>
    <s v="STANDARD"/>
    <s v="N"/>
    <s v="Y"/>
    <s v="N"/>
    <s v="T20"/>
    <s v="N"/>
    <s v="N"/>
    <s v="N"/>
    <s v="N"/>
    <s v=""/>
    <d v="2016-10-24T00:00:00"/>
    <s v="10"/>
    <s v="TAN"/>
    <s v="OR"/>
    <d v="2016-11-21T00:00:00"/>
    <s v="AZ"/>
    <s v="US"/>
    <s v="ZR"/>
    <d v="2016-10-24T00:00:00"/>
  </r>
  <r>
    <x v="1"/>
    <x v="8"/>
    <x v="1483"/>
    <x v="34"/>
    <s v="Replant Order"/>
    <x v="1366"/>
    <x v="1361"/>
    <s v="5499"/>
    <s v="BTS 5499"/>
    <s v="5002606"/>
    <s v="5499 P50"/>
    <n v="120"/>
    <n v="120"/>
    <n v="0"/>
    <x v="8"/>
    <s v="DRMG"/>
    <s v="PRO 50"/>
    <s v="306"/>
    <s v="4.0 UN"/>
    <s v="STANDARD"/>
    <s v="N"/>
    <s v="N"/>
    <s v="N"/>
    <s v="N"/>
    <s v="N"/>
    <s v="N"/>
    <s v="N"/>
    <s v="N"/>
    <s v=""/>
    <d v="2016-10-24T00:00:00"/>
    <s v="10"/>
    <s v="TAN"/>
    <s v="ZRPU"/>
    <d v="2016-10-28T00:00:00"/>
    <s v="CA"/>
    <s v="US"/>
    <s v="ZR"/>
    <d v="2016-10-24T00:00:00"/>
  </r>
  <r>
    <x v="1"/>
    <x v="7"/>
    <x v="1484"/>
    <x v="36"/>
    <s v="Standard order"/>
    <x v="1402"/>
    <x v="1397"/>
    <s v="8512"/>
    <s v="BTS 8512"/>
    <s v="5002876"/>
    <s v="8512 BTS T35 PB SYSTIVA RP"/>
    <n v="64"/>
    <n v="0"/>
    <n v="64"/>
    <x v="7"/>
    <s v="FX73"/>
    <s v="RP"/>
    <s v="333"/>
    <s v="4.0 UN"/>
    <s v="STANDARD"/>
    <s v="N"/>
    <s v="Y"/>
    <s v="N"/>
    <s v="T35"/>
    <s v="Y"/>
    <s v="N"/>
    <s v="Y"/>
    <s v="N"/>
    <s v="B027"/>
    <d v="2016-10-28T00:00:00"/>
    <s v="50"/>
    <s v="TAN"/>
    <s v="OR"/>
    <d v="2016-10-25T00:00:00"/>
    <s v="ND"/>
    <s v="US"/>
    <s v="ZR"/>
    <d v="2016-10-25T00:00:00"/>
  </r>
  <r>
    <x v="1"/>
    <x v="7"/>
    <x v="1484"/>
    <x v="36"/>
    <s v="Standard order"/>
    <x v="1402"/>
    <x v="1397"/>
    <s v="8052"/>
    <s v="BTS 80RR52"/>
    <s v="5002735"/>
    <s v="8052 BTS T35 PB SYSTIVA RP"/>
    <n v="92"/>
    <n v="0"/>
    <n v="92"/>
    <x v="7"/>
    <s v="AP82"/>
    <s v="RP"/>
    <s v="333"/>
    <s v="4.0 UN"/>
    <s v="STANDARD"/>
    <s v="N"/>
    <s v="Y"/>
    <s v="N"/>
    <s v="T35"/>
    <s v="Y"/>
    <s v="N"/>
    <s v="Y"/>
    <s v="N"/>
    <s v="B027"/>
    <d v="2016-10-28T00:00:00"/>
    <s v="10"/>
    <s v="TAN"/>
    <s v="OR"/>
    <d v="2016-10-25T00:00:00"/>
    <s v="ND"/>
    <s v="US"/>
    <s v="ZR"/>
    <d v="2016-10-25T00:00:00"/>
  </r>
  <r>
    <x v="1"/>
    <x v="7"/>
    <x v="1484"/>
    <x v="36"/>
    <s v="Standard order"/>
    <x v="1402"/>
    <x v="1397"/>
    <s v="8524"/>
    <s v="BTS 8524"/>
    <s v="5002896"/>
    <s v="8524 BTS T35 PB SYSTIVA RP"/>
    <n v="40"/>
    <n v="0"/>
    <n v="40"/>
    <x v="7"/>
    <s v="FWND"/>
    <s v="RP"/>
    <s v="333"/>
    <s v="4.0 UN"/>
    <s v="STANDARD"/>
    <s v="N"/>
    <s v="Y"/>
    <s v="N"/>
    <s v="T35"/>
    <s v="Y"/>
    <s v="N"/>
    <s v="Y"/>
    <s v="N"/>
    <s v="B027"/>
    <d v="2016-10-28T00:00:00"/>
    <s v="30"/>
    <s v="TAN"/>
    <s v="OR"/>
    <d v="2016-10-25T00:00:00"/>
    <s v="ND"/>
    <s v="US"/>
    <s v="ZR"/>
    <d v="2016-10-25T00:00:00"/>
  </r>
  <r>
    <x v="1"/>
    <x v="7"/>
    <x v="1484"/>
    <x v="36"/>
    <s v="Standard order"/>
    <x v="1402"/>
    <x v="1397"/>
    <s v="8572"/>
    <s v="BTS 8572"/>
    <s v="5003215"/>
    <s v="8572 BTS T35 PB SYSTIVA RP"/>
    <n v="40"/>
    <n v="0"/>
    <n v="40"/>
    <x v="7"/>
    <s v="FENB"/>
    <s v="RP"/>
    <s v="333"/>
    <s v="4.0 UN"/>
    <s v="STANDARD"/>
    <s v="N"/>
    <s v="Y"/>
    <s v="N"/>
    <s v="T35"/>
    <s v="Y"/>
    <s v="N"/>
    <s v="Y"/>
    <s v="N"/>
    <s v="B027"/>
    <d v="2016-10-28T00:00:00"/>
    <s v="40"/>
    <s v="TAN"/>
    <s v="OR"/>
    <d v="2016-10-25T00:00:00"/>
    <s v="ND"/>
    <s v="US"/>
    <s v="ZR"/>
    <d v="2016-10-25T00:00:00"/>
  </r>
  <r>
    <x v="1"/>
    <x v="7"/>
    <x v="1485"/>
    <x v="36"/>
    <s v="Standard order"/>
    <x v="1403"/>
    <x v="1398"/>
    <s v="8052"/>
    <s v="BTS 80RR52"/>
    <s v="5002734"/>
    <s v="8052 BTS T35 PB SYSTIVA P200"/>
    <n v="76"/>
    <n v="0"/>
    <n v="76"/>
    <x v="7"/>
    <s v="AP82"/>
    <s v="PRO 200"/>
    <s v="333"/>
    <s v="4.0 UN"/>
    <s v="STANDARD"/>
    <s v="N"/>
    <s v="Y"/>
    <s v="N"/>
    <s v="T35"/>
    <s v="Y"/>
    <s v="N"/>
    <s v="Y"/>
    <s v="N"/>
    <s v="B027"/>
    <d v="2016-10-28T00:00:00"/>
    <s v="10"/>
    <s v="TAN"/>
    <s v="OR"/>
    <d v="2016-10-25T00:00:00"/>
    <s v="MN"/>
    <s v="US"/>
    <s v="ZR"/>
    <d v="2016-10-25T00:00:00"/>
  </r>
  <r>
    <x v="1"/>
    <x v="7"/>
    <x v="1485"/>
    <x v="36"/>
    <s v="Standard order"/>
    <x v="1403"/>
    <x v="1398"/>
    <s v="8524"/>
    <s v="BTS 8524"/>
    <s v="5002895"/>
    <s v="8524 BTS T35 PB SYSTIVA P200"/>
    <n v="212"/>
    <n v="0"/>
    <n v="212"/>
    <x v="7"/>
    <s v="FWND"/>
    <s v="PRO 200"/>
    <s v="333"/>
    <s v="4.0 UN"/>
    <s v="STANDARD"/>
    <s v="N"/>
    <s v="Y"/>
    <s v="N"/>
    <s v="T35"/>
    <s v="Y"/>
    <s v="N"/>
    <s v="Y"/>
    <s v="N"/>
    <s v="B027"/>
    <d v="2016-10-28T00:00:00"/>
    <s v="20"/>
    <s v="TAN"/>
    <s v="OR"/>
    <d v="2016-10-25T00:00:00"/>
    <s v="MN"/>
    <s v="US"/>
    <s v="ZR"/>
    <d v="2016-10-25T00:00:00"/>
  </r>
  <r>
    <x v="1"/>
    <x v="7"/>
    <x v="1485"/>
    <x v="36"/>
    <s v="Standard order"/>
    <x v="1403"/>
    <x v="1398"/>
    <s v="8500"/>
    <s v="BTS 8500"/>
    <s v="5002855"/>
    <s v="8500 BTS T35 PB SYSTIVA P200"/>
    <n v="96"/>
    <n v="0"/>
    <n v="96"/>
    <x v="7"/>
    <s v="FTND"/>
    <s v="PRO 200"/>
    <s v="333"/>
    <s v="4.0 UN"/>
    <s v="STANDARD"/>
    <s v="N"/>
    <s v="Y"/>
    <s v="N"/>
    <s v="T35"/>
    <s v="Y"/>
    <s v="N"/>
    <s v="Y"/>
    <s v="N"/>
    <s v="B027"/>
    <d v="2016-10-28T00:00:00"/>
    <s v="30"/>
    <s v="TAN"/>
    <s v="OR"/>
    <d v="2016-10-25T00:00:00"/>
    <s v="MN"/>
    <s v="US"/>
    <s v="ZR"/>
    <d v="2016-10-25T00:00:00"/>
  </r>
  <r>
    <x v="1"/>
    <x v="7"/>
    <x v="1486"/>
    <x v="36"/>
    <s v="Standard order"/>
    <x v="1404"/>
    <x v="1399"/>
    <s v="8337"/>
    <s v="BTS 8337"/>
    <s v="5002794"/>
    <s v="8337 BTS T35 PB SYSTIVA P200"/>
    <n v="48"/>
    <n v="0"/>
    <n v="48"/>
    <x v="7"/>
    <s v="DHMC"/>
    <s v="PRO 200"/>
    <s v="333"/>
    <s v="4.0 UN"/>
    <s v="STANDARD"/>
    <s v="N"/>
    <s v="Y"/>
    <s v="N"/>
    <s v="T35"/>
    <s v="Y"/>
    <s v="N"/>
    <s v="Y"/>
    <s v="N"/>
    <s v="B027"/>
    <d v="2016-10-28T00:00:00"/>
    <s v="10"/>
    <s v="TAN"/>
    <s v="OR"/>
    <d v="2016-10-25T00:00:00"/>
    <s v="MN"/>
    <s v="US"/>
    <s v="ZR"/>
    <d v="2016-10-25T00:00:00"/>
  </r>
  <r>
    <x v="1"/>
    <x v="7"/>
    <x v="1486"/>
    <x v="36"/>
    <s v="Standard order"/>
    <x v="1404"/>
    <x v="1399"/>
    <s v="8524"/>
    <s v="BTS 8524"/>
    <s v="5002895"/>
    <s v="8524 BTS T35 PB SYSTIVA P200"/>
    <n v="48"/>
    <n v="0"/>
    <n v="48"/>
    <x v="7"/>
    <s v="FWND"/>
    <s v="PRO 200"/>
    <s v="333"/>
    <s v="4.0 UN"/>
    <s v="STANDARD"/>
    <s v="N"/>
    <s v="Y"/>
    <s v="N"/>
    <s v="T35"/>
    <s v="Y"/>
    <s v="N"/>
    <s v="Y"/>
    <s v="N"/>
    <s v="B027"/>
    <d v="2016-10-28T00:00:00"/>
    <s v="20"/>
    <s v="TAN"/>
    <s v="OR"/>
    <d v="2016-10-25T00:00:00"/>
    <s v="MN"/>
    <s v="US"/>
    <s v="ZR"/>
    <d v="2016-10-25T00:00:00"/>
  </r>
  <r>
    <x v="1"/>
    <x v="7"/>
    <x v="1487"/>
    <x v="31"/>
    <s v="Standard order"/>
    <x v="1405"/>
    <x v="1400"/>
    <s v="8052"/>
    <s v="BTS 80RR52"/>
    <s v="5002735"/>
    <s v="8052 BTS T35 PB SYSTIVA RP"/>
    <n v="96"/>
    <n v="0"/>
    <n v="96"/>
    <x v="7"/>
    <s v="AP82"/>
    <s v="RP"/>
    <s v="333"/>
    <s v="4.0 UN"/>
    <s v="STANDARD"/>
    <s v="N"/>
    <s v="Y"/>
    <s v="N"/>
    <s v="T35"/>
    <s v="Y"/>
    <s v="N"/>
    <s v="Y"/>
    <s v="N"/>
    <s v="B028"/>
    <d v="2016-10-28T00:00:00"/>
    <s v="10"/>
    <s v="TAN"/>
    <s v="OR"/>
    <d v="2016-10-25T00:00:00"/>
    <s v="ND"/>
    <s v="US"/>
    <s v="ZR"/>
    <d v="2016-10-25T00:00:00"/>
  </r>
  <r>
    <x v="1"/>
    <x v="7"/>
    <x v="1487"/>
    <x v="31"/>
    <s v="Standard order"/>
    <x v="1405"/>
    <x v="1400"/>
    <s v="8337"/>
    <s v="BTS 8337"/>
    <s v="5002795"/>
    <s v="8337 BTS T35 PB SYSTIVA RP"/>
    <n v="48"/>
    <n v="0"/>
    <n v="48"/>
    <x v="7"/>
    <s v="DHMC"/>
    <s v="RP"/>
    <s v="333"/>
    <s v="4.0 UN"/>
    <s v="STANDARD"/>
    <s v="N"/>
    <s v="Y"/>
    <s v="N"/>
    <s v="T35"/>
    <s v="Y"/>
    <s v="N"/>
    <s v="Y"/>
    <s v="N"/>
    <s v="B028"/>
    <d v="2016-10-28T00:00:00"/>
    <s v="20"/>
    <s v="TAN"/>
    <s v="OR"/>
    <d v="2016-10-25T00:00:00"/>
    <s v="ND"/>
    <s v="US"/>
    <s v="ZR"/>
    <d v="2016-10-25T00:00:00"/>
  </r>
  <r>
    <x v="1"/>
    <x v="7"/>
    <x v="1488"/>
    <x v="31"/>
    <s v="Standard order"/>
    <x v="1406"/>
    <x v="1401"/>
    <s v="8337"/>
    <s v="BTS 8337"/>
    <s v="5002795"/>
    <s v="8337 BTS T35 PB SYSTIVA RP"/>
    <n v="96"/>
    <n v="0"/>
    <n v="96"/>
    <x v="7"/>
    <s v="DHMC"/>
    <s v="RP"/>
    <s v="333"/>
    <s v="4.0 UN"/>
    <s v="STANDARD"/>
    <s v="N"/>
    <s v="Y"/>
    <s v="N"/>
    <s v="T35"/>
    <s v="Y"/>
    <s v="N"/>
    <s v="Y"/>
    <s v="N"/>
    <s v="B028"/>
    <d v="2016-10-28T00:00:00"/>
    <s v="10"/>
    <s v="TAN"/>
    <s v="OR"/>
    <d v="2016-10-25T00:00:00"/>
    <s v="ND"/>
    <s v="US"/>
    <s v="ZR"/>
    <d v="2016-10-25T00:00:00"/>
  </r>
  <r>
    <x v="1"/>
    <x v="7"/>
    <x v="1488"/>
    <x v="31"/>
    <s v="Standard order"/>
    <x v="1406"/>
    <x v="1401"/>
    <s v="8524"/>
    <s v="BTS 8524"/>
    <s v="5002896"/>
    <s v="8524 BTS T35 PB SYSTIVA RP"/>
    <n v="96"/>
    <n v="0"/>
    <n v="96"/>
    <x v="7"/>
    <s v="FWND"/>
    <s v="RP"/>
    <s v="333"/>
    <s v="4.0 UN"/>
    <s v="STANDARD"/>
    <s v="N"/>
    <s v="Y"/>
    <s v="N"/>
    <s v="T35"/>
    <s v="Y"/>
    <s v="N"/>
    <s v="Y"/>
    <s v="N"/>
    <s v="B028"/>
    <d v="2016-10-28T00:00:00"/>
    <s v="20"/>
    <s v="TAN"/>
    <s v="OR"/>
    <d v="2016-10-25T00:00:00"/>
    <s v="ND"/>
    <s v="US"/>
    <s v="ZR"/>
    <d v="2016-10-25T00:00:00"/>
  </r>
  <r>
    <x v="1"/>
    <x v="7"/>
    <x v="1489"/>
    <x v="31"/>
    <s v="Standard order"/>
    <x v="1407"/>
    <x v="1402"/>
    <s v="8337"/>
    <s v="BTS 8337"/>
    <s v="5002795"/>
    <s v="8337 BTS T35 PB SYSTIVA RP"/>
    <n v="92"/>
    <n v="0"/>
    <n v="92"/>
    <x v="7"/>
    <s v="DHMC"/>
    <s v="RP"/>
    <s v="333"/>
    <s v="4.0 UN"/>
    <s v="STANDARD"/>
    <s v="N"/>
    <s v="Y"/>
    <s v="N"/>
    <s v="T35"/>
    <s v="Y"/>
    <s v="N"/>
    <s v="Y"/>
    <s v="N"/>
    <s v="B028"/>
    <d v="2016-10-28T00:00:00"/>
    <s v="10"/>
    <s v="TAN"/>
    <s v="OR"/>
    <d v="2016-10-25T00:00:00"/>
    <s v="ND"/>
    <s v="US"/>
    <s v="ZR"/>
    <d v="2016-10-25T00:00:00"/>
  </r>
  <r>
    <x v="1"/>
    <x v="7"/>
    <x v="1489"/>
    <x v="31"/>
    <s v="Standard order"/>
    <x v="1407"/>
    <x v="1402"/>
    <s v="8500"/>
    <s v="BTS 8500"/>
    <s v="5002856"/>
    <s v="8500 BTS T35 PB SYSTIVA RP"/>
    <n v="48"/>
    <n v="0"/>
    <n v="48"/>
    <x v="7"/>
    <s v="FTND"/>
    <s v="RP"/>
    <s v="333"/>
    <s v="4.0 UN"/>
    <s v="STANDARD"/>
    <s v="N"/>
    <s v="Y"/>
    <s v="N"/>
    <s v="T35"/>
    <s v="Y"/>
    <s v="N"/>
    <s v="Y"/>
    <s v="N"/>
    <s v="B028"/>
    <d v="2016-10-28T00:00:00"/>
    <s v="20"/>
    <s v="TAN"/>
    <s v="OR"/>
    <d v="2016-10-25T00:00:00"/>
    <s v="ND"/>
    <s v="US"/>
    <s v="ZR"/>
    <d v="2016-10-25T00:00:00"/>
  </r>
  <r>
    <x v="1"/>
    <x v="7"/>
    <x v="1489"/>
    <x v="31"/>
    <s v="Standard order"/>
    <x v="1407"/>
    <x v="1402"/>
    <s v="8572"/>
    <s v="BTS 8572"/>
    <s v="5003215"/>
    <s v="8572 BTS T35 PB SYSTIVA RP"/>
    <n v="48"/>
    <n v="0"/>
    <n v="48"/>
    <x v="7"/>
    <s v="FENB"/>
    <s v="RP"/>
    <s v="333"/>
    <s v="4.0 UN"/>
    <s v="STANDARD"/>
    <s v="N"/>
    <s v="Y"/>
    <s v="N"/>
    <s v="T35"/>
    <s v="Y"/>
    <s v="N"/>
    <s v="Y"/>
    <s v="N"/>
    <s v="B028"/>
    <d v="2016-10-28T00:00:00"/>
    <s v="30"/>
    <s v="TAN"/>
    <s v="OR"/>
    <d v="2016-10-25T00:00:00"/>
    <s v="ND"/>
    <s v="US"/>
    <s v="ZR"/>
    <d v="2016-10-25T00:00:00"/>
  </r>
  <r>
    <x v="1"/>
    <x v="7"/>
    <x v="1490"/>
    <x v="36"/>
    <s v="Standard order"/>
    <x v="1408"/>
    <x v="1403"/>
    <s v="8052"/>
    <s v="BTS 80RR52"/>
    <s v="5002735"/>
    <s v="8052 BTS T35 PB SYSTIVA RP"/>
    <n v="48"/>
    <n v="0"/>
    <n v="48"/>
    <x v="7"/>
    <s v="AP82"/>
    <s v="RP"/>
    <s v="333"/>
    <s v="4.0 UN"/>
    <s v="STANDARD"/>
    <s v="N"/>
    <s v="Y"/>
    <s v="N"/>
    <s v="T35"/>
    <s v="Y"/>
    <s v="N"/>
    <s v="Y"/>
    <s v="N"/>
    <s v="B027"/>
    <d v="2016-10-28T00:00:00"/>
    <s v="10"/>
    <s v="TAN"/>
    <s v="OR"/>
    <d v="2016-10-25T00:00:00"/>
    <s v="MN"/>
    <s v="US"/>
    <s v="ZR"/>
    <d v="2016-10-25T00:00:00"/>
  </r>
  <r>
    <x v="1"/>
    <x v="7"/>
    <x v="1490"/>
    <x v="36"/>
    <s v="Standard order"/>
    <x v="1408"/>
    <x v="1403"/>
    <s v="8572"/>
    <s v="BTS 8572"/>
    <s v="5003215"/>
    <s v="8572 BTS T35 PB SYSTIVA RP"/>
    <n v="48"/>
    <n v="0"/>
    <n v="48"/>
    <x v="7"/>
    <s v="FENB"/>
    <s v="RP"/>
    <s v="333"/>
    <s v="4.0 UN"/>
    <s v="STANDARD"/>
    <s v="N"/>
    <s v="Y"/>
    <s v="N"/>
    <s v="T35"/>
    <s v="Y"/>
    <s v="N"/>
    <s v="Y"/>
    <s v="N"/>
    <s v="B027"/>
    <d v="2016-10-28T00:00:00"/>
    <s v="20"/>
    <s v="TAN"/>
    <s v="OR"/>
    <d v="2016-10-25T00:00:00"/>
    <s v="MN"/>
    <s v="US"/>
    <s v="ZR"/>
    <d v="2016-10-25T00:00:00"/>
  </r>
  <r>
    <x v="1"/>
    <x v="7"/>
    <x v="1491"/>
    <x v="39"/>
    <s v="Standard order"/>
    <x v="1409"/>
    <x v="1404"/>
    <s v="8337"/>
    <s v="BTS 8337"/>
    <s v="5002794"/>
    <s v="8337 BTS T35 PB SYSTIVA P200"/>
    <n v="24"/>
    <n v="0"/>
    <n v="24"/>
    <x v="7"/>
    <s v="DHMC"/>
    <s v="PRO 200"/>
    <s v="333"/>
    <s v="4.0 UN"/>
    <s v="STANDARD"/>
    <s v="N"/>
    <s v="Y"/>
    <s v="N"/>
    <s v="T35"/>
    <s v="Y"/>
    <s v="N"/>
    <s v="Y"/>
    <s v="N"/>
    <s v="B030"/>
    <d v="2016-10-28T00:00:00"/>
    <s v="10"/>
    <s v="TAN"/>
    <s v="OR"/>
    <d v="2016-10-25T00:00:00"/>
    <s v="MN"/>
    <s v="US"/>
    <s v="ZR"/>
    <d v="2016-10-25T00:00:00"/>
  </r>
  <r>
    <x v="1"/>
    <x v="7"/>
    <x v="1491"/>
    <x v="39"/>
    <s v="Standard order"/>
    <x v="1409"/>
    <x v="1404"/>
    <s v="8363"/>
    <s v="BTS 8363"/>
    <s v="5002815"/>
    <s v="8363 BTS T35 PB SYSTIVA P200"/>
    <n v="48"/>
    <n v="0"/>
    <n v="48"/>
    <x v="7"/>
    <s v="DMMZ"/>
    <s v="PRO 200"/>
    <s v="333"/>
    <s v="4.0 UN"/>
    <s v="STANDARD"/>
    <s v="N"/>
    <s v="Y"/>
    <s v="N"/>
    <s v="T35"/>
    <s v="Y"/>
    <s v="N"/>
    <s v="Y"/>
    <s v="N"/>
    <s v="B030"/>
    <d v="2016-10-28T00:00:00"/>
    <s v="20"/>
    <s v="TAN"/>
    <s v="OR"/>
    <d v="2016-10-25T00:00:00"/>
    <s v="MN"/>
    <s v="US"/>
    <s v="ZR"/>
    <d v="2016-10-25T00:00:00"/>
  </r>
  <r>
    <x v="1"/>
    <x v="7"/>
    <x v="1491"/>
    <x v="39"/>
    <s v="Standard order"/>
    <x v="1409"/>
    <x v="1404"/>
    <s v="8500"/>
    <s v="BTS 8500"/>
    <s v="5002855"/>
    <s v="8500 BTS T35 PB SYSTIVA P200"/>
    <n v="120"/>
    <n v="0"/>
    <n v="120"/>
    <x v="7"/>
    <s v="FTND"/>
    <s v="PRO 200"/>
    <s v="333"/>
    <s v="4.0 UN"/>
    <s v="STANDARD"/>
    <s v="N"/>
    <s v="Y"/>
    <s v="N"/>
    <s v="T35"/>
    <s v="Y"/>
    <s v="N"/>
    <s v="Y"/>
    <s v="N"/>
    <s v="B030"/>
    <d v="2016-10-28T00:00:00"/>
    <s v="30"/>
    <s v="TAN"/>
    <s v="OR"/>
    <d v="2016-10-25T00:00:00"/>
    <s v="MN"/>
    <s v="US"/>
    <s v="ZR"/>
    <d v="2016-10-25T00:00:00"/>
  </r>
  <r>
    <x v="1"/>
    <x v="7"/>
    <x v="1491"/>
    <x v="39"/>
    <s v="Standard order"/>
    <x v="1409"/>
    <x v="1404"/>
    <s v="8524"/>
    <s v="BTS 8524"/>
    <s v="5002895"/>
    <s v="8524 BTS T35 PB SYSTIVA P200"/>
    <n v="84"/>
    <n v="0"/>
    <n v="84"/>
    <x v="7"/>
    <s v="FWND"/>
    <s v="PRO 200"/>
    <s v="333"/>
    <s v="4.0 UN"/>
    <s v="STANDARD"/>
    <s v="N"/>
    <s v="Y"/>
    <s v="N"/>
    <s v="T35"/>
    <s v="Y"/>
    <s v="N"/>
    <s v="Y"/>
    <s v="N"/>
    <s v="B030"/>
    <d v="2016-10-28T00:00:00"/>
    <s v="40"/>
    <s v="TAN"/>
    <s v="OR"/>
    <d v="2016-10-25T00:00:00"/>
    <s v="MN"/>
    <s v="US"/>
    <s v="ZR"/>
    <d v="2016-10-25T00:00:00"/>
  </r>
  <r>
    <x v="1"/>
    <x v="7"/>
    <x v="1492"/>
    <x v="36"/>
    <s v="Standard order"/>
    <x v="1410"/>
    <x v="1405"/>
    <s v="8524"/>
    <s v="BTS 8524"/>
    <s v="5002896"/>
    <s v="8524 BTS T35 PB SYSTIVA RP"/>
    <n v="216"/>
    <n v="0"/>
    <n v="216"/>
    <x v="7"/>
    <s v="FWND"/>
    <s v="RP"/>
    <s v="333"/>
    <s v="4.0 UN"/>
    <s v="STANDARD"/>
    <s v="N"/>
    <s v="Y"/>
    <s v="N"/>
    <s v="T35"/>
    <s v="Y"/>
    <s v="N"/>
    <s v="Y"/>
    <s v="N"/>
    <s v="B027"/>
    <d v="2016-10-28T00:00:00"/>
    <s v="10"/>
    <s v="TAN"/>
    <s v="OR"/>
    <d v="2016-10-25T00:00:00"/>
    <s v="MN"/>
    <s v="US"/>
    <s v="ZR"/>
    <d v="2016-10-25T00:00:00"/>
  </r>
  <r>
    <x v="1"/>
    <x v="7"/>
    <x v="1492"/>
    <x v="36"/>
    <s v="Standard order"/>
    <x v="1410"/>
    <x v="1405"/>
    <s v="8052"/>
    <s v="BTS 80RR52"/>
    <s v="5002735"/>
    <s v="8052 BTS T35 PB SYSTIVA RP"/>
    <n v="60"/>
    <n v="0"/>
    <n v="60"/>
    <x v="7"/>
    <s v="AP82"/>
    <s v="RP"/>
    <s v="333"/>
    <s v="4.0 UN"/>
    <s v="STANDARD"/>
    <s v="N"/>
    <s v="Y"/>
    <s v="N"/>
    <s v="T35"/>
    <s v="Y"/>
    <s v="N"/>
    <s v="Y"/>
    <s v="N"/>
    <s v="B027"/>
    <d v="2016-10-28T00:00:00"/>
    <s v="20"/>
    <s v="TAN"/>
    <s v="OR"/>
    <d v="2016-10-25T00:00:00"/>
    <s v="MN"/>
    <s v="US"/>
    <s v="ZR"/>
    <d v="2016-10-25T00:00:00"/>
  </r>
  <r>
    <x v="1"/>
    <x v="7"/>
    <x v="1492"/>
    <x v="36"/>
    <s v="Standard order"/>
    <x v="1410"/>
    <x v="1405"/>
    <s v="8572"/>
    <s v="BTS 8572"/>
    <s v="5003215"/>
    <s v="8572 BTS T35 PB SYSTIVA RP"/>
    <n v="96"/>
    <n v="0"/>
    <n v="96"/>
    <x v="7"/>
    <s v="FENB"/>
    <s v="RP"/>
    <s v="333"/>
    <s v="4.0 UN"/>
    <s v="STANDARD"/>
    <s v="N"/>
    <s v="Y"/>
    <s v="N"/>
    <s v="T35"/>
    <s v="Y"/>
    <s v="N"/>
    <s v="Y"/>
    <s v="N"/>
    <s v="B027"/>
    <d v="2016-10-28T00:00:00"/>
    <s v="30"/>
    <s v="TAN"/>
    <s v="OR"/>
    <d v="2016-10-25T00:00:00"/>
    <s v="MN"/>
    <s v="US"/>
    <s v="ZR"/>
    <d v="2016-10-25T00:00:00"/>
  </r>
  <r>
    <x v="1"/>
    <x v="7"/>
    <x v="1492"/>
    <x v="36"/>
    <s v="Standard order"/>
    <x v="1410"/>
    <x v="1405"/>
    <s v="8500"/>
    <s v="BTS 8500"/>
    <s v="5002856"/>
    <s v="8500 BTS T35 PB SYSTIVA RP"/>
    <n v="96"/>
    <n v="0"/>
    <n v="96"/>
    <x v="7"/>
    <s v="FTND"/>
    <s v="RP"/>
    <s v="333"/>
    <s v="4.0 UN"/>
    <s v="STANDARD"/>
    <s v="N"/>
    <s v="Y"/>
    <s v="N"/>
    <s v="T35"/>
    <s v="Y"/>
    <s v="N"/>
    <s v="Y"/>
    <s v="N"/>
    <s v="B027"/>
    <d v="2016-10-28T00:00:00"/>
    <s v="40"/>
    <s v="TAN"/>
    <s v="OR"/>
    <d v="2016-10-25T00:00:00"/>
    <s v="MN"/>
    <s v="US"/>
    <s v="ZR"/>
    <d v="2016-10-25T00:00:00"/>
  </r>
  <r>
    <x v="1"/>
    <x v="7"/>
    <x v="1493"/>
    <x v="38"/>
    <s v="Standard order"/>
    <x v="1411"/>
    <x v="1406"/>
    <s v="8500"/>
    <s v="BTS 8500"/>
    <s v="5002856"/>
    <s v="8500 BTS T35 PB SYSTIVA RP"/>
    <n v="96"/>
    <n v="0"/>
    <n v="96"/>
    <x v="7"/>
    <s v="FTND"/>
    <s v="RP"/>
    <s v="333"/>
    <s v="4.0 UN"/>
    <s v="STANDARD"/>
    <s v="N"/>
    <s v="Y"/>
    <s v="N"/>
    <s v="T35"/>
    <s v="Y"/>
    <s v="N"/>
    <s v="Y"/>
    <s v="N"/>
    <s v="B031"/>
    <d v="2016-10-31T00:00:00"/>
    <s v="10"/>
    <s v="TAN"/>
    <s v="OR"/>
    <d v="2016-10-26T00:00:00"/>
    <s v="MN"/>
    <s v="US"/>
    <s v="ZR"/>
    <d v="2016-10-26T00:00:00"/>
  </r>
  <r>
    <x v="1"/>
    <x v="7"/>
    <x v="1493"/>
    <x v="38"/>
    <s v="Standard order"/>
    <x v="1411"/>
    <x v="1406"/>
    <s v="8337"/>
    <s v="BTS 8337"/>
    <s v="5002795"/>
    <s v="8337 BTS T35 PB SYSTIVA RP"/>
    <n v="112"/>
    <n v="0"/>
    <n v="112"/>
    <x v="7"/>
    <s v="DHMC"/>
    <s v="RP"/>
    <s v="333"/>
    <s v="4.0 UN"/>
    <s v="STANDARD"/>
    <s v="N"/>
    <s v="Y"/>
    <s v="N"/>
    <s v="T35"/>
    <s v="Y"/>
    <s v="N"/>
    <s v="Y"/>
    <s v="N"/>
    <s v="B031"/>
    <d v="2016-10-31T00:00:00"/>
    <s v="20"/>
    <s v="TAN"/>
    <s v="OR"/>
    <d v="2016-10-26T00:00:00"/>
    <s v="MN"/>
    <s v="US"/>
    <s v="ZR"/>
    <d v="2016-10-26T00:00:00"/>
  </r>
  <r>
    <x v="1"/>
    <x v="7"/>
    <x v="1493"/>
    <x v="38"/>
    <s v="Standard order"/>
    <x v="1411"/>
    <x v="1406"/>
    <s v="8524"/>
    <s v="BTS 8524"/>
    <s v="5002896"/>
    <s v="8524 BTS T35 PB SYSTIVA RP"/>
    <n v="96"/>
    <n v="0"/>
    <n v="96"/>
    <x v="7"/>
    <s v="FWND"/>
    <s v="RP"/>
    <s v="333"/>
    <s v="4.0 UN"/>
    <s v="STANDARD"/>
    <s v="N"/>
    <s v="Y"/>
    <s v="N"/>
    <s v="T35"/>
    <s v="Y"/>
    <s v="N"/>
    <s v="Y"/>
    <s v="N"/>
    <s v="B031"/>
    <d v="2016-10-31T00:00:00"/>
    <s v="30"/>
    <s v="TAN"/>
    <s v="OR"/>
    <d v="2016-10-26T00:00:00"/>
    <s v="MN"/>
    <s v="US"/>
    <s v="ZR"/>
    <d v="2016-10-26T00:00:00"/>
  </r>
  <r>
    <x v="1"/>
    <x v="7"/>
    <x v="1494"/>
    <x v="33"/>
    <s v="Standard order"/>
    <x v="1412"/>
    <x v="1407"/>
    <s v="8337"/>
    <s v="BTS 8337"/>
    <s v="5002795"/>
    <s v="8337 BTS T35 PB SYSTIVA RP"/>
    <n v="96"/>
    <n v="0"/>
    <n v="96"/>
    <x v="7"/>
    <s v="DHMC"/>
    <s v="RP"/>
    <s v="333"/>
    <s v="4.0 UN"/>
    <s v="STANDARD"/>
    <s v="N"/>
    <s v="Y"/>
    <s v="N"/>
    <s v="T35"/>
    <s v="Y"/>
    <s v="N"/>
    <s v="Y"/>
    <s v="N"/>
    <s v="B026"/>
    <d v="2016-10-31T00:00:00"/>
    <s v="10"/>
    <s v="TAN"/>
    <s v="OR"/>
    <d v="2016-10-26T00:00:00"/>
    <s v="MN"/>
    <s v="US"/>
    <s v="ZR"/>
    <d v="2016-10-26T00:00:00"/>
  </r>
  <r>
    <x v="1"/>
    <x v="7"/>
    <x v="1494"/>
    <x v="33"/>
    <s v="Standard order"/>
    <x v="1412"/>
    <x v="1407"/>
    <s v="8524"/>
    <s v="BTS 8524"/>
    <s v="5002896"/>
    <s v="8524 BTS T35 PB SYSTIVA RP"/>
    <n v="160"/>
    <n v="0"/>
    <n v="160"/>
    <x v="7"/>
    <s v="FWND"/>
    <s v="RP"/>
    <s v="333"/>
    <s v="4.0 UN"/>
    <s v="STANDARD"/>
    <s v="N"/>
    <s v="Y"/>
    <s v="N"/>
    <s v="T35"/>
    <s v="Y"/>
    <s v="N"/>
    <s v="Y"/>
    <s v="N"/>
    <s v="B026"/>
    <d v="2016-10-31T00:00:00"/>
    <s v="20"/>
    <s v="TAN"/>
    <s v="OR"/>
    <d v="2016-10-26T00:00:00"/>
    <s v="MN"/>
    <s v="US"/>
    <s v="ZR"/>
    <d v="2016-10-26T00:00:00"/>
  </r>
  <r>
    <x v="1"/>
    <x v="7"/>
    <x v="1494"/>
    <x v="33"/>
    <s v="Standard order"/>
    <x v="1412"/>
    <x v="1407"/>
    <s v="8500"/>
    <s v="BTS 8500"/>
    <s v="5002856"/>
    <s v="8500 BTS T35 PB SYSTIVA RP"/>
    <n v="160"/>
    <n v="0"/>
    <n v="160"/>
    <x v="7"/>
    <s v="FTND"/>
    <s v="RP"/>
    <s v="333"/>
    <s v="4.0 UN"/>
    <s v="STANDARD"/>
    <s v="N"/>
    <s v="Y"/>
    <s v="N"/>
    <s v="T35"/>
    <s v="Y"/>
    <s v="N"/>
    <s v="Y"/>
    <s v="N"/>
    <s v="B026"/>
    <d v="2016-10-31T00:00:00"/>
    <s v="30"/>
    <s v="TAN"/>
    <s v="OR"/>
    <d v="2016-10-26T00:00:00"/>
    <s v="MN"/>
    <s v="US"/>
    <s v="ZR"/>
    <d v="2016-10-26T00:00:00"/>
  </r>
  <r>
    <x v="1"/>
    <x v="7"/>
    <x v="1494"/>
    <x v="33"/>
    <s v="Standard order"/>
    <x v="1412"/>
    <x v="1407"/>
    <s v="8572"/>
    <s v="BTS 8572"/>
    <s v="5003215"/>
    <s v="8572 BTS T35 PB SYSTIVA RP"/>
    <n v="32"/>
    <n v="0"/>
    <n v="32"/>
    <x v="7"/>
    <s v="FENB"/>
    <s v="RP"/>
    <s v="333"/>
    <s v="4.0 UN"/>
    <s v="STANDARD"/>
    <s v="N"/>
    <s v="Y"/>
    <s v="N"/>
    <s v="T35"/>
    <s v="Y"/>
    <s v="N"/>
    <s v="Y"/>
    <s v="N"/>
    <s v="B026"/>
    <d v="2016-10-31T00:00:00"/>
    <s v="40"/>
    <s v="TAN"/>
    <s v="OR"/>
    <d v="2016-10-26T00:00:00"/>
    <s v="MN"/>
    <s v="US"/>
    <s v="ZR"/>
    <d v="2016-10-26T00:00:00"/>
  </r>
  <r>
    <x v="1"/>
    <x v="7"/>
    <x v="1495"/>
    <x v="39"/>
    <s v="Standard order"/>
    <x v="1413"/>
    <x v="1408"/>
    <s v="8337"/>
    <s v="BTS 8337"/>
    <s v="5002794"/>
    <s v="8337 BTS T35 PB SYSTIVA P200"/>
    <n v="40"/>
    <n v="0"/>
    <n v="40"/>
    <x v="7"/>
    <s v="DHMC"/>
    <s v="PRO 200"/>
    <s v="333"/>
    <s v="4.0 UN"/>
    <s v="STANDARD"/>
    <s v="N"/>
    <s v="Y"/>
    <s v="N"/>
    <s v="T35"/>
    <s v="Y"/>
    <s v="N"/>
    <s v="Y"/>
    <s v="N"/>
    <s v="B030"/>
    <d v="2016-10-31T00:00:00"/>
    <s v="10"/>
    <s v="TAN"/>
    <s v="OR"/>
    <d v="2016-10-26T00:00:00"/>
    <s v="MN"/>
    <s v="US"/>
    <s v="ZR"/>
    <d v="2016-10-26T00:00:00"/>
  </r>
  <r>
    <x v="1"/>
    <x v="7"/>
    <x v="1495"/>
    <x v="39"/>
    <s v="Standard order"/>
    <x v="1413"/>
    <x v="1408"/>
    <s v="8572"/>
    <s v="BTS 8572"/>
    <s v="5003214"/>
    <s v="8572 BTS T35 PB SYSTIVA P200"/>
    <n v="36"/>
    <n v="0"/>
    <n v="36"/>
    <x v="7"/>
    <s v="FENB"/>
    <s v="PRO 200"/>
    <s v="333"/>
    <s v="4.0 UN"/>
    <s v="STANDARD"/>
    <s v="N"/>
    <s v="Y"/>
    <s v="N"/>
    <s v="T35"/>
    <s v="Y"/>
    <s v="N"/>
    <s v="Y"/>
    <s v="N"/>
    <s v="B030"/>
    <d v="2016-10-31T00:00:00"/>
    <s v="20"/>
    <s v="TAN"/>
    <s v="OR"/>
    <d v="2016-10-26T00:00:00"/>
    <s v="MN"/>
    <s v="US"/>
    <s v="ZR"/>
    <d v="2016-10-26T00:00:00"/>
  </r>
  <r>
    <x v="1"/>
    <x v="7"/>
    <x v="1496"/>
    <x v="37"/>
    <s v="Standard order"/>
    <x v="1414"/>
    <x v="1409"/>
    <s v="8500"/>
    <s v="BTS 8500"/>
    <s v="5002855"/>
    <s v="8500 BTS T35 PB SYSTIVA P200"/>
    <n v="228"/>
    <n v="0"/>
    <n v="228"/>
    <x v="7"/>
    <s v="FTND"/>
    <s v="PRO 200"/>
    <s v="333"/>
    <s v="4.0 UN"/>
    <s v="STANDARD"/>
    <s v="N"/>
    <s v="Y"/>
    <s v="N"/>
    <s v="T35"/>
    <s v="Y"/>
    <s v="N"/>
    <s v="Y"/>
    <s v="N"/>
    <s v="B033"/>
    <d v="2016-10-31T00:00:00"/>
    <s v="10"/>
    <s v="TAN"/>
    <s v="OR"/>
    <d v="2016-10-26T00:00:00"/>
    <s v="ND"/>
    <s v="US"/>
    <s v="ZR"/>
    <d v="2016-10-26T00:00:00"/>
  </r>
  <r>
    <x v="1"/>
    <x v="7"/>
    <x v="1497"/>
    <x v="31"/>
    <s v="Standard order"/>
    <x v="1415"/>
    <x v="1410"/>
    <s v="8524"/>
    <s v="BTS 8524"/>
    <s v="5002896"/>
    <s v="8524 BTS T35 PB SYSTIVA RP"/>
    <n v="48"/>
    <n v="0"/>
    <n v="48"/>
    <x v="7"/>
    <s v="FWND"/>
    <s v="RP"/>
    <s v="333"/>
    <s v="4.0 UN"/>
    <s v="STANDARD"/>
    <s v="N"/>
    <s v="Y"/>
    <s v="N"/>
    <s v="T35"/>
    <s v="Y"/>
    <s v="N"/>
    <s v="Y"/>
    <s v="N"/>
    <s v="B028"/>
    <d v="2016-10-31T00:00:00"/>
    <s v="10"/>
    <s v="TAN"/>
    <s v="OR"/>
    <d v="2016-10-26T00:00:00"/>
    <s v="ND"/>
    <s v="US"/>
    <s v="ZR"/>
    <d v="2016-10-26T00:00:00"/>
  </r>
  <r>
    <x v="1"/>
    <x v="7"/>
    <x v="1498"/>
    <x v="36"/>
    <s v="Standard order"/>
    <x v="1416"/>
    <x v="1411"/>
    <s v="8052"/>
    <s v="BTS 80RR52"/>
    <s v="5002735"/>
    <s v="8052 BTS T35 PB SYSTIVA RP"/>
    <n v="24"/>
    <n v="0"/>
    <n v="24"/>
    <x v="7"/>
    <s v="AP82"/>
    <s v="RP"/>
    <s v="333"/>
    <s v="4.0 UN"/>
    <s v="STANDARD"/>
    <s v="N"/>
    <s v="Y"/>
    <s v="N"/>
    <s v="T35"/>
    <s v="Y"/>
    <s v="N"/>
    <s v="Y"/>
    <s v="N"/>
    <s v="B027"/>
    <d v="2016-10-31T00:00:00"/>
    <s v="30"/>
    <s v="TAN"/>
    <s v="OR"/>
    <d v="2016-10-26T00:00:00"/>
    <s v="MN"/>
    <s v="US"/>
    <s v="ZR"/>
    <d v="2016-10-26T00:00:00"/>
  </r>
  <r>
    <x v="1"/>
    <x v="7"/>
    <x v="1498"/>
    <x v="36"/>
    <s v="Standard order"/>
    <x v="1416"/>
    <x v="1411"/>
    <s v="8500"/>
    <s v="BTS 8500"/>
    <s v="5002856"/>
    <s v="8500 BTS T35 PB SYSTIVA RP"/>
    <n v="60"/>
    <n v="0"/>
    <n v="60"/>
    <x v="7"/>
    <s v="FTND"/>
    <s v="RP"/>
    <s v="333"/>
    <s v="4.0 UN"/>
    <s v="STANDARD"/>
    <s v="N"/>
    <s v="Y"/>
    <s v="N"/>
    <s v="T35"/>
    <s v="Y"/>
    <s v="N"/>
    <s v="Y"/>
    <s v="N"/>
    <s v="B027"/>
    <d v="2016-10-31T00:00:00"/>
    <s v="20"/>
    <s v="TAN"/>
    <s v="OR"/>
    <d v="2016-10-26T00:00:00"/>
    <s v="MN"/>
    <s v="US"/>
    <s v="ZR"/>
    <d v="2016-10-26T00:00:00"/>
  </r>
  <r>
    <x v="1"/>
    <x v="7"/>
    <x v="1498"/>
    <x v="36"/>
    <s v="Standard order"/>
    <x v="1416"/>
    <x v="1411"/>
    <s v="8363"/>
    <s v="BTS 8363"/>
    <s v="5002816"/>
    <s v="8363 BTS T35 PB SYSTIVA RP"/>
    <n v="72"/>
    <n v="0"/>
    <n v="72"/>
    <x v="7"/>
    <s v="DMMZ"/>
    <s v="RP"/>
    <s v="333"/>
    <s v="4.0 UN"/>
    <s v="STANDARD"/>
    <s v="N"/>
    <s v="Y"/>
    <s v="N"/>
    <s v="T35"/>
    <s v="Y"/>
    <s v="N"/>
    <s v="Y"/>
    <s v="N"/>
    <s v="B027"/>
    <d v="2016-10-31T00:00:00"/>
    <s v="10"/>
    <s v="TAN"/>
    <s v="OR"/>
    <d v="2016-10-26T00:00:00"/>
    <s v="MN"/>
    <s v="US"/>
    <s v="ZR"/>
    <d v="2016-10-26T00:00:00"/>
  </r>
  <r>
    <x v="1"/>
    <x v="7"/>
    <x v="1499"/>
    <x v="38"/>
    <s v="Standard order"/>
    <x v="1417"/>
    <x v="1412"/>
    <s v="8052"/>
    <s v="BTS 80RR52"/>
    <s v="5002735"/>
    <s v="8052 BTS T35 PB SYSTIVA RP"/>
    <n v="100"/>
    <n v="0"/>
    <n v="100"/>
    <x v="7"/>
    <s v="AP82"/>
    <s v="RP"/>
    <s v="333"/>
    <s v="4.0 UN"/>
    <s v="STANDARD"/>
    <s v="N"/>
    <s v="Y"/>
    <s v="N"/>
    <s v="T35"/>
    <s v="Y"/>
    <s v="N"/>
    <s v="Y"/>
    <s v="N"/>
    <s v="B031"/>
    <d v="2016-10-31T00:00:00"/>
    <s v="10"/>
    <s v="TAN"/>
    <s v="OR"/>
    <d v="2016-10-26T00:00:00"/>
    <s v="MN"/>
    <s v="US"/>
    <s v="ZR"/>
    <d v="2016-10-26T00:00:00"/>
  </r>
  <r>
    <x v="1"/>
    <x v="7"/>
    <x v="1499"/>
    <x v="38"/>
    <s v="Standard order"/>
    <x v="1417"/>
    <x v="1412"/>
    <s v="8524"/>
    <s v="BTS 8524"/>
    <s v="5002896"/>
    <s v="8524 BTS T35 PB SYSTIVA RP"/>
    <n v="96"/>
    <n v="0"/>
    <n v="96"/>
    <x v="7"/>
    <s v="FWND"/>
    <s v="RP"/>
    <s v="333"/>
    <s v="4.0 UN"/>
    <s v="STANDARD"/>
    <s v="N"/>
    <s v="Y"/>
    <s v="N"/>
    <s v="T35"/>
    <s v="Y"/>
    <s v="N"/>
    <s v="Y"/>
    <s v="N"/>
    <s v="B031"/>
    <d v="2016-10-31T00:00:00"/>
    <s v="20"/>
    <s v="TAN"/>
    <s v="OR"/>
    <d v="2016-10-26T00:00:00"/>
    <s v="MN"/>
    <s v="US"/>
    <s v="ZR"/>
    <d v="2016-10-26T00:00:00"/>
  </r>
  <r>
    <x v="1"/>
    <x v="7"/>
    <x v="1500"/>
    <x v="33"/>
    <s v="Standard order"/>
    <x v="1418"/>
    <x v="1413"/>
    <s v="8337"/>
    <s v="BTS 8337"/>
    <s v="5002795"/>
    <s v="8337 BTS T35 PB SYSTIVA RP"/>
    <n v="516"/>
    <n v="0"/>
    <n v="516"/>
    <x v="7"/>
    <s v="DHMC"/>
    <s v="RP"/>
    <s v="333"/>
    <s v="4.0 UN"/>
    <s v="STANDARD"/>
    <s v="N"/>
    <s v="Y"/>
    <s v="N"/>
    <s v="T35"/>
    <s v="Y"/>
    <s v="N"/>
    <s v="Y"/>
    <s v="N"/>
    <s v="B026"/>
    <d v="2016-10-31T00:00:00"/>
    <s v="10"/>
    <s v="TAN"/>
    <s v="OR"/>
    <d v="2016-10-26T00:00:00"/>
    <s v="MN"/>
    <s v="US"/>
    <s v="ZR"/>
    <d v="2016-10-26T00:00:00"/>
  </r>
  <r>
    <x v="1"/>
    <x v="7"/>
    <x v="1500"/>
    <x v="33"/>
    <s v="Standard order"/>
    <x v="1418"/>
    <x v="1413"/>
    <s v="8524"/>
    <s v="BTS 8524"/>
    <s v="5002896"/>
    <s v="8524 BTS T35 PB SYSTIVA RP"/>
    <n v="240"/>
    <n v="0"/>
    <n v="240"/>
    <x v="7"/>
    <s v="FWND"/>
    <s v="RP"/>
    <s v="333"/>
    <s v="4.0 UN"/>
    <s v="STANDARD"/>
    <s v="N"/>
    <s v="Y"/>
    <s v="N"/>
    <s v="T35"/>
    <s v="Y"/>
    <s v="N"/>
    <s v="Y"/>
    <s v="N"/>
    <s v="B026"/>
    <d v="2016-10-31T00:00:00"/>
    <s v="20"/>
    <s v="TAN"/>
    <s v="OR"/>
    <d v="2016-10-26T00:00:00"/>
    <s v="MN"/>
    <s v="US"/>
    <s v="ZR"/>
    <d v="2016-10-26T00:00:00"/>
  </r>
  <r>
    <x v="1"/>
    <x v="7"/>
    <x v="1501"/>
    <x v="33"/>
    <s v="Standard order"/>
    <x v="1419"/>
    <x v="1414"/>
    <s v="8337"/>
    <s v="BTS 8337"/>
    <s v="5002794"/>
    <s v="8337 BTS T35 PB SYSTIVA P200"/>
    <n v="540"/>
    <n v="0"/>
    <n v="540"/>
    <x v="7"/>
    <s v="DHMC"/>
    <s v="PRO 200"/>
    <s v="333"/>
    <s v="4.0 UN"/>
    <s v="STANDARD"/>
    <s v="N"/>
    <s v="Y"/>
    <s v="N"/>
    <s v="T35"/>
    <s v="Y"/>
    <s v="N"/>
    <s v="Y"/>
    <s v="N"/>
    <s v="B026"/>
    <d v="2016-10-31T00:00:00"/>
    <s v="10"/>
    <s v="TAN"/>
    <s v="OR"/>
    <d v="2016-10-26T00:00:00"/>
    <s v="MN"/>
    <s v="US"/>
    <s v="ZR"/>
    <d v="2016-10-26T00:00:00"/>
  </r>
  <r>
    <x v="1"/>
    <x v="7"/>
    <x v="1501"/>
    <x v="33"/>
    <s v="Standard order"/>
    <x v="1419"/>
    <x v="1414"/>
    <s v="8500"/>
    <s v="BTS 8500"/>
    <s v="5002855"/>
    <s v="8500 BTS T35 PB SYSTIVA P200"/>
    <n v="92"/>
    <n v="0"/>
    <n v="92"/>
    <x v="7"/>
    <s v="FTND"/>
    <s v="PRO 200"/>
    <s v="333"/>
    <s v="4.0 UN"/>
    <s v="STANDARD"/>
    <s v="N"/>
    <s v="Y"/>
    <s v="N"/>
    <s v="T35"/>
    <s v="Y"/>
    <s v="N"/>
    <s v="Y"/>
    <s v="N"/>
    <s v="B026"/>
    <d v="2016-10-31T00:00:00"/>
    <s v="20"/>
    <s v="TAN"/>
    <s v="OR"/>
    <d v="2016-10-26T00:00:00"/>
    <s v="MN"/>
    <s v="US"/>
    <s v="ZR"/>
    <d v="2016-10-26T00:00:00"/>
  </r>
  <r>
    <x v="1"/>
    <x v="7"/>
    <x v="1501"/>
    <x v="33"/>
    <s v="Standard order"/>
    <x v="1419"/>
    <x v="1414"/>
    <s v="8524"/>
    <s v="BTS 8524"/>
    <s v="5002895"/>
    <s v="8524 BTS T35 PB SYSTIVA P200"/>
    <n v="236"/>
    <n v="0"/>
    <n v="236"/>
    <x v="7"/>
    <s v="FWND"/>
    <s v="PRO 200"/>
    <s v="333"/>
    <s v="4.0 UN"/>
    <s v="STANDARD"/>
    <s v="N"/>
    <s v="Y"/>
    <s v="N"/>
    <s v="T35"/>
    <s v="Y"/>
    <s v="N"/>
    <s v="Y"/>
    <s v="N"/>
    <s v="B026"/>
    <d v="2016-10-31T00:00:00"/>
    <s v="30"/>
    <s v="TAN"/>
    <s v="OR"/>
    <d v="2016-10-26T00:00:00"/>
    <s v="MN"/>
    <s v="US"/>
    <s v="ZR"/>
    <d v="2016-10-26T00:00:00"/>
  </r>
  <r>
    <x v="1"/>
    <x v="7"/>
    <x v="1502"/>
    <x v="33"/>
    <s v="Standard order"/>
    <x v="1420"/>
    <x v="1415"/>
    <s v="8572"/>
    <s v="BTS 8572"/>
    <s v="5003214"/>
    <s v="8572 BTS T35 PB SYSTIVA P200"/>
    <n v="96"/>
    <n v="0"/>
    <n v="96"/>
    <x v="7"/>
    <s v="FENB"/>
    <s v="PRO 200"/>
    <s v="333"/>
    <s v="4.0 UN"/>
    <s v="STANDARD"/>
    <s v="N"/>
    <s v="Y"/>
    <s v="N"/>
    <s v="T35"/>
    <s v="Y"/>
    <s v="N"/>
    <s v="Y"/>
    <s v="N"/>
    <s v="B026"/>
    <d v="2016-10-31T00:00:00"/>
    <s v="50"/>
    <s v="TAN"/>
    <s v="OR"/>
    <d v="2016-10-26T00:00:00"/>
    <s v="MN"/>
    <s v="US"/>
    <s v="ZR"/>
    <d v="2016-10-26T00:00:00"/>
  </r>
  <r>
    <x v="1"/>
    <x v="7"/>
    <x v="1502"/>
    <x v="33"/>
    <s v="Standard order"/>
    <x v="1420"/>
    <x v="1415"/>
    <s v="8052"/>
    <s v="BTS 80RR52"/>
    <s v="5002734"/>
    <s v="8052 BTS T35 PB SYSTIVA P200"/>
    <n v="96"/>
    <n v="0"/>
    <n v="96"/>
    <x v="7"/>
    <s v="AP82"/>
    <s v="PRO 200"/>
    <s v="333"/>
    <s v="4.0 UN"/>
    <s v="STANDARD"/>
    <s v="N"/>
    <s v="Y"/>
    <s v="N"/>
    <s v="T35"/>
    <s v="Y"/>
    <s v="N"/>
    <s v="Y"/>
    <s v="N"/>
    <s v="B026"/>
    <d v="2016-10-31T00:00:00"/>
    <s v="10"/>
    <s v="TAN"/>
    <s v="OR"/>
    <d v="2016-10-26T00:00:00"/>
    <s v="MN"/>
    <s v="US"/>
    <s v="ZR"/>
    <d v="2016-10-26T00:00:00"/>
  </r>
  <r>
    <x v="1"/>
    <x v="7"/>
    <x v="1502"/>
    <x v="33"/>
    <s v="Standard order"/>
    <x v="1420"/>
    <x v="1415"/>
    <s v="8524"/>
    <s v="BTS 8524"/>
    <s v="5002895"/>
    <s v="8524 BTS T35 PB SYSTIVA P200"/>
    <n v="192"/>
    <n v="0"/>
    <n v="192"/>
    <x v="7"/>
    <s v="FWND"/>
    <s v="PRO 200"/>
    <s v="333"/>
    <s v="4.0 UN"/>
    <s v="STANDARD"/>
    <s v="N"/>
    <s v="Y"/>
    <s v="N"/>
    <s v="T35"/>
    <s v="Y"/>
    <s v="N"/>
    <s v="Y"/>
    <s v="N"/>
    <s v="B026"/>
    <d v="2016-10-31T00:00:00"/>
    <s v="30"/>
    <s v="TAN"/>
    <s v="OR"/>
    <d v="2016-10-26T00:00:00"/>
    <s v="MN"/>
    <s v="US"/>
    <s v="ZR"/>
    <d v="2016-10-26T00:00:00"/>
  </r>
  <r>
    <x v="1"/>
    <x v="7"/>
    <x v="1502"/>
    <x v="33"/>
    <s v="Standard order"/>
    <x v="1420"/>
    <x v="1415"/>
    <s v="8500"/>
    <s v="BTS 8500"/>
    <s v="5002855"/>
    <s v="8500 BTS T35 PB SYSTIVA P200"/>
    <n v="128"/>
    <n v="0"/>
    <n v="128"/>
    <x v="7"/>
    <s v="FTND"/>
    <s v="PRO 200"/>
    <s v="333"/>
    <s v="4.0 UN"/>
    <s v="STANDARD"/>
    <s v="N"/>
    <s v="Y"/>
    <s v="N"/>
    <s v="T35"/>
    <s v="Y"/>
    <s v="N"/>
    <s v="Y"/>
    <s v="N"/>
    <s v="B026"/>
    <d v="2016-10-31T00:00:00"/>
    <s v="40"/>
    <s v="TAN"/>
    <s v="OR"/>
    <d v="2016-10-26T00:00:00"/>
    <s v="MN"/>
    <s v="US"/>
    <s v="ZR"/>
    <d v="2016-10-26T00:00:00"/>
  </r>
  <r>
    <x v="1"/>
    <x v="7"/>
    <x v="1503"/>
    <x v="37"/>
    <s v="Standard order"/>
    <x v="1421"/>
    <x v="1416"/>
    <s v="8500"/>
    <s v="BTS 8500"/>
    <s v="5002860"/>
    <s v="8500 BTS T35 SYSTIVA RP"/>
    <n v="48"/>
    <n v="0"/>
    <n v="48"/>
    <x v="7"/>
    <s v="FTND"/>
    <s v="RP"/>
    <s v="334"/>
    <s v="4.0 UN"/>
    <s v="STANDARD"/>
    <s v="N"/>
    <s v="N"/>
    <s v="N"/>
    <s v="T35"/>
    <s v="Y"/>
    <s v="N"/>
    <s v="Y"/>
    <s v="N"/>
    <s v="B033"/>
    <d v="2016-10-31T00:00:00"/>
    <s v="50"/>
    <s v="TAN"/>
    <s v="OR"/>
    <d v="2016-10-26T00:00:00"/>
    <s v="MN"/>
    <s v="US"/>
    <s v="ZR"/>
    <d v="2016-10-26T00:00:00"/>
  </r>
  <r>
    <x v="1"/>
    <x v="7"/>
    <x v="1503"/>
    <x v="37"/>
    <s v="Standard order"/>
    <x v="1421"/>
    <x v="1416"/>
    <s v="8524"/>
    <s v="BTS 8524"/>
    <s v="5002900"/>
    <s v="8524 BTS T35 SYSTIVA RP"/>
    <n v="48"/>
    <n v="0"/>
    <n v="48"/>
    <x v="7"/>
    <s v="FWND"/>
    <s v="RP"/>
    <s v="334"/>
    <s v="4.0 UN"/>
    <s v="STANDARD"/>
    <s v="N"/>
    <s v="N"/>
    <s v="N"/>
    <s v="T35"/>
    <s v="Y"/>
    <s v="N"/>
    <s v="Y"/>
    <s v="N"/>
    <s v="B033"/>
    <d v="2016-10-31T00:00:00"/>
    <s v="60"/>
    <s v="TAN"/>
    <s v="OR"/>
    <d v="2016-10-26T00:00:00"/>
    <s v="MN"/>
    <s v="US"/>
    <s v="ZR"/>
    <d v="2016-10-26T00:00:00"/>
  </r>
  <r>
    <x v="1"/>
    <x v="7"/>
    <x v="1504"/>
    <x v="39"/>
    <s v="Standard order"/>
    <x v="1422"/>
    <x v="1417"/>
    <s v="8337"/>
    <s v="BTS 8337"/>
    <s v="5002782"/>
    <s v="8337 BTS T20 PB SYSTIVA MP"/>
    <n v="192"/>
    <n v="0"/>
    <n v="192"/>
    <x v="7"/>
    <s v="DHMC"/>
    <s v="MP"/>
    <s v="322"/>
    <s v="4.0 UN"/>
    <s v="STANDARD"/>
    <s v="N"/>
    <s v="N"/>
    <s v="N"/>
    <s v="T20"/>
    <s v="Y"/>
    <s v="N"/>
    <s v="Y"/>
    <s v="N"/>
    <s v="B030"/>
    <d v="2016-10-31T00:00:00"/>
    <s v="10"/>
    <s v="TAN"/>
    <s v="OR"/>
    <d v="2016-10-26T00:00:00"/>
    <s v="MN"/>
    <s v="US"/>
    <s v="ZR"/>
    <d v="2016-10-26T00:00:00"/>
  </r>
  <r>
    <x v="1"/>
    <x v="7"/>
    <x v="1504"/>
    <x v="39"/>
    <s v="Standard order"/>
    <x v="1422"/>
    <x v="1417"/>
    <s v="8572"/>
    <s v="BTS 8572"/>
    <s v="5003215"/>
    <s v="8572 BTS T35 PB SYSTIVA RP"/>
    <n v="48"/>
    <n v="0"/>
    <n v="48"/>
    <x v="7"/>
    <s v="FENB"/>
    <s v="RP"/>
    <s v="333"/>
    <s v="4.0 UN"/>
    <s v="STANDARD"/>
    <s v="N"/>
    <s v="Y"/>
    <s v="N"/>
    <s v="T35"/>
    <s v="Y"/>
    <s v="N"/>
    <s v="Y"/>
    <s v="N"/>
    <s v="B030"/>
    <d v="2016-10-31T00:00:00"/>
    <s v="20"/>
    <s v="TAN"/>
    <s v="OR"/>
    <d v="2016-10-26T00:00:00"/>
    <s v="MN"/>
    <s v="US"/>
    <s v="ZR"/>
    <d v="2016-10-26T00:00:00"/>
  </r>
  <r>
    <x v="1"/>
    <x v="9"/>
    <x v="1505"/>
    <x v="40"/>
    <s v="Returns Standard SAP"/>
    <x v="1362"/>
    <x v="1357"/>
    <s v="A241"/>
    <s v="BTS AR241"/>
    <s v="5003280"/>
    <s v="AR241 RP BetaShield"/>
    <n v="-4"/>
    <n v="-4"/>
    <n v="0"/>
    <x v="9"/>
    <s v="4D15"/>
    <s v="RP"/>
    <s v="308"/>
    <s v="4.0 UN"/>
    <s v="STANDARD"/>
    <s v="N"/>
    <s v="Y"/>
    <s v="N"/>
    <s v="T20"/>
    <s v="N"/>
    <s v="N"/>
    <s v="N"/>
    <s v="N"/>
    <s v=""/>
    <m/>
    <s v="10"/>
    <s v="ZSRE"/>
    <s v="ZSRE"/>
    <d v="2016-10-26T00:00:00"/>
    <s v="AZ"/>
    <s v="US"/>
    <s v="ZR"/>
    <d v="2016-10-26T00:00:00"/>
  </r>
  <r>
    <x v="1"/>
    <x v="7"/>
    <x v="1506"/>
    <x v="33"/>
    <s v="Standard order"/>
    <x v="1423"/>
    <x v="1418"/>
    <s v="8052"/>
    <s v="BTS 80RR52"/>
    <s v="5002734"/>
    <s v="8052 BTS T35 PB SYSTIVA P200"/>
    <n v="192"/>
    <n v="0"/>
    <n v="192"/>
    <x v="7"/>
    <s v="AP82"/>
    <s v="PRO 200"/>
    <s v="333"/>
    <s v="4.0 UN"/>
    <s v="STANDARD"/>
    <s v="N"/>
    <s v="Y"/>
    <s v="N"/>
    <s v="T35"/>
    <s v="Y"/>
    <s v="N"/>
    <s v="Y"/>
    <s v="N"/>
    <s v="B026"/>
    <d v="2016-10-31T00:00:00"/>
    <s v="10"/>
    <s v="TAN"/>
    <s v="OR"/>
    <d v="2016-10-26T00:00:00"/>
    <s v="MN"/>
    <s v="US"/>
    <s v="ZR"/>
    <d v="2016-10-26T00:00:00"/>
  </r>
  <r>
    <x v="1"/>
    <x v="7"/>
    <x v="1506"/>
    <x v="33"/>
    <s v="Standard order"/>
    <x v="1423"/>
    <x v="1418"/>
    <s v="8337"/>
    <s v="BTS 8337"/>
    <s v="5002794"/>
    <s v="8337 BTS T35 PB SYSTIVA P200"/>
    <n v="204"/>
    <n v="0"/>
    <n v="204"/>
    <x v="7"/>
    <s v="DHMC"/>
    <s v="PRO 200"/>
    <s v="333"/>
    <s v="4.0 UN"/>
    <s v="STANDARD"/>
    <s v="N"/>
    <s v="Y"/>
    <s v="N"/>
    <s v="T35"/>
    <s v="Y"/>
    <s v="N"/>
    <s v="Y"/>
    <s v="N"/>
    <s v="B026"/>
    <d v="2016-10-31T00:00:00"/>
    <s v="20"/>
    <s v="TAN"/>
    <s v="OR"/>
    <d v="2016-10-26T00:00:00"/>
    <s v="MN"/>
    <s v="US"/>
    <s v="ZR"/>
    <d v="2016-10-26T00:00:00"/>
  </r>
  <r>
    <x v="1"/>
    <x v="7"/>
    <x v="1506"/>
    <x v="33"/>
    <s v="Standard order"/>
    <x v="1423"/>
    <x v="1418"/>
    <s v="8524"/>
    <s v="BTS 8524"/>
    <s v="5002895"/>
    <s v="8524 BTS T35 PB SYSTIVA P200"/>
    <n v="192"/>
    <n v="0"/>
    <n v="192"/>
    <x v="7"/>
    <s v="FWND"/>
    <s v="PRO 200"/>
    <s v="333"/>
    <s v="4.0 UN"/>
    <s v="STANDARD"/>
    <s v="N"/>
    <s v="Y"/>
    <s v="N"/>
    <s v="T35"/>
    <s v="Y"/>
    <s v="N"/>
    <s v="Y"/>
    <s v="N"/>
    <s v="B026"/>
    <d v="2016-10-31T00:00:00"/>
    <s v="30"/>
    <s v="TAN"/>
    <s v="OR"/>
    <d v="2016-10-26T00:00:00"/>
    <s v="MN"/>
    <s v="US"/>
    <s v="ZR"/>
    <d v="2016-10-26T00:00:00"/>
  </r>
  <r>
    <x v="1"/>
    <x v="7"/>
    <x v="1507"/>
    <x v="33"/>
    <s v="Standard order"/>
    <x v="1424"/>
    <x v="1419"/>
    <s v="8052"/>
    <s v="BTS 80RR52"/>
    <s v="5002734"/>
    <s v="8052 BTS T35 PB SYSTIVA P200"/>
    <n v="192"/>
    <n v="0"/>
    <n v="192"/>
    <x v="7"/>
    <s v="AP82"/>
    <s v="PRO 200"/>
    <s v="333"/>
    <s v="4.0 UN"/>
    <s v="STANDARD"/>
    <s v="N"/>
    <s v="Y"/>
    <s v="N"/>
    <s v="T35"/>
    <s v="Y"/>
    <s v="N"/>
    <s v="Y"/>
    <s v="N"/>
    <s v="B026"/>
    <d v="2016-10-31T00:00:00"/>
    <s v="60"/>
    <s v="TAN"/>
    <s v="OR"/>
    <d v="2016-10-26T00:00:00"/>
    <s v="ND"/>
    <s v="US"/>
    <s v="ZR"/>
    <d v="2016-10-26T00:00:00"/>
  </r>
  <r>
    <x v="1"/>
    <x v="7"/>
    <x v="1507"/>
    <x v="33"/>
    <s v="Standard order"/>
    <x v="1424"/>
    <x v="1419"/>
    <s v="8524"/>
    <s v="BTS 8524"/>
    <s v="5002895"/>
    <s v="8524 BTS T35 PB SYSTIVA P200"/>
    <n v="192"/>
    <n v="0"/>
    <n v="192"/>
    <x v="7"/>
    <s v="FWND"/>
    <s v="PRO 200"/>
    <s v="333"/>
    <s v="4.0 UN"/>
    <s v="STANDARD"/>
    <s v="N"/>
    <s v="Y"/>
    <s v="N"/>
    <s v="T35"/>
    <s v="Y"/>
    <s v="N"/>
    <s v="Y"/>
    <s v="N"/>
    <s v="B026"/>
    <d v="2016-10-31T00:00:00"/>
    <s v="50"/>
    <s v="TAN"/>
    <s v="OR"/>
    <d v="2016-10-26T00:00:00"/>
    <s v="ND"/>
    <s v="US"/>
    <s v="ZR"/>
    <d v="2016-10-26T00:00:00"/>
  </r>
  <r>
    <x v="1"/>
    <x v="7"/>
    <x v="1507"/>
    <x v="33"/>
    <s v="Standard order"/>
    <x v="1424"/>
    <x v="1419"/>
    <s v="8500"/>
    <s v="BTS 8500"/>
    <s v="5002855"/>
    <s v="8500 BTS T35 PB SYSTIVA P200"/>
    <n v="384"/>
    <n v="0"/>
    <n v="384"/>
    <x v="7"/>
    <s v="FTND"/>
    <s v="PRO 200"/>
    <s v="333"/>
    <s v="4.0 UN"/>
    <s v="STANDARD"/>
    <s v="N"/>
    <s v="Y"/>
    <s v="N"/>
    <s v="T35"/>
    <s v="Y"/>
    <s v="N"/>
    <s v="Y"/>
    <s v="N"/>
    <s v="B026"/>
    <d v="2016-10-31T00:00:00"/>
    <s v="20"/>
    <s v="TAN"/>
    <s v="OR"/>
    <d v="2016-10-26T00:00:00"/>
    <s v="ND"/>
    <s v="US"/>
    <s v="ZR"/>
    <d v="2016-10-26T00:00:00"/>
  </r>
  <r>
    <x v="1"/>
    <x v="7"/>
    <x v="1507"/>
    <x v="33"/>
    <s v="Standard order"/>
    <x v="1424"/>
    <x v="1419"/>
    <s v="8572"/>
    <s v="BTS 8572"/>
    <s v="5003214"/>
    <s v="8572 BTS T35 PB SYSTIVA P200"/>
    <n v="192"/>
    <n v="0"/>
    <n v="192"/>
    <x v="7"/>
    <s v="FENB"/>
    <s v="PRO 200"/>
    <s v="333"/>
    <s v="4.0 UN"/>
    <s v="STANDARD"/>
    <s v="N"/>
    <s v="Y"/>
    <s v="N"/>
    <s v="T35"/>
    <s v="Y"/>
    <s v="N"/>
    <s v="Y"/>
    <s v="N"/>
    <s v="B026"/>
    <d v="2016-10-31T00:00:00"/>
    <s v="30"/>
    <s v="TAN"/>
    <s v="OR"/>
    <d v="2016-10-26T00:00:00"/>
    <s v="ND"/>
    <s v="US"/>
    <s v="ZR"/>
    <d v="2016-10-26T00:00:00"/>
  </r>
  <r>
    <x v="1"/>
    <x v="7"/>
    <x v="1508"/>
    <x v="39"/>
    <s v="Standard order"/>
    <x v="1425"/>
    <x v="1420"/>
    <s v="8052"/>
    <s v="BTS 80RR52"/>
    <s v="5002739"/>
    <s v="8052 BTS T35 SYSTIVA RP"/>
    <n v="56"/>
    <n v="0"/>
    <n v="56"/>
    <x v="7"/>
    <s v="AP82"/>
    <s v="RP"/>
    <s v="334"/>
    <s v="4.0 UN"/>
    <s v="STANDARD"/>
    <s v="N"/>
    <s v="N"/>
    <s v="N"/>
    <s v="T35"/>
    <s v="Y"/>
    <s v="N"/>
    <s v="Y"/>
    <s v="N"/>
    <s v="B030"/>
    <d v="2016-10-31T00:00:00"/>
    <s v="10"/>
    <s v="TAN"/>
    <s v="OR"/>
    <d v="2016-10-26T00:00:00"/>
    <s v="MN"/>
    <s v="US"/>
    <s v="ZR"/>
    <d v="2016-10-26T00:00:00"/>
  </r>
  <r>
    <x v="1"/>
    <x v="7"/>
    <x v="1509"/>
    <x v="33"/>
    <s v="Standard order"/>
    <x v="1426"/>
    <x v="1421"/>
    <s v="8052"/>
    <s v="BTS 80RR52"/>
    <s v="5002734"/>
    <s v="8052 BTS T35 PB SYSTIVA P200"/>
    <n v="48"/>
    <n v="0"/>
    <n v="48"/>
    <x v="7"/>
    <s v="AP82"/>
    <s v="PRO 200"/>
    <s v="333"/>
    <s v="4.0 UN"/>
    <s v="STANDARD"/>
    <s v="N"/>
    <s v="Y"/>
    <s v="N"/>
    <s v="T35"/>
    <s v="Y"/>
    <s v="N"/>
    <s v="Y"/>
    <s v="N"/>
    <s v="B026"/>
    <d v="2016-10-31T00:00:00"/>
    <s v="10"/>
    <s v="TAN"/>
    <s v="OR"/>
    <d v="2016-10-26T00:00:00"/>
    <s v="MN"/>
    <s v="US"/>
    <s v="ZR"/>
    <d v="2016-10-26T00:00:00"/>
  </r>
  <r>
    <x v="1"/>
    <x v="7"/>
    <x v="1509"/>
    <x v="33"/>
    <s v="Standard order"/>
    <x v="1426"/>
    <x v="1421"/>
    <s v="8337"/>
    <s v="BTS 8337"/>
    <s v="5002795"/>
    <s v="8337 BTS T35 PB SYSTIVA RP"/>
    <n v="116"/>
    <n v="0"/>
    <n v="116"/>
    <x v="7"/>
    <s v="DHMC"/>
    <s v="RP"/>
    <s v="333"/>
    <s v="4.0 UN"/>
    <s v="STANDARD"/>
    <s v="N"/>
    <s v="Y"/>
    <s v="N"/>
    <s v="T35"/>
    <s v="Y"/>
    <s v="N"/>
    <s v="Y"/>
    <s v="N"/>
    <s v="B026"/>
    <d v="2016-10-31T00:00:00"/>
    <s v="20"/>
    <s v="TAN"/>
    <s v="OR"/>
    <d v="2016-10-26T00:00:00"/>
    <s v="MN"/>
    <s v="US"/>
    <s v="ZR"/>
    <d v="2016-10-26T00:00:00"/>
  </r>
  <r>
    <x v="1"/>
    <x v="7"/>
    <x v="1509"/>
    <x v="33"/>
    <s v="Standard order"/>
    <x v="1426"/>
    <x v="1421"/>
    <s v="8524"/>
    <s v="BTS 8524"/>
    <s v="5002895"/>
    <s v="8524 BTS T35 PB SYSTIVA P200"/>
    <n v="96"/>
    <n v="0"/>
    <n v="96"/>
    <x v="7"/>
    <s v="FWND"/>
    <s v="PRO 200"/>
    <s v="333"/>
    <s v="4.0 UN"/>
    <s v="STANDARD"/>
    <s v="N"/>
    <s v="Y"/>
    <s v="N"/>
    <s v="T35"/>
    <s v="Y"/>
    <s v="N"/>
    <s v="Y"/>
    <s v="N"/>
    <s v="B026"/>
    <d v="2016-10-31T00:00:00"/>
    <s v="30"/>
    <s v="TAN"/>
    <s v="OR"/>
    <d v="2016-10-26T00:00:00"/>
    <s v="MN"/>
    <s v="US"/>
    <s v="ZR"/>
    <d v="2016-10-26T00:00:00"/>
  </r>
  <r>
    <x v="1"/>
    <x v="7"/>
    <x v="1510"/>
    <x v="33"/>
    <s v="Standard order"/>
    <x v="1427"/>
    <x v="1422"/>
    <s v="8052"/>
    <s v="BTS 80RR52"/>
    <s v="5002735"/>
    <s v="8052 BTS T35 PB SYSTIVA RP"/>
    <n v="288"/>
    <n v="0"/>
    <n v="288"/>
    <x v="7"/>
    <s v="AP82"/>
    <s v="RP"/>
    <s v="333"/>
    <s v="4.0 UN"/>
    <s v="STANDARD"/>
    <s v="N"/>
    <s v="Y"/>
    <s v="N"/>
    <s v="T35"/>
    <s v="Y"/>
    <s v="N"/>
    <s v="Y"/>
    <s v="N"/>
    <s v="B026"/>
    <d v="2016-10-31T00:00:00"/>
    <s v="10"/>
    <s v="TAN"/>
    <s v="OR"/>
    <d v="2016-10-26T00:00:00"/>
    <s v="ND"/>
    <s v="US"/>
    <s v="ZR"/>
    <d v="2016-10-26T00:00:00"/>
  </r>
  <r>
    <x v="1"/>
    <x v="7"/>
    <x v="1510"/>
    <x v="33"/>
    <s v="Standard order"/>
    <x v="1427"/>
    <x v="1422"/>
    <s v="8337"/>
    <s v="BTS 8337"/>
    <s v="5002795"/>
    <s v="8337 BTS T35 PB SYSTIVA RP"/>
    <n v="288"/>
    <n v="0"/>
    <n v="288"/>
    <x v="7"/>
    <s v="DHMC"/>
    <s v="RP"/>
    <s v="333"/>
    <s v="4.0 UN"/>
    <s v="STANDARD"/>
    <s v="N"/>
    <s v="Y"/>
    <s v="N"/>
    <s v="T35"/>
    <s v="Y"/>
    <s v="N"/>
    <s v="Y"/>
    <s v="N"/>
    <s v="B026"/>
    <d v="2016-10-31T00:00:00"/>
    <s v="20"/>
    <s v="TAN"/>
    <s v="OR"/>
    <d v="2016-10-26T00:00:00"/>
    <s v="ND"/>
    <s v="US"/>
    <s v="ZR"/>
    <d v="2016-10-26T00:00:00"/>
  </r>
  <r>
    <x v="1"/>
    <x v="7"/>
    <x v="1510"/>
    <x v="33"/>
    <s v="Standard order"/>
    <x v="1427"/>
    <x v="1422"/>
    <s v="8500"/>
    <s v="BTS 8500"/>
    <s v="5002856"/>
    <s v="8500 BTS T35 PB SYSTIVA RP"/>
    <n v="192"/>
    <n v="0"/>
    <n v="192"/>
    <x v="7"/>
    <s v="FTND"/>
    <s v="RP"/>
    <s v="333"/>
    <s v="4.0 UN"/>
    <s v="STANDARD"/>
    <s v="N"/>
    <s v="Y"/>
    <s v="N"/>
    <s v="T35"/>
    <s v="Y"/>
    <s v="N"/>
    <s v="Y"/>
    <s v="N"/>
    <s v="B026"/>
    <d v="2016-10-31T00:00:00"/>
    <s v="30"/>
    <s v="TAN"/>
    <s v="OR"/>
    <d v="2016-10-26T00:00:00"/>
    <s v="ND"/>
    <s v="US"/>
    <s v="ZR"/>
    <d v="2016-10-26T00:00:00"/>
  </r>
  <r>
    <x v="1"/>
    <x v="7"/>
    <x v="1510"/>
    <x v="33"/>
    <s v="Standard order"/>
    <x v="1427"/>
    <x v="1422"/>
    <s v="8524"/>
    <s v="BTS 8524"/>
    <s v="5002896"/>
    <s v="8524 BTS T35 PB SYSTIVA RP"/>
    <n v="192"/>
    <n v="0"/>
    <n v="192"/>
    <x v="7"/>
    <s v="FWND"/>
    <s v="RP"/>
    <s v="333"/>
    <s v="4.0 UN"/>
    <s v="STANDARD"/>
    <s v="N"/>
    <s v="Y"/>
    <s v="N"/>
    <s v="T35"/>
    <s v="Y"/>
    <s v="N"/>
    <s v="Y"/>
    <s v="N"/>
    <s v="B026"/>
    <d v="2016-10-31T00:00:00"/>
    <s v="40"/>
    <s v="TAN"/>
    <s v="OR"/>
    <d v="2016-10-26T00:00:00"/>
    <s v="ND"/>
    <s v="US"/>
    <s v="ZR"/>
    <d v="2016-10-26T00:00:00"/>
  </r>
  <r>
    <x v="1"/>
    <x v="7"/>
    <x v="1510"/>
    <x v="33"/>
    <s v="Standard order"/>
    <x v="1427"/>
    <x v="1422"/>
    <s v="8572"/>
    <s v="BTS 8572"/>
    <s v="5003215"/>
    <s v="8572 BTS T35 PB SYSTIVA RP"/>
    <n v="288"/>
    <n v="0"/>
    <n v="288"/>
    <x v="7"/>
    <s v="FENB"/>
    <s v="RP"/>
    <s v="333"/>
    <s v="4.0 UN"/>
    <s v="STANDARD"/>
    <s v="N"/>
    <s v="Y"/>
    <s v="N"/>
    <s v="T35"/>
    <s v="Y"/>
    <s v="N"/>
    <s v="Y"/>
    <s v="N"/>
    <s v="B026"/>
    <d v="2016-10-31T00:00:00"/>
    <s v="50"/>
    <s v="TAN"/>
    <s v="OR"/>
    <d v="2016-10-26T00:00:00"/>
    <s v="ND"/>
    <s v="US"/>
    <s v="ZR"/>
    <d v="2016-10-26T00:00:00"/>
  </r>
  <r>
    <x v="1"/>
    <x v="7"/>
    <x v="1511"/>
    <x v="33"/>
    <s v="Standard order"/>
    <x v="1428"/>
    <x v="1423"/>
    <s v="8337"/>
    <s v="BTS 8337"/>
    <s v="5002794"/>
    <s v="8337 BTS T35 PB SYSTIVA P200"/>
    <n v="144"/>
    <n v="0"/>
    <n v="144"/>
    <x v="7"/>
    <s v="DHMC"/>
    <s v="PRO 200"/>
    <s v="333"/>
    <s v="4.0 UN"/>
    <s v="STANDARD"/>
    <s v="N"/>
    <s v="Y"/>
    <s v="N"/>
    <s v="T35"/>
    <s v="Y"/>
    <s v="N"/>
    <s v="Y"/>
    <s v="N"/>
    <s v="B026"/>
    <d v="2016-10-31T00:00:00"/>
    <s v="10"/>
    <s v="TAN"/>
    <s v="OR"/>
    <d v="2016-10-26T00:00:00"/>
    <s v="MN"/>
    <s v="US"/>
    <s v="ZR"/>
    <d v="2016-10-26T00:00:00"/>
  </r>
  <r>
    <x v="1"/>
    <x v="7"/>
    <x v="1511"/>
    <x v="33"/>
    <s v="Standard order"/>
    <x v="1428"/>
    <x v="1423"/>
    <s v="8524"/>
    <s v="BTS 8524"/>
    <s v="5002895"/>
    <s v="8524 BTS T35 PB SYSTIVA P200"/>
    <n v="192"/>
    <n v="0"/>
    <n v="192"/>
    <x v="7"/>
    <s v="FWND"/>
    <s v="PRO 200"/>
    <s v="333"/>
    <s v="4.0 UN"/>
    <s v="STANDARD"/>
    <s v="N"/>
    <s v="Y"/>
    <s v="N"/>
    <s v="T35"/>
    <s v="Y"/>
    <s v="N"/>
    <s v="Y"/>
    <s v="N"/>
    <s v="B026"/>
    <d v="2016-10-31T00:00:00"/>
    <s v="20"/>
    <s v="TAN"/>
    <s v="OR"/>
    <d v="2016-10-26T00:00:00"/>
    <s v="MN"/>
    <s v="US"/>
    <s v="ZR"/>
    <d v="2016-10-26T00:00:00"/>
  </r>
  <r>
    <x v="1"/>
    <x v="7"/>
    <x v="1512"/>
    <x v="33"/>
    <s v="Standard order"/>
    <x v="1429"/>
    <x v="1424"/>
    <s v="8337"/>
    <s v="BTS 8337"/>
    <s v="5002795"/>
    <s v="8337 BTS T35 PB SYSTIVA RP"/>
    <n v="192"/>
    <n v="0"/>
    <n v="192"/>
    <x v="7"/>
    <s v="DHMC"/>
    <s v="RP"/>
    <s v="333"/>
    <s v="4.0 UN"/>
    <s v="STANDARD"/>
    <s v="N"/>
    <s v="Y"/>
    <s v="N"/>
    <s v="T35"/>
    <s v="Y"/>
    <s v="N"/>
    <s v="Y"/>
    <s v="N"/>
    <s v="B026"/>
    <d v="2016-10-31T00:00:00"/>
    <s v="10"/>
    <s v="TAN"/>
    <s v="OR"/>
    <d v="2016-10-26T00:00:00"/>
    <s v="MN"/>
    <s v="US"/>
    <s v="ZR"/>
    <d v="2016-10-26T00:00:00"/>
  </r>
  <r>
    <x v="1"/>
    <x v="7"/>
    <x v="1512"/>
    <x v="33"/>
    <s v="Standard order"/>
    <x v="1429"/>
    <x v="1424"/>
    <s v="8500"/>
    <s v="BTS 8500"/>
    <s v="5002856"/>
    <s v="8500 BTS T35 PB SYSTIVA RP"/>
    <n v="192"/>
    <n v="0"/>
    <n v="192"/>
    <x v="7"/>
    <s v="FTND"/>
    <s v="RP"/>
    <s v="333"/>
    <s v="4.0 UN"/>
    <s v="STANDARD"/>
    <s v="N"/>
    <s v="Y"/>
    <s v="N"/>
    <s v="T35"/>
    <s v="Y"/>
    <s v="N"/>
    <s v="Y"/>
    <s v="N"/>
    <s v="B026"/>
    <d v="2016-10-31T00:00:00"/>
    <s v="20"/>
    <s v="TAN"/>
    <s v="OR"/>
    <d v="2016-10-26T00:00:00"/>
    <s v="MN"/>
    <s v="US"/>
    <s v="ZR"/>
    <d v="2016-10-26T00:00:00"/>
  </r>
  <r>
    <x v="1"/>
    <x v="7"/>
    <x v="1512"/>
    <x v="33"/>
    <s v="Standard order"/>
    <x v="1429"/>
    <x v="1424"/>
    <s v="8233"/>
    <s v="BTS 82RR33"/>
    <s v="5002775"/>
    <s v="8233 BTS T35 PB SYSTIVA RP"/>
    <n v="72"/>
    <n v="0"/>
    <n v="72"/>
    <x v="7"/>
    <s v="DRMC"/>
    <s v="RP"/>
    <s v="333"/>
    <s v="4.0 UN"/>
    <s v="STANDARD"/>
    <s v="N"/>
    <s v="Y"/>
    <s v="N"/>
    <s v="T35"/>
    <s v="Y"/>
    <s v="N"/>
    <s v="Y"/>
    <s v="N"/>
    <s v="B026"/>
    <d v="2016-10-31T00:00:00"/>
    <s v="40"/>
    <s v="TAN"/>
    <s v="OR"/>
    <d v="2016-10-26T00:00:00"/>
    <s v="MN"/>
    <s v="US"/>
    <s v="ZR"/>
    <d v="2016-10-26T00:00:00"/>
  </r>
  <r>
    <x v="1"/>
    <x v="7"/>
    <x v="1513"/>
    <x v="33"/>
    <s v="Standard order"/>
    <x v="1430"/>
    <x v="1425"/>
    <s v="8337"/>
    <s v="BTS 8337"/>
    <s v="5002794"/>
    <s v="8337 BTS T35 PB SYSTIVA P200"/>
    <n v="96"/>
    <n v="0"/>
    <n v="96"/>
    <x v="7"/>
    <s v="DHMC"/>
    <s v="PRO 200"/>
    <s v="333"/>
    <s v="4.0 UN"/>
    <s v="STANDARD"/>
    <s v="N"/>
    <s v="Y"/>
    <s v="N"/>
    <s v="T35"/>
    <s v="Y"/>
    <s v="N"/>
    <s v="Y"/>
    <s v="N"/>
    <s v="B026"/>
    <d v="2016-10-31T00:00:00"/>
    <s v="10"/>
    <s v="TAN"/>
    <s v="OR"/>
    <d v="2016-10-26T00:00:00"/>
    <s v="MN"/>
    <s v="US"/>
    <s v="ZR"/>
    <d v="2016-10-26T00:00:00"/>
  </r>
  <r>
    <x v="1"/>
    <x v="7"/>
    <x v="1513"/>
    <x v="33"/>
    <s v="Standard order"/>
    <x v="1430"/>
    <x v="1425"/>
    <s v="8524"/>
    <s v="BTS 8524"/>
    <s v="5002895"/>
    <s v="8524 BTS T35 PB SYSTIVA P200"/>
    <n v="56"/>
    <n v="0"/>
    <n v="56"/>
    <x v="7"/>
    <s v="FWND"/>
    <s v="PRO 200"/>
    <s v="333"/>
    <s v="4.0 UN"/>
    <s v="STANDARD"/>
    <s v="N"/>
    <s v="Y"/>
    <s v="N"/>
    <s v="T35"/>
    <s v="Y"/>
    <s v="N"/>
    <s v="Y"/>
    <s v="N"/>
    <s v="B026"/>
    <d v="2016-10-31T00:00:00"/>
    <s v="20"/>
    <s v="TAN"/>
    <s v="OR"/>
    <d v="2016-10-26T00:00:00"/>
    <s v="MN"/>
    <s v="US"/>
    <s v="ZR"/>
    <d v="2016-10-26T00:00:00"/>
  </r>
  <r>
    <x v="1"/>
    <x v="7"/>
    <x v="1514"/>
    <x v="33"/>
    <s v="Standard order"/>
    <x v="1431"/>
    <x v="1426"/>
    <s v="8052"/>
    <s v="BTS 80RR52"/>
    <s v="5002734"/>
    <s v="8052 BTS T35 PB SYSTIVA P200"/>
    <n v="288"/>
    <n v="0"/>
    <n v="288"/>
    <x v="7"/>
    <s v="AP82"/>
    <s v="PRO 200"/>
    <s v="333"/>
    <s v="4.0 UN"/>
    <s v="STANDARD"/>
    <s v="N"/>
    <s v="Y"/>
    <s v="N"/>
    <s v="T35"/>
    <s v="Y"/>
    <s v="N"/>
    <s v="Y"/>
    <s v="N"/>
    <s v="B026"/>
    <d v="2016-10-31T00:00:00"/>
    <s v="10"/>
    <s v="TAN"/>
    <s v="OR"/>
    <d v="2016-10-26T00:00:00"/>
    <s v="MN"/>
    <s v="US"/>
    <s v="ZR"/>
    <d v="2016-10-26T00:00:00"/>
  </r>
  <r>
    <x v="1"/>
    <x v="7"/>
    <x v="1514"/>
    <x v="33"/>
    <s v="Standard order"/>
    <x v="1431"/>
    <x v="1426"/>
    <s v="8337"/>
    <s v="BTS 8337"/>
    <s v="5002794"/>
    <s v="8337 BTS T35 PB SYSTIVA P200"/>
    <n v="336"/>
    <n v="0"/>
    <n v="336"/>
    <x v="7"/>
    <s v="DHMC"/>
    <s v="PRO 200"/>
    <s v="333"/>
    <s v="4.0 UN"/>
    <s v="STANDARD"/>
    <s v="N"/>
    <s v="Y"/>
    <s v="N"/>
    <s v="T35"/>
    <s v="Y"/>
    <s v="N"/>
    <s v="Y"/>
    <s v="N"/>
    <s v="B026"/>
    <d v="2016-10-31T00:00:00"/>
    <s v="20"/>
    <s v="TAN"/>
    <s v="OR"/>
    <d v="2016-10-26T00:00:00"/>
    <s v="MN"/>
    <s v="US"/>
    <s v="ZR"/>
    <d v="2016-10-26T00:00:00"/>
  </r>
  <r>
    <x v="1"/>
    <x v="7"/>
    <x v="1514"/>
    <x v="33"/>
    <s v="Standard order"/>
    <x v="1431"/>
    <x v="1426"/>
    <s v="8500"/>
    <s v="BTS 8500"/>
    <s v="5002855"/>
    <s v="8500 BTS T35 PB SYSTIVA P200"/>
    <n v="96"/>
    <n v="0"/>
    <n v="96"/>
    <x v="7"/>
    <s v="FTND"/>
    <s v="PRO 200"/>
    <s v="333"/>
    <s v="4.0 UN"/>
    <s v="STANDARD"/>
    <s v="N"/>
    <s v="Y"/>
    <s v="N"/>
    <s v="T35"/>
    <s v="Y"/>
    <s v="N"/>
    <s v="Y"/>
    <s v="N"/>
    <s v="B026"/>
    <d v="2016-10-31T00:00:00"/>
    <s v="30"/>
    <s v="TAN"/>
    <s v="OR"/>
    <d v="2016-10-26T00:00:00"/>
    <s v="MN"/>
    <s v="US"/>
    <s v="ZR"/>
    <d v="2016-10-26T00:00:00"/>
  </r>
  <r>
    <x v="1"/>
    <x v="7"/>
    <x v="1514"/>
    <x v="33"/>
    <s v="Standard order"/>
    <x v="1431"/>
    <x v="1426"/>
    <s v="8524"/>
    <s v="BTS 8524"/>
    <s v="5002895"/>
    <s v="8524 BTS T35 PB SYSTIVA P200"/>
    <n v="384"/>
    <n v="0"/>
    <n v="384"/>
    <x v="7"/>
    <s v="FWND"/>
    <s v="PRO 200"/>
    <s v="333"/>
    <s v="4.0 UN"/>
    <s v="STANDARD"/>
    <s v="N"/>
    <s v="Y"/>
    <s v="N"/>
    <s v="T35"/>
    <s v="Y"/>
    <s v="N"/>
    <s v="Y"/>
    <s v="N"/>
    <s v="B026"/>
    <d v="2016-10-31T00:00:00"/>
    <s v="40"/>
    <s v="TAN"/>
    <s v="OR"/>
    <d v="2016-10-26T00:00:00"/>
    <s v="MN"/>
    <s v="US"/>
    <s v="ZR"/>
    <d v="2016-10-26T00:00:00"/>
  </r>
  <r>
    <x v="1"/>
    <x v="7"/>
    <x v="1515"/>
    <x v="31"/>
    <s v="Standard order"/>
    <x v="1432"/>
    <x v="1427"/>
    <s v="8233"/>
    <s v="BTS 82RR33"/>
    <s v="5002775"/>
    <s v="8233 BTS T35 PB SYSTIVA RP"/>
    <n v="192"/>
    <n v="0"/>
    <n v="192"/>
    <x v="7"/>
    <s v="DRMC"/>
    <s v="RP"/>
    <s v="333"/>
    <s v="4.0 UN"/>
    <s v="STANDARD"/>
    <s v="N"/>
    <s v="Y"/>
    <s v="N"/>
    <s v="T35"/>
    <s v="Y"/>
    <s v="N"/>
    <s v="Y"/>
    <s v="N"/>
    <s v="B028"/>
    <d v="2016-10-31T00:00:00"/>
    <s v="10"/>
    <s v="TAN"/>
    <s v="OR"/>
    <d v="2016-10-26T00:00:00"/>
    <s v="ND"/>
    <s v="US"/>
    <s v="ZR"/>
    <d v="2016-10-26T00:00:00"/>
  </r>
  <r>
    <x v="1"/>
    <x v="7"/>
    <x v="1515"/>
    <x v="31"/>
    <s v="Standard order"/>
    <x v="1432"/>
    <x v="1427"/>
    <s v="8337"/>
    <s v="BTS 8337"/>
    <s v="5002795"/>
    <s v="8337 BTS T35 PB SYSTIVA RP"/>
    <n v="192"/>
    <n v="0"/>
    <n v="192"/>
    <x v="7"/>
    <s v="DHMC"/>
    <s v="RP"/>
    <s v="333"/>
    <s v="4.0 UN"/>
    <s v="STANDARD"/>
    <s v="N"/>
    <s v="Y"/>
    <s v="N"/>
    <s v="T35"/>
    <s v="Y"/>
    <s v="N"/>
    <s v="Y"/>
    <s v="N"/>
    <s v="B028"/>
    <d v="2016-10-31T00:00:00"/>
    <s v="20"/>
    <s v="TAN"/>
    <s v="OR"/>
    <d v="2016-10-26T00:00:00"/>
    <s v="ND"/>
    <s v="US"/>
    <s v="ZR"/>
    <d v="2016-10-26T00:00:00"/>
  </r>
  <r>
    <x v="1"/>
    <x v="7"/>
    <x v="1515"/>
    <x v="31"/>
    <s v="Standard order"/>
    <x v="1432"/>
    <x v="1427"/>
    <s v="8500"/>
    <s v="BTS 8500"/>
    <s v="5002856"/>
    <s v="8500 BTS T35 PB SYSTIVA RP"/>
    <n v="192"/>
    <n v="0"/>
    <n v="192"/>
    <x v="7"/>
    <s v="FTND"/>
    <s v="RP"/>
    <s v="333"/>
    <s v="4.0 UN"/>
    <s v="STANDARD"/>
    <s v="N"/>
    <s v="Y"/>
    <s v="N"/>
    <s v="T35"/>
    <s v="Y"/>
    <s v="N"/>
    <s v="Y"/>
    <s v="N"/>
    <s v="B028"/>
    <d v="2016-10-31T00:00:00"/>
    <s v="30"/>
    <s v="TAN"/>
    <s v="OR"/>
    <d v="2016-10-26T00:00:00"/>
    <s v="ND"/>
    <s v="US"/>
    <s v="ZR"/>
    <d v="2016-10-26T00:00:00"/>
  </r>
  <r>
    <x v="1"/>
    <x v="7"/>
    <x v="1515"/>
    <x v="31"/>
    <s v="Standard order"/>
    <x v="1432"/>
    <x v="1427"/>
    <s v="8524"/>
    <s v="BTS 8524"/>
    <s v="5002896"/>
    <s v="8524 BTS T35 PB SYSTIVA RP"/>
    <n v="192"/>
    <n v="0"/>
    <n v="192"/>
    <x v="7"/>
    <s v="FWND"/>
    <s v="RP"/>
    <s v="333"/>
    <s v="4.0 UN"/>
    <s v="STANDARD"/>
    <s v="N"/>
    <s v="Y"/>
    <s v="N"/>
    <s v="T35"/>
    <s v="Y"/>
    <s v="N"/>
    <s v="Y"/>
    <s v="N"/>
    <s v="B028"/>
    <d v="2016-10-31T00:00:00"/>
    <s v="40"/>
    <s v="TAN"/>
    <s v="OR"/>
    <d v="2016-10-26T00:00:00"/>
    <s v="ND"/>
    <s v="US"/>
    <s v="ZR"/>
    <d v="2016-10-26T00:00:00"/>
  </r>
  <r>
    <x v="1"/>
    <x v="7"/>
    <x v="1516"/>
    <x v="37"/>
    <s v="Standard order"/>
    <x v="1433"/>
    <x v="1428"/>
    <s v="8500"/>
    <s v="BTS 8500"/>
    <s v="5002855"/>
    <s v="8500 BTS T35 PB SYSTIVA P200"/>
    <n v="168"/>
    <n v="0"/>
    <n v="168"/>
    <x v="7"/>
    <s v="FTND"/>
    <s v="PRO 200"/>
    <s v="333"/>
    <s v="4.0 UN"/>
    <s v="STANDARD"/>
    <s v="N"/>
    <s v="Y"/>
    <s v="N"/>
    <s v="T35"/>
    <s v="Y"/>
    <s v="N"/>
    <s v="Y"/>
    <s v="N"/>
    <s v="B033"/>
    <d v="2016-10-31T00:00:00"/>
    <s v="40"/>
    <s v="TAN"/>
    <s v="OR"/>
    <d v="2016-10-26T00:00:00"/>
    <s v="ND"/>
    <s v="US"/>
    <s v="ZR"/>
    <d v="2016-10-26T00:00:00"/>
  </r>
  <r>
    <x v="1"/>
    <x v="7"/>
    <x v="1516"/>
    <x v="37"/>
    <s v="Standard order"/>
    <x v="1433"/>
    <x v="1428"/>
    <s v="8233"/>
    <s v="BTS 82RR33"/>
    <s v="5002774"/>
    <s v="8233 BTS T35 PB SYSTIVA P200"/>
    <n v="168"/>
    <n v="0"/>
    <n v="168"/>
    <x v="7"/>
    <s v="DRMC"/>
    <s v="PRO 200"/>
    <s v="333"/>
    <s v="4.0 UN"/>
    <s v="STANDARD"/>
    <s v="N"/>
    <s v="Y"/>
    <s v="N"/>
    <s v="T35"/>
    <s v="Y"/>
    <s v="N"/>
    <s v="Y"/>
    <s v="N"/>
    <s v="B033"/>
    <d v="2016-10-31T00:00:00"/>
    <s v="10"/>
    <s v="TAN"/>
    <s v="OR"/>
    <d v="2016-10-26T00:00:00"/>
    <s v="ND"/>
    <s v="US"/>
    <s v="ZR"/>
    <d v="2016-10-26T00:00:00"/>
  </r>
  <r>
    <x v="1"/>
    <x v="7"/>
    <x v="1516"/>
    <x v="37"/>
    <s v="Standard order"/>
    <x v="1433"/>
    <x v="1428"/>
    <s v="8363"/>
    <s v="BTS 8363"/>
    <s v="5002815"/>
    <s v="8363 BTS T35 PB SYSTIVA P200"/>
    <n v="168"/>
    <n v="0"/>
    <n v="168"/>
    <x v="7"/>
    <s v="DMMZ"/>
    <s v="PRO 200"/>
    <s v="333"/>
    <s v="4.0 UN"/>
    <s v="STANDARD"/>
    <s v="N"/>
    <s v="Y"/>
    <s v="N"/>
    <s v="T35"/>
    <s v="Y"/>
    <s v="N"/>
    <s v="Y"/>
    <s v="N"/>
    <s v="B033"/>
    <d v="2016-10-31T00:00:00"/>
    <s v="20"/>
    <s v="TAN"/>
    <s v="OR"/>
    <d v="2016-10-26T00:00:00"/>
    <s v="ND"/>
    <s v="US"/>
    <s v="ZR"/>
    <d v="2016-10-26T00:00:00"/>
  </r>
  <r>
    <x v="1"/>
    <x v="7"/>
    <x v="1517"/>
    <x v="36"/>
    <s v="Standard order"/>
    <x v="1434"/>
    <x v="1429"/>
    <s v="8233"/>
    <s v="BTS 82RR33"/>
    <s v="5002775"/>
    <s v="8233 BTS T35 PB SYSTIVA RP"/>
    <n v="48"/>
    <n v="0"/>
    <n v="48"/>
    <x v="7"/>
    <s v="DRMC"/>
    <s v="RP"/>
    <s v="333"/>
    <s v="4.0 UN"/>
    <s v="STANDARD"/>
    <s v="N"/>
    <s v="Y"/>
    <s v="N"/>
    <s v="T35"/>
    <s v="Y"/>
    <s v="N"/>
    <s v="Y"/>
    <s v="N"/>
    <s v="B027"/>
    <d v="2016-11-01T00:00:00"/>
    <s v="10"/>
    <s v="TAN"/>
    <s v="OR"/>
    <d v="2016-10-27T00:00:00"/>
    <s v="MN"/>
    <s v="US"/>
    <s v="ZR"/>
    <d v="2016-10-27T00:00:00"/>
  </r>
  <r>
    <x v="1"/>
    <x v="7"/>
    <x v="1517"/>
    <x v="36"/>
    <s v="Standard order"/>
    <x v="1434"/>
    <x v="1429"/>
    <s v="8512"/>
    <s v="BTS 8512"/>
    <s v="5002876"/>
    <s v="8512 BTS T35 PB SYSTIVA RP"/>
    <n v="60"/>
    <n v="0"/>
    <n v="60"/>
    <x v="7"/>
    <s v="FX73"/>
    <s v="RP"/>
    <s v="333"/>
    <s v="4.0 UN"/>
    <s v="STANDARD"/>
    <s v="N"/>
    <s v="Y"/>
    <s v="N"/>
    <s v="T35"/>
    <s v="Y"/>
    <s v="N"/>
    <s v="Y"/>
    <s v="N"/>
    <s v="B027"/>
    <d v="2016-11-01T00:00:00"/>
    <s v="20"/>
    <s v="TAN"/>
    <s v="OR"/>
    <d v="2016-10-27T00:00:00"/>
    <s v="MN"/>
    <s v="US"/>
    <s v="ZR"/>
    <d v="2016-10-27T00:00:00"/>
  </r>
  <r>
    <x v="1"/>
    <x v="7"/>
    <x v="1517"/>
    <x v="36"/>
    <s v="Standard order"/>
    <x v="1434"/>
    <x v="1429"/>
    <s v="8500"/>
    <s v="BTS 8500"/>
    <s v="5002856"/>
    <s v="8500 BTS T35 PB SYSTIVA RP"/>
    <n v="56"/>
    <n v="0"/>
    <n v="56"/>
    <x v="7"/>
    <s v="FTND"/>
    <s v="RP"/>
    <s v="333"/>
    <s v="4.0 UN"/>
    <s v="STANDARD"/>
    <s v="N"/>
    <s v="Y"/>
    <s v="N"/>
    <s v="T35"/>
    <s v="Y"/>
    <s v="N"/>
    <s v="Y"/>
    <s v="N"/>
    <s v="B027"/>
    <d v="2016-11-01T00:00:00"/>
    <s v="30"/>
    <s v="TAN"/>
    <s v="OR"/>
    <d v="2016-10-27T00:00:00"/>
    <s v="MN"/>
    <s v="US"/>
    <s v="ZR"/>
    <d v="2016-10-27T00:00:00"/>
  </r>
  <r>
    <x v="1"/>
    <x v="7"/>
    <x v="1518"/>
    <x v="36"/>
    <s v="Standard order"/>
    <x v="1435"/>
    <x v="1430"/>
    <s v="8572"/>
    <s v="BTS 8572"/>
    <s v="5003202"/>
    <s v="8572 BTS T20 PB SYSTIVA MP"/>
    <n v="60"/>
    <n v="0"/>
    <n v="60"/>
    <x v="7"/>
    <s v="FENB"/>
    <s v="MP"/>
    <s v="322"/>
    <s v="4.0 UN"/>
    <s v="STANDARD"/>
    <s v="N"/>
    <s v="N"/>
    <s v="N"/>
    <s v="T20"/>
    <s v="Y"/>
    <s v="N"/>
    <s v="Y"/>
    <s v="N"/>
    <s v="B027"/>
    <d v="2016-11-01T00:00:00"/>
    <s v="10"/>
    <s v="TAN"/>
    <s v="OR"/>
    <d v="2016-10-27T00:00:00"/>
    <s v="MN"/>
    <s v="US"/>
    <s v="ZR"/>
    <d v="2016-10-27T00:00:00"/>
  </r>
  <r>
    <x v="1"/>
    <x v="7"/>
    <x v="1518"/>
    <x v="36"/>
    <s v="Standard order"/>
    <x v="1435"/>
    <x v="1430"/>
    <s v="8524"/>
    <s v="BTS 8524"/>
    <s v="5002883"/>
    <s v="8524 BTS T20 PB SYSTIVA MP"/>
    <n v="96"/>
    <n v="0"/>
    <n v="96"/>
    <x v="7"/>
    <s v="FWND"/>
    <s v="MP"/>
    <s v="322"/>
    <s v="4.0 UN"/>
    <s v="STANDARD"/>
    <s v="N"/>
    <s v="N"/>
    <s v="N"/>
    <s v="T20"/>
    <s v="Y"/>
    <s v="N"/>
    <s v="Y"/>
    <s v="N"/>
    <s v="B027"/>
    <d v="2016-11-01T00:00:00"/>
    <s v="20"/>
    <s v="TAN"/>
    <s v="OR"/>
    <d v="2016-10-27T00:00:00"/>
    <s v="MN"/>
    <s v="US"/>
    <s v="ZR"/>
    <d v="2016-10-27T00:00:00"/>
  </r>
  <r>
    <x v="1"/>
    <x v="7"/>
    <x v="1518"/>
    <x v="36"/>
    <s v="Standard order"/>
    <x v="1435"/>
    <x v="1430"/>
    <s v="8233"/>
    <s v="BTS 82RR33"/>
    <s v="5002762"/>
    <s v="8233 BTS T20 PB SYSTIVA MP"/>
    <n v="40"/>
    <n v="0"/>
    <n v="40"/>
    <x v="7"/>
    <s v="DRMC"/>
    <s v="MP"/>
    <s v="322"/>
    <s v="4.0 UN"/>
    <s v="STANDARD"/>
    <s v="N"/>
    <s v="N"/>
    <s v="N"/>
    <s v="T20"/>
    <s v="Y"/>
    <s v="N"/>
    <s v="Y"/>
    <s v="N"/>
    <s v="B027"/>
    <d v="2016-11-01T00:00:00"/>
    <s v="30"/>
    <s v="TAN"/>
    <s v="OR"/>
    <d v="2016-10-27T00:00:00"/>
    <s v="MN"/>
    <s v="US"/>
    <s v="ZR"/>
    <d v="2016-10-27T00:00:00"/>
  </r>
  <r>
    <x v="1"/>
    <x v="7"/>
    <x v="1519"/>
    <x v="39"/>
    <s v="Standard order"/>
    <x v="1436"/>
    <x v="1431"/>
    <s v="8500"/>
    <s v="BTS 8500"/>
    <s v="5002856"/>
    <s v="8500 BTS T35 PB SYSTIVA RP"/>
    <n v="32"/>
    <n v="0"/>
    <n v="32"/>
    <x v="7"/>
    <s v="FTND"/>
    <s v="RP"/>
    <s v="333"/>
    <s v="4.0 UN"/>
    <s v="STANDARD"/>
    <s v="N"/>
    <s v="Y"/>
    <s v="N"/>
    <s v="T35"/>
    <s v="Y"/>
    <s v="N"/>
    <s v="Y"/>
    <s v="N"/>
    <s v="B030"/>
    <d v="2016-11-01T00:00:00"/>
    <s v="20"/>
    <s v="TAN"/>
    <s v="OR"/>
    <d v="2016-10-27T00:00:00"/>
    <s v="MN"/>
    <s v="US"/>
    <s v="ZR"/>
    <d v="2016-10-27T00:00:00"/>
  </r>
  <r>
    <x v="1"/>
    <x v="7"/>
    <x v="1519"/>
    <x v="39"/>
    <s v="Standard order"/>
    <x v="1436"/>
    <x v="1431"/>
    <s v="8052"/>
    <s v="BTS 80RR52"/>
    <s v="5002735"/>
    <s v="8052 BTS T35 PB SYSTIVA RP"/>
    <n v="96"/>
    <n v="0"/>
    <n v="96"/>
    <x v="7"/>
    <s v="AP82"/>
    <s v="RP"/>
    <s v="333"/>
    <s v="4.0 UN"/>
    <s v="STANDARD"/>
    <s v="N"/>
    <s v="Y"/>
    <s v="N"/>
    <s v="T35"/>
    <s v="Y"/>
    <s v="N"/>
    <s v="Y"/>
    <s v="N"/>
    <s v="B030"/>
    <d v="2016-11-01T00:00:00"/>
    <s v="10"/>
    <s v="TAN"/>
    <s v="OR"/>
    <d v="2016-10-27T00:00:00"/>
    <s v="MN"/>
    <s v="US"/>
    <s v="ZR"/>
    <d v="2016-10-27T00:00:00"/>
  </r>
  <r>
    <x v="1"/>
    <x v="7"/>
    <x v="1520"/>
    <x v="38"/>
    <s v="Standard order"/>
    <x v="1437"/>
    <x v="1432"/>
    <s v="8524"/>
    <s v="BTS 8524"/>
    <s v="5002896"/>
    <s v="8524 BTS T35 PB SYSTIVA RP"/>
    <n v="144"/>
    <n v="0"/>
    <n v="144"/>
    <x v="7"/>
    <s v="FWND"/>
    <s v="RP"/>
    <s v="333"/>
    <s v="4.0 UN"/>
    <s v="STANDARD"/>
    <s v="N"/>
    <s v="Y"/>
    <s v="N"/>
    <s v="T35"/>
    <s v="Y"/>
    <s v="N"/>
    <s v="Y"/>
    <s v="N"/>
    <s v="B031"/>
    <d v="2016-11-01T00:00:00"/>
    <s v="10"/>
    <s v="TAN"/>
    <s v="OR"/>
    <d v="2016-10-27T00:00:00"/>
    <s v="MN"/>
    <s v="US"/>
    <s v="ZR"/>
    <d v="2016-10-27T00:00:00"/>
  </r>
  <r>
    <x v="1"/>
    <x v="7"/>
    <x v="1520"/>
    <x v="38"/>
    <s v="Standard order"/>
    <x v="1437"/>
    <x v="1432"/>
    <s v="8052"/>
    <s v="BTS 80RR52"/>
    <s v="5002735"/>
    <s v="8052 BTS T35 PB SYSTIVA RP"/>
    <n v="144"/>
    <n v="0"/>
    <n v="144"/>
    <x v="7"/>
    <s v="AP82"/>
    <s v="RP"/>
    <s v="333"/>
    <s v="4.0 UN"/>
    <s v="STANDARD"/>
    <s v="N"/>
    <s v="Y"/>
    <s v="N"/>
    <s v="T35"/>
    <s v="Y"/>
    <s v="N"/>
    <s v="Y"/>
    <s v="N"/>
    <s v="B031"/>
    <d v="2016-11-01T00:00:00"/>
    <s v="20"/>
    <s v="TAN"/>
    <s v="OR"/>
    <d v="2016-10-27T00:00:00"/>
    <s v="MN"/>
    <s v="US"/>
    <s v="ZR"/>
    <d v="2016-10-27T00:00:00"/>
  </r>
  <r>
    <x v="1"/>
    <x v="7"/>
    <x v="1520"/>
    <x v="38"/>
    <s v="Standard order"/>
    <x v="1437"/>
    <x v="1432"/>
    <s v="8337"/>
    <s v="BTS 8337"/>
    <s v="5002795"/>
    <s v="8337 BTS T35 PB SYSTIVA RP"/>
    <n v="144"/>
    <n v="0"/>
    <n v="144"/>
    <x v="7"/>
    <s v="DHMC"/>
    <s v="RP"/>
    <s v="333"/>
    <s v="4.0 UN"/>
    <s v="STANDARD"/>
    <s v="N"/>
    <s v="Y"/>
    <s v="N"/>
    <s v="T35"/>
    <s v="Y"/>
    <s v="N"/>
    <s v="Y"/>
    <s v="N"/>
    <s v="B031"/>
    <d v="2016-11-01T00:00:00"/>
    <s v="30"/>
    <s v="TAN"/>
    <s v="OR"/>
    <d v="2016-10-27T00:00:00"/>
    <s v="MN"/>
    <s v="US"/>
    <s v="ZR"/>
    <d v="2016-10-27T00:00:00"/>
  </r>
  <r>
    <x v="1"/>
    <x v="7"/>
    <x v="1521"/>
    <x v="38"/>
    <s v="Standard order"/>
    <x v="1438"/>
    <x v="1433"/>
    <s v="8524"/>
    <s v="BTS 8524"/>
    <s v="5002896"/>
    <s v="8524 BTS T35 PB SYSTIVA RP"/>
    <n v="160"/>
    <n v="0"/>
    <n v="160"/>
    <x v="7"/>
    <s v="FWND"/>
    <s v="RP"/>
    <s v="333"/>
    <s v="4.0 UN"/>
    <s v="STANDARD"/>
    <s v="N"/>
    <s v="Y"/>
    <s v="N"/>
    <s v="T35"/>
    <s v="Y"/>
    <s v="N"/>
    <s v="Y"/>
    <s v="N"/>
    <s v="B031"/>
    <d v="2016-11-01T00:00:00"/>
    <s v="10"/>
    <s v="TAN"/>
    <s v="OR"/>
    <d v="2016-10-27T00:00:00"/>
    <s v="MN"/>
    <s v="US"/>
    <s v="ZR"/>
    <d v="2016-10-27T00:00:00"/>
  </r>
  <r>
    <x v="1"/>
    <x v="7"/>
    <x v="1522"/>
    <x v="39"/>
    <s v="Standard order"/>
    <x v="1439"/>
    <x v="1434"/>
    <s v="8337"/>
    <s v="BTS 8337"/>
    <s v="5002795"/>
    <s v="8337 BTS T35 PB SYSTIVA RP"/>
    <n v="132"/>
    <n v="0"/>
    <n v="132"/>
    <x v="7"/>
    <s v="DHMC"/>
    <s v="RP"/>
    <s v="333"/>
    <s v="4.0 UN"/>
    <s v="STANDARD"/>
    <s v="N"/>
    <s v="Y"/>
    <s v="N"/>
    <s v="T35"/>
    <s v="Y"/>
    <s v="N"/>
    <s v="Y"/>
    <s v="N"/>
    <s v="B030"/>
    <d v="2016-11-01T00:00:00"/>
    <s v="10"/>
    <s v="TAN"/>
    <s v="OR"/>
    <d v="2016-10-27T00:00:00"/>
    <s v="MN"/>
    <s v="US"/>
    <s v="ZR"/>
    <d v="2016-10-27T00:00:00"/>
  </r>
  <r>
    <x v="1"/>
    <x v="7"/>
    <x v="1522"/>
    <x v="39"/>
    <s v="Standard order"/>
    <x v="1439"/>
    <x v="1434"/>
    <s v="8500"/>
    <s v="BTS 8500"/>
    <s v="5002856"/>
    <s v="8500 BTS T35 PB SYSTIVA RP"/>
    <n v="96"/>
    <n v="0"/>
    <n v="96"/>
    <x v="7"/>
    <s v="FTND"/>
    <s v="RP"/>
    <s v="333"/>
    <s v="4.0 UN"/>
    <s v="STANDARD"/>
    <s v="N"/>
    <s v="Y"/>
    <s v="N"/>
    <s v="T35"/>
    <s v="Y"/>
    <s v="N"/>
    <s v="Y"/>
    <s v="N"/>
    <s v="B030"/>
    <d v="2016-11-01T00:00:00"/>
    <s v="20"/>
    <s v="TAN"/>
    <s v="OR"/>
    <d v="2016-10-27T00:00:00"/>
    <s v="MN"/>
    <s v="US"/>
    <s v="ZR"/>
    <d v="2016-10-27T00:00:00"/>
  </r>
  <r>
    <x v="1"/>
    <x v="7"/>
    <x v="1522"/>
    <x v="39"/>
    <s v="Standard order"/>
    <x v="1439"/>
    <x v="1434"/>
    <s v="8524"/>
    <s v="BTS 8524"/>
    <s v="5002896"/>
    <s v="8524 BTS T35 PB SYSTIVA RP"/>
    <n v="96"/>
    <n v="0"/>
    <n v="96"/>
    <x v="7"/>
    <s v="FWND"/>
    <s v="RP"/>
    <s v="333"/>
    <s v="4.0 UN"/>
    <s v="STANDARD"/>
    <s v="N"/>
    <s v="Y"/>
    <s v="N"/>
    <s v="T35"/>
    <s v="Y"/>
    <s v="N"/>
    <s v="Y"/>
    <s v="N"/>
    <s v="B030"/>
    <d v="2016-11-01T00:00:00"/>
    <s v="30"/>
    <s v="TAN"/>
    <s v="OR"/>
    <d v="2016-10-27T00:00:00"/>
    <s v="MN"/>
    <s v="US"/>
    <s v="ZR"/>
    <d v="2016-10-27T00:00:00"/>
  </r>
  <r>
    <x v="1"/>
    <x v="7"/>
    <x v="1523"/>
    <x v="39"/>
    <s v="Standard order"/>
    <x v="1440"/>
    <x v="1435"/>
    <s v="8233"/>
    <s v="BTS 82RR33"/>
    <s v="5002775"/>
    <s v="8233 BTS T35 PB SYSTIVA RP"/>
    <n v="288"/>
    <n v="0"/>
    <n v="288"/>
    <x v="7"/>
    <s v="DRMC"/>
    <s v="RP"/>
    <s v="333"/>
    <s v="4.0 UN"/>
    <s v="STANDARD"/>
    <s v="N"/>
    <s v="Y"/>
    <s v="N"/>
    <s v="T35"/>
    <s v="Y"/>
    <s v="N"/>
    <s v="Y"/>
    <s v="N"/>
    <s v="B030"/>
    <d v="2016-11-01T00:00:00"/>
    <s v="10"/>
    <s v="TAN"/>
    <s v="OR"/>
    <d v="2016-10-27T00:00:00"/>
    <s v="MN"/>
    <s v="US"/>
    <s v="ZR"/>
    <d v="2016-10-27T00:00:00"/>
  </r>
  <r>
    <x v="1"/>
    <x v="7"/>
    <x v="1523"/>
    <x v="39"/>
    <s v="Standard order"/>
    <x v="1440"/>
    <x v="1435"/>
    <s v="8500"/>
    <s v="BTS 8500"/>
    <s v="5002856"/>
    <s v="8500 BTS T35 PB SYSTIVA RP"/>
    <n v="96"/>
    <n v="0"/>
    <n v="96"/>
    <x v="7"/>
    <s v="FTND"/>
    <s v="RP"/>
    <s v="333"/>
    <s v="4.0 UN"/>
    <s v="STANDARD"/>
    <s v="N"/>
    <s v="Y"/>
    <s v="N"/>
    <s v="T35"/>
    <s v="Y"/>
    <s v="N"/>
    <s v="Y"/>
    <s v="N"/>
    <s v="B030"/>
    <d v="2016-11-01T00:00:00"/>
    <s v="20"/>
    <s v="TAN"/>
    <s v="OR"/>
    <d v="2016-10-27T00:00:00"/>
    <s v="MN"/>
    <s v="US"/>
    <s v="ZR"/>
    <d v="2016-10-27T00:00:00"/>
  </r>
  <r>
    <x v="1"/>
    <x v="7"/>
    <x v="1524"/>
    <x v="39"/>
    <s v="Standard order"/>
    <x v="1441"/>
    <x v="1436"/>
    <s v="8052"/>
    <s v="BTS 80RR52"/>
    <s v="5002739"/>
    <s v="8052 BTS T35 SYSTIVA RP"/>
    <n v="220"/>
    <n v="0"/>
    <n v="220"/>
    <x v="7"/>
    <s v="AP82"/>
    <s v="RP"/>
    <s v="334"/>
    <s v="4.0 UN"/>
    <s v="STANDARD"/>
    <s v="N"/>
    <s v="N"/>
    <s v="N"/>
    <s v="T35"/>
    <s v="Y"/>
    <s v="N"/>
    <s v="Y"/>
    <s v="N"/>
    <s v="B030"/>
    <d v="2016-11-01T00:00:00"/>
    <s v="10"/>
    <s v="TAN"/>
    <s v="OR"/>
    <d v="2016-10-27T00:00:00"/>
    <s v="MN"/>
    <s v="US"/>
    <s v="ZR"/>
    <d v="2016-10-27T00:00:00"/>
  </r>
  <r>
    <x v="1"/>
    <x v="7"/>
    <x v="1525"/>
    <x v="39"/>
    <s v="Standard order"/>
    <x v="1442"/>
    <x v="1437"/>
    <s v="8337"/>
    <s v="BTS 8337"/>
    <s v="5002795"/>
    <s v="8337 BTS T35 PB SYSTIVA RP"/>
    <n v="128"/>
    <n v="0"/>
    <n v="128"/>
    <x v="7"/>
    <s v="DHMC"/>
    <s v="RP"/>
    <s v="333"/>
    <s v="4.0 UN"/>
    <s v="STANDARD"/>
    <s v="N"/>
    <s v="Y"/>
    <s v="N"/>
    <s v="T35"/>
    <s v="Y"/>
    <s v="N"/>
    <s v="Y"/>
    <s v="N"/>
    <s v="B030"/>
    <d v="2016-11-01T00:00:00"/>
    <s v="10"/>
    <s v="TAN"/>
    <s v="OR"/>
    <d v="2016-10-27T00:00:00"/>
    <s v="MN"/>
    <s v="US"/>
    <s v="ZR"/>
    <d v="2016-10-27T00:00:00"/>
  </r>
  <r>
    <x v="1"/>
    <x v="7"/>
    <x v="1526"/>
    <x v="36"/>
    <s v="Standard order"/>
    <x v="1443"/>
    <x v="1438"/>
    <s v="8500"/>
    <s v="BTS 8500"/>
    <s v="5002855"/>
    <s v="8500 BTS T35 PB SYSTIVA P200"/>
    <n v="120"/>
    <n v="0"/>
    <n v="120"/>
    <x v="7"/>
    <s v="FTND"/>
    <s v="PRO 200"/>
    <s v="333"/>
    <s v="4.0 UN"/>
    <s v="STANDARD"/>
    <s v="N"/>
    <s v="Y"/>
    <s v="N"/>
    <s v="T35"/>
    <s v="Y"/>
    <s v="N"/>
    <s v="Y"/>
    <s v="N"/>
    <s v="B027"/>
    <d v="2016-11-01T00:00:00"/>
    <s v="10"/>
    <s v="TAN"/>
    <s v="OR"/>
    <d v="2016-10-27T00:00:00"/>
    <s v="MN"/>
    <s v="US"/>
    <s v="ZR"/>
    <d v="2016-10-27T00:00:00"/>
  </r>
  <r>
    <x v="1"/>
    <x v="7"/>
    <x v="1526"/>
    <x v="36"/>
    <s v="Standard order"/>
    <x v="1443"/>
    <x v="1438"/>
    <s v="8512"/>
    <s v="BTS 8512"/>
    <s v="5002875"/>
    <s v="8512 BTS T35 PB SYSTIVA P200"/>
    <n v="120"/>
    <n v="0"/>
    <n v="120"/>
    <x v="7"/>
    <s v="FX73"/>
    <s v="PRO 200"/>
    <s v="333"/>
    <s v="4.0 UN"/>
    <s v="STANDARD"/>
    <s v="N"/>
    <s v="Y"/>
    <s v="N"/>
    <s v="T35"/>
    <s v="Y"/>
    <s v="N"/>
    <s v="Y"/>
    <s v="N"/>
    <s v="B027"/>
    <d v="2016-11-01T00:00:00"/>
    <s v="20"/>
    <s v="TAN"/>
    <s v="OR"/>
    <d v="2016-10-27T00:00:00"/>
    <s v="MN"/>
    <s v="US"/>
    <s v="ZR"/>
    <d v="2016-10-27T00:00:00"/>
  </r>
  <r>
    <x v="1"/>
    <x v="7"/>
    <x v="1527"/>
    <x v="36"/>
    <s v="Standard order"/>
    <x v="1444"/>
    <x v="1439"/>
    <s v="8572"/>
    <s v="BTS 8572"/>
    <s v="5003214"/>
    <s v="8572 BTS T35 PB SYSTIVA P200"/>
    <n v="156"/>
    <n v="0"/>
    <n v="156"/>
    <x v="7"/>
    <s v="FENB"/>
    <s v="PRO 200"/>
    <s v="333"/>
    <s v="4.0 UN"/>
    <s v="STANDARD"/>
    <s v="N"/>
    <s v="Y"/>
    <s v="N"/>
    <s v="T35"/>
    <s v="Y"/>
    <s v="N"/>
    <s v="Y"/>
    <s v="N"/>
    <s v="B027"/>
    <d v="2016-11-01T00:00:00"/>
    <s v="10"/>
    <s v="TAN"/>
    <s v="OR"/>
    <d v="2016-10-27T00:00:00"/>
    <s v="MN"/>
    <s v="US"/>
    <s v="ZR"/>
    <d v="2016-10-27T00:00:00"/>
  </r>
  <r>
    <x v="1"/>
    <x v="7"/>
    <x v="1527"/>
    <x v="36"/>
    <s v="Standard order"/>
    <x v="1444"/>
    <x v="1439"/>
    <s v="8500"/>
    <s v="BTS 8500"/>
    <s v="5002855"/>
    <s v="8500 BTS T35 PB SYSTIVA P200"/>
    <n v="96"/>
    <n v="0"/>
    <n v="96"/>
    <x v="7"/>
    <s v="FTND"/>
    <s v="PRO 200"/>
    <s v="333"/>
    <s v="4.0 UN"/>
    <s v="STANDARD"/>
    <s v="N"/>
    <s v="Y"/>
    <s v="N"/>
    <s v="T35"/>
    <s v="Y"/>
    <s v="N"/>
    <s v="Y"/>
    <s v="N"/>
    <s v="B027"/>
    <d v="2016-11-01T00:00:00"/>
    <s v="20"/>
    <s v="TAN"/>
    <s v="OR"/>
    <d v="2016-10-27T00:00:00"/>
    <s v="MN"/>
    <s v="US"/>
    <s v="ZR"/>
    <d v="2016-10-27T00:00:00"/>
  </r>
  <r>
    <x v="1"/>
    <x v="7"/>
    <x v="1528"/>
    <x v="36"/>
    <s v="Standard order"/>
    <x v="1445"/>
    <x v="1440"/>
    <s v="8500"/>
    <s v="BTS 8500"/>
    <s v="5002855"/>
    <s v="8500 BTS T35 PB SYSTIVA P200"/>
    <n v="96"/>
    <n v="0"/>
    <n v="96"/>
    <x v="7"/>
    <s v="FTND"/>
    <s v="PRO 200"/>
    <s v="333"/>
    <s v="4.0 UN"/>
    <s v="STANDARD"/>
    <s v="N"/>
    <s v="Y"/>
    <s v="N"/>
    <s v="T35"/>
    <s v="Y"/>
    <s v="N"/>
    <s v="Y"/>
    <s v="N"/>
    <s v="B027"/>
    <d v="2016-11-01T00:00:00"/>
    <s v="10"/>
    <s v="TAN"/>
    <s v="OR"/>
    <d v="2016-10-27T00:00:00"/>
    <s v="MN"/>
    <s v="US"/>
    <s v="ZR"/>
    <d v="2016-10-27T00:00:00"/>
  </r>
  <r>
    <x v="1"/>
    <x v="7"/>
    <x v="1529"/>
    <x v="37"/>
    <s v="Standard order"/>
    <x v="1446"/>
    <x v="1441"/>
    <s v="8500"/>
    <s v="BTS 8500"/>
    <s v="5002855"/>
    <s v="8500 BTS T35 PB SYSTIVA P200"/>
    <n v="1000"/>
    <n v="0"/>
    <n v="1000"/>
    <x v="7"/>
    <s v="FTND"/>
    <s v="PRO 200"/>
    <s v="333"/>
    <s v="4.0 UN"/>
    <s v="STANDARD"/>
    <s v="N"/>
    <s v="Y"/>
    <s v="N"/>
    <s v="T35"/>
    <s v="Y"/>
    <s v="N"/>
    <s v="Y"/>
    <s v="N"/>
    <s v="B033"/>
    <d v="2016-11-01T00:00:00"/>
    <s v="10"/>
    <s v="TAN"/>
    <s v="OR"/>
    <d v="2016-10-27T00:00:00"/>
    <s v="ND"/>
    <s v="US"/>
    <s v="ZR"/>
    <d v="2016-10-27T00:00:00"/>
  </r>
  <r>
    <x v="1"/>
    <x v="7"/>
    <x v="1529"/>
    <x v="37"/>
    <s v="Standard order"/>
    <x v="1446"/>
    <x v="1441"/>
    <s v="8233"/>
    <s v="BTS 82RR33"/>
    <s v="5002774"/>
    <s v="8233 BTS T35 PB SYSTIVA P200"/>
    <n v="752"/>
    <n v="0"/>
    <n v="752"/>
    <x v="7"/>
    <s v="DRMC"/>
    <s v="PRO 200"/>
    <s v="333"/>
    <s v="4.0 UN"/>
    <s v="STANDARD"/>
    <s v="N"/>
    <s v="Y"/>
    <s v="N"/>
    <s v="T35"/>
    <s v="Y"/>
    <s v="N"/>
    <s v="Y"/>
    <s v="N"/>
    <s v="B033"/>
    <d v="2016-11-01T00:00:00"/>
    <s v="20"/>
    <s v="TAN"/>
    <s v="OR"/>
    <d v="2016-10-27T00:00:00"/>
    <s v="ND"/>
    <s v="US"/>
    <s v="ZR"/>
    <d v="2016-10-27T00:00:00"/>
  </r>
  <r>
    <x v="1"/>
    <x v="7"/>
    <x v="1529"/>
    <x v="37"/>
    <s v="Standard order"/>
    <x v="1446"/>
    <x v="1441"/>
    <s v="8052"/>
    <s v="BTS 80RR52"/>
    <s v="5002734"/>
    <s v="8052 BTS T35 PB SYSTIVA P200"/>
    <n v="200"/>
    <n v="0"/>
    <n v="200"/>
    <x v="7"/>
    <s v="AP82"/>
    <s v="PRO 200"/>
    <s v="333"/>
    <s v="4.0 UN"/>
    <s v="STANDARD"/>
    <s v="N"/>
    <s v="Y"/>
    <s v="N"/>
    <s v="T35"/>
    <s v="Y"/>
    <s v="N"/>
    <s v="Y"/>
    <s v="N"/>
    <s v="B033"/>
    <d v="2016-11-01T00:00:00"/>
    <s v="40"/>
    <s v="TAN"/>
    <s v="OR"/>
    <d v="2016-10-27T00:00:00"/>
    <s v="ND"/>
    <s v="US"/>
    <s v="ZR"/>
    <d v="2016-10-27T00:00:00"/>
  </r>
  <r>
    <x v="1"/>
    <x v="7"/>
    <x v="1530"/>
    <x v="39"/>
    <s v="Standard order"/>
    <x v="1447"/>
    <x v="1442"/>
    <s v="8052"/>
    <s v="BTS 80RR52"/>
    <s v="5002735"/>
    <s v="8052 BTS T35 PB SYSTIVA RP"/>
    <n v="192"/>
    <n v="0"/>
    <n v="192"/>
    <x v="7"/>
    <s v="AP82"/>
    <s v="RP"/>
    <s v="333"/>
    <s v="4.0 UN"/>
    <s v="STANDARD"/>
    <s v="N"/>
    <s v="Y"/>
    <s v="N"/>
    <s v="T35"/>
    <s v="Y"/>
    <s v="N"/>
    <s v="Y"/>
    <s v="N"/>
    <s v="B030"/>
    <d v="2016-11-01T00:00:00"/>
    <s v="10"/>
    <s v="TAN"/>
    <s v="OR"/>
    <d v="2016-10-27T00:00:00"/>
    <s v="MN"/>
    <s v="US"/>
    <s v="ZR"/>
    <d v="2016-10-27T00:00:00"/>
  </r>
  <r>
    <x v="1"/>
    <x v="7"/>
    <x v="1531"/>
    <x v="38"/>
    <s v="Standard order"/>
    <x v="1448"/>
    <x v="1443"/>
    <s v="8052"/>
    <s v="BTS 80RR52"/>
    <s v="5002735"/>
    <s v="8052 BTS T35 PB SYSTIVA RP"/>
    <n v="244"/>
    <n v="0"/>
    <n v="244"/>
    <x v="7"/>
    <s v="AP82"/>
    <s v="RP"/>
    <s v="333"/>
    <s v="4.0 UN"/>
    <s v="STANDARD"/>
    <s v="N"/>
    <s v="Y"/>
    <s v="N"/>
    <s v="T35"/>
    <s v="Y"/>
    <s v="N"/>
    <s v="Y"/>
    <s v="N"/>
    <s v="B031"/>
    <d v="2016-11-01T00:00:00"/>
    <s v="30"/>
    <s v="TAN"/>
    <s v="OR"/>
    <d v="2016-10-27T00:00:00"/>
    <s v="ND"/>
    <s v="US"/>
    <s v="ZR"/>
    <d v="2016-10-27T00:00:00"/>
  </r>
  <r>
    <x v="1"/>
    <x v="7"/>
    <x v="1531"/>
    <x v="38"/>
    <s v="Standard order"/>
    <x v="1448"/>
    <x v="1443"/>
    <s v="8572"/>
    <s v="BTS 8572"/>
    <s v="5003215"/>
    <s v="8572 BTS T35 PB SYSTIVA RP"/>
    <n v="244"/>
    <n v="0"/>
    <n v="244"/>
    <x v="7"/>
    <s v="FENB"/>
    <s v="RP"/>
    <s v="333"/>
    <s v="4.0 UN"/>
    <s v="STANDARD"/>
    <s v="N"/>
    <s v="Y"/>
    <s v="N"/>
    <s v="T35"/>
    <s v="Y"/>
    <s v="N"/>
    <s v="Y"/>
    <s v="N"/>
    <s v="B031"/>
    <d v="2016-11-01T00:00:00"/>
    <s v="20"/>
    <s v="TAN"/>
    <s v="OR"/>
    <d v="2016-10-27T00:00:00"/>
    <s v="ND"/>
    <s v="US"/>
    <s v="ZR"/>
    <d v="2016-10-27T00:00:00"/>
  </r>
  <r>
    <x v="1"/>
    <x v="7"/>
    <x v="1532"/>
    <x v="38"/>
    <s v="Standard order"/>
    <x v="1449"/>
    <x v="1444"/>
    <s v="8337"/>
    <s v="BTS 8337"/>
    <s v="5002795"/>
    <s v="8337 BTS T35 PB SYSTIVA RP"/>
    <n v="24"/>
    <n v="0"/>
    <n v="24"/>
    <x v="7"/>
    <s v="DHMC"/>
    <s v="RP"/>
    <s v="333"/>
    <s v="4.0 UN"/>
    <s v="STANDARD"/>
    <s v="N"/>
    <s v="Y"/>
    <s v="N"/>
    <s v="T35"/>
    <s v="Y"/>
    <s v="N"/>
    <s v="Y"/>
    <s v="N"/>
    <s v="B031"/>
    <d v="2016-11-01T00:00:00"/>
    <s v="10"/>
    <s v="TAN"/>
    <s v="OR"/>
    <d v="2016-10-27T00:00:00"/>
    <s v="MN"/>
    <s v="US"/>
    <s v="ZR"/>
    <d v="2016-10-27T00:00:00"/>
  </r>
  <r>
    <x v="1"/>
    <x v="7"/>
    <x v="1532"/>
    <x v="38"/>
    <s v="Standard order"/>
    <x v="1449"/>
    <x v="1444"/>
    <s v="8524"/>
    <s v="BTS 8524"/>
    <s v="5002896"/>
    <s v="8524 BTS T35 PB SYSTIVA RP"/>
    <n v="24"/>
    <n v="0"/>
    <n v="24"/>
    <x v="7"/>
    <s v="FWND"/>
    <s v="RP"/>
    <s v="333"/>
    <s v="4.0 UN"/>
    <s v="STANDARD"/>
    <s v="N"/>
    <s v="Y"/>
    <s v="N"/>
    <s v="T35"/>
    <s v="Y"/>
    <s v="N"/>
    <s v="Y"/>
    <s v="N"/>
    <s v="B031"/>
    <d v="2016-11-01T00:00:00"/>
    <s v="20"/>
    <s v="TAN"/>
    <s v="OR"/>
    <d v="2016-10-27T00:00:00"/>
    <s v="MN"/>
    <s v="US"/>
    <s v="ZR"/>
    <d v="2016-10-27T00:00:00"/>
  </r>
  <r>
    <x v="1"/>
    <x v="7"/>
    <x v="1532"/>
    <x v="38"/>
    <s v="Standard order"/>
    <x v="1449"/>
    <x v="1444"/>
    <s v="8500"/>
    <s v="BTS 8500"/>
    <s v="5002856"/>
    <s v="8500 BTS T35 PB SYSTIVA RP"/>
    <n v="24"/>
    <n v="0"/>
    <n v="24"/>
    <x v="7"/>
    <s v="FTND"/>
    <s v="RP"/>
    <s v="333"/>
    <s v="4.0 UN"/>
    <s v="STANDARD"/>
    <s v="N"/>
    <s v="Y"/>
    <s v="N"/>
    <s v="T35"/>
    <s v="Y"/>
    <s v="N"/>
    <s v="Y"/>
    <s v="N"/>
    <s v="B031"/>
    <d v="2016-11-01T00:00:00"/>
    <s v="30"/>
    <s v="TAN"/>
    <s v="OR"/>
    <d v="2016-10-27T00:00:00"/>
    <s v="MN"/>
    <s v="US"/>
    <s v="ZR"/>
    <d v="2016-10-27T00:00:00"/>
  </r>
  <r>
    <x v="1"/>
    <x v="7"/>
    <x v="1533"/>
    <x v="38"/>
    <s v="Standard order"/>
    <x v="1450"/>
    <x v="1445"/>
    <s v="8337"/>
    <s v="BTS 8337"/>
    <s v="5002795"/>
    <s v="8337 BTS T35 PB SYSTIVA RP"/>
    <n v="48"/>
    <n v="0"/>
    <n v="48"/>
    <x v="7"/>
    <s v="DHMC"/>
    <s v="RP"/>
    <s v="333"/>
    <s v="4.0 UN"/>
    <s v="STANDARD"/>
    <s v="N"/>
    <s v="Y"/>
    <s v="N"/>
    <s v="T35"/>
    <s v="Y"/>
    <s v="N"/>
    <s v="Y"/>
    <s v="N"/>
    <s v="B031"/>
    <d v="2016-11-01T00:00:00"/>
    <s v="10"/>
    <s v="TAN"/>
    <s v="OR"/>
    <d v="2016-10-27T00:00:00"/>
    <s v="MN"/>
    <s v="US"/>
    <s v="ZR"/>
    <d v="2016-10-27T00:00:00"/>
  </r>
  <r>
    <x v="1"/>
    <x v="7"/>
    <x v="1533"/>
    <x v="38"/>
    <s v="Standard order"/>
    <x v="1450"/>
    <x v="1445"/>
    <s v="8524"/>
    <s v="BTS 8524"/>
    <s v="5002896"/>
    <s v="8524 BTS T35 PB SYSTIVA RP"/>
    <n v="96"/>
    <n v="0"/>
    <n v="96"/>
    <x v="7"/>
    <s v="FWND"/>
    <s v="RP"/>
    <s v="333"/>
    <s v="4.0 UN"/>
    <s v="STANDARD"/>
    <s v="N"/>
    <s v="Y"/>
    <s v="N"/>
    <s v="T35"/>
    <s v="Y"/>
    <s v="N"/>
    <s v="Y"/>
    <s v="N"/>
    <s v="B031"/>
    <d v="2016-11-01T00:00:00"/>
    <s v="20"/>
    <s v="TAN"/>
    <s v="OR"/>
    <d v="2016-10-27T00:00:00"/>
    <s v="MN"/>
    <s v="US"/>
    <s v="ZR"/>
    <d v="2016-10-27T00:00:00"/>
  </r>
  <r>
    <x v="1"/>
    <x v="7"/>
    <x v="1534"/>
    <x v="41"/>
    <s v="Standard order"/>
    <x v="1451"/>
    <x v="1446"/>
    <s v="8512"/>
    <s v="BTS 8512"/>
    <s v="5002880"/>
    <s v="8512 BTS T35 SYSTIVA RP"/>
    <n v="144"/>
    <n v="0"/>
    <n v="144"/>
    <x v="7"/>
    <s v="FX73"/>
    <s v="RP"/>
    <s v="334"/>
    <s v="4.0 UN"/>
    <s v="STANDARD"/>
    <s v="N"/>
    <s v="N"/>
    <s v="N"/>
    <s v="T35"/>
    <s v="Y"/>
    <s v="N"/>
    <s v="Y"/>
    <s v="N"/>
    <s v="B032"/>
    <d v="2016-11-01T00:00:00"/>
    <s v="20"/>
    <s v="TAN"/>
    <s v="OR"/>
    <d v="2016-10-27T00:00:00"/>
    <s v="MN"/>
    <s v="US"/>
    <s v="ZR"/>
    <d v="2016-10-27T00:00:00"/>
  </r>
  <r>
    <x v="1"/>
    <x v="7"/>
    <x v="1534"/>
    <x v="41"/>
    <s v="Standard order"/>
    <x v="1451"/>
    <x v="1446"/>
    <s v="8572"/>
    <s v="BTS 8572"/>
    <s v="5003219"/>
    <s v="8572 BTS T35 SYSTIVA RP"/>
    <n v="156"/>
    <n v="0"/>
    <n v="156"/>
    <x v="7"/>
    <s v="FENB"/>
    <s v="RP"/>
    <s v="334"/>
    <s v="4.0 UN"/>
    <s v="STANDARD"/>
    <s v="N"/>
    <s v="N"/>
    <s v="N"/>
    <s v="T35"/>
    <s v="Y"/>
    <s v="N"/>
    <s v="Y"/>
    <s v="N"/>
    <s v="B032"/>
    <d v="2016-11-01T00:00:00"/>
    <s v="10"/>
    <s v="TAN"/>
    <s v="OR"/>
    <d v="2016-10-27T00:00:00"/>
    <s v="MN"/>
    <s v="US"/>
    <s v="ZR"/>
    <d v="2016-10-27T00:00:00"/>
  </r>
  <r>
    <x v="1"/>
    <x v="7"/>
    <x v="1535"/>
    <x v="39"/>
    <s v="Standard order"/>
    <x v="1452"/>
    <x v="1447"/>
    <s v="8524"/>
    <s v="BTS 8524"/>
    <s v="5002895"/>
    <s v="8524 BTS T35 PB SYSTIVA P200"/>
    <n v="184"/>
    <n v="0"/>
    <n v="184"/>
    <x v="7"/>
    <s v="FWND"/>
    <s v="PRO 200"/>
    <s v="333"/>
    <s v="4.0 UN"/>
    <s v="STANDARD"/>
    <s v="N"/>
    <s v="Y"/>
    <s v="N"/>
    <s v="T35"/>
    <s v="Y"/>
    <s v="N"/>
    <s v="Y"/>
    <s v="N"/>
    <s v="B030"/>
    <d v="2016-11-01T00:00:00"/>
    <s v="10"/>
    <s v="TAN"/>
    <s v="OR"/>
    <d v="2016-10-27T00:00:00"/>
    <s v="MN"/>
    <s v="US"/>
    <s v="ZR"/>
    <d v="2016-10-27T00:00:00"/>
  </r>
  <r>
    <x v="1"/>
    <x v="7"/>
    <x v="1536"/>
    <x v="28"/>
    <s v="Standard order"/>
    <x v="1453"/>
    <x v="1448"/>
    <s v="8500"/>
    <s v="BTS 8500"/>
    <s v="5002859"/>
    <s v="8500 BTS T35 SYSTIVA P200"/>
    <n v="156"/>
    <n v="0"/>
    <n v="156"/>
    <x v="7"/>
    <s v="FTND"/>
    <s v="PRO 200"/>
    <s v="334"/>
    <s v="4.0 UN"/>
    <s v="STANDARD"/>
    <s v="N"/>
    <s v="N"/>
    <s v="N"/>
    <s v="T35"/>
    <s v="Y"/>
    <s v="N"/>
    <s v="Y"/>
    <s v="N"/>
    <s v="B056"/>
    <d v="2016-11-02T00:00:00"/>
    <s v="10"/>
    <s v="TAN"/>
    <s v="OR"/>
    <d v="2016-10-28T00:00:00"/>
    <s v="ND"/>
    <s v="US"/>
    <s v="ZR"/>
    <d v="2016-10-28T00:00:00"/>
  </r>
  <r>
    <x v="1"/>
    <x v="7"/>
    <x v="1536"/>
    <x v="28"/>
    <s v="Standard order"/>
    <x v="1453"/>
    <x v="1448"/>
    <s v="8524"/>
    <s v="BTS 8524"/>
    <s v="5002899"/>
    <s v="8524 BTS T35 SYSTIVA P200"/>
    <n v="156"/>
    <n v="0"/>
    <n v="156"/>
    <x v="7"/>
    <s v="FWND"/>
    <s v="PRO 200"/>
    <s v="334"/>
    <s v="4.0 UN"/>
    <s v="STANDARD"/>
    <s v="N"/>
    <s v="N"/>
    <s v="N"/>
    <s v="T35"/>
    <s v="Y"/>
    <s v="N"/>
    <s v="Y"/>
    <s v="N"/>
    <s v="B056"/>
    <d v="2016-11-02T00:00:00"/>
    <s v="20"/>
    <s v="TAN"/>
    <s v="OR"/>
    <d v="2016-10-28T00:00:00"/>
    <s v="ND"/>
    <s v="US"/>
    <s v="ZR"/>
    <d v="2016-10-28T00:00:00"/>
  </r>
  <r>
    <x v="1"/>
    <x v="7"/>
    <x v="1536"/>
    <x v="28"/>
    <s v="Standard order"/>
    <x v="1453"/>
    <x v="1448"/>
    <s v="8572"/>
    <s v="BTS 8572"/>
    <s v="5003218"/>
    <s v="8572 BTS T35 SYSTIVA P200"/>
    <n v="156"/>
    <n v="0"/>
    <n v="156"/>
    <x v="7"/>
    <s v="FENB"/>
    <s v="PRO 200"/>
    <s v="334"/>
    <s v="4.0 UN"/>
    <s v="STANDARD"/>
    <s v="N"/>
    <s v="N"/>
    <s v="N"/>
    <s v="T35"/>
    <s v="Y"/>
    <s v="N"/>
    <s v="Y"/>
    <s v="N"/>
    <s v="B056"/>
    <d v="2016-11-02T00:00:00"/>
    <s v="30"/>
    <s v="TAN"/>
    <s v="OR"/>
    <d v="2016-10-28T00:00:00"/>
    <s v="ND"/>
    <s v="US"/>
    <s v="ZR"/>
    <d v="2016-10-28T00:00:00"/>
  </r>
  <r>
    <x v="1"/>
    <x v="7"/>
    <x v="1537"/>
    <x v="31"/>
    <s v="Standard order"/>
    <x v="1454"/>
    <x v="1449"/>
    <s v="8337"/>
    <s v="BTS 8337"/>
    <s v="5002795"/>
    <s v="8337 BTS T35 PB SYSTIVA RP"/>
    <n v="48"/>
    <n v="0"/>
    <n v="48"/>
    <x v="7"/>
    <s v="DHMC"/>
    <s v="RP"/>
    <s v="333"/>
    <s v="4.0 UN"/>
    <s v="STANDARD"/>
    <s v="N"/>
    <s v="Y"/>
    <s v="N"/>
    <s v="T35"/>
    <s v="Y"/>
    <s v="N"/>
    <s v="Y"/>
    <s v="N"/>
    <s v="B028"/>
    <d v="2016-11-02T00:00:00"/>
    <s v="10"/>
    <s v="TAN"/>
    <s v="OR"/>
    <d v="2016-10-28T00:00:00"/>
    <s v="ND"/>
    <s v="US"/>
    <s v="ZR"/>
    <d v="2016-10-28T00:00:00"/>
  </r>
  <r>
    <x v="1"/>
    <x v="7"/>
    <x v="1538"/>
    <x v="39"/>
    <s v="Standard order"/>
    <x v="1455"/>
    <x v="1450"/>
    <s v="8233"/>
    <s v="BTS 82RR33"/>
    <s v="5002774"/>
    <s v="8233 BTS T35 PB SYSTIVA P200"/>
    <n v="96"/>
    <n v="0"/>
    <n v="96"/>
    <x v="7"/>
    <s v="DRMC"/>
    <s v="PRO 200"/>
    <s v="333"/>
    <s v="4.0 UN"/>
    <s v="STANDARD"/>
    <s v="N"/>
    <s v="Y"/>
    <s v="N"/>
    <s v="T35"/>
    <s v="Y"/>
    <s v="N"/>
    <s v="Y"/>
    <s v="N"/>
    <s v="B030"/>
    <d v="2016-11-02T00:00:00"/>
    <s v="10"/>
    <s v="TAN"/>
    <s v="OR"/>
    <d v="2016-10-28T00:00:00"/>
    <s v="MN"/>
    <s v="US"/>
    <s v="ZR"/>
    <d v="2016-10-28T00:00:00"/>
  </r>
  <r>
    <x v="1"/>
    <x v="7"/>
    <x v="1538"/>
    <x v="39"/>
    <s v="Standard order"/>
    <x v="1455"/>
    <x v="1450"/>
    <s v="8363"/>
    <s v="BTS 8363"/>
    <s v="5002815"/>
    <s v="8363 BTS T35 PB SYSTIVA P200"/>
    <n v="96"/>
    <n v="0"/>
    <n v="96"/>
    <x v="7"/>
    <s v="DMMZ"/>
    <s v="PRO 200"/>
    <s v="333"/>
    <s v="4.0 UN"/>
    <s v="STANDARD"/>
    <s v="N"/>
    <s v="Y"/>
    <s v="N"/>
    <s v="T35"/>
    <s v="Y"/>
    <s v="N"/>
    <s v="Y"/>
    <s v="N"/>
    <s v="B030"/>
    <d v="2016-11-02T00:00:00"/>
    <s v="20"/>
    <s v="TAN"/>
    <s v="OR"/>
    <d v="2016-10-28T00:00:00"/>
    <s v="MN"/>
    <s v="US"/>
    <s v="ZR"/>
    <d v="2016-10-28T00:00:00"/>
  </r>
  <r>
    <x v="1"/>
    <x v="7"/>
    <x v="1538"/>
    <x v="39"/>
    <s v="Standard order"/>
    <x v="1455"/>
    <x v="1450"/>
    <s v="8512"/>
    <s v="BTS 8512"/>
    <s v="5002875"/>
    <s v="8512 BTS T35 PB SYSTIVA P200"/>
    <n v="96"/>
    <n v="0"/>
    <n v="96"/>
    <x v="7"/>
    <s v="FX73"/>
    <s v="PRO 200"/>
    <s v="333"/>
    <s v="4.0 UN"/>
    <s v="STANDARD"/>
    <s v="N"/>
    <s v="Y"/>
    <s v="N"/>
    <s v="T35"/>
    <s v="Y"/>
    <s v="N"/>
    <s v="Y"/>
    <s v="N"/>
    <s v="B030"/>
    <d v="2016-11-02T00:00:00"/>
    <s v="30"/>
    <s v="TAN"/>
    <s v="OR"/>
    <d v="2016-10-28T00:00:00"/>
    <s v="MN"/>
    <s v="US"/>
    <s v="ZR"/>
    <d v="2016-10-28T00:00:00"/>
  </r>
  <r>
    <x v="1"/>
    <x v="7"/>
    <x v="1538"/>
    <x v="39"/>
    <s v="Standard order"/>
    <x v="1455"/>
    <x v="1450"/>
    <s v="8500"/>
    <s v="BTS 8500"/>
    <s v="5002855"/>
    <s v="8500 BTS T35 PB SYSTIVA P200"/>
    <n v="96"/>
    <n v="0"/>
    <n v="96"/>
    <x v="7"/>
    <s v="FTND"/>
    <s v="PRO 200"/>
    <s v="333"/>
    <s v="4.0 UN"/>
    <s v="STANDARD"/>
    <s v="N"/>
    <s v="Y"/>
    <s v="N"/>
    <s v="T35"/>
    <s v="Y"/>
    <s v="N"/>
    <s v="Y"/>
    <s v="N"/>
    <s v="B030"/>
    <d v="2016-11-02T00:00:00"/>
    <s v="40"/>
    <s v="TAN"/>
    <s v="OR"/>
    <d v="2016-10-28T00:00:00"/>
    <s v="MN"/>
    <s v="US"/>
    <s v="ZR"/>
    <d v="2016-10-28T00:00:00"/>
  </r>
  <r>
    <x v="1"/>
    <x v="7"/>
    <x v="1539"/>
    <x v="36"/>
    <s v="Standard order"/>
    <x v="1456"/>
    <x v="1451"/>
    <s v="8337"/>
    <s v="BTS 8337"/>
    <s v="5002795"/>
    <s v="8337 BTS T35 PB SYSTIVA RP"/>
    <n v="96"/>
    <n v="0"/>
    <n v="96"/>
    <x v="7"/>
    <s v="DHMC"/>
    <s v="RP"/>
    <s v="333"/>
    <s v="4.0 UN"/>
    <s v="STANDARD"/>
    <s v="N"/>
    <s v="Y"/>
    <s v="N"/>
    <s v="T35"/>
    <s v="Y"/>
    <s v="N"/>
    <s v="Y"/>
    <s v="N"/>
    <s v="B027"/>
    <d v="2016-11-02T00:00:00"/>
    <s v="10"/>
    <s v="TAN"/>
    <s v="OR"/>
    <d v="2016-10-28T00:00:00"/>
    <s v="ND"/>
    <s v="US"/>
    <s v="ZR"/>
    <d v="2016-10-28T00:00:00"/>
  </r>
  <r>
    <x v="1"/>
    <x v="7"/>
    <x v="1539"/>
    <x v="36"/>
    <s v="Standard order"/>
    <x v="1456"/>
    <x v="1451"/>
    <s v="8524"/>
    <s v="BTS 8524"/>
    <s v="5002896"/>
    <s v="8524 BTS T35 PB SYSTIVA RP"/>
    <n v="144"/>
    <n v="0"/>
    <n v="144"/>
    <x v="7"/>
    <s v="FWND"/>
    <s v="RP"/>
    <s v="333"/>
    <s v="4.0 UN"/>
    <s v="STANDARD"/>
    <s v="N"/>
    <s v="Y"/>
    <s v="N"/>
    <s v="T35"/>
    <s v="Y"/>
    <s v="N"/>
    <s v="Y"/>
    <s v="N"/>
    <s v="B027"/>
    <d v="2016-11-02T00:00:00"/>
    <s v="20"/>
    <s v="TAN"/>
    <s v="OR"/>
    <d v="2016-10-28T00:00:00"/>
    <s v="ND"/>
    <s v="US"/>
    <s v="ZR"/>
    <d v="2016-10-28T00:00:00"/>
  </r>
  <r>
    <x v="1"/>
    <x v="7"/>
    <x v="1540"/>
    <x v="39"/>
    <s v="Standard order"/>
    <x v="1457"/>
    <x v="1452"/>
    <s v="8337"/>
    <s v="BTS 8337"/>
    <s v="5002794"/>
    <s v="8337 BTS T35 PB SYSTIVA P200"/>
    <n v="168"/>
    <n v="0"/>
    <n v="168"/>
    <x v="7"/>
    <s v="DHMC"/>
    <s v="PRO 200"/>
    <s v="333"/>
    <s v="4.0 UN"/>
    <s v="STANDARD"/>
    <s v="N"/>
    <s v="Y"/>
    <s v="N"/>
    <s v="T35"/>
    <s v="Y"/>
    <s v="N"/>
    <s v="Y"/>
    <s v="N"/>
    <s v="B030"/>
    <d v="2016-11-02T00:00:00"/>
    <s v="60"/>
    <s v="TAN"/>
    <s v="OR"/>
    <d v="2016-10-28T00:00:00"/>
    <s v="MN"/>
    <s v="US"/>
    <s v="ZR"/>
    <d v="2016-10-28T00:00:00"/>
  </r>
  <r>
    <x v="1"/>
    <x v="7"/>
    <x v="1540"/>
    <x v="39"/>
    <s v="Standard order"/>
    <x v="1457"/>
    <x v="1452"/>
    <s v="8052"/>
    <s v="BTS 80RR52"/>
    <s v="5002734"/>
    <s v="8052 BTS T35 PB SYSTIVA P200"/>
    <n v="188"/>
    <n v="0"/>
    <n v="188"/>
    <x v="7"/>
    <s v="AP82"/>
    <s v="PRO 200"/>
    <s v="333"/>
    <s v="4.0 UN"/>
    <s v="STANDARD"/>
    <s v="N"/>
    <s v="Y"/>
    <s v="N"/>
    <s v="T35"/>
    <s v="Y"/>
    <s v="N"/>
    <s v="Y"/>
    <s v="N"/>
    <s v="B030"/>
    <d v="2016-11-02T00:00:00"/>
    <s v="70"/>
    <s v="TAN"/>
    <s v="OR"/>
    <d v="2016-10-28T00:00:00"/>
    <s v="MN"/>
    <s v="US"/>
    <s v="ZR"/>
    <d v="2016-10-28T00:00:00"/>
  </r>
  <r>
    <x v="1"/>
    <x v="7"/>
    <x v="1540"/>
    <x v="39"/>
    <s v="Standard order"/>
    <x v="1457"/>
    <x v="1452"/>
    <s v="8524"/>
    <s v="BTS 8524"/>
    <s v="5002895"/>
    <s v="8524 BTS T35 PB SYSTIVA P200"/>
    <n v="92"/>
    <n v="0"/>
    <n v="92"/>
    <x v="7"/>
    <s v="FWND"/>
    <s v="PRO 200"/>
    <s v="333"/>
    <s v="4.0 UN"/>
    <s v="STANDARD"/>
    <s v="N"/>
    <s v="Y"/>
    <s v="N"/>
    <s v="T35"/>
    <s v="Y"/>
    <s v="N"/>
    <s v="Y"/>
    <s v="N"/>
    <s v="B030"/>
    <d v="2016-11-02T00:00:00"/>
    <s v="80"/>
    <s v="TAN"/>
    <s v="OR"/>
    <d v="2016-10-28T00:00:00"/>
    <s v="MN"/>
    <s v="US"/>
    <s v="ZR"/>
    <d v="2016-10-28T00:00:00"/>
  </r>
  <r>
    <x v="1"/>
    <x v="7"/>
    <x v="1540"/>
    <x v="39"/>
    <s v="Standard order"/>
    <x v="1457"/>
    <x v="1452"/>
    <s v="8500"/>
    <s v="BTS 8500"/>
    <s v="5002855"/>
    <s v="8500 BTS T35 PB SYSTIVA P200"/>
    <n v="84"/>
    <n v="0"/>
    <n v="84"/>
    <x v="7"/>
    <s v="FTND"/>
    <s v="PRO 200"/>
    <s v="333"/>
    <s v="4.0 UN"/>
    <s v="STANDARD"/>
    <s v="N"/>
    <s v="Y"/>
    <s v="N"/>
    <s v="T35"/>
    <s v="Y"/>
    <s v="N"/>
    <s v="Y"/>
    <s v="N"/>
    <s v="B030"/>
    <d v="2016-11-02T00:00:00"/>
    <s v="90"/>
    <s v="TAN"/>
    <s v="OR"/>
    <d v="2016-10-28T00:00:00"/>
    <s v="MN"/>
    <s v="US"/>
    <s v="ZR"/>
    <d v="2016-10-28T00:00:00"/>
  </r>
  <r>
    <x v="1"/>
    <x v="7"/>
    <x v="1540"/>
    <x v="39"/>
    <s v="Standard order"/>
    <x v="1457"/>
    <x v="1452"/>
    <s v="8363"/>
    <s v="BTS 8363"/>
    <s v="5002815"/>
    <s v="8363 BTS T35 PB SYSTIVA P200"/>
    <n v="176"/>
    <n v="0"/>
    <n v="176"/>
    <x v="7"/>
    <s v="DMMZ"/>
    <s v="PRO 200"/>
    <s v="333"/>
    <s v="4.0 UN"/>
    <s v="STANDARD"/>
    <s v="N"/>
    <s v="Y"/>
    <s v="N"/>
    <s v="T35"/>
    <s v="Y"/>
    <s v="N"/>
    <s v="Y"/>
    <s v="N"/>
    <s v="B030"/>
    <d v="2016-11-02T00:00:00"/>
    <s v="100"/>
    <s v="TAN"/>
    <s v="OR"/>
    <d v="2016-10-28T00:00:00"/>
    <s v="MN"/>
    <s v="US"/>
    <s v="ZR"/>
    <d v="2016-10-28T00:00:00"/>
  </r>
  <r>
    <x v="1"/>
    <x v="7"/>
    <x v="1541"/>
    <x v="33"/>
    <s v="Standard order"/>
    <x v="1458"/>
    <x v="1453"/>
    <s v="8337"/>
    <s v="BTS 8337"/>
    <s v="5002794"/>
    <s v="8337 BTS T35 PB SYSTIVA P200"/>
    <n v="52"/>
    <n v="0"/>
    <n v="52"/>
    <x v="7"/>
    <s v="DHMC"/>
    <s v="PRO 200"/>
    <s v="333"/>
    <s v="4.0 UN"/>
    <s v="STANDARD"/>
    <s v="N"/>
    <s v="Y"/>
    <s v="N"/>
    <s v="T35"/>
    <s v="Y"/>
    <s v="N"/>
    <s v="Y"/>
    <s v="N"/>
    <s v="B026"/>
    <d v="2016-11-02T00:00:00"/>
    <s v="10"/>
    <s v="TAN"/>
    <s v="OR"/>
    <d v="2016-10-28T00:00:00"/>
    <s v="MN"/>
    <s v="US"/>
    <s v="ZR"/>
    <d v="2016-10-28T00:00:00"/>
  </r>
  <r>
    <x v="1"/>
    <x v="7"/>
    <x v="1542"/>
    <x v="28"/>
    <s v="Standard order"/>
    <x v="1459"/>
    <x v="1454"/>
    <s v="8524"/>
    <s v="BTS 8524"/>
    <s v="5002896"/>
    <s v="8524 BTS T35 PB SYSTIVA RP"/>
    <n v="24"/>
    <n v="0"/>
    <n v="24"/>
    <x v="7"/>
    <s v="FWND"/>
    <s v="RP"/>
    <s v="333"/>
    <s v="4.0 UN"/>
    <s v="STANDARD"/>
    <s v="N"/>
    <s v="Y"/>
    <s v="N"/>
    <s v="T35"/>
    <s v="Y"/>
    <s v="N"/>
    <s v="Y"/>
    <s v="N"/>
    <s v="B056"/>
    <d v="2016-11-02T00:00:00"/>
    <s v="10"/>
    <s v="TAN"/>
    <s v="OR"/>
    <d v="2016-10-28T00:00:00"/>
    <s v="ND"/>
    <s v="US"/>
    <s v="ZR"/>
    <d v="2016-10-28T00:00:00"/>
  </r>
  <r>
    <x v="1"/>
    <x v="7"/>
    <x v="1542"/>
    <x v="28"/>
    <s v="Standard order"/>
    <x v="1459"/>
    <x v="1454"/>
    <s v="8572"/>
    <s v="BTS 8572"/>
    <s v="5003215"/>
    <s v="8572 BTS T35 PB SYSTIVA RP"/>
    <n v="24"/>
    <n v="0"/>
    <n v="24"/>
    <x v="7"/>
    <s v="FENB"/>
    <s v="RP"/>
    <s v="333"/>
    <s v="4.0 UN"/>
    <s v="STANDARD"/>
    <s v="N"/>
    <s v="Y"/>
    <s v="N"/>
    <s v="T35"/>
    <s v="Y"/>
    <s v="N"/>
    <s v="Y"/>
    <s v="N"/>
    <s v="B056"/>
    <d v="2016-11-02T00:00:00"/>
    <s v="20"/>
    <s v="TAN"/>
    <s v="OR"/>
    <d v="2016-10-28T00:00:00"/>
    <s v="ND"/>
    <s v="US"/>
    <s v="ZR"/>
    <d v="2016-10-28T00:00:00"/>
  </r>
  <r>
    <x v="1"/>
    <x v="7"/>
    <x v="1543"/>
    <x v="31"/>
    <s v="Standard order"/>
    <x v="1460"/>
    <x v="1455"/>
    <s v="8524"/>
    <s v="BTS 8524"/>
    <s v="5002895"/>
    <s v="8524 BTS T35 PB SYSTIVA P200"/>
    <n v="56"/>
    <n v="0"/>
    <n v="56"/>
    <x v="7"/>
    <s v="FWND"/>
    <s v="PRO 200"/>
    <s v="333"/>
    <s v="4.0 UN"/>
    <s v="STANDARD"/>
    <s v="N"/>
    <s v="Y"/>
    <s v="N"/>
    <s v="T35"/>
    <s v="Y"/>
    <s v="N"/>
    <s v="Y"/>
    <s v="N"/>
    <s v="B028"/>
    <d v="2016-11-02T00:00:00"/>
    <s v="10"/>
    <s v="TAN"/>
    <s v="OR"/>
    <d v="2016-10-28T00:00:00"/>
    <s v="ND"/>
    <s v="US"/>
    <s v="ZR"/>
    <d v="2016-10-28T00:00:00"/>
  </r>
  <r>
    <x v="1"/>
    <x v="7"/>
    <x v="1543"/>
    <x v="31"/>
    <s v="Standard order"/>
    <x v="1460"/>
    <x v="1455"/>
    <s v="8572"/>
    <s v="BTS 8572"/>
    <s v="5003214"/>
    <s v="8572 BTS T35 PB SYSTIVA P200"/>
    <n v="92"/>
    <n v="0"/>
    <n v="92"/>
    <x v="7"/>
    <s v="FENB"/>
    <s v="PRO 200"/>
    <s v="333"/>
    <s v="4.0 UN"/>
    <s v="STANDARD"/>
    <s v="N"/>
    <s v="Y"/>
    <s v="N"/>
    <s v="T35"/>
    <s v="Y"/>
    <s v="N"/>
    <s v="Y"/>
    <s v="N"/>
    <s v="B028"/>
    <d v="2016-11-02T00:00:00"/>
    <s v="20"/>
    <s v="TAN"/>
    <s v="OR"/>
    <d v="2016-10-28T00:00:00"/>
    <s v="ND"/>
    <s v="US"/>
    <s v="ZR"/>
    <d v="2016-10-28T00:00:00"/>
  </r>
  <r>
    <x v="1"/>
    <x v="7"/>
    <x v="1544"/>
    <x v="33"/>
    <s v="Standard order"/>
    <x v="1461"/>
    <x v="1456"/>
    <s v="8524"/>
    <s v="BTS 8524"/>
    <s v="5002895"/>
    <s v="8524 BTS T35 PB SYSTIVA P200"/>
    <n v="16"/>
    <n v="0"/>
    <n v="16"/>
    <x v="7"/>
    <s v="FWND"/>
    <s v="PRO 200"/>
    <s v="333"/>
    <s v="4.0 UN"/>
    <s v="STANDARD"/>
    <s v="N"/>
    <s v="Y"/>
    <s v="N"/>
    <s v="T35"/>
    <s v="Y"/>
    <s v="N"/>
    <s v="Y"/>
    <s v="N"/>
    <s v="B026"/>
    <d v="2016-11-02T00:00:00"/>
    <s v="10"/>
    <s v="TAN"/>
    <s v="OR"/>
    <d v="2016-10-28T00:00:00"/>
    <s v="MN"/>
    <s v="US"/>
    <s v="ZR"/>
    <d v="2016-10-28T00:00:00"/>
  </r>
  <r>
    <x v="1"/>
    <x v="7"/>
    <x v="1545"/>
    <x v="33"/>
    <s v="Standard order"/>
    <x v="1462"/>
    <x v="1457"/>
    <s v="8052"/>
    <s v="BTS 80RR52"/>
    <s v="5002734"/>
    <s v="8052 BTS T35 PB SYSTIVA P200"/>
    <n v="288"/>
    <n v="0"/>
    <n v="288"/>
    <x v="7"/>
    <s v="AP82"/>
    <s v="PRO 200"/>
    <s v="333"/>
    <s v="4.0 UN"/>
    <s v="STANDARD"/>
    <s v="N"/>
    <s v="Y"/>
    <s v="N"/>
    <s v="T35"/>
    <s v="Y"/>
    <s v="N"/>
    <s v="Y"/>
    <s v="N"/>
    <s v="B026"/>
    <d v="2016-11-02T00:00:00"/>
    <s v="10"/>
    <s v="TAN"/>
    <s v="OR"/>
    <d v="2016-10-28T00:00:00"/>
    <s v="MN"/>
    <s v="US"/>
    <s v="ZR"/>
    <d v="2016-10-28T00:00:00"/>
  </r>
  <r>
    <x v="1"/>
    <x v="7"/>
    <x v="1545"/>
    <x v="33"/>
    <s v="Standard order"/>
    <x v="1462"/>
    <x v="1457"/>
    <s v="8337"/>
    <s v="BTS 8337"/>
    <s v="5002794"/>
    <s v="8337 BTS T35 PB SYSTIVA P200"/>
    <n v="384"/>
    <n v="0"/>
    <n v="384"/>
    <x v="7"/>
    <s v="DHMC"/>
    <s v="PRO 200"/>
    <s v="333"/>
    <s v="4.0 UN"/>
    <s v="STANDARD"/>
    <s v="N"/>
    <s v="Y"/>
    <s v="N"/>
    <s v="T35"/>
    <s v="Y"/>
    <s v="N"/>
    <s v="Y"/>
    <s v="N"/>
    <s v="B026"/>
    <d v="2016-11-02T00:00:00"/>
    <s v="20"/>
    <s v="TAN"/>
    <s v="OR"/>
    <d v="2016-10-28T00:00:00"/>
    <s v="MN"/>
    <s v="US"/>
    <s v="ZR"/>
    <d v="2016-10-28T00:00:00"/>
  </r>
  <r>
    <x v="1"/>
    <x v="7"/>
    <x v="1545"/>
    <x v="33"/>
    <s v="Standard order"/>
    <x v="1462"/>
    <x v="1457"/>
    <s v="8500"/>
    <s v="BTS 8500"/>
    <s v="5002855"/>
    <s v="8500 BTS T35 PB SYSTIVA P200"/>
    <n v="192"/>
    <n v="0"/>
    <n v="192"/>
    <x v="7"/>
    <s v="FTND"/>
    <s v="PRO 200"/>
    <s v="333"/>
    <s v="4.0 UN"/>
    <s v="STANDARD"/>
    <s v="N"/>
    <s v="Y"/>
    <s v="N"/>
    <s v="T35"/>
    <s v="Y"/>
    <s v="N"/>
    <s v="Y"/>
    <s v="N"/>
    <s v="B026"/>
    <d v="2016-11-02T00:00:00"/>
    <s v="30"/>
    <s v="TAN"/>
    <s v="OR"/>
    <d v="2016-10-28T00:00:00"/>
    <s v="MN"/>
    <s v="US"/>
    <s v="ZR"/>
    <d v="2016-10-28T00:00:00"/>
  </r>
  <r>
    <x v="1"/>
    <x v="7"/>
    <x v="1545"/>
    <x v="33"/>
    <s v="Standard order"/>
    <x v="1462"/>
    <x v="1457"/>
    <s v="8572"/>
    <s v="BTS 8572"/>
    <s v="5003214"/>
    <s v="8572 BTS T35 PB SYSTIVA P200"/>
    <n v="96"/>
    <n v="0"/>
    <n v="96"/>
    <x v="7"/>
    <s v="FENB"/>
    <s v="PRO 200"/>
    <s v="333"/>
    <s v="4.0 UN"/>
    <s v="STANDARD"/>
    <s v="N"/>
    <s v="Y"/>
    <s v="N"/>
    <s v="T35"/>
    <s v="Y"/>
    <s v="N"/>
    <s v="Y"/>
    <s v="N"/>
    <s v="B026"/>
    <d v="2016-11-02T00:00:00"/>
    <s v="40"/>
    <s v="TAN"/>
    <s v="OR"/>
    <d v="2016-10-28T00:00:00"/>
    <s v="MN"/>
    <s v="US"/>
    <s v="ZR"/>
    <d v="2016-10-28T00:00:00"/>
  </r>
  <r>
    <x v="1"/>
    <x v="7"/>
    <x v="1545"/>
    <x v="33"/>
    <s v="Standard order"/>
    <x v="1462"/>
    <x v="1457"/>
    <s v="8524"/>
    <s v="BTS 8524"/>
    <s v="5002895"/>
    <s v="8524 BTS T35 PB SYSTIVA P200"/>
    <n v="288"/>
    <n v="0"/>
    <n v="288"/>
    <x v="7"/>
    <s v="FWND"/>
    <s v="PRO 200"/>
    <s v="333"/>
    <s v="4.0 UN"/>
    <s v="STANDARD"/>
    <s v="N"/>
    <s v="Y"/>
    <s v="N"/>
    <s v="T35"/>
    <s v="Y"/>
    <s v="N"/>
    <s v="Y"/>
    <s v="N"/>
    <s v="B026"/>
    <d v="2016-11-02T00:00:00"/>
    <s v="50"/>
    <s v="TAN"/>
    <s v="OR"/>
    <d v="2016-10-28T00:00:00"/>
    <s v="MN"/>
    <s v="US"/>
    <s v="ZR"/>
    <d v="2016-10-28T00:00:00"/>
  </r>
  <r>
    <x v="1"/>
    <x v="7"/>
    <x v="1546"/>
    <x v="33"/>
    <s v="Standard order"/>
    <x v="1463"/>
    <x v="1458"/>
    <s v="8337"/>
    <s v="BTS 8337"/>
    <s v="5002795"/>
    <s v="8337 BTS T35 PB SYSTIVA RP"/>
    <n v="96"/>
    <n v="0"/>
    <n v="96"/>
    <x v="7"/>
    <s v="DHMC"/>
    <s v="RP"/>
    <s v="333"/>
    <s v="4.0 UN"/>
    <s v="STANDARD"/>
    <s v="N"/>
    <s v="Y"/>
    <s v="N"/>
    <s v="T35"/>
    <s v="Y"/>
    <s v="N"/>
    <s v="Y"/>
    <s v="N"/>
    <s v="B026"/>
    <d v="2016-11-02T00:00:00"/>
    <s v="10"/>
    <s v="TAN"/>
    <s v="OR"/>
    <d v="2016-10-28T00:00:00"/>
    <s v="MN"/>
    <s v="US"/>
    <s v="ZR"/>
    <d v="2016-10-28T00:00:00"/>
  </r>
  <r>
    <x v="1"/>
    <x v="7"/>
    <x v="1546"/>
    <x v="33"/>
    <s v="Standard order"/>
    <x v="1463"/>
    <x v="1458"/>
    <s v="8524"/>
    <s v="BTS 8524"/>
    <s v="5002896"/>
    <s v="8524 BTS T35 PB SYSTIVA RP"/>
    <n v="96"/>
    <n v="0"/>
    <n v="96"/>
    <x v="7"/>
    <s v="FWND"/>
    <s v="RP"/>
    <s v="333"/>
    <s v="4.0 UN"/>
    <s v="STANDARD"/>
    <s v="N"/>
    <s v="Y"/>
    <s v="N"/>
    <s v="T35"/>
    <s v="Y"/>
    <s v="N"/>
    <s v="Y"/>
    <s v="N"/>
    <s v="B026"/>
    <d v="2016-11-02T00:00:00"/>
    <s v="20"/>
    <s v="TAN"/>
    <s v="OR"/>
    <d v="2016-10-28T00:00:00"/>
    <s v="MN"/>
    <s v="US"/>
    <s v="ZR"/>
    <d v="2016-10-28T00:00:00"/>
  </r>
  <r>
    <x v="1"/>
    <x v="7"/>
    <x v="1547"/>
    <x v="33"/>
    <s v="Standard order"/>
    <x v="1464"/>
    <x v="1459"/>
    <s v="8337"/>
    <s v="BTS 8337"/>
    <s v="5002794"/>
    <s v="8337 BTS T35 PB SYSTIVA P200"/>
    <n v="36"/>
    <n v="0"/>
    <n v="36"/>
    <x v="7"/>
    <s v="DHMC"/>
    <s v="PRO 200"/>
    <s v="333"/>
    <s v="4.0 UN"/>
    <s v="STANDARD"/>
    <s v="N"/>
    <s v="Y"/>
    <s v="N"/>
    <s v="T35"/>
    <s v="Y"/>
    <s v="N"/>
    <s v="Y"/>
    <s v="N"/>
    <s v="B026"/>
    <d v="2016-11-02T00:00:00"/>
    <s v="20"/>
    <s v="TAN"/>
    <s v="OR"/>
    <d v="2016-10-28T00:00:00"/>
    <s v="MN"/>
    <s v="US"/>
    <s v="ZR"/>
    <d v="2016-10-28T00:00:00"/>
  </r>
  <r>
    <x v="1"/>
    <x v="7"/>
    <x v="1547"/>
    <x v="33"/>
    <s v="Standard order"/>
    <x v="1464"/>
    <x v="1459"/>
    <s v="8500"/>
    <s v="BTS 8500"/>
    <s v="5002855"/>
    <s v="8500 BTS T35 PB SYSTIVA P200"/>
    <n v="96"/>
    <n v="0"/>
    <n v="96"/>
    <x v="7"/>
    <s v="FTND"/>
    <s v="PRO 200"/>
    <s v="333"/>
    <s v="4.0 UN"/>
    <s v="STANDARD"/>
    <s v="N"/>
    <s v="Y"/>
    <s v="N"/>
    <s v="T35"/>
    <s v="Y"/>
    <s v="N"/>
    <s v="Y"/>
    <s v="N"/>
    <s v="B026"/>
    <d v="2016-11-02T00:00:00"/>
    <s v="10"/>
    <s v="TAN"/>
    <s v="OR"/>
    <d v="2016-10-28T00:00:00"/>
    <s v="MN"/>
    <s v="US"/>
    <s v="ZR"/>
    <d v="2016-10-28T00:00:00"/>
  </r>
  <r>
    <x v="1"/>
    <x v="7"/>
    <x v="1548"/>
    <x v="38"/>
    <s v="Standard order"/>
    <x v="1465"/>
    <x v="1460"/>
    <s v="8500"/>
    <s v="BTS 8500"/>
    <s v="5002856"/>
    <s v="8500 BTS T35 PB SYSTIVA RP"/>
    <n v="88"/>
    <n v="0"/>
    <n v="88"/>
    <x v="7"/>
    <s v="FTND"/>
    <s v="RP"/>
    <s v="333"/>
    <s v="4.0 UN"/>
    <s v="STANDARD"/>
    <s v="N"/>
    <s v="Y"/>
    <s v="N"/>
    <s v="T35"/>
    <s v="Y"/>
    <s v="N"/>
    <s v="Y"/>
    <s v="N"/>
    <s v="B031"/>
    <d v="2016-11-02T00:00:00"/>
    <s v="10"/>
    <s v="TAN"/>
    <s v="OR"/>
    <d v="2016-10-28T00:00:00"/>
    <s v="ND"/>
    <s v="US"/>
    <s v="ZR"/>
    <d v="2016-10-28T00:00:00"/>
  </r>
  <r>
    <x v="1"/>
    <x v="7"/>
    <x v="1548"/>
    <x v="38"/>
    <s v="Standard order"/>
    <x v="1465"/>
    <x v="1460"/>
    <s v="8337"/>
    <s v="BTS 8337"/>
    <s v="5002795"/>
    <s v="8337 BTS T35 PB SYSTIVA RP"/>
    <n v="88"/>
    <n v="0"/>
    <n v="88"/>
    <x v="7"/>
    <s v="DHMC"/>
    <s v="RP"/>
    <s v="333"/>
    <s v="4.0 UN"/>
    <s v="STANDARD"/>
    <s v="N"/>
    <s v="Y"/>
    <s v="N"/>
    <s v="T35"/>
    <s v="Y"/>
    <s v="N"/>
    <s v="Y"/>
    <s v="N"/>
    <s v="B031"/>
    <d v="2016-11-02T00:00:00"/>
    <s v="20"/>
    <s v="TAN"/>
    <s v="OR"/>
    <d v="2016-10-28T00:00:00"/>
    <s v="ND"/>
    <s v="US"/>
    <s v="ZR"/>
    <d v="2016-10-28T00:00:00"/>
  </r>
  <r>
    <x v="1"/>
    <x v="7"/>
    <x v="1548"/>
    <x v="38"/>
    <s v="Standard order"/>
    <x v="1465"/>
    <x v="1460"/>
    <s v="8572"/>
    <s v="BTS 8572"/>
    <s v="5003215"/>
    <s v="8572 BTS T35 PB SYSTIVA RP"/>
    <n v="48"/>
    <n v="0"/>
    <n v="48"/>
    <x v="7"/>
    <s v="FENB"/>
    <s v="RP"/>
    <s v="333"/>
    <s v="4.0 UN"/>
    <s v="STANDARD"/>
    <s v="N"/>
    <s v="Y"/>
    <s v="N"/>
    <s v="T35"/>
    <s v="Y"/>
    <s v="N"/>
    <s v="Y"/>
    <s v="N"/>
    <s v="B031"/>
    <d v="2016-11-02T00:00:00"/>
    <s v="30"/>
    <s v="TAN"/>
    <s v="OR"/>
    <d v="2016-10-28T00:00:00"/>
    <s v="ND"/>
    <s v="US"/>
    <s v="ZR"/>
    <d v="2016-10-28T00:00:00"/>
  </r>
  <r>
    <x v="1"/>
    <x v="7"/>
    <x v="1549"/>
    <x v="38"/>
    <s v="Standard order"/>
    <x v="1466"/>
    <x v="1461"/>
    <s v="8524"/>
    <s v="BTS 8524"/>
    <s v="5002896"/>
    <s v="8524 BTS T35 PB SYSTIVA RP"/>
    <n v="96"/>
    <n v="0"/>
    <n v="96"/>
    <x v="7"/>
    <s v="FWND"/>
    <s v="RP"/>
    <s v="333"/>
    <s v="4.0 UN"/>
    <s v="STANDARD"/>
    <s v="N"/>
    <s v="Y"/>
    <s v="N"/>
    <s v="T35"/>
    <s v="Y"/>
    <s v="N"/>
    <s v="Y"/>
    <s v="N"/>
    <s v="B031"/>
    <d v="2016-11-02T00:00:00"/>
    <s v="10"/>
    <s v="TAN"/>
    <s v="OR"/>
    <d v="2016-10-28T00:00:00"/>
    <s v="ND"/>
    <s v="US"/>
    <s v="ZR"/>
    <d v="2016-10-28T00:00:00"/>
  </r>
  <r>
    <x v="1"/>
    <x v="7"/>
    <x v="1549"/>
    <x v="38"/>
    <s v="Standard order"/>
    <x v="1466"/>
    <x v="1461"/>
    <s v="8337"/>
    <s v="BTS 8337"/>
    <s v="5002795"/>
    <s v="8337 BTS T35 PB SYSTIVA RP"/>
    <n v="72"/>
    <n v="0"/>
    <n v="72"/>
    <x v="7"/>
    <s v="DHMC"/>
    <s v="RP"/>
    <s v="333"/>
    <s v="4.0 UN"/>
    <s v="STANDARD"/>
    <s v="N"/>
    <s v="Y"/>
    <s v="N"/>
    <s v="T35"/>
    <s v="Y"/>
    <s v="N"/>
    <s v="Y"/>
    <s v="N"/>
    <s v="B031"/>
    <d v="2016-11-02T00:00:00"/>
    <s v="20"/>
    <s v="TAN"/>
    <s v="OR"/>
    <d v="2016-10-28T00:00:00"/>
    <s v="ND"/>
    <s v="US"/>
    <s v="ZR"/>
    <d v="2016-10-28T00:00:00"/>
  </r>
  <r>
    <x v="1"/>
    <x v="7"/>
    <x v="1549"/>
    <x v="38"/>
    <s v="Standard order"/>
    <x v="1466"/>
    <x v="1461"/>
    <s v="8572"/>
    <s v="BTS 8572"/>
    <s v="5003215"/>
    <s v="8572 BTS T35 PB SYSTIVA RP"/>
    <n v="24"/>
    <n v="0"/>
    <n v="24"/>
    <x v="7"/>
    <s v="FENB"/>
    <s v="RP"/>
    <s v="333"/>
    <s v="4.0 UN"/>
    <s v="STANDARD"/>
    <s v="N"/>
    <s v="Y"/>
    <s v="N"/>
    <s v="T35"/>
    <s v="Y"/>
    <s v="N"/>
    <s v="Y"/>
    <s v="N"/>
    <s v="B031"/>
    <d v="2016-11-02T00:00:00"/>
    <s v="30"/>
    <s v="TAN"/>
    <s v="OR"/>
    <d v="2016-10-28T00:00:00"/>
    <s v="ND"/>
    <s v="US"/>
    <s v="ZR"/>
    <d v="2016-10-28T00:00:00"/>
  </r>
  <r>
    <x v="1"/>
    <x v="7"/>
    <x v="1550"/>
    <x v="33"/>
    <s v="Standard order"/>
    <x v="1467"/>
    <x v="1462"/>
    <s v="8052"/>
    <s v="BTS 80RR52"/>
    <s v="5002734"/>
    <s v="8052 BTS T35 PB SYSTIVA P200"/>
    <n v="76"/>
    <n v="0"/>
    <n v="76"/>
    <x v="7"/>
    <s v="AP82"/>
    <s v="PRO 200"/>
    <s v="333"/>
    <s v="4.0 UN"/>
    <s v="STANDARD"/>
    <s v="N"/>
    <s v="Y"/>
    <s v="N"/>
    <s v="T35"/>
    <s v="Y"/>
    <s v="N"/>
    <s v="Y"/>
    <s v="N"/>
    <s v="B026"/>
    <d v="2016-11-02T00:00:00"/>
    <s v="30"/>
    <s v="TAN"/>
    <s v="OR"/>
    <d v="2016-10-28T00:00:00"/>
    <s v="MN"/>
    <s v="US"/>
    <s v="ZR"/>
    <d v="2016-10-28T00:00:00"/>
  </r>
  <r>
    <x v="1"/>
    <x v="7"/>
    <x v="1550"/>
    <x v="33"/>
    <s v="Standard order"/>
    <x v="1467"/>
    <x v="1462"/>
    <s v="8500"/>
    <s v="BTS 8500"/>
    <s v="5002855"/>
    <s v="8500 BTS T35 PB SYSTIVA P200"/>
    <n v="96"/>
    <n v="0"/>
    <n v="96"/>
    <x v="7"/>
    <s v="FTND"/>
    <s v="PRO 200"/>
    <s v="333"/>
    <s v="4.0 UN"/>
    <s v="STANDARD"/>
    <s v="N"/>
    <s v="Y"/>
    <s v="N"/>
    <s v="T35"/>
    <s v="Y"/>
    <s v="N"/>
    <s v="Y"/>
    <s v="N"/>
    <s v="B026"/>
    <d v="2016-11-02T00:00:00"/>
    <s v="40"/>
    <s v="TAN"/>
    <s v="OR"/>
    <d v="2016-10-28T00:00:00"/>
    <s v="MN"/>
    <s v="US"/>
    <s v="ZR"/>
    <d v="2016-10-28T00:00:00"/>
  </r>
  <r>
    <x v="1"/>
    <x v="7"/>
    <x v="1550"/>
    <x v="33"/>
    <s v="Standard order"/>
    <x v="1467"/>
    <x v="1462"/>
    <s v="8337"/>
    <s v="BTS 8337"/>
    <s v="5002795"/>
    <s v="8337 BTS T35 PB SYSTIVA RP"/>
    <n v="56"/>
    <n v="0"/>
    <n v="56"/>
    <x v="7"/>
    <s v="DHMC"/>
    <s v="RP"/>
    <s v="333"/>
    <s v="4.0 UN"/>
    <s v="STANDARD"/>
    <s v="N"/>
    <s v="Y"/>
    <s v="N"/>
    <s v="T35"/>
    <s v="Y"/>
    <s v="N"/>
    <s v="Y"/>
    <s v="N"/>
    <s v="B026"/>
    <d v="2016-11-02T00:00:00"/>
    <s v="10"/>
    <s v="TAN"/>
    <s v="OR"/>
    <d v="2016-10-28T00:00:00"/>
    <s v="MN"/>
    <s v="US"/>
    <s v="ZR"/>
    <d v="2016-10-28T00:00:00"/>
  </r>
  <r>
    <x v="1"/>
    <x v="7"/>
    <x v="1551"/>
    <x v="37"/>
    <s v="Standard order"/>
    <x v="1468"/>
    <x v="1463"/>
    <s v="8524"/>
    <s v="BTS 8524"/>
    <s v="5002896"/>
    <s v="8524 BTS T35 PB SYSTIVA RP"/>
    <n v="40"/>
    <n v="0"/>
    <n v="40"/>
    <x v="7"/>
    <s v="FWND"/>
    <s v="RP"/>
    <s v="333"/>
    <s v="4.0 UN"/>
    <s v="STANDARD"/>
    <s v="N"/>
    <s v="Y"/>
    <s v="N"/>
    <s v="T35"/>
    <s v="Y"/>
    <s v="N"/>
    <s v="Y"/>
    <s v="N"/>
    <s v="B033"/>
    <d v="2016-11-02T00:00:00"/>
    <s v="30"/>
    <s v="TAN"/>
    <s v="OR"/>
    <d v="2016-10-28T00:00:00"/>
    <s v="MN"/>
    <s v="US"/>
    <s v="ZR"/>
    <d v="2016-10-28T00:00:00"/>
  </r>
  <r>
    <x v="1"/>
    <x v="7"/>
    <x v="1551"/>
    <x v="37"/>
    <s v="Standard order"/>
    <x v="1468"/>
    <x v="1463"/>
    <s v="8337"/>
    <s v="BTS 8337"/>
    <s v="5002795"/>
    <s v="8337 BTS T35 PB SYSTIVA RP"/>
    <n v="40"/>
    <n v="0"/>
    <n v="40"/>
    <x v="7"/>
    <s v="DHMC"/>
    <s v="RP"/>
    <s v="333"/>
    <s v="4.0 UN"/>
    <s v="STANDARD"/>
    <s v="N"/>
    <s v="Y"/>
    <s v="N"/>
    <s v="T35"/>
    <s v="Y"/>
    <s v="N"/>
    <s v="Y"/>
    <s v="N"/>
    <s v="B033"/>
    <d v="2016-11-02T00:00:00"/>
    <s v="40"/>
    <s v="TAN"/>
    <s v="OR"/>
    <d v="2016-10-28T00:00:00"/>
    <s v="MN"/>
    <s v="US"/>
    <s v="ZR"/>
    <d v="2016-10-28T00:00:00"/>
  </r>
  <r>
    <x v="1"/>
    <x v="7"/>
    <x v="1551"/>
    <x v="37"/>
    <s v="Standard order"/>
    <x v="1468"/>
    <x v="1463"/>
    <s v="8052"/>
    <s v="BTS 80RR52"/>
    <s v="5002735"/>
    <s v="8052 BTS T35 PB SYSTIVA RP"/>
    <n v="40"/>
    <n v="0"/>
    <n v="40"/>
    <x v="7"/>
    <s v="AP82"/>
    <s v="RP"/>
    <s v="333"/>
    <s v="4.0 UN"/>
    <s v="STANDARD"/>
    <s v="N"/>
    <s v="Y"/>
    <s v="N"/>
    <s v="T35"/>
    <s v="Y"/>
    <s v="N"/>
    <s v="Y"/>
    <s v="N"/>
    <s v="B033"/>
    <d v="2016-11-02T00:00:00"/>
    <s v="20"/>
    <s v="TAN"/>
    <s v="OR"/>
    <d v="2016-10-28T00:00:00"/>
    <s v="MN"/>
    <s v="US"/>
    <s v="ZR"/>
    <d v="2016-10-28T00:00:00"/>
  </r>
  <r>
    <x v="1"/>
    <x v="7"/>
    <x v="1552"/>
    <x v="38"/>
    <s v="Standard order"/>
    <x v="1469"/>
    <x v="1464"/>
    <s v="8233"/>
    <s v="BTS 82RR33"/>
    <s v="5002775"/>
    <s v="8233 BTS T35 PB SYSTIVA RP"/>
    <n v="192"/>
    <n v="0"/>
    <n v="192"/>
    <x v="7"/>
    <s v="DRMC"/>
    <s v="RP"/>
    <s v="333"/>
    <s v="4.0 UN"/>
    <s v="STANDARD"/>
    <s v="N"/>
    <s v="Y"/>
    <s v="N"/>
    <s v="T35"/>
    <s v="Y"/>
    <s v="N"/>
    <s v="Y"/>
    <s v="N"/>
    <s v="B031"/>
    <d v="2016-11-02T00:00:00"/>
    <s v="10"/>
    <s v="TAN"/>
    <s v="OR"/>
    <d v="2016-10-28T00:00:00"/>
    <s v="ND"/>
    <s v="US"/>
    <s v="ZR"/>
    <d v="2016-10-28T00:00:00"/>
  </r>
  <r>
    <x v="1"/>
    <x v="7"/>
    <x v="1552"/>
    <x v="38"/>
    <s v="Standard order"/>
    <x v="1469"/>
    <x v="1464"/>
    <s v="8500"/>
    <s v="BTS 8500"/>
    <s v="5002856"/>
    <s v="8500 BTS T35 PB SYSTIVA RP"/>
    <n v="96"/>
    <n v="0"/>
    <n v="96"/>
    <x v="7"/>
    <s v="FTND"/>
    <s v="RP"/>
    <s v="333"/>
    <s v="4.0 UN"/>
    <s v="STANDARD"/>
    <s v="N"/>
    <s v="Y"/>
    <s v="N"/>
    <s v="T35"/>
    <s v="Y"/>
    <s v="N"/>
    <s v="Y"/>
    <s v="N"/>
    <s v="B031"/>
    <d v="2016-11-02T00:00:00"/>
    <s v="20"/>
    <s v="TAN"/>
    <s v="OR"/>
    <d v="2016-10-28T00:00:00"/>
    <s v="ND"/>
    <s v="US"/>
    <s v="ZR"/>
    <d v="2016-10-28T00:00:00"/>
  </r>
  <r>
    <x v="1"/>
    <x v="7"/>
    <x v="1553"/>
    <x v="38"/>
    <s v="Standard order"/>
    <x v="1470"/>
    <x v="1465"/>
    <s v="8500"/>
    <s v="BTS 8500"/>
    <s v="5002856"/>
    <s v="8500 BTS T35 PB SYSTIVA RP"/>
    <n v="96"/>
    <n v="0"/>
    <n v="96"/>
    <x v="7"/>
    <s v="FTND"/>
    <s v="RP"/>
    <s v="333"/>
    <s v="4.0 UN"/>
    <s v="STANDARD"/>
    <s v="N"/>
    <s v="Y"/>
    <s v="N"/>
    <s v="T35"/>
    <s v="Y"/>
    <s v="N"/>
    <s v="Y"/>
    <s v="N"/>
    <s v="B031"/>
    <d v="2016-11-02T00:00:00"/>
    <s v="10"/>
    <s v="TAN"/>
    <s v="OR"/>
    <d v="2016-10-28T00:00:00"/>
    <s v="ND"/>
    <s v="US"/>
    <s v="ZR"/>
    <d v="2016-10-28T00:00:00"/>
  </r>
  <r>
    <x v="1"/>
    <x v="7"/>
    <x v="1553"/>
    <x v="38"/>
    <s v="Standard order"/>
    <x v="1470"/>
    <x v="1465"/>
    <s v="8524"/>
    <s v="BTS 8524"/>
    <s v="5002896"/>
    <s v="8524 BTS T35 PB SYSTIVA RP"/>
    <n v="96"/>
    <n v="0"/>
    <n v="96"/>
    <x v="7"/>
    <s v="FWND"/>
    <s v="RP"/>
    <s v="333"/>
    <s v="4.0 UN"/>
    <s v="STANDARD"/>
    <s v="N"/>
    <s v="Y"/>
    <s v="N"/>
    <s v="T35"/>
    <s v="Y"/>
    <s v="N"/>
    <s v="Y"/>
    <s v="N"/>
    <s v="B031"/>
    <d v="2016-11-02T00:00:00"/>
    <s v="20"/>
    <s v="TAN"/>
    <s v="OR"/>
    <d v="2016-10-28T00:00:00"/>
    <s v="ND"/>
    <s v="US"/>
    <s v="ZR"/>
    <d v="2016-10-28T00:00:00"/>
  </r>
  <r>
    <x v="1"/>
    <x v="7"/>
    <x v="1554"/>
    <x v="38"/>
    <s v="Standard order"/>
    <x v="1471"/>
    <x v="1466"/>
    <s v="8052"/>
    <s v="BTS 80RR52"/>
    <s v="5002735"/>
    <s v="8052 BTS T35 PB SYSTIVA RP"/>
    <n v="88"/>
    <n v="0"/>
    <n v="88"/>
    <x v="7"/>
    <s v="AP82"/>
    <s v="RP"/>
    <s v="333"/>
    <s v="4.0 UN"/>
    <s v="STANDARD"/>
    <s v="N"/>
    <s v="Y"/>
    <s v="N"/>
    <s v="T35"/>
    <s v="Y"/>
    <s v="N"/>
    <s v="Y"/>
    <s v="N"/>
    <s v="B031"/>
    <d v="2016-11-02T00:00:00"/>
    <s v="10"/>
    <s v="TAN"/>
    <s v="OR"/>
    <d v="2016-10-28T00:00:00"/>
    <s v="ND"/>
    <s v="US"/>
    <s v="ZR"/>
    <d v="2016-10-28T00:00:00"/>
  </r>
  <r>
    <x v="1"/>
    <x v="7"/>
    <x v="1554"/>
    <x v="38"/>
    <s v="Standard order"/>
    <x v="1471"/>
    <x v="1466"/>
    <s v="8524"/>
    <s v="BTS 8524"/>
    <s v="5002896"/>
    <s v="8524 BTS T35 PB SYSTIVA RP"/>
    <n v="92"/>
    <n v="0"/>
    <n v="92"/>
    <x v="7"/>
    <s v="FWND"/>
    <s v="RP"/>
    <s v="333"/>
    <s v="4.0 UN"/>
    <s v="STANDARD"/>
    <s v="N"/>
    <s v="Y"/>
    <s v="N"/>
    <s v="T35"/>
    <s v="Y"/>
    <s v="N"/>
    <s v="Y"/>
    <s v="N"/>
    <s v="B031"/>
    <d v="2016-11-02T00:00:00"/>
    <s v="20"/>
    <s v="TAN"/>
    <s v="OR"/>
    <d v="2016-10-28T00:00:00"/>
    <s v="ND"/>
    <s v="US"/>
    <s v="ZR"/>
    <d v="2016-10-28T00:00:00"/>
  </r>
  <r>
    <x v="1"/>
    <x v="7"/>
    <x v="1555"/>
    <x v="36"/>
    <s v="Standard order"/>
    <x v="1472"/>
    <x v="1467"/>
    <s v="8524"/>
    <s v="BTS 8524"/>
    <s v="5002896"/>
    <s v="8524 BTS T35 PB SYSTIVA RP"/>
    <n v="96"/>
    <n v="0"/>
    <n v="96"/>
    <x v="7"/>
    <s v="FWND"/>
    <s v="RP"/>
    <s v="333"/>
    <s v="4.0 UN"/>
    <s v="STANDARD"/>
    <s v="N"/>
    <s v="Y"/>
    <s v="N"/>
    <s v="T35"/>
    <s v="Y"/>
    <s v="N"/>
    <s v="Y"/>
    <s v="N"/>
    <s v="B027"/>
    <d v="2016-11-02T00:00:00"/>
    <s v="10"/>
    <s v="TAN"/>
    <s v="OR"/>
    <d v="2016-10-28T00:00:00"/>
    <s v="ND"/>
    <s v="US"/>
    <s v="ZR"/>
    <d v="2016-10-28T00:00:00"/>
  </r>
  <r>
    <x v="1"/>
    <x v="7"/>
    <x v="1555"/>
    <x v="36"/>
    <s v="Standard order"/>
    <x v="1472"/>
    <x v="1467"/>
    <s v="8052"/>
    <s v="BTS 80RR52"/>
    <s v="5002735"/>
    <s v="8052 BTS T35 PB SYSTIVA RP"/>
    <n v="192"/>
    <n v="0"/>
    <n v="192"/>
    <x v="7"/>
    <s v="AP82"/>
    <s v="RP"/>
    <s v="333"/>
    <s v="4.0 UN"/>
    <s v="STANDARD"/>
    <s v="N"/>
    <s v="Y"/>
    <s v="N"/>
    <s v="T35"/>
    <s v="Y"/>
    <s v="N"/>
    <s v="Y"/>
    <s v="N"/>
    <s v="B027"/>
    <d v="2016-11-02T00:00:00"/>
    <s v="20"/>
    <s v="TAN"/>
    <s v="OR"/>
    <d v="2016-10-28T00:00:00"/>
    <s v="ND"/>
    <s v="US"/>
    <s v="ZR"/>
    <d v="2016-10-28T00:00:00"/>
  </r>
  <r>
    <x v="1"/>
    <x v="7"/>
    <x v="1555"/>
    <x v="36"/>
    <s v="Standard order"/>
    <x v="1472"/>
    <x v="1467"/>
    <s v="83CN"/>
    <s v="BTS 83CN"/>
    <s v="5002836"/>
    <s v="83CN BTS T35 PB SYSTIVA RP"/>
    <n v="96"/>
    <n v="0"/>
    <n v="96"/>
    <x v="7"/>
    <s v="EE73"/>
    <s v="RP"/>
    <s v="333"/>
    <s v="4.0 UN"/>
    <s v="STANDARD"/>
    <s v="N"/>
    <s v="Y"/>
    <s v="N"/>
    <s v="T35"/>
    <s v="Y"/>
    <s v="N"/>
    <s v="Y"/>
    <s v="N"/>
    <s v="B027"/>
    <d v="2016-11-02T00:00:00"/>
    <s v="30"/>
    <s v="TAN"/>
    <s v="OR"/>
    <d v="2016-10-28T00:00:00"/>
    <s v="ND"/>
    <s v="US"/>
    <s v="ZR"/>
    <d v="2016-10-28T00:00:00"/>
  </r>
  <r>
    <x v="1"/>
    <x v="7"/>
    <x v="1556"/>
    <x v="36"/>
    <s v="Standard order"/>
    <x v="1473"/>
    <x v="1468"/>
    <s v="8052"/>
    <s v="BTS 80RR52"/>
    <s v="5002734"/>
    <s v="8052 BTS T35 PB SYSTIVA P200"/>
    <n v="208"/>
    <n v="0"/>
    <n v="208"/>
    <x v="7"/>
    <s v="AP82"/>
    <s v="PRO 200"/>
    <s v="333"/>
    <s v="4.0 UN"/>
    <s v="STANDARD"/>
    <s v="N"/>
    <s v="Y"/>
    <s v="N"/>
    <s v="T35"/>
    <s v="Y"/>
    <s v="N"/>
    <s v="Y"/>
    <s v="N"/>
    <s v="B027"/>
    <d v="2016-11-02T00:00:00"/>
    <s v="10"/>
    <s v="TAN"/>
    <s v="OR"/>
    <d v="2016-10-28T00:00:00"/>
    <s v="MN"/>
    <s v="US"/>
    <s v="ZR"/>
    <d v="2016-10-28T00:00:00"/>
  </r>
  <r>
    <x v="1"/>
    <x v="7"/>
    <x v="1556"/>
    <x v="36"/>
    <s v="Standard order"/>
    <x v="1473"/>
    <x v="1468"/>
    <s v="8572"/>
    <s v="BTS 8572"/>
    <s v="5003214"/>
    <s v="8572 BTS T35 PB SYSTIVA P200"/>
    <n v="120"/>
    <n v="0"/>
    <n v="120"/>
    <x v="7"/>
    <s v="FENB"/>
    <s v="PRO 200"/>
    <s v="333"/>
    <s v="4.0 UN"/>
    <s v="STANDARD"/>
    <s v="N"/>
    <s v="Y"/>
    <s v="N"/>
    <s v="T35"/>
    <s v="Y"/>
    <s v="N"/>
    <s v="Y"/>
    <s v="N"/>
    <s v="B027"/>
    <d v="2016-11-02T00:00:00"/>
    <s v="20"/>
    <s v="TAN"/>
    <s v="OR"/>
    <d v="2016-10-28T00:00:00"/>
    <s v="MN"/>
    <s v="US"/>
    <s v="ZR"/>
    <d v="2016-10-28T00:00:00"/>
  </r>
  <r>
    <x v="1"/>
    <x v="7"/>
    <x v="1556"/>
    <x v="36"/>
    <s v="Standard order"/>
    <x v="1473"/>
    <x v="1468"/>
    <s v="8500"/>
    <s v="BTS 8500"/>
    <s v="5002855"/>
    <s v="8500 BTS T35 PB SYSTIVA P200"/>
    <n v="200"/>
    <n v="0"/>
    <n v="200"/>
    <x v="7"/>
    <s v="FTND"/>
    <s v="PRO 200"/>
    <s v="333"/>
    <s v="4.0 UN"/>
    <s v="STANDARD"/>
    <s v="N"/>
    <s v="Y"/>
    <s v="N"/>
    <s v="T35"/>
    <s v="Y"/>
    <s v="N"/>
    <s v="Y"/>
    <s v="N"/>
    <s v="B027"/>
    <d v="2016-11-02T00:00:00"/>
    <s v="30"/>
    <s v="TAN"/>
    <s v="OR"/>
    <d v="2016-10-28T00:00:00"/>
    <s v="MN"/>
    <s v="US"/>
    <s v="ZR"/>
    <d v="2016-10-28T00:00:00"/>
  </r>
  <r>
    <x v="1"/>
    <x v="7"/>
    <x v="1556"/>
    <x v="36"/>
    <s v="Standard order"/>
    <x v="1473"/>
    <x v="1468"/>
    <s v="8512"/>
    <s v="BTS 8512"/>
    <s v="5002875"/>
    <s v="8512 BTS T35 PB SYSTIVA P200"/>
    <n v="96"/>
    <n v="0"/>
    <n v="96"/>
    <x v="7"/>
    <s v="FX73"/>
    <s v="PRO 200"/>
    <s v="333"/>
    <s v="4.0 UN"/>
    <s v="STANDARD"/>
    <s v="N"/>
    <s v="Y"/>
    <s v="N"/>
    <s v="T35"/>
    <s v="Y"/>
    <s v="N"/>
    <s v="Y"/>
    <s v="N"/>
    <s v="B027"/>
    <d v="2016-11-02T00:00:00"/>
    <s v="40"/>
    <s v="TAN"/>
    <s v="OR"/>
    <d v="2016-10-28T00:00:00"/>
    <s v="MN"/>
    <s v="US"/>
    <s v="ZR"/>
    <d v="2016-10-28T00:00:00"/>
  </r>
  <r>
    <x v="1"/>
    <x v="7"/>
    <x v="1557"/>
    <x v="36"/>
    <s v="Standard order"/>
    <x v="1474"/>
    <x v="1469"/>
    <s v="8052"/>
    <s v="BTS 80RR52"/>
    <s v="5002735"/>
    <s v="8052 BTS T35 PB SYSTIVA RP"/>
    <n v="96"/>
    <n v="0"/>
    <n v="96"/>
    <x v="7"/>
    <s v="AP82"/>
    <s v="RP"/>
    <s v="333"/>
    <s v="4.0 UN"/>
    <s v="STANDARD"/>
    <s v="N"/>
    <s v="Y"/>
    <s v="N"/>
    <s v="T35"/>
    <s v="Y"/>
    <s v="N"/>
    <s v="Y"/>
    <s v="N"/>
    <s v="B027"/>
    <d v="2016-11-02T00:00:00"/>
    <s v="10"/>
    <s v="TAN"/>
    <s v="OR"/>
    <d v="2016-10-28T00:00:00"/>
    <s v="MN"/>
    <s v="US"/>
    <s v="ZR"/>
    <d v="2016-10-28T00:00:00"/>
  </r>
  <r>
    <x v="1"/>
    <x v="7"/>
    <x v="1557"/>
    <x v="36"/>
    <s v="Standard order"/>
    <x v="1474"/>
    <x v="1469"/>
    <s v="8524"/>
    <s v="BTS 8524"/>
    <s v="5002896"/>
    <s v="8524 BTS T35 PB SYSTIVA RP"/>
    <n v="96"/>
    <n v="0"/>
    <n v="96"/>
    <x v="7"/>
    <s v="FWND"/>
    <s v="RP"/>
    <s v="333"/>
    <s v="4.0 UN"/>
    <s v="STANDARD"/>
    <s v="N"/>
    <s v="Y"/>
    <s v="N"/>
    <s v="T35"/>
    <s v="Y"/>
    <s v="N"/>
    <s v="Y"/>
    <s v="N"/>
    <s v="B027"/>
    <d v="2016-11-02T00:00:00"/>
    <s v="20"/>
    <s v="TAN"/>
    <s v="OR"/>
    <d v="2016-10-28T00:00:00"/>
    <s v="MN"/>
    <s v="US"/>
    <s v="ZR"/>
    <d v="2016-10-28T00:00:00"/>
  </r>
  <r>
    <x v="1"/>
    <x v="7"/>
    <x v="1557"/>
    <x v="36"/>
    <s v="Standard order"/>
    <x v="1474"/>
    <x v="1469"/>
    <s v="8500"/>
    <s v="BTS 8500"/>
    <s v="5002856"/>
    <s v="8500 BTS T35 PB SYSTIVA RP"/>
    <n v="96"/>
    <n v="0"/>
    <n v="96"/>
    <x v="7"/>
    <s v="FTND"/>
    <s v="RP"/>
    <s v="333"/>
    <s v="4.0 UN"/>
    <s v="STANDARD"/>
    <s v="N"/>
    <s v="Y"/>
    <s v="N"/>
    <s v="T35"/>
    <s v="Y"/>
    <s v="N"/>
    <s v="Y"/>
    <s v="N"/>
    <s v="B027"/>
    <d v="2016-11-02T00:00:00"/>
    <s v="30"/>
    <s v="TAN"/>
    <s v="OR"/>
    <d v="2016-10-28T00:00:00"/>
    <s v="MN"/>
    <s v="US"/>
    <s v="ZR"/>
    <d v="2016-10-28T00:00:00"/>
  </r>
  <r>
    <x v="1"/>
    <x v="7"/>
    <x v="1557"/>
    <x v="36"/>
    <s v="Standard order"/>
    <x v="1474"/>
    <x v="1469"/>
    <s v="8363"/>
    <s v="BTS 8363"/>
    <s v="5002816"/>
    <s v="8363 BTS T35 PB SYSTIVA RP"/>
    <n v="96"/>
    <n v="0"/>
    <n v="96"/>
    <x v="7"/>
    <s v="DMMZ"/>
    <s v="RP"/>
    <s v="333"/>
    <s v="4.0 UN"/>
    <s v="STANDARD"/>
    <s v="N"/>
    <s v="Y"/>
    <s v="N"/>
    <s v="T35"/>
    <s v="Y"/>
    <s v="N"/>
    <s v="Y"/>
    <s v="N"/>
    <s v="B027"/>
    <d v="2016-11-02T00:00:00"/>
    <s v="40"/>
    <s v="TAN"/>
    <s v="OR"/>
    <d v="2016-10-28T00:00:00"/>
    <s v="MN"/>
    <s v="US"/>
    <s v="ZR"/>
    <d v="2016-10-28T00:00:00"/>
  </r>
  <r>
    <x v="1"/>
    <x v="7"/>
    <x v="1558"/>
    <x v="33"/>
    <s v="Standard order"/>
    <x v="1475"/>
    <x v="1470"/>
    <s v="8337"/>
    <s v="BTS 8337"/>
    <s v="5002795"/>
    <s v="8337 BTS T35 PB SYSTIVA RP"/>
    <n v="108"/>
    <n v="0"/>
    <n v="108"/>
    <x v="7"/>
    <s v="DHMC"/>
    <s v="RP"/>
    <s v="333"/>
    <s v="4.0 UN"/>
    <s v="STANDARD"/>
    <s v="N"/>
    <s v="Y"/>
    <s v="N"/>
    <s v="T35"/>
    <s v="Y"/>
    <s v="N"/>
    <s v="Y"/>
    <s v="N"/>
    <s v="B026"/>
    <d v="2016-11-02T00:00:00"/>
    <s v="10"/>
    <s v="TAN"/>
    <s v="OR"/>
    <d v="2016-10-28T00:00:00"/>
    <s v="MN"/>
    <s v="US"/>
    <s v="ZR"/>
    <d v="2016-10-28T00:00:00"/>
  </r>
  <r>
    <x v="1"/>
    <x v="7"/>
    <x v="1558"/>
    <x v="33"/>
    <s v="Standard order"/>
    <x v="1475"/>
    <x v="1470"/>
    <s v="8500"/>
    <s v="BTS 8500"/>
    <s v="5002856"/>
    <s v="8500 BTS T35 PB SYSTIVA RP"/>
    <n v="16"/>
    <n v="0"/>
    <n v="16"/>
    <x v="7"/>
    <s v="FTND"/>
    <s v="RP"/>
    <s v="333"/>
    <s v="4.0 UN"/>
    <s v="STANDARD"/>
    <s v="N"/>
    <s v="Y"/>
    <s v="N"/>
    <s v="T35"/>
    <s v="Y"/>
    <s v="N"/>
    <s v="Y"/>
    <s v="N"/>
    <s v="B026"/>
    <d v="2016-11-02T00:00:00"/>
    <s v="20"/>
    <s v="TAN"/>
    <s v="OR"/>
    <d v="2016-10-28T00:00:00"/>
    <s v="MN"/>
    <s v="US"/>
    <s v="ZR"/>
    <d v="2016-10-28T00:00:00"/>
  </r>
  <r>
    <x v="1"/>
    <x v="7"/>
    <x v="1558"/>
    <x v="33"/>
    <s v="Standard order"/>
    <x v="1475"/>
    <x v="1470"/>
    <s v="8524"/>
    <s v="BTS 8524"/>
    <s v="5002896"/>
    <s v="8524 BTS T35 PB SYSTIVA RP"/>
    <n v="80"/>
    <n v="0"/>
    <n v="80"/>
    <x v="7"/>
    <s v="FWND"/>
    <s v="RP"/>
    <s v="333"/>
    <s v="4.0 UN"/>
    <s v="STANDARD"/>
    <s v="N"/>
    <s v="Y"/>
    <s v="N"/>
    <s v="T35"/>
    <s v="Y"/>
    <s v="N"/>
    <s v="Y"/>
    <s v="N"/>
    <s v="B026"/>
    <d v="2016-11-02T00:00:00"/>
    <s v="30"/>
    <s v="TAN"/>
    <s v="OR"/>
    <d v="2016-10-28T00:00:00"/>
    <s v="MN"/>
    <s v="US"/>
    <s v="ZR"/>
    <d v="2016-10-28T00:00:00"/>
  </r>
  <r>
    <x v="1"/>
    <x v="7"/>
    <x v="1559"/>
    <x v="33"/>
    <s v="Standard order"/>
    <x v="1476"/>
    <x v="1471"/>
    <s v="8337"/>
    <s v="BTS 8337"/>
    <s v="5002794"/>
    <s v="8337 BTS T35 PB SYSTIVA P200"/>
    <n v="112"/>
    <n v="0"/>
    <n v="112"/>
    <x v="7"/>
    <s v="DHMC"/>
    <s v="PRO 200"/>
    <s v="333"/>
    <s v="4.0 UN"/>
    <s v="STANDARD"/>
    <s v="N"/>
    <s v="Y"/>
    <s v="N"/>
    <s v="T35"/>
    <s v="Y"/>
    <s v="N"/>
    <s v="Y"/>
    <s v="N"/>
    <s v="B026"/>
    <d v="2016-11-02T00:00:00"/>
    <s v="10"/>
    <s v="TAN"/>
    <s v="OR"/>
    <d v="2016-10-28T00:00:00"/>
    <s v="MN"/>
    <s v="US"/>
    <s v="ZR"/>
    <d v="2016-10-28T00:00:00"/>
  </r>
  <r>
    <x v="1"/>
    <x v="7"/>
    <x v="1559"/>
    <x v="33"/>
    <s v="Standard order"/>
    <x v="1476"/>
    <x v="1471"/>
    <s v="8524"/>
    <s v="BTS 8524"/>
    <s v="5002895"/>
    <s v="8524 BTS T35 PB SYSTIVA P200"/>
    <n v="96"/>
    <n v="0"/>
    <n v="96"/>
    <x v="7"/>
    <s v="FWND"/>
    <s v="PRO 200"/>
    <s v="333"/>
    <s v="4.0 UN"/>
    <s v="STANDARD"/>
    <s v="N"/>
    <s v="Y"/>
    <s v="N"/>
    <s v="T35"/>
    <s v="Y"/>
    <s v="N"/>
    <s v="Y"/>
    <s v="N"/>
    <s v="B026"/>
    <d v="2016-11-02T00:00:00"/>
    <s v="20"/>
    <s v="TAN"/>
    <s v="OR"/>
    <d v="2016-10-28T00:00:00"/>
    <s v="MN"/>
    <s v="US"/>
    <s v="ZR"/>
    <d v="2016-10-28T00:00:00"/>
  </r>
  <r>
    <x v="1"/>
    <x v="7"/>
    <x v="1560"/>
    <x v="31"/>
    <s v="Standard order"/>
    <x v="1477"/>
    <x v="1472"/>
    <s v="8337"/>
    <s v="BTS 8337"/>
    <s v="5002795"/>
    <s v="8337 BTS T35 PB SYSTIVA RP"/>
    <n v="96"/>
    <n v="0"/>
    <n v="96"/>
    <x v="7"/>
    <s v="DHMC"/>
    <s v="RP"/>
    <s v="333"/>
    <s v="4.0 UN"/>
    <s v="STANDARD"/>
    <s v="N"/>
    <s v="Y"/>
    <s v="N"/>
    <s v="T35"/>
    <s v="Y"/>
    <s v="N"/>
    <s v="Y"/>
    <s v="N"/>
    <s v="B028"/>
    <d v="2016-11-02T00:00:00"/>
    <s v="10"/>
    <s v="TAN"/>
    <s v="OR"/>
    <d v="2016-10-28T00:00:00"/>
    <s v="ND"/>
    <s v="US"/>
    <s v="ZR"/>
    <d v="2016-10-28T00:00:00"/>
  </r>
  <r>
    <x v="1"/>
    <x v="7"/>
    <x v="1561"/>
    <x v="33"/>
    <s v="Standard order"/>
    <x v="1478"/>
    <x v="1473"/>
    <s v="8524"/>
    <s v="BTS 8524"/>
    <s v="5002896"/>
    <s v="8524 BTS T35 PB SYSTIVA RP"/>
    <n v="96"/>
    <n v="0"/>
    <n v="96"/>
    <x v="7"/>
    <s v="FWND"/>
    <s v="RP"/>
    <s v="333"/>
    <s v="4.0 UN"/>
    <s v="STANDARD"/>
    <s v="N"/>
    <s v="Y"/>
    <s v="N"/>
    <s v="T35"/>
    <s v="Y"/>
    <s v="N"/>
    <s v="Y"/>
    <s v="N"/>
    <s v="B026"/>
    <d v="2016-11-03T00:00:00"/>
    <s v="40"/>
    <s v="TAN"/>
    <s v="OR"/>
    <d v="2016-10-31T00:00:00"/>
    <s v="ND"/>
    <s v="US"/>
    <s v="ZR"/>
    <d v="2016-10-31T00:00:00"/>
  </r>
  <r>
    <x v="1"/>
    <x v="7"/>
    <x v="1561"/>
    <x v="33"/>
    <s v="Standard order"/>
    <x v="1478"/>
    <x v="1473"/>
    <s v="8500"/>
    <s v="BTS 8500"/>
    <s v="5002856"/>
    <s v="8500 BTS T35 PB SYSTIVA RP"/>
    <n v="192"/>
    <n v="0"/>
    <n v="192"/>
    <x v="7"/>
    <s v="FTND"/>
    <s v="RP"/>
    <s v="333"/>
    <s v="4.0 UN"/>
    <s v="STANDARD"/>
    <s v="N"/>
    <s v="Y"/>
    <s v="N"/>
    <s v="T35"/>
    <s v="Y"/>
    <s v="N"/>
    <s v="Y"/>
    <s v="N"/>
    <s v="B026"/>
    <d v="2016-11-03T00:00:00"/>
    <s v="10"/>
    <s v="TAN"/>
    <s v="OR"/>
    <d v="2016-10-31T00:00:00"/>
    <s v="ND"/>
    <s v="US"/>
    <s v="ZR"/>
    <d v="2016-10-31T00:00:00"/>
  </r>
  <r>
    <x v="1"/>
    <x v="7"/>
    <x v="1561"/>
    <x v="33"/>
    <s v="Standard order"/>
    <x v="1478"/>
    <x v="1473"/>
    <s v="8572"/>
    <s v="BTS 8572"/>
    <s v="5003215"/>
    <s v="8572 BTS T35 PB SYSTIVA RP"/>
    <n v="48"/>
    <n v="0"/>
    <n v="48"/>
    <x v="7"/>
    <s v="FENB"/>
    <s v="RP"/>
    <s v="333"/>
    <s v="4.0 UN"/>
    <s v="STANDARD"/>
    <s v="N"/>
    <s v="Y"/>
    <s v="N"/>
    <s v="T35"/>
    <s v="Y"/>
    <s v="N"/>
    <s v="Y"/>
    <s v="N"/>
    <s v="B026"/>
    <d v="2016-11-03T00:00:00"/>
    <s v="20"/>
    <s v="TAN"/>
    <s v="OR"/>
    <d v="2016-10-31T00:00:00"/>
    <s v="ND"/>
    <s v="US"/>
    <s v="ZR"/>
    <d v="2016-10-31T00:00:00"/>
  </r>
  <r>
    <x v="1"/>
    <x v="7"/>
    <x v="1562"/>
    <x v="33"/>
    <s v="Standard order"/>
    <x v="1479"/>
    <x v="1474"/>
    <s v="8233"/>
    <s v="BTS 82RR33"/>
    <s v="5002774"/>
    <s v="8233 BTS T35 PB SYSTIVA P200"/>
    <n v="48"/>
    <n v="0"/>
    <n v="48"/>
    <x v="7"/>
    <s v="DRMC"/>
    <s v="PRO 200"/>
    <s v="333"/>
    <s v="4.0 UN"/>
    <s v="STANDARD"/>
    <s v="N"/>
    <s v="Y"/>
    <s v="N"/>
    <s v="T35"/>
    <s v="Y"/>
    <s v="N"/>
    <s v="Y"/>
    <s v="N"/>
    <s v="B026"/>
    <d v="2016-11-03T00:00:00"/>
    <s v="10"/>
    <s v="TAN"/>
    <s v="OR"/>
    <d v="2016-10-31T00:00:00"/>
    <s v="ND"/>
    <s v="US"/>
    <s v="ZR"/>
    <d v="2016-10-31T00:00:00"/>
  </r>
  <r>
    <x v="1"/>
    <x v="7"/>
    <x v="1562"/>
    <x v="33"/>
    <s v="Standard order"/>
    <x v="1479"/>
    <x v="1474"/>
    <s v="8337"/>
    <s v="BTS 8337"/>
    <s v="5002794"/>
    <s v="8337 BTS T35 PB SYSTIVA P200"/>
    <n v="72"/>
    <n v="0"/>
    <n v="72"/>
    <x v="7"/>
    <s v="DHMC"/>
    <s v="PRO 200"/>
    <s v="333"/>
    <s v="4.0 UN"/>
    <s v="STANDARD"/>
    <s v="N"/>
    <s v="Y"/>
    <s v="N"/>
    <s v="T35"/>
    <s v="Y"/>
    <s v="N"/>
    <s v="Y"/>
    <s v="N"/>
    <s v="B026"/>
    <d v="2016-11-03T00:00:00"/>
    <s v="20"/>
    <s v="TAN"/>
    <s v="OR"/>
    <d v="2016-10-31T00:00:00"/>
    <s v="ND"/>
    <s v="US"/>
    <s v="ZR"/>
    <d v="2016-10-31T00:00:00"/>
  </r>
  <r>
    <x v="1"/>
    <x v="7"/>
    <x v="1562"/>
    <x v="33"/>
    <s v="Standard order"/>
    <x v="1479"/>
    <x v="1474"/>
    <s v="8500"/>
    <s v="BTS 8500"/>
    <s v="5002855"/>
    <s v="8500 BTS T35 PB SYSTIVA P200"/>
    <n v="48"/>
    <n v="0"/>
    <n v="48"/>
    <x v="7"/>
    <s v="FTND"/>
    <s v="PRO 200"/>
    <s v="333"/>
    <s v="4.0 UN"/>
    <s v="STANDARD"/>
    <s v="N"/>
    <s v="Y"/>
    <s v="N"/>
    <s v="T35"/>
    <s v="Y"/>
    <s v="N"/>
    <s v="Y"/>
    <s v="N"/>
    <s v="B026"/>
    <d v="2016-11-03T00:00:00"/>
    <s v="30"/>
    <s v="TAN"/>
    <s v="OR"/>
    <d v="2016-10-31T00:00:00"/>
    <s v="ND"/>
    <s v="US"/>
    <s v="ZR"/>
    <d v="2016-10-31T00:00:00"/>
  </r>
  <r>
    <x v="1"/>
    <x v="7"/>
    <x v="1563"/>
    <x v="33"/>
    <s v="Standard order"/>
    <x v="1480"/>
    <x v="1475"/>
    <s v="8337"/>
    <s v="BTS 8337"/>
    <s v="5002794"/>
    <s v="8337 BTS T35 PB SYSTIVA P200"/>
    <n v="48"/>
    <n v="0"/>
    <n v="48"/>
    <x v="7"/>
    <s v="DHMC"/>
    <s v="PRO 200"/>
    <s v="333"/>
    <s v="4.0 UN"/>
    <s v="STANDARD"/>
    <s v="N"/>
    <s v="Y"/>
    <s v="N"/>
    <s v="T35"/>
    <s v="Y"/>
    <s v="N"/>
    <s v="Y"/>
    <s v="N"/>
    <s v="B026"/>
    <d v="2016-11-03T00:00:00"/>
    <s v="10"/>
    <s v="TAN"/>
    <s v="OR"/>
    <d v="2016-10-31T00:00:00"/>
    <s v="MN"/>
    <s v="US"/>
    <s v="ZR"/>
    <d v="2016-10-31T00:00:00"/>
  </r>
  <r>
    <x v="1"/>
    <x v="7"/>
    <x v="1563"/>
    <x v="33"/>
    <s v="Standard order"/>
    <x v="1480"/>
    <x v="1475"/>
    <s v="8524"/>
    <s v="BTS 8524"/>
    <s v="5002895"/>
    <s v="8524 BTS T35 PB SYSTIVA P200"/>
    <n v="68"/>
    <n v="0"/>
    <n v="68"/>
    <x v="7"/>
    <s v="FWND"/>
    <s v="PRO 200"/>
    <s v="333"/>
    <s v="4.0 UN"/>
    <s v="STANDARD"/>
    <s v="N"/>
    <s v="Y"/>
    <s v="N"/>
    <s v="T35"/>
    <s v="Y"/>
    <s v="N"/>
    <s v="Y"/>
    <s v="N"/>
    <s v="B026"/>
    <d v="2016-11-03T00:00:00"/>
    <s v="20"/>
    <s v="TAN"/>
    <s v="OR"/>
    <d v="2016-10-31T00:00:00"/>
    <s v="MN"/>
    <s v="US"/>
    <s v="ZR"/>
    <d v="2016-10-31T00:00:00"/>
  </r>
  <r>
    <x v="1"/>
    <x v="7"/>
    <x v="1563"/>
    <x v="33"/>
    <s v="Standard order"/>
    <x v="1480"/>
    <x v="1475"/>
    <s v="8052"/>
    <s v="BTS 80RR52"/>
    <s v="5002734"/>
    <s v="8052 BTS T35 PB SYSTIVA P200"/>
    <n v="48"/>
    <n v="0"/>
    <n v="48"/>
    <x v="7"/>
    <s v="AP82"/>
    <s v="PRO 200"/>
    <s v="333"/>
    <s v="4.0 UN"/>
    <s v="STANDARD"/>
    <s v="N"/>
    <s v="Y"/>
    <s v="N"/>
    <s v="T35"/>
    <s v="Y"/>
    <s v="N"/>
    <s v="Y"/>
    <s v="N"/>
    <s v="B026"/>
    <d v="2016-11-03T00:00:00"/>
    <s v="30"/>
    <s v="TAN"/>
    <s v="OR"/>
    <d v="2016-10-31T00:00:00"/>
    <s v="MN"/>
    <s v="US"/>
    <s v="ZR"/>
    <d v="2016-10-31T00:00:00"/>
  </r>
  <r>
    <x v="1"/>
    <x v="7"/>
    <x v="1564"/>
    <x v="39"/>
    <s v="Standard order"/>
    <x v="1481"/>
    <x v="1476"/>
    <s v="8233"/>
    <s v="BTS 82RR33"/>
    <s v="5002779"/>
    <s v="8233 BTS T35 SYSTIVA RP"/>
    <n v="32"/>
    <n v="0"/>
    <n v="32"/>
    <x v="7"/>
    <s v="DRMC"/>
    <s v="RP"/>
    <s v="334"/>
    <s v="4.0 UN"/>
    <s v="STANDARD"/>
    <s v="N"/>
    <s v="N"/>
    <s v="N"/>
    <s v="T35"/>
    <s v="Y"/>
    <s v="N"/>
    <s v="Y"/>
    <s v="N"/>
    <s v="B030"/>
    <d v="2016-11-03T00:00:00"/>
    <s v="10"/>
    <s v="TAN"/>
    <s v="OR"/>
    <d v="2016-10-31T00:00:00"/>
    <s v="MN"/>
    <s v="US"/>
    <s v="ZR"/>
    <d v="2016-10-31T00:00:00"/>
  </r>
  <r>
    <x v="1"/>
    <x v="7"/>
    <x v="1564"/>
    <x v="39"/>
    <s v="Standard order"/>
    <x v="1481"/>
    <x v="1476"/>
    <s v="8500"/>
    <s v="BTS 8500"/>
    <s v="5002860"/>
    <s v="8500 BTS T35 SYSTIVA RP"/>
    <n v="24"/>
    <n v="0"/>
    <n v="24"/>
    <x v="7"/>
    <s v="FTND"/>
    <s v="RP"/>
    <s v="334"/>
    <s v="4.0 UN"/>
    <s v="STANDARD"/>
    <s v="N"/>
    <s v="N"/>
    <s v="N"/>
    <s v="T35"/>
    <s v="Y"/>
    <s v="N"/>
    <s v="Y"/>
    <s v="N"/>
    <s v="B030"/>
    <d v="2016-11-03T00:00:00"/>
    <s v="20"/>
    <s v="TAN"/>
    <s v="OR"/>
    <d v="2016-10-31T00:00:00"/>
    <s v="MN"/>
    <s v="US"/>
    <s v="ZR"/>
    <d v="2016-10-31T00:00:00"/>
  </r>
  <r>
    <x v="1"/>
    <x v="7"/>
    <x v="1564"/>
    <x v="39"/>
    <s v="Standard order"/>
    <x v="1481"/>
    <x v="1476"/>
    <s v="8524"/>
    <s v="BTS 8524"/>
    <s v="5002900"/>
    <s v="8524 BTS T35 SYSTIVA RP"/>
    <n v="48"/>
    <n v="0"/>
    <n v="48"/>
    <x v="7"/>
    <s v="FWND"/>
    <s v="RP"/>
    <s v="334"/>
    <s v="4.0 UN"/>
    <s v="STANDARD"/>
    <s v="N"/>
    <s v="N"/>
    <s v="N"/>
    <s v="T35"/>
    <s v="Y"/>
    <s v="N"/>
    <s v="Y"/>
    <s v="N"/>
    <s v="B030"/>
    <d v="2016-11-03T00:00:00"/>
    <s v="30"/>
    <s v="TAN"/>
    <s v="OR"/>
    <d v="2016-10-31T00:00:00"/>
    <s v="MN"/>
    <s v="US"/>
    <s v="ZR"/>
    <d v="2016-10-31T00:00:00"/>
  </r>
  <r>
    <x v="1"/>
    <x v="7"/>
    <x v="1564"/>
    <x v="39"/>
    <s v="Standard order"/>
    <x v="1481"/>
    <x v="1476"/>
    <s v="8572"/>
    <s v="BTS 8572"/>
    <s v="5003219"/>
    <s v="8572 BTS T35 SYSTIVA RP"/>
    <n v="60"/>
    <n v="0"/>
    <n v="60"/>
    <x v="7"/>
    <s v="FENB"/>
    <s v="RP"/>
    <s v="334"/>
    <s v="4.0 UN"/>
    <s v="STANDARD"/>
    <s v="N"/>
    <s v="N"/>
    <s v="N"/>
    <s v="T35"/>
    <s v="Y"/>
    <s v="N"/>
    <s v="Y"/>
    <s v="N"/>
    <s v="B030"/>
    <d v="2016-11-03T00:00:00"/>
    <s v="40"/>
    <s v="TAN"/>
    <s v="OR"/>
    <d v="2016-10-31T00:00:00"/>
    <s v="MN"/>
    <s v="US"/>
    <s v="ZR"/>
    <d v="2016-10-31T00:00:00"/>
  </r>
  <r>
    <x v="1"/>
    <x v="7"/>
    <x v="1565"/>
    <x v="28"/>
    <s v="Standard order"/>
    <x v="1345"/>
    <x v="1340"/>
    <s v="8572"/>
    <s v="BTS 8572"/>
    <s v="5003215"/>
    <s v="8572 BTS T35 PB SYSTIVA RP"/>
    <n v="576"/>
    <n v="0"/>
    <n v="576"/>
    <x v="7"/>
    <s v="FENB"/>
    <s v="RP"/>
    <s v="333"/>
    <s v="4.0 UN"/>
    <s v="STANDARD"/>
    <s v="N"/>
    <s v="Y"/>
    <s v="N"/>
    <s v="T35"/>
    <s v="Y"/>
    <s v="N"/>
    <s v="Y"/>
    <s v="N"/>
    <s v="B056"/>
    <d v="2016-11-03T00:00:00"/>
    <s v="10"/>
    <s v="TAN"/>
    <s v="OR"/>
    <d v="2016-10-31T00:00:00"/>
    <s v="ND"/>
    <s v="US"/>
    <s v="ZR"/>
    <d v="2016-10-31T00:00:00"/>
  </r>
  <r>
    <x v="1"/>
    <x v="7"/>
    <x v="1565"/>
    <x v="28"/>
    <s v="Standard order"/>
    <x v="1345"/>
    <x v="1340"/>
    <s v="8500"/>
    <s v="BTS 8500"/>
    <s v="5002856"/>
    <s v="8500 BTS T35 PB SYSTIVA RP"/>
    <n v="820"/>
    <n v="0"/>
    <n v="820"/>
    <x v="7"/>
    <s v="FTND"/>
    <s v="RP"/>
    <s v="333"/>
    <s v="4.0 UN"/>
    <s v="STANDARD"/>
    <s v="N"/>
    <s v="Y"/>
    <s v="N"/>
    <s v="T35"/>
    <s v="Y"/>
    <s v="N"/>
    <s v="Y"/>
    <s v="N"/>
    <s v="B056"/>
    <d v="2016-11-03T00:00:00"/>
    <s v="20"/>
    <s v="TAN"/>
    <s v="OR"/>
    <d v="2016-10-31T00:00:00"/>
    <s v="ND"/>
    <s v="US"/>
    <s v="ZR"/>
    <d v="2016-10-31T00:00:00"/>
  </r>
  <r>
    <x v="1"/>
    <x v="7"/>
    <x v="1565"/>
    <x v="28"/>
    <s v="Standard order"/>
    <x v="1345"/>
    <x v="1340"/>
    <s v="8524"/>
    <s v="BTS 8524"/>
    <s v="5002896"/>
    <s v="8524 BTS T35 PB SYSTIVA RP"/>
    <n v="816"/>
    <n v="0"/>
    <n v="816"/>
    <x v="7"/>
    <s v="FWND"/>
    <s v="RP"/>
    <s v="333"/>
    <s v="4.0 UN"/>
    <s v="STANDARD"/>
    <s v="N"/>
    <s v="Y"/>
    <s v="N"/>
    <s v="T35"/>
    <s v="Y"/>
    <s v="N"/>
    <s v="Y"/>
    <s v="N"/>
    <s v="B056"/>
    <d v="2016-11-03T00:00:00"/>
    <s v="30"/>
    <s v="TAN"/>
    <s v="OR"/>
    <d v="2016-10-31T00:00:00"/>
    <s v="ND"/>
    <s v="US"/>
    <s v="ZR"/>
    <d v="2016-10-31T00:00:00"/>
  </r>
  <r>
    <x v="1"/>
    <x v="7"/>
    <x v="1566"/>
    <x v="33"/>
    <s v="Standard order"/>
    <x v="1482"/>
    <x v="1477"/>
    <s v="8337"/>
    <s v="BTS 8337"/>
    <s v="5002795"/>
    <s v="8337 BTS T35 PB SYSTIVA RP"/>
    <n v="124"/>
    <n v="0"/>
    <n v="124"/>
    <x v="7"/>
    <s v="DHMC"/>
    <s v="RP"/>
    <s v="333"/>
    <s v="4.0 UN"/>
    <s v="STANDARD"/>
    <s v="N"/>
    <s v="Y"/>
    <s v="N"/>
    <s v="T35"/>
    <s v="Y"/>
    <s v="N"/>
    <s v="Y"/>
    <s v="N"/>
    <s v="B026"/>
    <d v="2016-11-03T00:00:00"/>
    <s v="10"/>
    <s v="TAN"/>
    <s v="OR"/>
    <d v="2016-10-31T00:00:00"/>
    <s v="MN"/>
    <s v="US"/>
    <s v="ZR"/>
    <d v="2016-10-31T00:00:00"/>
  </r>
  <r>
    <x v="1"/>
    <x v="7"/>
    <x v="1566"/>
    <x v="33"/>
    <s v="Standard order"/>
    <x v="1482"/>
    <x v="1477"/>
    <s v="8524"/>
    <s v="BTS 8524"/>
    <s v="5002896"/>
    <s v="8524 BTS T35 PB SYSTIVA RP"/>
    <n v="56"/>
    <n v="0"/>
    <n v="56"/>
    <x v="7"/>
    <s v="FWND"/>
    <s v="RP"/>
    <s v="333"/>
    <s v="4.0 UN"/>
    <s v="STANDARD"/>
    <s v="N"/>
    <s v="Y"/>
    <s v="N"/>
    <s v="T35"/>
    <s v="Y"/>
    <s v="N"/>
    <s v="Y"/>
    <s v="N"/>
    <s v="B026"/>
    <d v="2016-11-03T00:00:00"/>
    <s v="20"/>
    <s v="TAN"/>
    <s v="OR"/>
    <d v="2016-10-31T00:00:00"/>
    <s v="MN"/>
    <s v="US"/>
    <s v="ZR"/>
    <d v="2016-10-31T00:00:00"/>
  </r>
  <r>
    <x v="1"/>
    <x v="7"/>
    <x v="1567"/>
    <x v="33"/>
    <s v="Standard order"/>
    <x v="1483"/>
    <x v="1478"/>
    <s v="8052"/>
    <s v="BTS 80RR52"/>
    <s v="5002735"/>
    <s v="8052 BTS T35 PB SYSTIVA RP"/>
    <n v="96"/>
    <n v="0"/>
    <n v="96"/>
    <x v="7"/>
    <s v="AP82"/>
    <s v="RP"/>
    <s v="333"/>
    <s v="4.0 UN"/>
    <s v="STANDARD"/>
    <s v="N"/>
    <s v="Y"/>
    <s v="N"/>
    <s v="T35"/>
    <s v="Y"/>
    <s v="N"/>
    <s v="Y"/>
    <s v="N"/>
    <s v="B026"/>
    <d v="2016-11-03T00:00:00"/>
    <s v="10"/>
    <s v="TAN"/>
    <s v="OR"/>
    <d v="2016-10-31T00:00:00"/>
    <s v="ND"/>
    <s v="US"/>
    <s v="ZR"/>
    <d v="2016-10-31T00:00:00"/>
  </r>
  <r>
    <x v="1"/>
    <x v="7"/>
    <x v="1567"/>
    <x v="33"/>
    <s v="Standard order"/>
    <x v="1483"/>
    <x v="1478"/>
    <s v="8337"/>
    <s v="BTS 8337"/>
    <s v="5002795"/>
    <s v="8337 BTS T35 PB SYSTIVA RP"/>
    <n v="96"/>
    <n v="0"/>
    <n v="96"/>
    <x v="7"/>
    <s v="DHMC"/>
    <s v="RP"/>
    <s v="333"/>
    <s v="4.0 UN"/>
    <s v="STANDARD"/>
    <s v="N"/>
    <s v="Y"/>
    <s v="N"/>
    <s v="T35"/>
    <s v="Y"/>
    <s v="N"/>
    <s v="Y"/>
    <s v="N"/>
    <s v="B026"/>
    <d v="2016-11-03T00:00:00"/>
    <s v="20"/>
    <s v="TAN"/>
    <s v="OR"/>
    <d v="2016-10-31T00:00:00"/>
    <s v="ND"/>
    <s v="US"/>
    <s v="ZR"/>
    <d v="2016-10-31T00:00:00"/>
  </r>
  <r>
    <x v="1"/>
    <x v="7"/>
    <x v="1567"/>
    <x v="33"/>
    <s v="Standard order"/>
    <x v="1483"/>
    <x v="1478"/>
    <s v="8500"/>
    <s v="BTS 8500"/>
    <s v="5002856"/>
    <s v="8500 BTS T35 PB SYSTIVA RP"/>
    <n v="192"/>
    <n v="0"/>
    <n v="192"/>
    <x v="7"/>
    <s v="FTND"/>
    <s v="RP"/>
    <s v="333"/>
    <s v="4.0 UN"/>
    <s v="STANDARD"/>
    <s v="N"/>
    <s v="Y"/>
    <s v="N"/>
    <s v="T35"/>
    <s v="Y"/>
    <s v="N"/>
    <s v="Y"/>
    <s v="N"/>
    <s v="B026"/>
    <d v="2016-11-03T00:00:00"/>
    <s v="30"/>
    <s v="TAN"/>
    <s v="OR"/>
    <d v="2016-10-31T00:00:00"/>
    <s v="ND"/>
    <s v="US"/>
    <s v="ZR"/>
    <d v="2016-10-31T00:00:00"/>
  </r>
  <r>
    <x v="1"/>
    <x v="7"/>
    <x v="1567"/>
    <x v="33"/>
    <s v="Standard order"/>
    <x v="1483"/>
    <x v="1478"/>
    <s v="8524"/>
    <s v="BTS 8524"/>
    <s v="5002896"/>
    <s v="8524 BTS T35 PB SYSTIVA RP"/>
    <n v="96"/>
    <n v="0"/>
    <n v="96"/>
    <x v="7"/>
    <s v="FWND"/>
    <s v="RP"/>
    <s v="333"/>
    <s v="4.0 UN"/>
    <s v="STANDARD"/>
    <s v="N"/>
    <s v="Y"/>
    <s v="N"/>
    <s v="T35"/>
    <s v="Y"/>
    <s v="N"/>
    <s v="Y"/>
    <s v="N"/>
    <s v="B026"/>
    <d v="2016-11-03T00:00:00"/>
    <s v="40"/>
    <s v="TAN"/>
    <s v="OR"/>
    <d v="2016-10-31T00:00:00"/>
    <s v="ND"/>
    <s v="US"/>
    <s v="ZR"/>
    <d v="2016-10-31T00:00:00"/>
  </r>
  <r>
    <x v="1"/>
    <x v="7"/>
    <x v="1568"/>
    <x v="41"/>
    <s v="Standard order"/>
    <x v="1484"/>
    <x v="1479"/>
    <s v="8500"/>
    <s v="BTS 8500"/>
    <s v="5002844"/>
    <s v="8500 BTS T20 SYSTIVA MP"/>
    <n v="96"/>
    <n v="0"/>
    <n v="96"/>
    <x v="7"/>
    <s v="FTND"/>
    <s v="MP"/>
    <s v="326"/>
    <s v="4.0 UN"/>
    <s v="STANDARD"/>
    <s v="N"/>
    <s v="N"/>
    <s v="N"/>
    <s v="T20"/>
    <s v="Y"/>
    <s v="N"/>
    <s v="Y"/>
    <s v="N"/>
    <s v="B032"/>
    <d v="2016-11-03T00:00:00"/>
    <s v="70"/>
    <s v="TAN"/>
    <s v="OR"/>
    <d v="2016-10-31T00:00:00"/>
    <s v="MN"/>
    <s v="US"/>
    <s v="ZR"/>
    <d v="2016-10-31T00:00:00"/>
  </r>
  <r>
    <x v="1"/>
    <x v="7"/>
    <x v="1568"/>
    <x v="41"/>
    <s v="Standard order"/>
    <x v="1484"/>
    <x v="1479"/>
    <s v="8512"/>
    <s v="BTS 8512"/>
    <s v="5002864"/>
    <s v="8512 BTS T20 SYSTIVA MP"/>
    <n v="96"/>
    <n v="0"/>
    <n v="96"/>
    <x v="7"/>
    <s v="FX73"/>
    <s v="MP"/>
    <s v="326"/>
    <s v="4.0 UN"/>
    <s v="STANDARD"/>
    <s v="N"/>
    <s v="N"/>
    <s v="N"/>
    <s v="T20"/>
    <s v="Y"/>
    <s v="N"/>
    <s v="Y"/>
    <s v="N"/>
    <s v="B032"/>
    <d v="2016-11-03T00:00:00"/>
    <s v="60"/>
    <s v="TAN"/>
    <s v="OR"/>
    <d v="2016-10-31T00:00:00"/>
    <s v="MN"/>
    <s v="US"/>
    <s v="ZR"/>
    <d v="2016-10-31T00:00:00"/>
  </r>
  <r>
    <x v="1"/>
    <x v="7"/>
    <x v="1568"/>
    <x v="41"/>
    <s v="Standard order"/>
    <x v="1484"/>
    <x v="1479"/>
    <s v="8052"/>
    <s v="BTS 80RR52"/>
    <s v="5002723"/>
    <s v="8052 BTS T20 SYSTIVA MP"/>
    <n v="96"/>
    <n v="0"/>
    <n v="96"/>
    <x v="7"/>
    <s v="AP82"/>
    <s v="MP"/>
    <s v="326"/>
    <s v="4.0 UN"/>
    <s v="STANDARD"/>
    <s v="N"/>
    <s v="N"/>
    <s v="N"/>
    <s v="T20"/>
    <s v="Y"/>
    <s v="N"/>
    <s v="Y"/>
    <s v="N"/>
    <s v="B032"/>
    <d v="2016-11-03T00:00:00"/>
    <s v="10"/>
    <s v="TAN"/>
    <s v="OR"/>
    <d v="2016-10-31T00:00:00"/>
    <s v="MN"/>
    <s v="US"/>
    <s v="ZR"/>
    <d v="2016-10-31T00:00:00"/>
  </r>
  <r>
    <x v="1"/>
    <x v="7"/>
    <x v="1568"/>
    <x v="41"/>
    <s v="Standard order"/>
    <x v="1484"/>
    <x v="1479"/>
    <s v="8363"/>
    <s v="BTS 8363"/>
    <s v="5002804"/>
    <s v="8363 BTS T20 SYSTIVA MP"/>
    <n v="96"/>
    <n v="0"/>
    <n v="96"/>
    <x v="7"/>
    <s v="DMMZ"/>
    <s v="MP"/>
    <s v="326"/>
    <s v="4.0 UN"/>
    <s v="STANDARD"/>
    <s v="N"/>
    <s v="N"/>
    <s v="N"/>
    <s v="T20"/>
    <s v="Y"/>
    <s v="N"/>
    <s v="Y"/>
    <s v="N"/>
    <s v="B032"/>
    <d v="2016-11-03T00:00:00"/>
    <s v="30"/>
    <s v="TAN"/>
    <s v="OR"/>
    <d v="2016-10-31T00:00:00"/>
    <s v="MN"/>
    <s v="US"/>
    <s v="ZR"/>
    <d v="2016-10-31T00:00:00"/>
  </r>
  <r>
    <x v="1"/>
    <x v="7"/>
    <x v="1568"/>
    <x v="41"/>
    <s v="Standard order"/>
    <x v="1484"/>
    <x v="1479"/>
    <s v="8524"/>
    <s v="BTS 8524"/>
    <s v="5002884"/>
    <s v="8524 BTS T20 SYSTIVA MP"/>
    <n v="96"/>
    <n v="0"/>
    <n v="96"/>
    <x v="7"/>
    <s v="FWND"/>
    <s v="MP"/>
    <s v="326"/>
    <s v="4.0 UN"/>
    <s v="STANDARD"/>
    <s v="N"/>
    <s v="N"/>
    <s v="N"/>
    <s v="T20"/>
    <s v="Y"/>
    <s v="N"/>
    <s v="Y"/>
    <s v="N"/>
    <s v="B032"/>
    <d v="2016-11-03T00:00:00"/>
    <s v="40"/>
    <s v="TAN"/>
    <s v="OR"/>
    <d v="2016-10-31T00:00:00"/>
    <s v="MN"/>
    <s v="US"/>
    <s v="ZR"/>
    <d v="2016-10-31T00:00:00"/>
  </r>
  <r>
    <x v="1"/>
    <x v="7"/>
    <x v="1568"/>
    <x v="41"/>
    <s v="Standard order"/>
    <x v="1484"/>
    <x v="1479"/>
    <s v="8337"/>
    <s v="BTS 8337"/>
    <s v="5002783"/>
    <s v="8337 BTS T20 SYSTIVA MP"/>
    <n v="96"/>
    <n v="0"/>
    <n v="96"/>
    <x v="7"/>
    <s v="DHMC"/>
    <s v="MP"/>
    <s v="326"/>
    <s v="4.0 UN"/>
    <s v="STANDARD"/>
    <s v="N"/>
    <s v="N"/>
    <s v="N"/>
    <s v="T20"/>
    <s v="Y"/>
    <s v="N"/>
    <s v="Y"/>
    <s v="N"/>
    <s v="B032"/>
    <d v="2016-11-03T00:00:00"/>
    <s v="50"/>
    <s v="TAN"/>
    <s v="OR"/>
    <d v="2016-10-31T00:00:00"/>
    <s v="MN"/>
    <s v="US"/>
    <s v="ZR"/>
    <d v="2016-10-31T00:00:00"/>
  </r>
  <r>
    <x v="1"/>
    <x v="7"/>
    <x v="1569"/>
    <x v="36"/>
    <s v="Standard order"/>
    <x v="1485"/>
    <x v="1480"/>
    <s v="8233"/>
    <s v="BTS 82RR33"/>
    <s v="5002763"/>
    <s v="8233 BTS T20 SYSTIVA MP"/>
    <n v="144"/>
    <n v="0"/>
    <n v="144"/>
    <x v="7"/>
    <s v="DRMC"/>
    <s v="MP"/>
    <s v="326"/>
    <s v="4.0 UN"/>
    <s v="STANDARD"/>
    <s v="N"/>
    <s v="N"/>
    <s v="N"/>
    <s v="T20"/>
    <s v="Y"/>
    <s v="N"/>
    <s v="Y"/>
    <s v="N"/>
    <s v="B027"/>
    <d v="2016-11-03T00:00:00"/>
    <s v="10"/>
    <s v="TAN"/>
    <s v="OR"/>
    <d v="2016-10-31T00:00:00"/>
    <s v="MN"/>
    <s v="US"/>
    <s v="ZR"/>
    <d v="2016-10-31T00:00:00"/>
  </r>
  <r>
    <x v="1"/>
    <x v="7"/>
    <x v="1569"/>
    <x v="36"/>
    <s v="Standard order"/>
    <x v="1485"/>
    <x v="1480"/>
    <s v="8524"/>
    <s v="BTS 8524"/>
    <s v="5002884"/>
    <s v="8524 BTS T20 SYSTIVA MP"/>
    <n v="124"/>
    <n v="0"/>
    <n v="124"/>
    <x v="7"/>
    <s v="FWND"/>
    <s v="MP"/>
    <s v="326"/>
    <s v="4.0 UN"/>
    <s v="STANDARD"/>
    <s v="N"/>
    <s v="N"/>
    <s v="N"/>
    <s v="T20"/>
    <s v="Y"/>
    <s v="N"/>
    <s v="Y"/>
    <s v="N"/>
    <s v="B027"/>
    <d v="2016-11-03T00:00:00"/>
    <s v="20"/>
    <s v="TAN"/>
    <s v="OR"/>
    <d v="2016-10-31T00:00:00"/>
    <s v="MN"/>
    <s v="US"/>
    <s v="ZR"/>
    <d v="2016-10-31T00:00:00"/>
  </r>
  <r>
    <x v="1"/>
    <x v="7"/>
    <x v="1569"/>
    <x v="36"/>
    <s v="Standard order"/>
    <x v="1485"/>
    <x v="1480"/>
    <s v="8500"/>
    <s v="BTS 8500"/>
    <s v="5002844"/>
    <s v="8500 BTS T20 SYSTIVA MP"/>
    <n v="120"/>
    <n v="0"/>
    <n v="120"/>
    <x v="7"/>
    <s v="FTND"/>
    <s v="MP"/>
    <s v="326"/>
    <s v="4.0 UN"/>
    <s v="STANDARD"/>
    <s v="N"/>
    <s v="N"/>
    <s v="N"/>
    <s v="T20"/>
    <s v="Y"/>
    <s v="N"/>
    <s v="Y"/>
    <s v="N"/>
    <s v="B027"/>
    <d v="2016-11-03T00:00:00"/>
    <s v="30"/>
    <s v="TAN"/>
    <s v="OR"/>
    <d v="2016-10-31T00:00:00"/>
    <s v="MN"/>
    <s v="US"/>
    <s v="ZR"/>
    <d v="2016-10-31T00:00:00"/>
  </r>
  <r>
    <x v="1"/>
    <x v="7"/>
    <x v="1570"/>
    <x v="36"/>
    <s v="Standard order"/>
    <x v="1486"/>
    <x v="1481"/>
    <s v="8524"/>
    <s v="BTS 8524"/>
    <s v="5002896"/>
    <s v="8524 BTS T35 PB SYSTIVA RP"/>
    <n v="48"/>
    <n v="0"/>
    <n v="48"/>
    <x v="7"/>
    <s v="FWND"/>
    <s v="RP"/>
    <s v="333"/>
    <s v="4.0 UN"/>
    <s v="STANDARD"/>
    <s v="N"/>
    <s v="Y"/>
    <s v="N"/>
    <s v="T35"/>
    <s v="Y"/>
    <s v="N"/>
    <s v="Y"/>
    <s v="N"/>
    <s v="B027"/>
    <d v="2016-11-03T00:00:00"/>
    <s v="10"/>
    <s v="TAN"/>
    <s v="OR"/>
    <d v="2016-10-31T00:00:00"/>
    <s v="MN"/>
    <s v="US"/>
    <s v="ZR"/>
    <d v="2016-10-31T00:00:00"/>
  </r>
  <r>
    <x v="1"/>
    <x v="7"/>
    <x v="1570"/>
    <x v="36"/>
    <s v="Standard order"/>
    <x v="1486"/>
    <x v="1481"/>
    <s v="8337"/>
    <s v="BTS 8337"/>
    <s v="5002795"/>
    <s v="8337 BTS T35 PB SYSTIVA RP"/>
    <n v="32"/>
    <n v="0"/>
    <n v="32"/>
    <x v="7"/>
    <s v="DHMC"/>
    <s v="RP"/>
    <s v="333"/>
    <s v="4.0 UN"/>
    <s v="STANDARD"/>
    <s v="N"/>
    <s v="Y"/>
    <s v="N"/>
    <s v="T35"/>
    <s v="Y"/>
    <s v="N"/>
    <s v="Y"/>
    <s v="N"/>
    <s v="B027"/>
    <d v="2016-11-03T00:00:00"/>
    <s v="20"/>
    <s v="TAN"/>
    <s v="OR"/>
    <d v="2016-10-31T00:00:00"/>
    <s v="MN"/>
    <s v="US"/>
    <s v="ZR"/>
    <d v="2016-10-31T00:00:00"/>
  </r>
  <r>
    <x v="1"/>
    <x v="7"/>
    <x v="1570"/>
    <x v="36"/>
    <s v="Standard order"/>
    <x v="1486"/>
    <x v="1481"/>
    <s v="8052"/>
    <s v="BTS 80RR52"/>
    <s v="5002735"/>
    <s v="8052 BTS T35 PB SYSTIVA RP"/>
    <n v="92"/>
    <n v="0"/>
    <n v="92"/>
    <x v="7"/>
    <s v="AP82"/>
    <s v="RP"/>
    <s v="333"/>
    <s v="4.0 UN"/>
    <s v="STANDARD"/>
    <s v="N"/>
    <s v="Y"/>
    <s v="N"/>
    <s v="T35"/>
    <s v="Y"/>
    <s v="N"/>
    <s v="Y"/>
    <s v="N"/>
    <s v="B027"/>
    <d v="2016-11-03T00:00:00"/>
    <s v="30"/>
    <s v="TAN"/>
    <s v="OR"/>
    <d v="2016-10-31T00:00:00"/>
    <s v="MN"/>
    <s v="US"/>
    <s v="ZR"/>
    <d v="2016-10-31T00:00:00"/>
  </r>
  <r>
    <x v="1"/>
    <x v="7"/>
    <x v="1570"/>
    <x v="36"/>
    <s v="Standard order"/>
    <x v="1486"/>
    <x v="1481"/>
    <s v="8500"/>
    <s v="BTS 8500"/>
    <s v="5002856"/>
    <s v="8500 BTS T35 PB SYSTIVA RP"/>
    <n v="88"/>
    <n v="0"/>
    <n v="88"/>
    <x v="7"/>
    <s v="FTND"/>
    <s v="RP"/>
    <s v="333"/>
    <s v="4.0 UN"/>
    <s v="STANDARD"/>
    <s v="N"/>
    <s v="Y"/>
    <s v="N"/>
    <s v="T35"/>
    <s v="Y"/>
    <s v="N"/>
    <s v="Y"/>
    <s v="N"/>
    <s v="B027"/>
    <d v="2016-11-03T00:00:00"/>
    <s v="40"/>
    <s v="TAN"/>
    <s v="OR"/>
    <d v="2016-10-31T00:00:00"/>
    <s v="MN"/>
    <s v="US"/>
    <s v="ZR"/>
    <d v="2016-10-31T00:00:00"/>
  </r>
  <r>
    <x v="1"/>
    <x v="7"/>
    <x v="1570"/>
    <x v="36"/>
    <s v="Standard order"/>
    <x v="1486"/>
    <x v="1481"/>
    <s v="8363"/>
    <s v="BTS 8363"/>
    <s v="5002816"/>
    <s v="8363 BTS T35 PB SYSTIVA RP"/>
    <n v="72"/>
    <n v="0"/>
    <n v="72"/>
    <x v="7"/>
    <s v="DMMZ"/>
    <s v="RP"/>
    <s v="333"/>
    <s v="4.0 UN"/>
    <s v="STANDARD"/>
    <s v="N"/>
    <s v="Y"/>
    <s v="N"/>
    <s v="T35"/>
    <s v="Y"/>
    <s v="N"/>
    <s v="Y"/>
    <s v="N"/>
    <s v="B027"/>
    <d v="2016-11-03T00:00:00"/>
    <s v="50"/>
    <s v="TAN"/>
    <s v="OR"/>
    <d v="2016-10-31T00:00:00"/>
    <s v="MN"/>
    <s v="US"/>
    <s v="ZR"/>
    <d v="2016-10-31T00:00:00"/>
  </r>
  <r>
    <x v="1"/>
    <x v="7"/>
    <x v="1571"/>
    <x v="33"/>
    <s v="Standard order"/>
    <x v="1487"/>
    <x v="1482"/>
    <s v="8500"/>
    <s v="BTS 8500"/>
    <s v="5002855"/>
    <s v="8500 BTS T35 PB SYSTIVA P200"/>
    <n v="48"/>
    <n v="0"/>
    <n v="48"/>
    <x v="7"/>
    <s v="FTND"/>
    <s v="PRO 200"/>
    <s v="333"/>
    <s v="4.0 UN"/>
    <s v="STANDARD"/>
    <s v="N"/>
    <s v="Y"/>
    <s v="N"/>
    <s v="T35"/>
    <s v="Y"/>
    <s v="N"/>
    <s v="Y"/>
    <s v="N"/>
    <s v="B026"/>
    <d v="2016-11-03T00:00:00"/>
    <s v="20"/>
    <s v="TAN"/>
    <s v="OR"/>
    <d v="2016-10-31T00:00:00"/>
    <s v="MN"/>
    <s v="US"/>
    <s v="ZR"/>
    <d v="2016-10-31T00:00:00"/>
  </r>
  <r>
    <x v="1"/>
    <x v="7"/>
    <x v="1572"/>
    <x v="33"/>
    <s v="Standard order"/>
    <x v="1488"/>
    <x v="1483"/>
    <s v="8337"/>
    <s v="BTS 8337"/>
    <s v="5002795"/>
    <s v="8337 BTS T35 PB SYSTIVA RP"/>
    <n v="84"/>
    <n v="0"/>
    <n v="84"/>
    <x v="7"/>
    <s v="DHMC"/>
    <s v="RP"/>
    <s v="333"/>
    <s v="4.0 UN"/>
    <s v="STANDARD"/>
    <s v="N"/>
    <s v="Y"/>
    <s v="N"/>
    <s v="T35"/>
    <s v="Y"/>
    <s v="N"/>
    <s v="Y"/>
    <s v="N"/>
    <s v="B026"/>
    <d v="2016-11-03T00:00:00"/>
    <s v="10"/>
    <s v="TAN"/>
    <s v="OR"/>
    <d v="2016-10-31T00:00:00"/>
    <s v="MN"/>
    <s v="US"/>
    <s v="ZR"/>
    <d v="2016-10-31T00:00:00"/>
  </r>
  <r>
    <x v="1"/>
    <x v="7"/>
    <x v="1572"/>
    <x v="33"/>
    <s v="Standard order"/>
    <x v="1488"/>
    <x v="1483"/>
    <s v="8500"/>
    <s v="BTS 8500"/>
    <s v="5002856"/>
    <s v="8500 BTS T35 PB SYSTIVA RP"/>
    <n v="60"/>
    <n v="0"/>
    <n v="60"/>
    <x v="7"/>
    <s v="FTND"/>
    <s v="RP"/>
    <s v="333"/>
    <s v="4.0 UN"/>
    <s v="STANDARD"/>
    <s v="N"/>
    <s v="Y"/>
    <s v="N"/>
    <s v="T35"/>
    <s v="Y"/>
    <s v="N"/>
    <s v="Y"/>
    <s v="N"/>
    <s v="B026"/>
    <d v="2016-11-03T00:00:00"/>
    <s v="20"/>
    <s v="TAN"/>
    <s v="OR"/>
    <d v="2016-10-31T00:00:00"/>
    <s v="MN"/>
    <s v="US"/>
    <s v="ZR"/>
    <d v="2016-10-31T00:00:00"/>
  </r>
  <r>
    <x v="1"/>
    <x v="8"/>
    <x v="1573"/>
    <x v="34"/>
    <s v="Standard order"/>
    <x v="1387"/>
    <x v="1382"/>
    <s v="5499"/>
    <s v="BTS 5499"/>
    <s v="5002605"/>
    <s v="5499 P100"/>
    <n v="92"/>
    <n v="92"/>
    <n v="0"/>
    <x v="8"/>
    <s v="DRMG"/>
    <s v="PRO 100"/>
    <s v="306"/>
    <s v="4.0 UN"/>
    <s v="STANDARD"/>
    <s v="N"/>
    <s v="N"/>
    <s v="N"/>
    <s v="N"/>
    <s v="N"/>
    <s v="N"/>
    <s v="N"/>
    <s v="N"/>
    <s v=""/>
    <d v="2016-11-08T00:00:00"/>
    <s v="10"/>
    <s v="TAN"/>
    <s v="OR"/>
    <d v="2016-11-09T00:00:00"/>
    <s v="CA"/>
    <s v="US"/>
    <s v="ZR"/>
    <d v="2016-11-01T00:00:00"/>
  </r>
  <r>
    <x v="1"/>
    <x v="7"/>
    <x v="1574"/>
    <x v="41"/>
    <s v="Standard order"/>
    <x v="1489"/>
    <x v="1484"/>
    <s v="8572"/>
    <s v="BTS 8572"/>
    <s v="5003215"/>
    <s v="8572 BTS T35 PB SYSTIVA RP"/>
    <n v="48"/>
    <n v="0"/>
    <n v="48"/>
    <x v="7"/>
    <s v="FENB"/>
    <s v="RP"/>
    <s v="333"/>
    <s v="4.0 UN"/>
    <s v="STANDARD"/>
    <s v="N"/>
    <s v="Y"/>
    <s v="N"/>
    <s v="T35"/>
    <s v="Y"/>
    <s v="N"/>
    <s v="Y"/>
    <s v="N"/>
    <s v="B032"/>
    <d v="2016-11-04T00:00:00"/>
    <s v="20"/>
    <s v="TAN"/>
    <s v="OR"/>
    <d v="2016-10-31T00:00:00"/>
    <s v="ND"/>
    <s v="US"/>
    <s v="ZR"/>
    <d v="2016-11-01T00:00:00"/>
  </r>
  <r>
    <x v="1"/>
    <x v="7"/>
    <x v="1574"/>
    <x v="41"/>
    <s v="Standard order"/>
    <x v="1489"/>
    <x v="1484"/>
    <s v="8052"/>
    <s v="BTS 80RR52"/>
    <s v="5002735"/>
    <s v="8052 BTS T35 PB SYSTIVA RP"/>
    <n v="192"/>
    <n v="0"/>
    <n v="192"/>
    <x v="7"/>
    <s v="AP82"/>
    <s v="RP"/>
    <s v="333"/>
    <s v="4.0 UN"/>
    <s v="STANDARD"/>
    <s v="N"/>
    <s v="Y"/>
    <s v="N"/>
    <s v="T35"/>
    <s v="Y"/>
    <s v="N"/>
    <s v="Y"/>
    <s v="N"/>
    <s v="B032"/>
    <d v="2016-11-04T00:00:00"/>
    <s v="10"/>
    <s v="TAN"/>
    <s v="OR"/>
    <d v="2016-10-31T00:00:00"/>
    <s v="ND"/>
    <s v="US"/>
    <s v="ZR"/>
    <d v="2016-11-01T00:00:00"/>
  </r>
  <r>
    <x v="1"/>
    <x v="7"/>
    <x v="1575"/>
    <x v="31"/>
    <s v="Standard order"/>
    <x v="1490"/>
    <x v="1485"/>
    <s v="8524"/>
    <s v="BTS 8524"/>
    <s v="5002899"/>
    <s v="8524 BTS T35 SYSTIVA P200"/>
    <n v="8"/>
    <n v="0"/>
    <n v="8"/>
    <x v="7"/>
    <s v="FWND"/>
    <s v="PRO 200"/>
    <s v="334"/>
    <s v="4.0 UN"/>
    <s v="STANDARD"/>
    <s v="N"/>
    <s v="N"/>
    <s v="N"/>
    <s v="T35"/>
    <s v="Y"/>
    <s v="N"/>
    <s v="Y"/>
    <s v="N"/>
    <s v="B028"/>
    <d v="2016-11-04T00:00:00"/>
    <s v="10"/>
    <s v="TAN"/>
    <s v="OR"/>
    <d v="2016-11-01T00:00:00"/>
    <s v=""/>
    <s v="US"/>
    <s v="ZR"/>
    <d v="2016-11-01T00:00:00"/>
  </r>
  <r>
    <x v="1"/>
    <x v="7"/>
    <x v="1575"/>
    <x v="31"/>
    <s v="Standard order"/>
    <x v="1490"/>
    <x v="1485"/>
    <s v="8572"/>
    <s v="BTS 8572"/>
    <s v="5003218"/>
    <s v="8572 BTS T35 SYSTIVA P200"/>
    <n v="12"/>
    <n v="0"/>
    <n v="12"/>
    <x v="7"/>
    <s v="FENB"/>
    <s v="PRO 200"/>
    <s v="334"/>
    <s v="4.0 UN"/>
    <s v="STANDARD"/>
    <s v="N"/>
    <s v="N"/>
    <s v="N"/>
    <s v="T35"/>
    <s v="Y"/>
    <s v="N"/>
    <s v="Y"/>
    <s v="N"/>
    <s v="B028"/>
    <d v="2016-11-04T00:00:00"/>
    <s v="20"/>
    <s v="TAN"/>
    <s v="OR"/>
    <d v="2016-11-01T00:00:00"/>
    <s v=""/>
    <s v="US"/>
    <s v="ZR"/>
    <d v="2016-11-01T00:00:00"/>
  </r>
  <r>
    <x v="1"/>
    <x v="7"/>
    <x v="1576"/>
    <x v="37"/>
    <s v="Standard order"/>
    <x v="1491"/>
    <x v="1486"/>
    <s v="8363"/>
    <s v="BTS 8363"/>
    <s v="5002820"/>
    <s v="8363 BTS T35 SYSTIVA RP"/>
    <n v="128"/>
    <n v="0"/>
    <n v="128"/>
    <x v="7"/>
    <s v="DMMZ"/>
    <s v="RP"/>
    <s v="334"/>
    <s v="4.0 UN"/>
    <s v="STANDARD"/>
    <s v="N"/>
    <s v="N"/>
    <s v="N"/>
    <s v="T35"/>
    <s v="Y"/>
    <s v="N"/>
    <s v="Y"/>
    <s v="N"/>
    <s v="B033"/>
    <d v="2016-11-04T00:00:00"/>
    <s v="10"/>
    <s v="TAN"/>
    <s v="OR"/>
    <d v="2016-11-01T00:00:00"/>
    <s v="MN"/>
    <s v="US"/>
    <s v="ZR"/>
    <d v="2016-11-01T00:00:00"/>
  </r>
  <r>
    <x v="1"/>
    <x v="7"/>
    <x v="1576"/>
    <x v="37"/>
    <s v="Standard order"/>
    <x v="1491"/>
    <x v="1486"/>
    <s v="8524"/>
    <s v="BTS 8524"/>
    <s v="5002900"/>
    <s v="8524 BTS T35 SYSTIVA RP"/>
    <n v="128"/>
    <n v="0"/>
    <n v="128"/>
    <x v="7"/>
    <s v="FWND"/>
    <s v="RP"/>
    <s v="334"/>
    <s v="4.0 UN"/>
    <s v="STANDARD"/>
    <s v="N"/>
    <s v="N"/>
    <s v="N"/>
    <s v="T35"/>
    <s v="Y"/>
    <s v="N"/>
    <s v="Y"/>
    <s v="N"/>
    <s v="B033"/>
    <d v="2016-11-04T00:00:00"/>
    <s v="20"/>
    <s v="TAN"/>
    <s v="OR"/>
    <d v="2016-11-01T00:00:00"/>
    <s v="MN"/>
    <s v="US"/>
    <s v="ZR"/>
    <d v="2016-11-01T00:00:00"/>
  </r>
  <r>
    <x v="1"/>
    <x v="7"/>
    <x v="1577"/>
    <x v="31"/>
    <s v="Standard order"/>
    <x v="1492"/>
    <x v="1487"/>
    <s v="8337"/>
    <s v="BTS 8337"/>
    <s v="5002795"/>
    <s v="8337 BTS T35 PB SYSTIVA RP"/>
    <n v="56"/>
    <n v="0"/>
    <n v="56"/>
    <x v="7"/>
    <s v="DHMC"/>
    <s v="RP"/>
    <s v="333"/>
    <s v="4.0 UN"/>
    <s v="STANDARD"/>
    <s v="N"/>
    <s v="Y"/>
    <s v="N"/>
    <s v="T35"/>
    <s v="Y"/>
    <s v="N"/>
    <s v="Y"/>
    <s v="N"/>
    <s v="B028"/>
    <d v="2016-11-04T00:00:00"/>
    <s v="10"/>
    <s v="TAN"/>
    <s v="OR"/>
    <d v="2016-11-01T00:00:00"/>
    <s v="ND"/>
    <s v="US"/>
    <s v="ZR"/>
    <d v="2016-11-01T00:00:00"/>
  </r>
  <r>
    <x v="1"/>
    <x v="8"/>
    <x v="1578"/>
    <x v="34"/>
    <s v="Returns Standard SAP"/>
    <x v="1363"/>
    <x v="1358"/>
    <s v="541N"/>
    <s v="BTS 541N"/>
    <s v="5002602"/>
    <s v="541N P50"/>
    <n v="-20"/>
    <n v="-20"/>
    <n v="0"/>
    <x v="8"/>
    <s v="BK71"/>
    <s v="PRO 50"/>
    <s v="306"/>
    <s v="4.0 UN"/>
    <s v="STANDARD"/>
    <s v="N"/>
    <s v="N"/>
    <s v="N"/>
    <s v="N"/>
    <s v="N"/>
    <s v="N"/>
    <s v="N"/>
    <s v="N"/>
    <s v=""/>
    <m/>
    <s v="10"/>
    <s v="ZSRE"/>
    <s v="ZSRE"/>
    <d v="2016-11-14T00:00:00"/>
    <s v="CA"/>
    <s v="US"/>
    <s v="ZR"/>
    <d v="2016-11-01T00:00:00"/>
  </r>
  <r>
    <x v="1"/>
    <x v="7"/>
    <x v="1579"/>
    <x v="39"/>
    <s v="Standard order"/>
    <x v="1493"/>
    <x v="1488"/>
    <s v="8337"/>
    <s v="BTS 8337"/>
    <s v="5002795"/>
    <s v="8337 BTS T35 PB SYSTIVA RP"/>
    <n v="88"/>
    <n v="0"/>
    <n v="88"/>
    <x v="7"/>
    <s v="DHMC"/>
    <s v="RP"/>
    <s v="333"/>
    <s v="4.0 UN"/>
    <s v="STANDARD"/>
    <s v="N"/>
    <s v="Y"/>
    <s v="N"/>
    <s v="T35"/>
    <s v="Y"/>
    <s v="N"/>
    <s v="Y"/>
    <s v="N"/>
    <s v="B030"/>
    <d v="2016-11-04T00:00:00"/>
    <s v="10"/>
    <s v="TAN"/>
    <s v="OR"/>
    <d v="2016-11-01T00:00:00"/>
    <s v="MN"/>
    <s v="US"/>
    <s v="ZR"/>
    <d v="2016-11-01T00:00:00"/>
  </r>
  <r>
    <x v="1"/>
    <x v="8"/>
    <x v="1580"/>
    <x v="34"/>
    <s v="Returns Standard SAP"/>
    <x v="1380"/>
    <x v="1375"/>
    <s v="5245"/>
    <s v="BTS 52RR45"/>
    <s v="5002600"/>
    <s v="5245 BTS P50"/>
    <n v="-16"/>
    <n v="-16"/>
    <n v="0"/>
    <x v="8"/>
    <s v="4D15"/>
    <s v="PRO 50"/>
    <s v="306"/>
    <s v="4.0 UN"/>
    <s v="STANDARD"/>
    <s v="N"/>
    <s v="N"/>
    <s v="N"/>
    <s v="N"/>
    <s v="N"/>
    <s v="N"/>
    <s v="N"/>
    <s v="N"/>
    <s v="B052"/>
    <m/>
    <s v="10"/>
    <s v="ZSRE"/>
    <s v="ZSRE"/>
    <d v="2016-11-23T00:00:00"/>
    <s v="CA"/>
    <s v="US"/>
    <s v="ZR"/>
    <d v="2016-11-01T00:00:00"/>
  </r>
  <r>
    <x v="1"/>
    <x v="7"/>
    <x v="1581"/>
    <x v="38"/>
    <s v="Standard order"/>
    <x v="1494"/>
    <x v="1489"/>
    <s v="8337"/>
    <s v="BTS 8337"/>
    <s v="5002795"/>
    <s v="8337 BTS T35 PB SYSTIVA RP"/>
    <n v="64"/>
    <n v="0"/>
    <n v="64"/>
    <x v="7"/>
    <s v="DHMC"/>
    <s v="RP"/>
    <s v="333"/>
    <s v="4.0 UN"/>
    <s v="STANDARD"/>
    <s v="N"/>
    <s v="Y"/>
    <s v="N"/>
    <s v="T35"/>
    <s v="Y"/>
    <s v="N"/>
    <s v="Y"/>
    <s v="N"/>
    <s v="B031"/>
    <d v="2016-11-04T00:00:00"/>
    <s v="10"/>
    <s v="TAN"/>
    <s v="OR"/>
    <d v="2016-11-01T00:00:00"/>
    <s v="MN"/>
    <s v="US"/>
    <s v="ZR"/>
    <d v="2016-11-01T00:00:00"/>
  </r>
  <r>
    <x v="1"/>
    <x v="7"/>
    <x v="1581"/>
    <x v="38"/>
    <s v="Standard order"/>
    <x v="1494"/>
    <x v="1489"/>
    <s v="8524"/>
    <s v="BTS 8524"/>
    <s v="5002896"/>
    <s v="8524 BTS T35 PB SYSTIVA RP"/>
    <n v="32"/>
    <n v="0"/>
    <n v="32"/>
    <x v="7"/>
    <s v="FWND"/>
    <s v="RP"/>
    <s v="333"/>
    <s v="4.0 UN"/>
    <s v="STANDARD"/>
    <s v="N"/>
    <s v="Y"/>
    <s v="N"/>
    <s v="T35"/>
    <s v="Y"/>
    <s v="N"/>
    <s v="Y"/>
    <s v="N"/>
    <s v="B031"/>
    <d v="2016-11-04T00:00:00"/>
    <s v="20"/>
    <s v="TAN"/>
    <s v="OR"/>
    <d v="2016-11-01T00:00:00"/>
    <s v="MN"/>
    <s v="US"/>
    <s v="ZR"/>
    <d v="2016-11-01T00:00:00"/>
  </r>
  <r>
    <x v="1"/>
    <x v="7"/>
    <x v="1582"/>
    <x v="31"/>
    <s v="Standard order"/>
    <x v="1495"/>
    <x v="1490"/>
    <s v="8337"/>
    <s v="BTS 8337"/>
    <s v="5002795"/>
    <s v="8337 BTS T35 PB SYSTIVA RP"/>
    <n v="96"/>
    <n v="0"/>
    <n v="96"/>
    <x v="7"/>
    <s v="DHMC"/>
    <s v="RP"/>
    <s v="333"/>
    <s v="4.0 UN"/>
    <s v="STANDARD"/>
    <s v="N"/>
    <s v="Y"/>
    <s v="N"/>
    <s v="T35"/>
    <s v="Y"/>
    <s v="N"/>
    <s v="Y"/>
    <s v="N"/>
    <s v="B028"/>
    <d v="2016-11-04T00:00:00"/>
    <s v="20"/>
    <s v="TAN"/>
    <s v="OR"/>
    <d v="2016-11-01T00:00:00"/>
    <s v="ND"/>
    <s v="US"/>
    <s v="ZR"/>
    <d v="2016-11-01T00:00:00"/>
  </r>
  <r>
    <x v="1"/>
    <x v="7"/>
    <x v="1583"/>
    <x v="31"/>
    <s v="Standard order"/>
    <x v="1496"/>
    <x v="1491"/>
    <s v="83CN"/>
    <s v="BTS 83CN"/>
    <s v="5002836"/>
    <s v="83CN BTS T35 PB SYSTIVA RP"/>
    <n v="16"/>
    <n v="0"/>
    <n v="16"/>
    <x v="7"/>
    <s v="EE73"/>
    <s v="RP"/>
    <s v="333"/>
    <s v="4.0 UN"/>
    <s v="STANDARD"/>
    <s v="N"/>
    <s v="Y"/>
    <s v="N"/>
    <s v="T35"/>
    <s v="Y"/>
    <s v="N"/>
    <s v="Y"/>
    <s v="N"/>
    <s v="B028"/>
    <d v="2016-11-04T00:00:00"/>
    <s v="40"/>
    <s v="TAN"/>
    <s v="OR"/>
    <d v="2016-11-01T00:00:00"/>
    <s v="ND"/>
    <s v="US"/>
    <s v="ZR"/>
    <d v="2016-11-01T00:00:00"/>
  </r>
  <r>
    <x v="1"/>
    <x v="7"/>
    <x v="1583"/>
    <x v="31"/>
    <s v="Standard order"/>
    <x v="1496"/>
    <x v="1491"/>
    <s v="8500"/>
    <s v="BTS 8500"/>
    <s v="5002856"/>
    <s v="8500 BTS T35 PB SYSTIVA RP"/>
    <n v="76"/>
    <n v="0"/>
    <n v="76"/>
    <x v="7"/>
    <s v="FTND"/>
    <s v="RP"/>
    <s v="333"/>
    <s v="4.0 UN"/>
    <s v="STANDARD"/>
    <s v="N"/>
    <s v="Y"/>
    <s v="N"/>
    <s v="T35"/>
    <s v="Y"/>
    <s v="N"/>
    <s v="Y"/>
    <s v="N"/>
    <s v="B028"/>
    <d v="2016-11-04T00:00:00"/>
    <s v="10"/>
    <s v="TAN"/>
    <s v="OR"/>
    <d v="2016-11-01T00:00:00"/>
    <s v="ND"/>
    <s v="US"/>
    <s v="ZR"/>
    <d v="2016-11-01T00:00:00"/>
  </r>
  <r>
    <x v="1"/>
    <x v="7"/>
    <x v="1583"/>
    <x v="31"/>
    <s v="Standard order"/>
    <x v="1496"/>
    <x v="1491"/>
    <s v="8524"/>
    <s v="BTS 8524"/>
    <s v="5002896"/>
    <s v="8524 BTS T35 PB SYSTIVA RP"/>
    <n v="152"/>
    <n v="0"/>
    <n v="152"/>
    <x v="7"/>
    <s v="FWND"/>
    <s v="RP"/>
    <s v="333"/>
    <s v="4.0 UN"/>
    <s v="STANDARD"/>
    <s v="N"/>
    <s v="Y"/>
    <s v="N"/>
    <s v="T35"/>
    <s v="Y"/>
    <s v="N"/>
    <s v="Y"/>
    <s v="N"/>
    <s v="B028"/>
    <d v="2016-11-04T00:00:00"/>
    <s v="20"/>
    <s v="TAN"/>
    <s v="OR"/>
    <d v="2016-11-01T00:00:00"/>
    <s v="ND"/>
    <s v="US"/>
    <s v="ZR"/>
    <d v="2016-11-01T00:00:00"/>
  </r>
  <r>
    <x v="1"/>
    <x v="7"/>
    <x v="1583"/>
    <x v="31"/>
    <s v="Standard order"/>
    <x v="1496"/>
    <x v="1491"/>
    <s v="8337"/>
    <s v="BTS 8337"/>
    <s v="5002795"/>
    <s v="8337 BTS T35 PB SYSTIVA RP"/>
    <n v="36"/>
    <n v="0"/>
    <n v="36"/>
    <x v="7"/>
    <s v="DHMC"/>
    <s v="RP"/>
    <s v="333"/>
    <s v="4.0 UN"/>
    <s v="STANDARD"/>
    <s v="N"/>
    <s v="Y"/>
    <s v="N"/>
    <s v="T35"/>
    <s v="Y"/>
    <s v="N"/>
    <s v="Y"/>
    <s v="N"/>
    <s v="B028"/>
    <d v="2016-11-04T00:00:00"/>
    <s v="30"/>
    <s v="TAN"/>
    <s v="OR"/>
    <d v="2016-11-01T00:00:00"/>
    <s v="ND"/>
    <s v="US"/>
    <s v="ZR"/>
    <d v="2016-11-01T00:00:00"/>
  </r>
  <r>
    <x v="1"/>
    <x v="8"/>
    <x v="1584"/>
    <x v="34"/>
    <s v="Returns Standard SAP"/>
    <x v="1366"/>
    <x v="1361"/>
    <s v="5499"/>
    <s v="BTS 5499"/>
    <s v="5002605"/>
    <s v="5499 BTS P100"/>
    <n v="-92"/>
    <n v="-92"/>
    <n v="0"/>
    <x v="8"/>
    <s v="DRMG"/>
    <s v="PRO 100"/>
    <s v="306"/>
    <s v="4.0 UN"/>
    <s v="STANDARD"/>
    <s v="N"/>
    <s v="N"/>
    <s v="N"/>
    <s v="N"/>
    <s v="N"/>
    <s v="N"/>
    <s v="N"/>
    <s v="N"/>
    <s v="B052"/>
    <m/>
    <s v="10"/>
    <s v="ZSRE"/>
    <s v="ZSRE"/>
    <d v="2016-11-08T00:00:00"/>
    <s v="CA"/>
    <s v="US"/>
    <s v="ZR"/>
    <d v="2016-11-01T00:00:00"/>
  </r>
  <r>
    <x v="1"/>
    <x v="7"/>
    <x v="1585"/>
    <x v="37"/>
    <s v="Standard order"/>
    <x v="1497"/>
    <x v="1492"/>
    <s v="8052"/>
    <s v="BTS 80RR52"/>
    <s v="5002735"/>
    <s v="8052 BTS T35 PB SYSTIVA RP"/>
    <n v="200"/>
    <n v="0"/>
    <n v="200"/>
    <x v="7"/>
    <s v="AP82"/>
    <s v="RP"/>
    <s v="333"/>
    <s v="4.0 UN"/>
    <s v="STANDARD"/>
    <s v="N"/>
    <s v="Y"/>
    <s v="N"/>
    <s v="T35"/>
    <s v="Y"/>
    <s v="N"/>
    <s v="Y"/>
    <s v="N"/>
    <s v="B033"/>
    <d v="2016-11-04T00:00:00"/>
    <s v="10"/>
    <s v="TAN"/>
    <s v="OR"/>
    <d v="2016-11-01T00:00:00"/>
    <s v="ND"/>
    <s v="US"/>
    <s v="ZR"/>
    <d v="2016-11-01T00:00:00"/>
  </r>
  <r>
    <x v="1"/>
    <x v="7"/>
    <x v="1585"/>
    <x v="37"/>
    <s v="Standard order"/>
    <x v="1497"/>
    <x v="1492"/>
    <s v="8500"/>
    <s v="BTS 8500"/>
    <s v="5002856"/>
    <s v="8500 BTS T35 PB SYSTIVA RP"/>
    <n v="200"/>
    <n v="0"/>
    <n v="200"/>
    <x v="7"/>
    <s v="FTND"/>
    <s v="RP"/>
    <s v="333"/>
    <s v="4.0 UN"/>
    <s v="STANDARD"/>
    <s v="N"/>
    <s v="Y"/>
    <s v="N"/>
    <s v="T35"/>
    <s v="Y"/>
    <s v="N"/>
    <s v="Y"/>
    <s v="N"/>
    <s v="B033"/>
    <d v="2016-11-04T00:00:00"/>
    <s v="20"/>
    <s v="TAN"/>
    <s v="OR"/>
    <d v="2016-11-01T00:00:00"/>
    <s v="ND"/>
    <s v="US"/>
    <s v="ZR"/>
    <d v="2016-11-01T00:00:00"/>
  </r>
  <r>
    <x v="1"/>
    <x v="7"/>
    <x v="1585"/>
    <x v="37"/>
    <s v="Standard order"/>
    <x v="1497"/>
    <x v="1492"/>
    <s v="8233"/>
    <s v="BTS 82RR33"/>
    <s v="5002775"/>
    <s v="8233 BTS T35 PB SYSTIVA RP"/>
    <n v="200"/>
    <n v="0"/>
    <n v="200"/>
    <x v="7"/>
    <s v="DRMC"/>
    <s v="RP"/>
    <s v="333"/>
    <s v="4.0 UN"/>
    <s v="STANDARD"/>
    <s v="N"/>
    <s v="Y"/>
    <s v="N"/>
    <s v="T35"/>
    <s v="Y"/>
    <s v="N"/>
    <s v="Y"/>
    <s v="N"/>
    <s v="B033"/>
    <d v="2016-11-04T00:00:00"/>
    <s v="30"/>
    <s v="TAN"/>
    <s v="OR"/>
    <d v="2016-11-01T00:00:00"/>
    <s v="ND"/>
    <s v="US"/>
    <s v="ZR"/>
    <d v="2016-11-01T00:00:00"/>
  </r>
  <r>
    <x v="1"/>
    <x v="7"/>
    <x v="1585"/>
    <x v="37"/>
    <s v="Standard order"/>
    <x v="1497"/>
    <x v="1492"/>
    <s v="8572"/>
    <s v="BTS 8572"/>
    <s v="5003215"/>
    <s v="8572 BTS T35 PB SYSTIVA RP"/>
    <n v="200"/>
    <n v="0"/>
    <n v="200"/>
    <x v="7"/>
    <s v="FENB"/>
    <s v="RP"/>
    <s v="333"/>
    <s v="4.0 UN"/>
    <s v="STANDARD"/>
    <s v="N"/>
    <s v="Y"/>
    <s v="N"/>
    <s v="T35"/>
    <s v="Y"/>
    <s v="N"/>
    <s v="Y"/>
    <s v="N"/>
    <s v="B033"/>
    <d v="2016-11-04T00:00:00"/>
    <s v="40"/>
    <s v="TAN"/>
    <s v="OR"/>
    <d v="2016-11-01T00:00:00"/>
    <s v="ND"/>
    <s v="US"/>
    <s v="ZR"/>
    <d v="2016-11-01T00:00:00"/>
  </r>
  <r>
    <x v="1"/>
    <x v="7"/>
    <x v="1586"/>
    <x v="36"/>
    <s v="Standard order"/>
    <x v="1498"/>
    <x v="1493"/>
    <s v="8363"/>
    <s v="BTS 8363"/>
    <s v="5002815"/>
    <s v="8363 BTS T35 PB SYSTIVA P200"/>
    <n v="96"/>
    <n v="0"/>
    <n v="96"/>
    <x v="7"/>
    <s v="DMMZ"/>
    <s v="PRO 200"/>
    <s v="333"/>
    <s v="4.0 UN"/>
    <s v="STANDARD"/>
    <s v="N"/>
    <s v="Y"/>
    <s v="N"/>
    <s v="T35"/>
    <s v="Y"/>
    <s v="N"/>
    <s v="Y"/>
    <s v="N"/>
    <s v="B027"/>
    <d v="2016-11-04T00:00:00"/>
    <s v="10"/>
    <s v="TAN"/>
    <s v="OR"/>
    <d v="2016-11-01T00:00:00"/>
    <s v="MN"/>
    <s v="US"/>
    <s v="ZR"/>
    <d v="2016-11-01T00:00:00"/>
  </r>
  <r>
    <x v="1"/>
    <x v="7"/>
    <x v="1586"/>
    <x v="36"/>
    <s v="Standard order"/>
    <x v="1498"/>
    <x v="1493"/>
    <s v="8337"/>
    <s v="BTS 8337"/>
    <s v="5002794"/>
    <s v="8337 BTS T35 PB SYSTIVA P200"/>
    <n v="24"/>
    <n v="0"/>
    <n v="24"/>
    <x v="7"/>
    <s v="DHMC"/>
    <s v="PRO 200"/>
    <s v="333"/>
    <s v="4.0 UN"/>
    <s v="STANDARD"/>
    <s v="N"/>
    <s v="Y"/>
    <s v="N"/>
    <s v="T35"/>
    <s v="Y"/>
    <s v="N"/>
    <s v="Y"/>
    <s v="N"/>
    <s v="B027"/>
    <d v="2016-11-04T00:00:00"/>
    <s v="20"/>
    <s v="TAN"/>
    <s v="OR"/>
    <d v="2016-11-01T00:00:00"/>
    <s v="MN"/>
    <s v="US"/>
    <s v="ZR"/>
    <d v="2016-11-01T00:00:00"/>
  </r>
  <r>
    <x v="1"/>
    <x v="7"/>
    <x v="1587"/>
    <x v="37"/>
    <s v="Standard order"/>
    <x v="1499"/>
    <x v="1494"/>
    <s v="8052"/>
    <s v="BTS 80RR52"/>
    <s v="5002735"/>
    <s v="8052 BTS T35 PB SYSTIVA RP"/>
    <n v="300"/>
    <n v="0"/>
    <n v="300"/>
    <x v="7"/>
    <s v="AP82"/>
    <s v="RP"/>
    <s v="333"/>
    <s v="4.0 UN"/>
    <s v="STANDARD"/>
    <s v="N"/>
    <s v="Y"/>
    <s v="N"/>
    <s v="T35"/>
    <s v="Y"/>
    <s v="N"/>
    <s v="Y"/>
    <s v="N"/>
    <s v="B033"/>
    <d v="2016-11-04T00:00:00"/>
    <s v="10"/>
    <s v="TAN"/>
    <s v="OR"/>
    <d v="2016-11-01T00:00:00"/>
    <s v="MN"/>
    <s v="US"/>
    <s v="ZR"/>
    <d v="2016-11-01T00:00:00"/>
  </r>
  <r>
    <x v="1"/>
    <x v="7"/>
    <x v="1588"/>
    <x v="37"/>
    <s v="Standard order"/>
    <x v="1500"/>
    <x v="1495"/>
    <s v="8500"/>
    <s v="BTS 8500"/>
    <s v="5002855"/>
    <s v="8500 BTS T35 PB SYSTIVA P200"/>
    <n v="240"/>
    <n v="0"/>
    <n v="240"/>
    <x v="7"/>
    <s v="FTND"/>
    <s v="PRO 200"/>
    <s v="333"/>
    <s v="4.0 UN"/>
    <s v="STANDARD"/>
    <s v="N"/>
    <s v="Y"/>
    <s v="N"/>
    <s v="T35"/>
    <s v="Y"/>
    <s v="N"/>
    <s v="Y"/>
    <s v="N"/>
    <s v="B033"/>
    <d v="2016-11-04T00:00:00"/>
    <s v="40"/>
    <s v="TAN"/>
    <s v="OR"/>
    <d v="2016-11-01T00:00:00"/>
    <s v="ND"/>
    <s v="US"/>
    <s v="ZR"/>
    <d v="2016-11-01T00:00:00"/>
  </r>
  <r>
    <x v="1"/>
    <x v="7"/>
    <x v="1588"/>
    <x v="37"/>
    <s v="Standard order"/>
    <x v="1500"/>
    <x v="1495"/>
    <s v="8052"/>
    <s v="BTS 80RR52"/>
    <s v="5002734"/>
    <s v="8052 BTS T35 PB SYSTIVA P200"/>
    <n v="200"/>
    <n v="0"/>
    <n v="200"/>
    <x v="7"/>
    <s v="AP82"/>
    <s v="PRO 200"/>
    <s v="333"/>
    <s v="4.0 UN"/>
    <s v="STANDARD"/>
    <s v="N"/>
    <s v="Y"/>
    <s v="N"/>
    <s v="T35"/>
    <s v="Y"/>
    <s v="N"/>
    <s v="Y"/>
    <s v="N"/>
    <s v="B033"/>
    <d v="2016-11-04T00:00:00"/>
    <s v="30"/>
    <s v="TAN"/>
    <s v="OR"/>
    <d v="2016-11-01T00:00:00"/>
    <s v="ND"/>
    <s v="US"/>
    <s v="ZR"/>
    <d v="2016-11-01T00:00:00"/>
  </r>
  <r>
    <x v="1"/>
    <x v="7"/>
    <x v="1589"/>
    <x v="39"/>
    <s v="Standard order"/>
    <x v="1501"/>
    <x v="1496"/>
    <s v="8363"/>
    <s v="BTS 8363"/>
    <s v="5002803"/>
    <s v="8363 BTS T20 PB SYSTIVA MP"/>
    <n v="120"/>
    <n v="0"/>
    <n v="120"/>
    <x v="7"/>
    <s v="DMMZ"/>
    <s v="MP"/>
    <s v="322"/>
    <s v="4.0 UN"/>
    <s v="STANDARD"/>
    <s v="N"/>
    <s v="N"/>
    <s v="N"/>
    <s v="T20"/>
    <s v="Y"/>
    <s v="N"/>
    <s v="Y"/>
    <s v="N"/>
    <s v="B030"/>
    <d v="2016-11-04T00:00:00"/>
    <s v="10"/>
    <s v="TAN"/>
    <s v="OR"/>
    <d v="2016-11-01T00:00:00"/>
    <s v="ND"/>
    <s v="US"/>
    <s v="ZR"/>
    <d v="2016-11-01T00:00:00"/>
  </r>
  <r>
    <x v="1"/>
    <x v="7"/>
    <x v="1590"/>
    <x v="38"/>
    <s v="Standard order"/>
    <x v="1502"/>
    <x v="1497"/>
    <s v="8337"/>
    <s v="BTS 8337"/>
    <s v="5002795"/>
    <s v="8337 BTS T35 PB SYSTIVA RP"/>
    <n v="64"/>
    <n v="0"/>
    <n v="64"/>
    <x v="7"/>
    <s v="DHMC"/>
    <s v="RP"/>
    <s v="333"/>
    <s v="4.0 UN"/>
    <s v="STANDARD"/>
    <s v="N"/>
    <s v="Y"/>
    <s v="N"/>
    <s v="T35"/>
    <s v="Y"/>
    <s v="N"/>
    <s v="Y"/>
    <s v="N"/>
    <s v="B031"/>
    <d v="2016-11-04T00:00:00"/>
    <s v="10"/>
    <s v="TAN"/>
    <s v="OR"/>
    <d v="2016-11-01T00:00:00"/>
    <s v="MN"/>
    <s v="US"/>
    <s v="ZR"/>
    <d v="2016-11-01T00:00:00"/>
  </r>
  <r>
    <x v="1"/>
    <x v="7"/>
    <x v="1590"/>
    <x v="38"/>
    <s v="Standard order"/>
    <x v="1502"/>
    <x v="1497"/>
    <s v="8524"/>
    <s v="BTS 8524"/>
    <s v="5002896"/>
    <s v="8524 BTS T35 PB SYSTIVA RP"/>
    <n v="32"/>
    <n v="0"/>
    <n v="32"/>
    <x v="7"/>
    <s v="FWND"/>
    <s v="RP"/>
    <s v="333"/>
    <s v="4.0 UN"/>
    <s v="STANDARD"/>
    <s v="N"/>
    <s v="Y"/>
    <s v="N"/>
    <s v="T35"/>
    <s v="Y"/>
    <s v="N"/>
    <s v="Y"/>
    <s v="N"/>
    <s v="B031"/>
    <d v="2016-11-04T00:00:00"/>
    <s v="20"/>
    <s v="TAN"/>
    <s v="OR"/>
    <d v="2016-11-01T00:00:00"/>
    <s v="MN"/>
    <s v="US"/>
    <s v="ZR"/>
    <d v="2016-11-01T00:00:00"/>
  </r>
  <r>
    <x v="1"/>
    <x v="7"/>
    <x v="1591"/>
    <x v="38"/>
    <s v="Standard order"/>
    <x v="1503"/>
    <x v="1498"/>
    <s v="8363"/>
    <s v="BTS 8363"/>
    <s v="5002816"/>
    <s v="8363 BTS T35 PB SYSTIVA RP"/>
    <n v="236"/>
    <n v="0"/>
    <n v="236"/>
    <x v="7"/>
    <s v="DMMZ"/>
    <s v="RP"/>
    <s v="333"/>
    <s v="4.0 UN"/>
    <s v="STANDARD"/>
    <s v="N"/>
    <s v="Y"/>
    <s v="N"/>
    <s v="T35"/>
    <s v="Y"/>
    <s v="N"/>
    <s v="Y"/>
    <s v="N"/>
    <s v="B031"/>
    <d v="2016-11-04T00:00:00"/>
    <s v="10"/>
    <s v="TAN"/>
    <s v="OR"/>
    <d v="2016-11-01T00:00:00"/>
    <s v="MN"/>
    <s v="US"/>
    <s v="ZR"/>
    <d v="2016-11-01T00:00:00"/>
  </r>
  <r>
    <x v="1"/>
    <x v="7"/>
    <x v="1591"/>
    <x v="38"/>
    <s v="Standard order"/>
    <x v="1503"/>
    <x v="1498"/>
    <s v="8500"/>
    <s v="BTS 8500"/>
    <s v="5002856"/>
    <s v="8500 BTS T35 PB SYSTIVA RP"/>
    <n v="64"/>
    <n v="0"/>
    <n v="64"/>
    <x v="7"/>
    <s v="FTND"/>
    <s v="RP"/>
    <s v="333"/>
    <s v="4.0 UN"/>
    <s v="STANDARD"/>
    <s v="N"/>
    <s v="Y"/>
    <s v="N"/>
    <s v="T35"/>
    <s v="Y"/>
    <s v="N"/>
    <s v="Y"/>
    <s v="N"/>
    <s v="B031"/>
    <d v="2016-11-04T00:00:00"/>
    <s v="20"/>
    <s v="TAN"/>
    <s v="OR"/>
    <d v="2016-11-01T00:00:00"/>
    <s v="MN"/>
    <s v="US"/>
    <s v="ZR"/>
    <d v="2016-11-01T00:00:00"/>
  </r>
  <r>
    <x v="1"/>
    <x v="7"/>
    <x v="1592"/>
    <x v="31"/>
    <s v="Standard order"/>
    <x v="1504"/>
    <x v="1499"/>
    <s v="8512"/>
    <s v="BTS 8512"/>
    <s v="5002879"/>
    <s v="8512 BTS T35 SYSTIVA P200"/>
    <n v="128"/>
    <n v="0"/>
    <n v="128"/>
    <x v="7"/>
    <s v="FX73"/>
    <s v="PRO 200"/>
    <s v="334"/>
    <s v="4.0 UN"/>
    <s v="STANDARD"/>
    <s v="N"/>
    <s v="N"/>
    <s v="N"/>
    <s v="T35"/>
    <s v="Y"/>
    <s v="N"/>
    <s v="Y"/>
    <s v="N"/>
    <s v="B028"/>
    <d v="2016-11-04T00:00:00"/>
    <s v="30"/>
    <s v="TAN"/>
    <s v="OR"/>
    <d v="2016-11-01T00:00:00"/>
    <s v="MN"/>
    <s v="US"/>
    <s v="ZR"/>
    <d v="2016-11-01T00:00:00"/>
  </r>
  <r>
    <x v="1"/>
    <x v="7"/>
    <x v="1592"/>
    <x v="31"/>
    <s v="Standard order"/>
    <x v="1504"/>
    <x v="1499"/>
    <s v="8524"/>
    <s v="BTS 8524"/>
    <s v="5002899"/>
    <s v="8524 BTS T35 SYSTIVA P200"/>
    <n v="88"/>
    <n v="0"/>
    <n v="88"/>
    <x v="7"/>
    <s v="FWND"/>
    <s v="PRO 200"/>
    <s v="334"/>
    <s v="4.0 UN"/>
    <s v="STANDARD"/>
    <s v="N"/>
    <s v="N"/>
    <s v="N"/>
    <s v="T35"/>
    <s v="Y"/>
    <s v="N"/>
    <s v="Y"/>
    <s v="N"/>
    <s v="B028"/>
    <d v="2016-11-04T00:00:00"/>
    <s v="20"/>
    <s v="TAN"/>
    <s v="OR"/>
    <d v="2016-11-01T00:00:00"/>
    <s v="MN"/>
    <s v="US"/>
    <s v="ZR"/>
    <d v="2016-11-01T00:00:00"/>
  </r>
  <r>
    <x v="1"/>
    <x v="7"/>
    <x v="1593"/>
    <x v="31"/>
    <s v="Standard order"/>
    <x v="1505"/>
    <x v="1500"/>
    <s v="8500"/>
    <s v="BTS 8500"/>
    <s v="5002860"/>
    <s v="8500 BTS T35 SYSTIVA RP"/>
    <n v="24"/>
    <n v="0"/>
    <n v="24"/>
    <x v="7"/>
    <s v="FTND"/>
    <s v="RP"/>
    <s v="334"/>
    <s v="4.0 UN"/>
    <s v="STANDARD"/>
    <s v="N"/>
    <s v="N"/>
    <s v="N"/>
    <s v="T35"/>
    <s v="Y"/>
    <s v="N"/>
    <s v="Y"/>
    <s v="N"/>
    <s v="B028"/>
    <d v="2016-11-04T00:00:00"/>
    <s v="50"/>
    <s v="TAN"/>
    <s v="OR"/>
    <d v="2016-11-01T00:00:00"/>
    <s v="MN"/>
    <s v="US"/>
    <s v="ZR"/>
    <d v="2016-11-01T00:00:00"/>
  </r>
  <r>
    <x v="1"/>
    <x v="7"/>
    <x v="1593"/>
    <x v="31"/>
    <s v="Standard order"/>
    <x v="1505"/>
    <x v="1500"/>
    <s v="8524"/>
    <s v="BTS 8524"/>
    <s v="5002900"/>
    <s v="8524 BTS T35 SYSTIVA RP"/>
    <n v="64"/>
    <n v="0"/>
    <n v="64"/>
    <x v="7"/>
    <s v="FWND"/>
    <s v="RP"/>
    <s v="334"/>
    <s v="4.0 UN"/>
    <s v="STANDARD"/>
    <s v="N"/>
    <s v="N"/>
    <s v="N"/>
    <s v="T35"/>
    <s v="Y"/>
    <s v="N"/>
    <s v="Y"/>
    <s v="N"/>
    <s v="B028"/>
    <d v="2016-11-04T00:00:00"/>
    <s v="30"/>
    <s v="TAN"/>
    <s v="OR"/>
    <d v="2016-11-01T00:00:00"/>
    <s v="MN"/>
    <s v="US"/>
    <s v="ZR"/>
    <d v="2016-11-01T00:00:00"/>
  </r>
  <r>
    <x v="1"/>
    <x v="7"/>
    <x v="1594"/>
    <x v="31"/>
    <s v="Standard order"/>
    <x v="1506"/>
    <x v="1501"/>
    <s v="8052"/>
    <s v="BTS 80RR52"/>
    <s v="5002738"/>
    <s v="8052 BTS T35 SYSTIVA P200"/>
    <n v="88"/>
    <n v="0"/>
    <n v="88"/>
    <x v="7"/>
    <s v="AP82"/>
    <s v="PRO 200"/>
    <s v="334"/>
    <s v="4.0 UN"/>
    <s v="STANDARD"/>
    <s v="N"/>
    <s v="N"/>
    <s v="N"/>
    <s v="T35"/>
    <s v="Y"/>
    <s v="N"/>
    <s v="Y"/>
    <s v="N"/>
    <s v="B028"/>
    <d v="2016-11-04T00:00:00"/>
    <s v="10"/>
    <s v="TAN"/>
    <s v="OR"/>
    <d v="2016-11-01T00:00:00"/>
    <s v="MN"/>
    <s v="US"/>
    <s v="ZR"/>
    <d v="2016-11-01T00:00:00"/>
  </r>
  <r>
    <x v="1"/>
    <x v="7"/>
    <x v="1594"/>
    <x v="31"/>
    <s v="Standard order"/>
    <x v="1506"/>
    <x v="1501"/>
    <s v="8524"/>
    <s v="BTS 8524"/>
    <s v="5002899"/>
    <s v="8524 BTS T35 SYSTIVA P200"/>
    <n v="88"/>
    <n v="0"/>
    <n v="88"/>
    <x v="7"/>
    <s v="FWND"/>
    <s v="PRO 200"/>
    <s v="334"/>
    <s v="4.0 UN"/>
    <s v="STANDARD"/>
    <s v="N"/>
    <s v="N"/>
    <s v="N"/>
    <s v="T35"/>
    <s v="Y"/>
    <s v="N"/>
    <s v="Y"/>
    <s v="N"/>
    <s v="B028"/>
    <d v="2016-11-04T00:00:00"/>
    <s v="20"/>
    <s v="TAN"/>
    <s v="OR"/>
    <d v="2016-11-01T00:00:00"/>
    <s v="MN"/>
    <s v="US"/>
    <s v="ZR"/>
    <d v="2016-11-01T00:00:00"/>
  </r>
  <r>
    <x v="1"/>
    <x v="7"/>
    <x v="1595"/>
    <x v="31"/>
    <s v="Standard order"/>
    <x v="1507"/>
    <x v="1502"/>
    <s v="8052"/>
    <s v="BTS 80RR52"/>
    <s v="5002738"/>
    <s v="8052 BTS T35 SYSTIVA P200"/>
    <n v="48"/>
    <n v="0"/>
    <n v="48"/>
    <x v="7"/>
    <s v="AP82"/>
    <s v="PRO 200"/>
    <s v="334"/>
    <s v="4.0 UN"/>
    <s v="STANDARD"/>
    <s v="N"/>
    <s v="N"/>
    <s v="N"/>
    <s v="T35"/>
    <s v="Y"/>
    <s v="N"/>
    <s v="Y"/>
    <s v="N"/>
    <s v="B028"/>
    <d v="2016-11-04T00:00:00"/>
    <s v="10"/>
    <s v="TAN"/>
    <s v="OR"/>
    <d v="2016-11-01T00:00:00"/>
    <s v="MN"/>
    <s v="US"/>
    <s v="ZR"/>
    <d v="2016-11-01T00:00:00"/>
  </r>
  <r>
    <x v="1"/>
    <x v="7"/>
    <x v="1595"/>
    <x v="31"/>
    <s v="Standard order"/>
    <x v="1507"/>
    <x v="1502"/>
    <s v="8572"/>
    <s v="BTS 8572"/>
    <s v="5003218"/>
    <s v="8572 BTS T35 SYSTIVA P200"/>
    <n v="48"/>
    <n v="0"/>
    <n v="48"/>
    <x v="7"/>
    <s v="FENB"/>
    <s v="PRO 200"/>
    <s v="334"/>
    <s v="4.0 UN"/>
    <s v="STANDARD"/>
    <s v="N"/>
    <s v="N"/>
    <s v="N"/>
    <s v="T35"/>
    <s v="Y"/>
    <s v="N"/>
    <s v="Y"/>
    <s v="N"/>
    <s v="B028"/>
    <d v="2016-11-04T00:00:00"/>
    <s v="20"/>
    <s v="TAN"/>
    <s v="OR"/>
    <d v="2016-11-01T00:00:00"/>
    <s v="MN"/>
    <s v="US"/>
    <s v="ZR"/>
    <d v="2016-11-01T00:00:00"/>
  </r>
  <r>
    <x v="1"/>
    <x v="7"/>
    <x v="1596"/>
    <x v="31"/>
    <s v="Standard order"/>
    <x v="1508"/>
    <x v="1503"/>
    <s v="8572"/>
    <s v="BTS 8572"/>
    <s v="5003218"/>
    <s v="8572 BTS T35 SYSTIVA P200"/>
    <n v="40"/>
    <n v="0"/>
    <n v="40"/>
    <x v="7"/>
    <s v="FENB"/>
    <s v="PRO 200"/>
    <s v="334"/>
    <s v="4.0 UN"/>
    <s v="STANDARD"/>
    <s v="N"/>
    <s v="N"/>
    <s v="N"/>
    <s v="T35"/>
    <s v="Y"/>
    <s v="N"/>
    <s v="Y"/>
    <s v="N"/>
    <s v="B028"/>
    <d v="2016-11-04T00:00:00"/>
    <s v="10"/>
    <s v="TAN"/>
    <s v="OR"/>
    <d v="2016-11-01T00:00:00"/>
    <s v=""/>
    <s v="US"/>
    <s v="ZR"/>
    <d v="2016-11-01T00:00:00"/>
  </r>
  <r>
    <x v="1"/>
    <x v="7"/>
    <x v="1597"/>
    <x v="31"/>
    <s v="Standard order"/>
    <x v="1509"/>
    <x v="1504"/>
    <s v="8500"/>
    <s v="BTS 8500"/>
    <s v="5002859"/>
    <s v="8500 BTS T35 SYSTIVA P200"/>
    <n v="96"/>
    <n v="0"/>
    <n v="96"/>
    <x v="7"/>
    <s v="FTND"/>
    <s v="PRO 200"/>
    <s v="334"/>
    <s v="4.0 UN"/>
    <s v="STANDARD"/>
    <s v="N"/>
    <s v="N"/>
    <s v="N"/>
    <s v="T35"/>
    <s v="Y"/>
    <s v="N"/>
    <s v="Y"/>
    <s v="N"/>
    <s v="B028"/>
    <d v="2016-11-04T00:00:00"/>
    <s v="10"/>
    <s v="TAN"/>
    <s v="OR"/>
    <d v="2016-11-01T00:00:00"/>
    <s v="MN"/>
    <s v="US"/>
    <s v="ZR"/>
    <d v="2016-11-01T00:00:00"/>
  </r>
  <r>
    <x v="1"/>
    <x v="7"/>
    <x v="1598"/>
    <x v="31"/>
    <s v="Standard order"/>
    <x v="1510"/>
    <x v="1505"/>
    <s v="8337"/>
    <s v="BTS 8337"/>
    <s v="5002799"/>
    <s v="8337 BTS T35 SYSTIVA RP"/>
    <n v="120"/>
    <n v="0"/>
    <n v="120"/>
    <x v="7"/>
    <s v="DHMC"/>
    <s v="RP"/>
    <s v="334"/>
    <s v="4.0 UN"/>
    <s v="STANDARD"/>
    <s v="N"/>
    <s v="N"/>
    <s v="N"/>
    <s v="T35"/>
    <s v="Y"/>
    <s v="N"/>
    <s v="Y"/>
    <s v="N"/>
    <s v="B028"/>
    <d v="2016-11-04T00:00:00"/>
    <s v="10"/>
    <s v="TAN"/>
    <s v="OR"/>
    <d v="2016-11-01T00:00:00"/>
    <s v="ND"/>
    <s v="US"/>
    <s v="ZR"/>
    <d v="2016-11-01T00:00:00"/>
  </r>
  <r>
    <x v="1"/>
    <x v="7"/>
    <x v="1598"/>
    <x v="31"/>
    <s v="Standard order"/>
    <x v="1510"/>
    <x v="1505"/>
    <s v="8524"/>
    <s v="BTS 8524"/>
    <s v="5002900"/>
    <s v="8524 BTS T35 SYSTIVA RP"/>
    <n v="432"/>
    <n v="0"/>
    <n v="432"/>
    <x v="7"/>
    <s v="FWND"/>
    <s v="RP"/>
    <s v="334"/>
    <s v="4.0 UN"/>
    <s v="STANDARD"/>
    <s v="N"/>
    <s v="N"/>
    <s v="N"/>
    <s v="T35"/>
    <s v="Y"/>
    <s v="N"/>
    <s v="Y"/>
    <s v="N"/>
    <s v="B028"/>
    <d v="2016-11-04T00:00:00"/>
    <s v="20"/>
    <s v="TAN"/>
    <s v="OR"/>
    <d v="2016-11-01T00:00:00"/>
    <s v="ND"/>
    <s v="US"/>
    <s v="ZR"/>
    <d v="2016-11-01T00:00:00"/>
  </r>
  <r>
    <x v="1"/>
    <x v="7"/>
    <x v="1598"/>
    <x v="31"/>
    <s v="Standard order"/>
    <x v="1510"/>
    <x v="1505"/>
    <s v="8052"/>
    <s v="BTS 80RR52"/>
    <s v="5002739"/>
    <s v="8052 BTS T35 SYSTIVA RP"/>
    <n v="432"/>
    <n v="0"/>
    <n v="432"/>
    <x v="7"/>
    <s v="AP82"/>
    <s v="RP"/>
    <s v="334"/>
    <s v="4.0 UN"/>
    <s v="STANDARD"/>
    <s v="N"/>
    <s v="N"/>
    <s v="N"/>
    <s v="T35"/>
    <s v="Y"/>
    <s v="N"/>
    <s v="Y"/>
    <s v="N"/>
    <s v="B028"/>
    <d v="2016-11-04T00:00:00"/>
    <s v="30"/>
    <s v="TAN"/>
    <s v="OR"/>
    <d v="2016-11-01T00:00:00"/>
    <s v="ND"/>
    <s v="US"/>
    <s v="ZR"/>
    <d v="2016-11-01T00:00:00"/>
  </r>
  <r>
    <x v="1"/>
    <x v="7"/>
    <x v="1598"/>
    <x v="31"/>
    <s v="Standard order"/>
    <x v="1510"/>
    <x v="1505"/>
    <s v="83CN"/>
    <s v="BTS 83CN"/>
    <s v="5002840"/>
    <s v="83CN BTS T35 SYSTIVA RP"/>
    <n v="100"/>
    <n v="0"/>
    <n v="100"/>
    <x v="7"/>
    <s v="EE73"/>
    <s v="RP"/>
    <s v="334"/>
    <s v="4.0 UN"/>
    <s v="STANDARD"/>
    <s v="N"/>
    <s v="N"/>
    <s v="N"/>
    <s v="T35"/>
    <s v="Y"/>
    <s v="N"/>
    <s v="Y"/>
    <s v="N"/>
    <s v="B028"/>
    <d v="2016-11-04T00:00:00"/>
    <s v="40"/>
    <s v="TAN"/>
    <s v="OR"/>
    <d v="2016-11-01T00:00:00"/>
    <s v="ND"/>
    <s v="US"/>
    <s v="ZR"/>
    <d v="2016-11-01T00:00:00"/>
  </r>
  <r>
    <x v="1"/>
    <x v="8"/>
    <x v="1599"/>
    <x v="34"/>
    <s v="Returns Standard SAP"/>
    <x v="1354"/>
    <x v="1349"/>
    <s v="5499"/>
    <s v="BTS 5499"/>
    <s v="5002606"/>
    <s v="5499 BTS P50"/>
    <n v="-16"/>
    <n v="-16"/>
    <n v="0"/>
    <x v="8"/>
    <s v="DRMG"/>
    <s v="PRO 50"/>
    <s v="306"/>
    <s v="4.0 UN"/>
    <s v="STANDARD"/>
    <s v="N"/>
    <s v="N"/>
    <s v="N"/>
    <s v="N"/>
    <s v="N"/>
    <s v="N"/>
    <s v="N"/>
    <s v="N"/>
    <s v="B052"/>
    <m/>
    <s v="10"/>
    <s v="ZSRE"/>
    <s v="ZSRE"/>
    <d v="2016-11-23T00:00:00"/>
    <s v="CA"/>
    <s v="US"/>
    <s v="ZR"/>
    <d v="2016-11-01T00:00:00"/>
  </r>
  <r>
    <x v="1"/>
    <x v="8"/>
    <x v="1599"/>
    <x v="34"/>
    <s v="Returns Standard SAP"/>
    <x v="1354"/>
    <x v="1349"/>
    <s v="5245"/>
    <s v="BTS 52RR45"/>
    <s v="5002600"/>
    <s v="52RR45 P50"/>
    <n v="-16"/>
    <n v="-16"/>
    <n v="0"/>
    <x v="8"/>
    <s v="4D15"/>
    <s v="PRO 50"/>
    <s v="306"/>
    <s v="4.0 UN"/>
    <s v="STANDARD"/>
    <s v="N"/>
    <s v="N"/>
    <s v="N"/>
    <s v="N"/>
    <s v="N"/>
    <s v="N"/>
    <s v="N"/>
    <s v="N"/>
    <s v=""/>
    <m/>
    <s v="20"/>
    <s v="ZSRE"/>
    <s v="ZSRE"/>
    <d v="2016-11-23T00:00:00"/>
    <s v="CA"/>
    <s v="US"/>
    <s v="ZR"/>
    <d v="2016-11-01T00:00:00"/>
  </r>
  <r>
    <x v="1"/>
    <x v="7"/>
    <x v="1600"/>
    <x v="36"/>
    <s v="Standard order"/>
    <x v="1511"/>
    <x v="1506"/>
    <s v="8572"/>
    <s v="BTS 8572"/>
    <s v="5003215"/>
    <s v="8572 BTS T35 PB SYSTIVA RP"/>
    <n v="72"/>
    <n v="0"/>
    <n v="72"/>
    <x v="7"/>
    <s v="FENB"/>
    <s v="RP"/>
    <s v="333"/>
    <s v="4.0 UN"/>
    <s v="STANDARD"/>
    <s v="N"/>
    <s v="Y"/>
    <s v="N"/>
    <s v="T35"/>
    <s v="Y"/>
    <s v="N"/>
    <s v="Y"/>
    <s v="N"/>
    <s v="B027"/>
    <d v="2016-11-04T00:00:00"/>
    <s v="10"/>
    <s v="TAN"/>
    <s v="OR"/>
    <d v="2016-11-01T00:00:00"/>
    <s v="MN"/>
    <s v="US"/>
    <s v="ZR"/>
    <d v="2016-11-01T00:00:00"/>
  </r>
  <r>
    <x v="1"/>
    <x v="7"/>
    <x v="1601"/>
    <x v="37"/>
    <s v="Standard order"/>
    <x v="1512"/>
    <x v="1507"/>
    <s v="8500"/>
    <s v="BTS 8500"/>
    <s v="5002856"/>
    <s v="8500 BTS T35 PB SYSTIVA RP"/>
    <n v="56"/>
    <n v="0"/>
    <n v="56"/>
    <x v="7"/>
    <s v="FTND"/>
    <s v="RP"/>
    <s v="333"/>
    <s v="4.0 UN"/>
    <s v="STANDARD"/>
    <s v="N"/>
    <s v="Y"/>
    <s v="N"/>
    <s v="T35"/>
    <s v="Y"/>
    <s v="N"/>
    <s v="Y"/>
    <s v="N"/>
    <s v="B033"/>
    <d v="2016-11-04T00:00:00"/>
    <s v="10"/>
    <s v="TAN"/>
    <s v="OR"/>
    <d v="2016-11-01T00:00:00"/>
    <s v="MN"/>
    <s v="US"/>
    <s v="ZR"/>
    <d v="2016-11-01T00:00:00"/>
  </r>
  <r>
    <x v="1"/>
    <x v="7"/>
    <x v="1602"/>
    <x v="41"/>
    <s v="Standard order"/>
    <x v="1513"/>
    <x v="1508"/>
    <s v="8512"/>
    <s v="BTS 8512"/>
    <s v="5002880"/>
    <s v="8512 BTS T35 SYSTIVA RP"/>
    <n v="100"/>
    <n v="0"/>
    <n v="100"/>
    <x v="7"/>
    <s v="FX73"/>
    <s v="RP"/>
    <s v="334"/>
    <s v="4.0 UN"/>
    <s v="STANDARD"/>
    <s v="N"/>
    <s v="N"/>
    <s v="N"/>
    <s v="T35"/>
    <s v="Y"/>
    <s v="N"/>
    <s v="Y"/>
    <s v="N"/>
    <s v="B032"/>
    <d v="2016-11-04T00:00:00"/>
    <s v="60"/>
    <s v="TAN"/>
    <s v="OR"/>
    <d v="2016-11-01T00:00:00"/>
    <s v="MN"/>
    <s v="US"/>
    <s v="ZR"/>
    <d v="2016-11-01T00:00:00"/>
  </r>
  <r>
    <x v="1"/>
    <x v="7"/>
    <x v="1602"/>
    <x v="41"/>
    <s v="Standard order"/>
    <x v="1513"/>
    <x v="1508"/>
    <s v="8500"/>
    <s v="BTS 8500"/>
    <s v="5002860"/>
    <s v="8500 BTS T35 SYSTIVA RP"/>
    <n v="100"/>
    <n v="0"/>
    <n v="100"/>
    <x v="7"/>
    <s v="FTND"/>
    <s v="RP"/>
    <s v="334"/>
    <s v="4.0 UN"/>
    <s v="STANDARD"/>
    <s v="N"/>
    <s v="N"/>
    <s v="N"/>
    <s v="T35"/>
    <s v="Y"/>
    <s v="N"/>
    <s v="Y"/>
    <s v="N"/>
    <s v="B032"/>
    <d v="2016-11-04T00:00:00"/>
    <s v="40"/>
    <s v="TAN"/>
    <s v="OR"/>
    <d v="2016-11-01T00:00:00"/>
    <s v="MN"/>
    <s v="US"/>
    <s v="ZR"/>
    <d v="2016-11-01T00:00:00"/>
  </r>
  <r>
    <x v="1"/>
    <x v="7"/>
    <x v="1602"/>
    <x v="41"/>
    <s v="Standard order"/>
    <x v="1513"/>
    <x v="1508"/>
    <s v="8052"/>
    <s v="BTS 80RR52"/>
    <s v="5002739"/>
    <s v="8052 BTS T35 SYSTIVA RP"/>
    <n v="100"/>
    <n v="0"/>
    <n v="100"/>
    <x v="7"/>
    <s v="AP82"/>
    <s v="RP"/>
    <s v="334"/>
    <s v="4.0 UN"/>
    <s v="STANDARD"/>
    <s v="N"/>
    <s v="N"/>
    <s v="N"/>
    <s v="T35"/>
    <s v="Y"/>
    <s v="N"/>
    <s v="Y"/>
    <s v="N"/>
    <s v="B032"/>
    <d v="2016-11-04T00:00:00"/>
    <s v="50"/>
    <s v="TAN"/>
    <s v="OR"/>
    <d v="2016-11-01T00:00:00"/>
    <s v="MN"/>
    <s v="US"/>
    <s v="ZR"/>
    <d v="2016-11-01T00:00:00"/>
  </r>
  <r>
    <x v="1"/>
    <x v="7"/>
    <x v="1602"/>
    <x v="41"/>
    <s v="Standard order"/>
    <x v="1513"/>
    <x v="1508"/>
    <s v="8572"/>
    <s v="BTS 8572"/>
    <s v="5003219"/>
    <s v="8572 BTS T35 SYSTIVA RP"/>
    <n v="100"/>
    <n v="0"/>
    <n v="100"/>
    <x v="7"/>
    <s v="FENB"/>
    <s v="RP"/>
    <s v="334"/>
    <s v="4.0 UN"/>
    <s v="STANDARD"/>
    <s v="N"/>
    <s v="N"/>
    <s v="N"/>
    <s v="T35"/>
    <s v="Y"/>
    <s v="N"/>
    <s v="Y"/>
    <s v="N"/>
    <s v="B032"/>
    <d v="2016-11-04T00:00:00"/>
    <s v="30"/>
    <s v="TAN"/>
    <s v="OR"/>
    <d v="2016-11-01T00:00:00"/>
    <s v="MN"/>
    <s v="US"/>
    <s v="ZR"/>
    <d v="2016-11-01T00:00:00"/>
  </r>
  <r>
    <x v="1"/>
    <x v="7"/>
    <x v="1603"/>
    <x v="36"/>
    <s v="Standard order"/>
    <x v="1514"/>
    <x v="1509"/>
    <s v="8524"/>
    <s v="BTS 8524"/>
    <s v="5002895"/>
    <s v="8524 BTS T35 PB SYSTIVA P200"/>
    <n v="60"/>
    <n v="0"/>
    <n v="60"/>
    <x v="7"/>
    <s v="FWND"/>
    <s v="PRO 200"/>
    <s v="333"/>
    <s v="4.0 UN"/>
    <s v="STANDARD"/>
    <s v="N"/>
    <s v="Y"/>
    <s v="N"/>
    <s v="T35"/>
    <s v="Y"/>
    <s v="N"/>
    <s v="Y"/>
    <s v="N"/>
    <s v="B027"/>
    <d v="2016-11-04T00:00:00"/>
    <s v="10"/>
    <s v="TAN"/>
    <s v="OR"/>
    <d v="2016-11-01T00:00:00"/>
    <s v="MN"/>
    <s v="US"/>
    <s v="ZR"/>
    <d v="2016-11-01T00:00:00"/>
  </r>
  <r>
    <x v="1"/>
    <x v="7"/>
    <x v="1603"/>
    <x v="36"/>
    <s v="Standard order"/>
    <x v="1514"/>
    <x v="1509"/>
    <s v="8572"/>
    <s v="BTS 8572"/>
    <s v="5003214"/>
    <s v="8572 BTS T35 PB SYSTIVA P200"/>
    <n v="60"/>
    <n v="0"/>
    <n v="60"/>
    <x v="7"/>
    <s v="FENB"/>
    <s v="PRO 200"/>
    <s v="333"/>
    <s v="4.0 UN"/>
    <s v="STANDARD"/>
    <s v="N"/>
    <s v="Y"/>
    <s v="N"/>
    <s v="T35"/>
    <s v="Y"/>
    <s v="N"/>
    <s v="Y"/>
    <s v="N"/>
    <s v="B027"/>
    <d v="2016-11-04T00:00:00"/>
    <s v="20"/>
    <s v="TAN"/>
    <s v="OR"/>
    <d v="2016-11-01T00:00:00"/>
    <s v="MN"/>
    <s v="US"/>
    <s v="ZR"/>
    <d v="2016-11-01T00:00:00"/>
  </r>
  <r>
    <x v="1"/>
    <x v="7"/>
    <x v="1604"/>
    <x v="39"/>
    <s v="Standard order"/>
    <x v="1515"/>
    <x v="1510"/>
    <s v="8572"/>
    <s v="BTS 8572"/>
    <s v="5003215"/>
    <s v="8572 BTS T35 PB SYSTIVA RP"/>
    <n v="88"/>
    <n v="0"/>
    <n v="88"/>
    <x v="7"/>
    <s v="FENB"/>
    <s v="RP"/>
    <s v="333"/>
    <s v="4.0 UN"/>
    <s v="STANDARD"/>
    <s v="N"/>
    <s v="Y"/>
    <s v="N"/>
    <s v="T35"/>
    <s v="Y"/>
    <s v="N"/>
    <s v="Y"/>
    <s v="N"/>
    <s v="B030"/>
    <d v="2016-11-04T00:00:00"/>
    <s v="10"/>
    <s v="TAN"/>
    <s v="OR"/>
    <d v="2016-11-01T00:00:00"/>
    <s v="MN"/>
    <s v="US"/>
    <s v="ZR"/>
    <d v="2016-11-01T00:00:00"/>
  </r>
  <r>
    <x v="1"/>
    <x v="7"/>
    <x v="1605"/>
    <x v="36"/>
    <s v="Standard order"/>
    <x v="1516"/>
    <x v="1511"/>
    <s v="8572"/>
    <s v="BTS 8572"/>
    <s v="5003215"/>
    <s v="8572 BTS T35 PB SYSTIVA RP"/>
    <n v="120"/>
    <n v="0"/>
    <n v="120"/>
    <x v="7"/>
    <s v="FENB"/>
    <s v="RP"/>
    <s v="333"/>
    <s v="4.0 UN"/>
    <s v="STANDARD"/>
    <s v="N"/>
    <s v="Y"/>
    <s v="N"/>
    <s v="T35"/>
    <s v="Y"/>
    <s v="N"/>
    <s v="Y"/>
    <s v="N"/>
    <s v="B027"/>
    <d v="2016-11-04T00:00:00"/>
    <s v="10"/>
    <s v="TAN"/>
    <s v="OR"/>
    <d v="2016-11-01T00:00:00"/>
    <s v="MN"/>
    <s v="US"/>
    <s v="ZR"/>
    <d v="2016-11-01T00:00:00"/>
  </r>
  <r>
    <x v="1"/>
    <x v="7"/>
    <x v="1605"/>
    <x v="36"/>
    <s v="Standard order"/>
    <x v="1516"/>
    <x v="1511"/>
    <s v="8052"/>
    <s v="BTS 80RR52"/>
    <s v="5002735"/>
    <s v="8052 BTS T35 PB SYSTIVA RP"/>
    <n v="48"/>
    <n v="0"/>
    <n v="48"/>
    <x v="7"/>
    <s v="AP82"/>
    <s v="RP"/>
    <s v="333"/>
    <s v="4.0 UN"/>
    <s v="STANDARD"/>
    <s v="N"/>
    <s v="Y"/>
    <s v="N"/>
    <s v="T35"/>
    <s v="Y"/>
    <s v="N"/>
    <s v="Y"/>
    <s v="N"/>
    <s v="B027"/>
    <d v="2016-11-04T00:00:00"/>
    <s v="20"/>
    <s v="TAN"/>
    <s v="OR"/>
    <d v="2016-11-01T00:00:00"/>
    <s v="MN"/>
    <s v="US"/>
    <s v="ZR"/>
    <d v="2016-11-01T00:00:00"/>
  </r>
  <r>
    <x v="1"/>
    <x v="7"/>
    <x v="1605"/>
    <x v="36"/>
    <s v="Standard order"/>
    <x v="1516"/>
    <x v="1511"/>
    <s v="8512"/>
    <s v="BTS 8512"/>
    <s v="5002876"/>
    <s v="8512 BTS T35 PB SYSTIVA RP"/>
    <n v="120"/>
    <n v="0"/>
    <n v="120"/>
    <x v="7"/>
    <s v="FX73"/>
    <s v="RP"/>
    <s v="333"/>
    <s v="4.0 UN"/>
    <s v="STANDARD"/>
    <s v="N"/>
    <s v="Y"/>
    <s v="N"/>
    <s v="T35"/>
    <s v="Y"/>
    <s v="N"/>
    <s v="Y"/>
    <s v="N"/>
    <s v="B027"/>
    <d v="2016-11-04T00:00:00"/>
    <s v="40"/>
    <s v="TAN"/>
    <s v="OR"/>
    <d v="2016-11-01T00:00:00"/>
    <s v="MN"/>
    <s v="US"/>
    <s v="ZR"/>
    <d v="2016-11-01T00:00:00"/>
  </r>
  <r>
    <x v="1"/>
    <x v="8"/>
    <x v="1606"/>
    <x v="34"/>
    <s v="Returns Standard SAP"/>
    <x v="1348"/>
    <x v="1343"/>
    <s v="5499"/>
    <s v="BTS 5499"/>
    <s v="5002606"/>
    <s v="5499 P50"/>
    <n v="-32"/>
    <n v="-32"/>
    <n v="0"/>
    <x v="8"/>
    <s v="DRMG"/>
    <s v="PRO 50"/>
    <s v="306"/>
    <s v="4.0 UN"/>
    <s v="STANDARD"/>
    <s v="N"/>
    <s v="N"/>
    <s v="N"/>
    <s v="N"/>
    <s v="N"/>
    <s v="N"/>
    <s v="N"/>
    <s v="N"/>
    <s v=""/>
    <m/>
    <s v="10"/>
    <s v="ZSRE"/>
    <s v="ZSRE"/>
    <d v="2016-11-14T00:00:00"/>
    <s v="CA"/>
    <s v="US"/>
    <s v="ZR"/>
    <d v="2016-11-01T00:00:00"/>
  </r>
  <r>
    <x v="1"/>
    <x v="8"/>
    <x v="1607"/>
    <x v="34"/>
    <s v="Returns Standard SAP"/>
    <x v="1377"/>
    <x v="1372"/>
    <s v="541N"/>
    <s v="BTS 541N"/>
    <s v="5002602"/>
    <s v="541N P50"/>
    <n v="-4"/>
    <n v="-4"/>
    <n v="0"/>
    <x v="8"/>
    <s v="BK71"/>
    <s v="PRO 50"/>
    <s v="306"/>
    <s v="4.0 UN"/>
    <s v="STANDARD"/>
    <s v="N"/>
    <s v="N"/>
    <s v="N"/>
    <s v="N"/>
    <s v="N"/>
    <s v="N"/>
    <s v="N"/>
    <s v="N"/>
    <s v=""/>
    <m/>
    <s v="10"/>
    <s v="ZSRE"/>
    <s v="ZSRE"/>
    <d v="2016-11-23T00:00:00"/>
    <s v="CA"/>
    <s v="US"/>
    <s v="ZR"/>
    <d v="2016-11-01T00:00:00"/>
  </r>
  <r>
    <x v="1"/>
    <x v="7"/>
    <x v="1608"/>
    <x v="41"/>
    <s v="Standard order"/>
    <x v="1517"/>
    <x v="1512"/>
    <s v="8572"/>
    <s v="BTS 8572"/>
    <s v="5003203"/>
    <s v="8572 BTS T20 SYSTIVA MP"/>
    <n v="96"/>
    <n v="0"/>
    <n v="96"/>
    <x v="7"/>
    <s v="FENB"/>
    <s v="MP"/>
    <s v="326"/>
    <s v="4.0 UN"/>
    <s v="STANDARD"/>
    <s v="N"/>
    <s v="N"/>
    <s v="N"/>
    <s v="T20"/>
    <s v="Y"/>
    <s v="N"/>
    <s v="Y"/>
    <s v="N"/>
    <s v="B032"/>
    <d v="2016-11-04T00:00:00"/>
    <s v="10"/>
    <s v="TAN"/>
    <s v="OR"/>
    <d v="2016-11-01T00:00:00"/>
    <s v="MN"/>
    <s v="US"/>
    <s v="ZR"/>
    <d v="2016-11-01T00:00:00"/>
  </r>
  <r>
    <x v="1"/>
    <x v="7"/>
    <x v="1608"/>
    <x v="41"/>
    <s v="Standard order"/>
    <x v="1517"/>
    <x v="1512"/>
    <s v="8052"/>
    <s v="BTS 80RR52"/>
    <s v="5002723"/>
    <s v="8052 BTS T20 SYSTIVA MP"/>
    <n v="48"/>
    <n v="0"/>
    <n v="48"/>
    <x v="7"/>
    <s v="AP82"/>
    <s v="MP"/>
    <s v="326"/>
    <s v="4.0 UN"/>
    <s v="STANDARD"/>
    <s v="N"/>
    <s v="N"/>
    <s v="N"/>
    <s v="T20"/>
    <s v="Y"/>
    <s v="N"/>
    <s v="Y"/>
    <s v="N"/>
    <s v="B032"/>
    <d v="2016-11-04T00:00:00"/>
    <s v="20"/>
    <s v="TAN"/>
    <s v="OR"/>
    <d v="2016-11-01T00:00:00"/>
    <s v="MN"/>
    <s v="US"/>
    <s v="ZR"/>
    <d v="2016-11-01T00:00:00"/>
  </r>
  <r>
    <x v="1"/>
    <x v="7"/>
    <x v="1608"/>
    <x v="41"/>
    <s v="Standard order"/>
    <x v="1517"/>
    <x v="1512"/>
    <s v="8524"/>
    <s v="BTS 8524"/>
    <s v="5002884"/>
    <s v="8524 BTS T20 SYSTIVA MP"/>
    <n v="48"/>
    <n v="0"/>
    <n v="48"/>
    <x v="7"/>
    <s v="FWND"/>
    <s v="MP"/>
    <s v="326"/>
    <s v="4.0 UN"/>
    <s v="STANDARD"/>
    <s v="N"/>
    <s v="N"/>
    <s v="N"/>
    <s v="T20"/>
    <s v="Y"/>
    <s v="N"/>
    <s v="Y"/>
    <s v="N"/>
    <s v="B032"/>
    <d v="2016-11-04T00:00:00"/>
    <s v="30"/>
    <s v="TAN"/>
    <s v="OR"/>
    <d v="2016-11-01T00:00:00"/>
    <s v="MN"/>
    <s v="US"/>
    <s v="ZR"/>
    <d v="2016-11-01T00:00:00"/>
  </r>
  <r>
    <x v="1"/>
    <x v="7"/>
    <x v="1609"/>
    <x v="36"/>
    <s v="Standard order"/>
    <x v="1518"/>
    <x v="1513"/>
    <s v="8052"/>
    <s v="BTS 80RR52"/>
    <s v="5002735"/>
    <s v="8052 BTS T35 PB SYSTIVA RP"/>
    <n v="48"/>
    <n v="0"/>
    <n v="48"/>
    <x v="7"/>
    <s v="AP82"/>
    <s v="RP"/>
    <s v="333"/>
    <s v="4.0 UN"/>
    <s v="STANDARD"/>
    <s v="N"/>
    <s v="Y"/>
    <s v="N"/>
    <s v="T35"/>
    <s v="Y"/>
    <s v="N"/>
    <s v="Y"/>
    <s v="N"/>
    <s v="B027"/>
    <d v="2016-11-04T00:00:00"/>
    <s v="10"/>
    <s v="TAN"/>
    <s v="OR"/>
    <d v="2016-11-01T00:00:00"/>
    <s v="MN"/>
    <s v="US"/>
    <s v="ZR"/>
    <d v="2016-11-01T00:00:00"/>
  </r>
  <r>
    <x v="1"/>
    <x v="7"/>
    <x v="1609"/>
    <x v="36"/>
    <s v="Standard order"/>
    <x v="1518"/>
    <x v="1513"/>
    <s v="8363"/>
    <s v="BTS 8363"/>
    <s v="5002816"/>
    <s v="8363 BTS T35 PB SYSTIVA RP"/>
    <n v="48"/>
    <n v="0"/>
    <n v="48"/>
    <x v="7"/>
    <s v="DMMZ"/>
    <s v="RP"/>
    <s v="333"/>
    <s v="4.0 UN"/>
    <s v="STANDARD"/>
    <s v="N"/>
    <s v="Y"/>
    <s v="N"/>
    <s v="T35"/>
    <s v="Y"/>
    <s v="N"/>
    <s v="Y"/>
    <s v="N"/>
    <s v="B027"/>
    <d v="2016-11-04T00:00:00"/>
    <s v="20"/>
    <s v="TAN"/>
    <s v="OR"/>
    <d v="2016-11-01T00:00:00"/>
    <s v="MN"/>
    <s v="US"/>
    <s v="ZR"/>
    <d v="2016-11-01T00:00:00"/>
  </r>
  <r>
    <x v="1"/>
    <x v="7"/>
    <x v="1609"/>
    <x v="36"/>
    <s v="Standard order"/>
    <x v="1518"/>
    <x v="1513"/>
    <s v="8500"/>
    <s v="BTS 8500"/>
    <s v="5002856"/>
    <s v="8500 BTS T35 PB SYSTIVA RP"/>
    <n v="40"/>
    <n v="0"/>
    <n v="40"/>
    <x v="7"/>
    <s v="FTND"/>
    <s v="RP"/>
    <s v="333"/>
    <s v="4.0 UN"/>
    <s v="STANDARD"/>
    <s v="N"/>
    <s v="Y"/>
    <s v="N"/>
    <s v="T35"/>
    <s v="Y"/>
    <s v="N"/>
    <s v="Y"/>
    <s v="N"/>
    <s v="B027"/>
    <d v="2016-11-04T00:00:00"/>
    <s v="30"/>
    <s v="TAN"/>
    <s v="OR"/>
    <d v="2016-11-01T00:00:00"/>
    <s v="MN"/>
    <s v="US"/>
    <s v="ZR"/>
    <d v="2016-11-01T00:00:00"/>
  </r>
  <r>
    <x v="1"/>
    <x v="7"/>
    <x v="1609"/>
    <x v="36"/>
    <s v="Standard order"/>
    <x v="1518"/>
    <x v="1513"/>
    <s v="8512"/>
    <s v="BTS 8512"/>
    <s v="5002876"/>
    <s v="8512 BTS T35 PB SYSTIVA RP"/>
    <n v="40"/>
    <n v="0"/>
    <n v="40"/>
    <x v="7"/>
    <s v="FX73"/>
    <s v="RP"/>
    <s v="333"/>
    <s v="4.0 UN"/>
    <s v="STANDARD"/>
    <s v="N"/>
    <s v="Y"/>
    <s v="N"/>
    <s v="T35"/>
    <s v="Y"/>
    <s v="N"/>
    <s v="Y"/>
    <s v="N"/>
    <s v="B027"/>
    <d v="2016-11-04T00:00:00"/>
    <s v="40"/>
    <s v="TAN"/>
    <s v="OR"/>
    <d v="2016-11-01T00:00:00"/>
    <s v="MN"/>
    <s v="US"/>
    <s v="ZR"/>
    <d v="2016-11-01T00:00:00"/>
  </r>
  <r>
    <x v="1"/>
    <x v="7"/>
    <x v="1609"/>
    <x v="36"/>
    <s v="Standard order"/>
    <x v="1518"/>
    <x v="1513"/>
    <s v="8572"/>
    <s v="BTS 8572"/>
    <s v="5003215"/>
    <s v="8572 BTS T35 PB SYSTIVA RP"/>
    <n v="32"/>
    <n v="0"/>
    <n v="32"/>
    <x v="7"/>
    <s v="FENB"/>
    <s v="RP"/>
    <s v="333"/>
    <s v="4.0 UN"/>
    <s v="STANDARD"/>
    <s v="N"/>
    <s v="Y"/>
    <s v="N"/>
    <s v="T35"/>
    <s v="Y"/>
    <s v="N"/>
    <s v="Y"/>
    <s v="N"/>
    <s v="B027"/>
    <d v="2016-11-04T00:00:00"/>
    <s v="50"/>
    <s v="TAN"/>
    <s v="OR"/>
    <d v="2016-11-01T00:00:00"/>
    <s v="MN"/>
    <s v="US"/>
    <s v="ZR"/>
    <d v="2016-11-01T00:00:00"/>
  </r>
  <r>
    <x v="1"/>
    <x v="7"/>
    <x v="1609"/>
    <x v="36"/>
    <s v="Standard order"/>
    <x v="1518"/>
    <x v="1513"/>
    <s v="8524"/>
    <s v="BTS 8524"/>
    <s v="5002896"/>
    <s v="8524 BTS T35 PB SYSTIVA RP"/>
    <n v="32"/>
    <n v="0"/>
    <n v="32"/>
    <x v="7"/>
    <s v="FWND"/>
    <s v="RP"/>
    <s v="333"/>
    <s v="4.0 UN"/>
    <s v="STANDARD"/>
    <s v="N"/>
    <s v="Y"/>
    <s v="N"/>
    <s v="T35"/>
    <s v="Y"/>
    <s v="N"/>
    <s v="Y"/>
    <s v="N"/>
    <s v="B027"/>
    <d v="2016-11-04T00:00:00"/>
    <s v="60"/>
    <s v="TAN"/>
    <s v="OR"/>
    <d v="2016-11-01T00:00:00"/>
    <s v="MN"/>
    <s v="US"/>
    <s v="ZR"/>
    <d v="2016-11-01T00:00:00"/>
  </r>
  <r>
    <x v="1"/>
    <x v="7"/>
    <x v="1610"/>
    <x v="38"/>
    <s v="Standard order"/>
    <x v="1519"/>
    <x v="1514"/>
    <s v="8337"/>
    <s v="BTS 8337"/>
    <s v="5002795"/>
    <s v="8337 BTS T35 PB SYSTIVA RP"/>
    <n v="76"/>
    <n v="0"/>
    <n v="76"/>
    <x v="7"/>
    <s v="DHMC"/>
    <s v="RP"/>
    <s v="333"/>
    <s v="4.0 UN"/>
    <s v="STANDARD"/>
    <s v="N"/>
    <s v="Y"/>
    <s v="N"/>
    <s v="T35"/>
    <s v="Y"/>
    <s v="N"/>
    <s v="Y"/>
    <s v="N"/>
    <s v="B031"/>
    <d v="2016-11-07T00:00:00"/>
    <s v="10"/>
    <s v="TAN"/>
    <s v="OR"/>
    <d v="2016-11-02T00:00:00"/>
    <s v="MN"/>
    <s v="US"/>
    <s v="ZR"/>
    <d v="2016-11-02T00:00:00"/>
  </r>
  <r>
    <x v="1"/>
    <x v="7"/>
    <x v="1611"/>
    <x v="38"/>
    <s v="Standard order"/>
    <x v="1520"/>
    <x v="1515"/>
    <s v="8052"/>
    <s v="BTS 80RR52"/>
    <s v="5002735"/>
    <s v="8052 BTS T35 PB SYSTIVA RP"/>
    <n v="92"/>
    <n v="0"/>
    <n v="92"/>
    <x v="7"/>
    <s v="AP82"/>
    <s v="RP"/>
    <s v="333"/>
    <s v="4.0 UN"/>
    <s v="STANDARD"/>
    <s v="N"/>
    <s v="Y"/>
    <s v="N"/>
    <s v="T35"/>
    <s v="Y"/>
    <s v="N"/>
    <s v="Y"/>
    <s v="N"/>
    <s v="B031"/>
    <d v="2016-11-07T00:00:00"/>
    <s v="10"/>
    <s v="TAN"/>
    <s v="OR"/>
    <d v="2016-11-02T00:00:00"/>
    <s v="MN"/>
    <s v="US"/>
    <s v="ZR"/>
    <d v="2016-11-02T00:00:00"/>
  </r>
  <r>
    <x v="1"/>
    <x v="7"/>
    <x v="1612"/>
    <x v="38"/>
    <s v="Standard order"/>
    <x v="1521"/>
    <x v="1516"/>
    <s v="8524"/>
    <s v="BTS 8524"/>
    <s v="5002896"/>
    <s v="8524 BTS T35 PB SYSTIVA RP"/>
    <n v="224"/>
    <n v="0"/>
    <n v="224"/>
    <x v="7"/>
    <s v="FWND"/>
    <s v="RP"/>
    <s v="333"/>
    <s v="4.0 UN"/>
    <s v="STANDARD"/>
    <s v="N"/>
    <s v="Y"/>
    <s v="N"/>
    <s v="T35"/>
    <s v="Y"/>
    <s v="N"/>
    <s v="Y"/>
    <s v="N"/>
    <s v="B031"/>
    <d v="2016-11-07T00:00:00"/>
    <s v="10"/>
    <s v="TAN"/>
    <s v="OR"/>
    <d v="2016-11-02T00:00:00"/>
    <s v="MN"/>
    <s v="US"/>
    <s v="ZR"/>
    <d v="2016-11-02T00:00:00"/>
  </r>
  <r>
    <x v="1"/>
    <x v="7"/>
    <x v="1613"/>
    <x v="38"/>
    <s v="Standard order"/>
    <x v="1522"/>
    <x v="1517"/>
    <s v="8524"/>
    <s v="BTS 8524"/>
    <s v="5002896"/>
    <s v="8524 BTS T35 PB SYSTIVA RP"/>
    <n v="164"/>
    <n v="0"/>
    <n v="164"/>
    <x v="7"/>
    <s v="FWND"/>
    <s v="RP"/>
    <s v="333"/>
    <s v="4.0 UN"/>
    <s v="STANDARD"/>
    <s v="N"/>
    <s v="Y"/>
    <s v="N"/>
    <s v="T35"/>
    <s v="Y"/>
    <s v="N"/>
    <s v="Y"/>
    <s v="N"/>
    <s v="B031"/>
    <d v="2016-11-07T00:00:00"/>
    <s v="10"/>
    <s v="TAN"/>
    <s v="OR"/>
    <d v="2016-11-02T00:00:00"/>
    <s v="MN"/>
    <s v="US"/>
    <s v="ZR"/>
    <d v="2016-11-02T00:00:00"/>
  </r>
  <r>
    <x v="1"/>
    <x v="7"/>
    <x v="1614"/>
    <x v="38"/>
    <s v="Standard order"/>
    <x v="1523"/>
    <x v="1518"/>
    <s v="8337"/>
    <s v="BTS 8337"/>
    <s v="5002795"/>
    <s v="8337 BTS T35 PB SYSTIVA RP"/>
    <n v="76"/>
    <n v="0"/>
    <n v="76"/>
    <x v="7"/>
    <s v="DHMC"/>
    <s v="RP"/>
    <s v="333"/>
    <s v="4.0 UN"/>
    <s v="STANDARD"/>
    <s v="N"/>
    <s v="Y"/>
    <s v="N"/>
    <s v="T35"/>
    <s v="Y"/>
    <s v="N"/>
    <s v="Y"/>
    <s v="N"/>
    <s v="B031"/>
    <d v="2016-11-07T00:00:00"/>
    <s v="10"/>
    <s v="TAN"/>
    <s v="OR"/>
    <d v="2016-11-02T00:00:00"/>
    <s v="MN"/>
    <s v="US"/>
    <s v="ZR"/>
    <d v="2016-11-02T00:00:00"/>
  </r>
  <r>
    <x v="1"/>
    <x v="7"/>
    <x v="1615"/>
    <x v="38"/>
    <s v="Standard order"/>
    <x v="1524"/>
    <x v="1519"/>
    <s v="8524"/>
    <s v="BTS 8524"/>
    <s v="5002896"/>
    <s v="8524 BTS T35 PB SYSTIVA RP"/>
    <n v="40"/>
    <n v="0"/>
    <n v="40"/>
    <x v="7"/>
    <s v="FWND"/>
    <s v="RP"/>
    <s v="333"/>
    <s v="4.0 UN"/>
    <s v="STANDARD"/>
    <s v="N"/>
    <s v="Y"/>
    <s v="N"/>
    <s v="T35"/>
    <s v="Y"/>
    <s v="N"/>
    <s v="Y"/>
    <s v="N"/>
    <s v="B031"/>
    <d v="2016-11-07T00:00:00"/>
    <s v="10"/>
    <s v="TAN"/>
    <s v="OR"/>
    <d v="2016-11-02T00:00:00"/>
    <s v="MN"/>
    <s v="US"/>
    <s v="ZR"/>
    <d v="2016-11-02T00:00:00"/>
  </r>
  <r>
    <x v="1"/>
    <x v="9"/>
    <x v="1616"/>
    <x v="35"/>
    <s v="Returns Standard SAP"/>
    <x v="1383"/>
    <x v="1378"/>
    <s v="A241"/>
    <s v="BTS AR241"/>
    <s v="5003279"/>
    <s v="AR241 P200 BetaShield"/>
    <n v="-8"/>
    <n v="-8"/>
    <n v="0"/>
    <x v="9"/>
    <s v="4D15"/>
    <s v="PRO 200"/>
    <s v="308"/>
    <s v="4.0 UN"/>
    <s v="STANDARD"/>
    <s v="N"/>
    <s v="Y"/>
    <s v="N"/>
    <s v="T20"/>
    <s v="N"/>
    <s v="N"/>
    <s v="N"/>
    <s v="N"/>
    <s v=""/>
    <d v="2016-11-02T00:00:00"/>
    <s v="10"/>
    <s v="ZSRE"/>
    <s v="ZSRE"/>
    <d v="2016-11-21T00:00:00"/>
    <s v="AZ"/>
    <s v="US"/>
    <s v="ZR"/>
    <d v="2016-11-02T00:00:00"/>
  </r>
  <r>
    <x v="1"/>
    <x v="7"/>
    <x v="1617"/>
    <x v="39"/>
    <s v="Returns Standard SAP"/>
    <x v="1525"/>
    <x v="1520"/>
    <s v="8233"/>
    <s v="BTS 82RR33"/>
    <s v="5002771"/>
    <s v="82RR33 RP BetaShield"/>
    <n v="-144"/>
    <n v="-144"/>
    <n v="0"/>
    <x v="7"/>
    <s v="DRMC"/>
    <s v="RP"/>
    <s v="398"/>
    <s v="4.0 UN"/>
    <s v="STANDARD"/>
    <s v="N"/>
    <s v="Y"/>
    <s v="Y"/>
    <s v="T35"/>
    <s v="N"/>
    <s v="N"/>
    <s v="N"/>
    <s v="N"/>
    <s v=""/>
    <d v="2016-11-02T00:00:00"/>
    <s v="10"/>
    <s v="ZSRE"/>
    <s v="ZSRE"/>
    <d v="2016-11-02T00:00:00"/>
    <s v="MN"/>
    <s v="US"/>
    <s v="ZR"/>
    <d v="2016-11-02T00:00:00"/>
  </r>
  <r>
    <x v="1"/>
    <x v="7"/>
    <x v="1618"/>
    <x v="36"/>
    <s v="Standard order"/>
    <x v="1526"/>
    <x v="1521"/>
    <s v="8363"/>
    <s v="BTS 8363"/>
    <s v="5002803"/>
    <s v="8363 BTS T20 PB SYSTIVA MP"/>
    <n v="192"/>
    <n v="0"/>
    <n v="192"/>
    <x v="7"/>
    <s v="DMMZ"/>
    <s v="MP"/>
    <s v="322"/>
    <s v="4.0 UN"/>
    <s v="STANDARD"/>
    <s v="N"/>
    <s v="N"/>
    <s v="N"/>
    <s v="T20"/>
    <s v="Y"/>
    <s v="N"/>
    <s v="Y"/>
    <s v="N"/>
    <s v="B027"/>
    <d v="2016-11-07T00:00:00"/>
    <s v="10"/>
    <s v="TAN"/>
    <s v="OR"/>
    <d v="2016-11-02T00:00:00"/>
    <s v="MN"/>
    <s v="US"/>
    <s v="ZR"/>
    <d v="2016-11-02T00:00:00"/>
  </r>
  <r>
    <x v="1"/>
    <x v="7"/>
    <x v="1618"/>
    <x v="36"/>
    <s v="Standard order"/>
    <x v="1526"/>
    <x v="1521"/>
    <s v="8524"/>
    <s v="BTS 8524"/>
    <s v="5002883"/>
    <s v="8524 BTS T20 PB SYSTIVA MP"/>
    <n v="96"/>
    <n v="0"/>
    <n v="96"/>
    <x v="7"/>
    <s v="FWND"/>
    <s v="MP"/>
    <s v="322"/>
    <s v="4.0 UN"/>
    <s v="STANDARD"/>
    <s v="N"/>
    <s v="N"/>
    <s v="N"/>
    <s v="T20"/>
    <s v="Y"/>
    <s v="N"/>
    <s v="Y"/>
    <s v="N"/>
    <s v="B027"/>
    <d v="2016-11-07T00:00:00"/>
    <s v="20"/>
    <s v="TAN"/>
    <s v="OR"/>
    <d v="2016-11-02T00:00:00"/>
    <s v="MN"/>
    <s v="US"/>
    <s v="ZR"/>
    <d v="2016-11-02T00:00:00"/>
  </r>
  <r>
    <x v="1"/>
    <x v="7"/>
    <x v="1619"/>
    <x v="38"/>
    <s v="Standard order"/>
    <x v="1527"/>
    <x v="1522"/>
    <s v="8524"/>
    <s v="BTS 8524"/>
    <s v="5002896"/>
    <s v="8524 BTS T35 PB SYSTIVA RP"/>
    <n v="200"/>
    <n v="0"/>
    <n v="200"/>
    <x v="7"/>
    <s v="FWND"/>
    <s v="RP"/>
    <s v="333"/>
    <s v="4.0 UN"/>
    <s v="STANDARD"/>
    <s v="N"/>
    <s v="Y"/>
    <s v="N"/>
    <s v="T35"/>
    <s v="Y"/>
    <s v="N"/>
    <s v="Y"/>
    <s v="N"/>
    <s v="B031"/>
    <d v="2016-11-07T00:00:00"/>
    <s v="10"/>
    <s v="TAN"/>
    <s v="OR"/>
    <d v="2016-11-02T00:00:00"/>
    <s v="MN"/>
    <s v="US"/>
    <s v="ZR"/>
    <d v="2016-11-02T00:00:00"/>
  </r>
  <r>
    <x v="1"/>
    <x v="7"/>
    <x v="1619"/>
    <x v="38"/>
    <s v="Standard order"/>
    <x v="1527"/>
    <x v="1522"/>
    <s v="8337"/>
    <s v="BTS 8337"/>
    <s v="5002795"/>
    <s v="8337 BTS T35 PB SYSTIVA RP"/>
    <n v="156"/>
    <n v="0"/>
    <n v="156"/>
    <x v="7"/>
    <s v="DHMC"/>
    <s v="RP"/>
    <s v="333"/>
    <s v="4.0 UN"/>
    <s v="STANDARD"/>
    <s v="N"/>
    <s v="Y"/>
    <s v="N"/>
    <s v="T35"/>
    <s v="Y"/>
    <s v="N"/>
    <s v="Y"/>
    <s v="N"/>
    <s v="B031"/>
    <d v="2016-11-07T00:00:00"/>
    <s v="20"/>
    <s v="TAN"/>
    <s v="OR"/>
    <d v="2016-11-02T00:00:00"/>
    <s v="MN"/>
    <s v="US"/>
    <s v="ZR"/>
    <d v="2016-11-02T00:00:00"/>
  </r>
  <r>
    <x v="1"/>
    <x v="7"/>
    <x v="1620"/>
    <x v="33"/>
    <s v="Standard order"/>
    <x v="1528"/>
    <x v="1523"/>
    <s v="8052"/>
    <s v="BTS 80RR52"/>
    <s v="5002734"/>
    <s v="8052 BTS T35 PB SYSTIVA P200"/>
    <n v="192"/>
    <n v="0"/>
    <n v="192"/>
    <x v="7"/>
    <s v="AP82"/>
    <s v="PRO 200"/>
    <s v="333"/>
    <s v="4.0 UN"/>
    <s v="STANDARD"/>
    <s v="N"/>
    <s v="Y"/>
    <s v="N"/>
    <s v="T35"/>
    <s v="Y"/>
    <s v="N"/>
    <s v="Y"/>
    <s v="N"/>
    <s v="B026"/>
    <d v="2016-11-07T00:00:00"/>
    <s v="10"/>
    <s v="TAN"/>
    <s v="OR"/>
    <d v="2016-11-02T00:00:00"/>
    <s v="ND"/>
    <s v="US"/>
    <s v="ZR"/>
    <d v="2016-11-02T00:00:00"/>
  </r>
  <r>
    <x v="1"/>
    <x v="7"/>
    <x v="1620"/>
    <x v="33"/>
    <s v="Standard order"/>
    <x v="1528"/>
    <x v="1523"/>
    <s v="8337"/>
    <s v="BTS 8337"/>
    <s v="5002794"/>
    <s v="8337 BTS T35 PB SYSTIVA P200"/>
    <n v="288"/>
    <n v="0"/>
    <n v="288"/>
    <x v="7"/>
    <s v="DHMC"/>
    <s v="PRO 200"/>
    <s v="333"/>
    <s v="4.0 UN"/>
    <s v="STANDARD"/>
    <s v="N"/>
    <s v="Y"/>
    <s v="N"/>
    <s v="T35"/>
    <s v="Y"/>
    <s v="N"/>
    <s v="Y"/>
    <s v="N"/>
    <s v="B026"/>
    <d v="2016-11-07T00:00:00"/>
    <s v="20"/>
    <s v="TAN"/>
    <s v="OR"/>
    <d v="2016-11-02T00:00:00"/>
    <s v="ND"/>
    <s v="US"/>
    <s v="ZR"/>
    <d v="2016-11-02T00:00:00"/>
  </r>
  <r>
    <x v="1"/>
    <x v="7"/>
    <x v="1620"/>
    <x v="33"/>
    <s v="Standard order"/>
    <x v="1528"/>
    <x v="1523"/>
    <s v="8500"/>
    <s v="BTS 8500"/>
    <s v="5002855"/>
    <s v="8500 BTS T35 PB SYSTIVA P200"/>
    <n v="192"/>
    <n v="0"/>
    <n v="192"/>
    <x v="7"/>
    <s v="FTND"/>
    <s v="PRO 200"/>
    <s v="333"/>
    <s v="4.0 UN"/>
    <s v="STANDARD"/>
    <s v="N"/>
    <s v="Y"/>
    <s v="N"/>
    <s v="T35"/>
    <s v="Y"/>
    <s v="N"/>
    <s v="Y"/>
    <s v="N"/>
    <s v="B026"/>
    <d v="2016-11-07T00:00:00"/>
    <s v="30"/>
    <s v="TAN"/>
    <s v="OR"/>
    <d v="2016-11-02T00:00:00"/>
    <s v="ND"/>
    <s v="US"/>
    <s v="ZR"/>
    <d v="2016-11-02T00:00:00"/>
  </r>
  <r>
    <x v="1"/>
    <x v="7"/>
    <x v="1620"/>
    <x v="33"/>
    <s v="Standard order"/>
    <x v="1528"/>
    <x v="1523"/>
    <s v="8524"/>
    <s v="BTS 8524"/>
    <s v="5002895"/>
    <s v="8524 BTS T35 PB SYSTIVA P200"/>
    <n v="192"/>
    <n v="0"/>
    <n v="192"/>
    <x v="7"/>
    <s v="FWND"/>
    <s v="PRO 200"/>
    <s v="333"/>
    <s v="4.0 UN"/>
    <s v="STANDARD"/>
    <s v="N"/>
    <s v="Y"/>
    <s v="N"/>
    <s v="T35"/>
    <s v="Y"/>
    <s v="N"/>
    <s v="Y"/>
    <s v="N"/>
    <s v="B026"/>
    <d v="2016-11-07T00:00:00"/>
    <s v="40"/>
    <s v="TAN"/>
    <s v="OR"/>
    <d v="2016-11-02T00:00:00"/>
    <s v="ND"/>
    <s v="US"/>
    <s v="ZR"/>
    <d v="2016-11-02T00:00:00"/>
  </r>
  <r>
    <x v="1"/>
    <x v="7"/>
    <x v="1621"/>
    <x v="38"/>
    <s v="Standard order"/>
    <x v="1529"/>
    <x v="1524"/>
    <s v="8337"/>
    <s v="BTS 8337"/>
    <s v="5002795"/>
    <s v="8337 BTS T35 PB SYSTIVA RP"/>
    <n v="108"/>
    <n v="0"/>
    <n v="108"/>
    <x v="7"/>
    <s v="DHMC"/>
    <s v="RP"/>
    <s v="333"/>
    <s v="4.0 UN"/>
    <s v="STANDARD"/>
    <s v="N"/>
    <s v="Y"/>
    <s v="N"/>
    <s v="T35"/>
    <s v="Y"/>
    <s v="N"/>
    <s v="Y"/>
    <s v="N"/>
    <s v="B031"/>
    <d v="2016-11-07T00:00:00"/>
    <s v="10"/>
    <s v="TAN"/>
    <s v="OR"/>
    <d v="2016-11-02T00:00:00"/>
    <s v="MN"/>
    <s v="US"/>
    <s v="ZR"/>
    <d v="2016-11-02T00:00:00"/>
  </r>
  <r>
    <x v="1"/>
    <x v="7"/>
    <x v="1622"/>
    <x v="36"/>
    <s v="Standard order"/>
    <x v="1530"/>
    <x v="1525"/>
    <s v="8052"/>
    <s v="BTS 80RR52"/>
    <s v="5002735"/>
    <s v="8052 BTS T35 PB SYSTIVA RP"/>
    <n v="144"/>
    <n v="0"/>
    <n v="144"/>
    <x v="7"/>
    <s v="AP82"/>
    <s v="RP"/>
    <s v="333"/>
    <s v="4.0 UN"/>
    <s v="STANDARD"/>
    <s v="N"/>
    <s v="Y"/>
    <s v="N"/>
    <s v="T35"/>
    <s v="Y"/>
    <s v="N"/>
    <s v="Y"/>
    <s v="N"/>
    <s v="B027"/>
    <d v="2016-11-07T00:00:00"/>
    <s v="10"/>
    <s v="TAN"/>
    <s v="OR"/>
    <d v="2016-11-02T00:00:00"/>
    <s v="MN"/>
    <s v="US"/>
    <s v="ZR"/>
    <d v="2016-11-02T00:00:00"/>
  </r>
  <r>
    <x v="1"/>
    <x v="7"/>
    <x v="1622"/>
    <x v="36"/>
    <s v="Standard order"/>
    <x v="1530"/>
    <x v="1525"/>
    <s v="8337"/>
    <s v="BTS 8337"/>
    <s v="5002795"/>
    <s v="8337 BTS T35 PB SYSTIVA RP"/>
    <n v="108"/>
    <n v="0"/>
    <n v="108"/>
    <x v="7"/>
    <s v="DHMC"/>
    <s v="RP"/>
    <s v="333"/>
    <s v="4.0 UN"/>
    <s v="STANDARD"/>
    <s v="N"/>
    <s v="Y"/>
    <s v="N"/>
    <s v="T35"/>
    <s v="Y"/>
    <s v="N"/>
    <s v="Y"/>
    <s v="N"/>
    <s v="B027"/>
    <d v="2016-11-07T00:00:00"/>
    <s v="20"/>
    <s v="TAN"/>
    <s v="OR"/>
    <d v="2016-11-02T00:00:00"/>
    <s v="MN"/>
    <s v="US"/>
    <s v="ZR"/>
    <d v="2016-11-02T00:00:00"/>
  </r>
  <r>
    <x v="1"/>
    <x v="7"/>
    <x v="1622"/>
    <x v="36"/>
    <s v="Standard order"/>
    <x v="1530"/>
    <x v="1525"/>
    <s v="8500"/>
    <s v="BTS 8500"/>
    <s v="5002856"/>
    <s v="8500 BTS T35 PB SYSTIVA RP"/>
    <n v="96"/>
    <n v="0"/>
    <n v="96"/>
    <x v="7"/>
    <s v="FTND"/>
    <s v="RP"/>
    <s v="333"/>
    <s v="4.0 UN"/>
    <s v="STANDARD"/>
    <s v="N"/>
    <s v="Y"/>
    <s v="N"/>
    <s v="T35"/>
    <s v="Y"/>
    <s v="N"/>
    <s v="Y"/>
    <s v="N"/>
    <s v="B027"/>
    <d v="2016-11-07T00:00:00"/>
    <s v="30"/>
    <s v="TAN"/>
    <s v="OR"/>
    <d v="2016-11-02T00:00:00"/>
    <s v="MN"/>
    <s v="US"/>
    <s v="ZR"/>
    <d v="2016-11-02T00:00:00"/>
  </r>
  <r>
    <x v="1"/>
    <x v="7"/>
    <x v="1623"/>
    <x v="31"/>
    <s v="Standard order"/>
    <x v="1531"/>
    <x v="1526"/>
    <s v="8337"/>
    <s v="BTS 8337"/>
    <s v="5002795"/>
    <s v="8337 BTS T35 PB SYSTIVA RP"/>
    <n v="76"/>
    <n v="0"/>
    <n v="76"/>
    <x v="7"/>
    <s v="DHMC"/>
    <s v="RP"/>
    <s v="333"/>
    <s v="4.0 UN"/>
    <s v="STANDARD"/>
    <s v="N"/>
    <s v="Y"/>
    <s v="N"/>
    <s v="T35"/>
    <s v="Y"/>
    <s v="N"/>
    <s v="Y"/>
    <s v="N"/>
    <s v="B028"/>
    <d v="2016-11-07T00:00:00"/>
    <s v="20"/>
    <s v="TAN"/>
    <s v="OR"/>
    <d v="2016-11-02T00:00:00"/>
    <s v="ND"/>
    <s v="US"/>
    <s v="ZR"/>
    <d v="2016-11-02T00:00:00"/>
  </r>
  <r>
    <x v="1"/>
    <x v="7"/>
    <x v="1624"/>
    <x v="31"/>
    <s v="Standard order"/>
    <x v="1532"/>
    <x v="1527"/>
    <s v="8524"/>
    <s v="BTS 8524"/>
    <s v="5002895"/>
    <s v="8524 BTS T35 PB SYSTIVA P200"/>
    <n v="84"/>
    <n v="0"/>
    <n v="84"/>
    <x v="7"/>
    <s v="FWND"/>
    <s v="PRO 200"/>
    <s v="333"/>
    <s v="4.0 UN"/>
    <s v="STANDARD"/>
    <s v="N"/>
    <s v="Y"/>
    <s v="N"/>
    <s v="T35"/>
    <s v="Y"/>
    <s v="N"/>
    <s v="Y"/>
    <s v="N"/>
    <s v="B028"/>
    <d v="2016-11-07T00:00:00"/>
    <s v="10"/>
    <s v="TAN"/>
    <s v="OR"/>
    <d v="2016-11-02T00:00:00"/>
    <s v="ND"/>
    <s v="US"/>
    <s v="ZR"/>
    <d v="2016-11-02T00:00:00"/>
  </r>
  <r>
    <x v="1"/>
    <x v="7"/>
    <x v="1624"/>
    <x v="31"/>
    <s v="Standard order"/>
    <x v="1532"/>
    <x v="1527"/>
    <s v="8052"/>
    <s v="BTS 80RR52"/>
    <s v="5002734"/>
    <s v="8052 BTS T35 PB SYSTIVA P200"/>
    <n v="60"/>
    <n v="0"/>
    <n v="60"/>
    <x v="7"/>
    <s v="AP82"/>
    <s v="PRO 200"/>
    <s v="333"/>
    <s v="4.0 UN"/>
    <s v="STANDARD"/>
    <s v="N"/>
    <s v="Y"/>
    <s v="N"/>
    <s v="T35"/>
    <s v="Y"/>
    <s v="N"/>
    <s v="Y"/>
    <s v="N"/>
    <s v="B028"/>
    <d v="2016-11-07T00:00:00"/>
    <s v="20"/>
    <s v="TAN"/>
    <s v="OR"/>
    <d v="2016-11-02T00:00:00"/>
    <s v="ND"/>
    <s v="US"/>
    <s v="ZR"/>
    <d v="2016-11-02T00:00:00"/>
  </r>
  <r>
    <x v="1"/>
    <x v="7"/>
    <x v="1625"/>
    <x v="39"/>
    <s v="Standard order"/>
    <x v="1533"/>
    <x v="1528"/>
    <s v="8233"/>
    <s v="BTS 82RR33"/>
    <s v="5002771"/>
    <s v="82RR33 RP BetaShield"/>
    <n v="144"/>
    <n v="144"/>
    <n v="0"/>
    <x v="7"/>
    <s v="DRMC"/>
    <s v="RP"/>
    <s v="398"/>
    <s v="4.0 UN"/>
    <s v="STANDARD"/>
    <s v="N"/>
    <s v="Y"/>
    <s v="Y"/>
    <s v="T35"/>
    <s v="N"/>
    <s v="N"/>
    <s v="N"/>
    <s v="N"/>
    <s v=""/>
    <d v="2016-11-02T00:00:00"/>
    <s v="10"/>
    <s v="TAN"/>
    <s v="OR"/>
    <d v="2016-11-02T00:00:00"/>
    <s v="MN"/>
    <s v="US"/>
    <s v="ZR"/>
    <d v="2016-11-02T00:00:00"/>
  </r>
  <r>
    <x v="1"/>
    <x v="7"/>
    <x v="1626"/>
    <x v="38"/>
    <s v="Standard order"/>
    <x v="1534"/>
    <x v="1529"/>
    <s v="8052"/>
    <s v="BTS 80RR52"/>
    <s v="5002735"/>
    <s v="8052 BTS T35 PB SYSTIVA RP"/>
    <n v="192"/>
    <n v="0"/>
    <n v="192"/>
    <x v="7"/>
    <s v="AP82"/>
    <s v="RP"/>
    <s v="333"/>
    <s v="4.0 UN"/>
    <s v="STANDARD"/>
    <s v="N"/>
    <s v="Y"/>
    <s v="N"/>
    <s v="T35"/>
    <s v="Y"/>
    <s v="N"/>
    <s v="Y"/>
    <s v="N"/>
    <s v="B031"/>
    <d v="2016-11-07T00:00:00"/>
    <s v="10"/>
    <s v="TAN"/>
    <s v="OR"/>
    <d v="2016-11-02T00:00:00"/>
    <s v="MN"/>
    <s v="US"/>
    <s v="ZR"/>
    <d v="2016-11-02T00:00:00"/>
  </r>
  <r>
    <x v="1"/>
    <x v="7"/>
    <x v="1626"/>
    <x v="38"/>
    <s v="Standard order"/>
    <x v="1534"/>
    <x v="1529"/>
    <s v="8337"/>
    <s v="BTS 8337"/>
    <s v="5002795"/>
    <s v="8337 BTS T35 PB SYSTIVA RP"/>
    <n v="192"/>
    <n v="0"/>
    <n v="192"/>
    <x v="7"/>
    <s v="DHMC"/>
    <s v="RP"/>
    <s v="333"/>
    <s v="4.0 UN"/>
    <s v="STANDARD"/>
    <s v="N"/>
    <s v="Y"/>
    <s v="N"/>
    <s v="T35"/>
    <s v="Y"/>
    <s v="N"/>
    <s v="Y"/>
    <s v="N"/>
    <s v="B031"/>
    <d v="2016-11-07T00:00:00"/>
    <s v="20"/>
    <s v="TAN"/>
    <s v="OR"/>
    <d v="2016-11-02T00:00:00"/>
    <s v="MN"/>
    <s v="US"/>
    <s v="ZR"/>
    <d v="2016-11-02T00:00:00"/>
  </r>
  <r>
    <x v="1"/>
    <x v="7"/>
    <x v="1626"/>
    <x v="38"/>
    <s v="Standard order"/>
    <x v="1534"/>
    <x v="1529"/>
    <s v="8524"/>
    <s v="BTS 8524"/>
    <s v="5002896"/>
    <s v="8524 BTS T35 PB SYSTIVA RP"/>
    <n v="192"/>
    <n v="0"/>
    <n v="192"/>
    <x v="7"/>
    <s v="FWND"/>
    <s v="RP"/>
    <s v="333"/>
    <s v="4.0 UN"/>
    <s v="STANDARD"/>
    <s v="N"/>
    <s v="Y"/>
    <s v="N"/>
    <s v="T35"/>
    <s v="Y"/>
    <s v="N"/>
    <s v="Y"/>
    <s v="N"/>
    <s v="B031"/>
    <d v="2016-11-07T00:00:00"/>
    <s v="30"/>
    <s v="TAN"/>
    <s v="OR"/>
    <d v="2016-11-02T00:00:00"/>
    <s v="MN"/>
    <s v="US"/>
    <s v="ZR"/>
    <d v="2016-11-02T00:00:00"/>
  </r>
  <r>
    <x v="1"/>
    <x v="7"/>
    <x v="1627"/>
    <x v="36"/>
    <s v="Standard order"/>
    <x v="1535"/>
    <x v="1530"/>
    <s v="8233"/>
    <s v="BTS 82RR33"/>
    <s v="5002761"/>
    <s v="82RR33 MP BetaShield"/>
    <n v="38"/>
    <n v="38"/>
    <n v="0"/>
    <x v="7"/>
    <s v="DRMC"/>
    <s v="MP"/>
    <s v="382"/>
    <s v="4.0 UN"/>
    <s v="STANDARD"/>
    <s v="N"/>
    <s v="Y"/>
    <s v="Y"/>
    <s v="T20"/>
    <s v="N"/>
    <s v="N"/>
    <s v="N"/>
    <s v="N"/>
    <s v=""/>
    <d v="2016-11-02T00:00:00"/>
    <s v="10"/>
    <s v="TAN"/>
    <s v="OR"/>
    <d v="2016-11-03T00:00:00"/>
    <s v="MN"/>
    <s v="US"/>
    <s v="ZR"/>
    <d v="2016-11-02T00:00:00"/>
  </r>
  <r>
    <x v="1"/>
    <x v="7"/>
    <x v="1627"/>
    <x v="36"/>
    <s v="Standard order"/>
    <x v="1535"/>
    <x v="1530"/>
    <s v="8390"/>
    <s v="BTS 8390"/>
    <s v="5002912"/>
    <s v="8390 BTS T20 PB Kabina MP"/>
    <n v="48"/>
    <n v="48"/>
    <n v="0"/>
    <x v="7"/>
    <s v="DRMK"/>
    <s v="MP"/>
    <s v="382"/>
    <s v="4.0 UN"/>
    <s v="STANDARD"/>
    <s v="N"/>
    <s v="Y"/>
    <s v="Y"/>
    <s v="T20"/>
    <s v="N"/>
    <s v="N"/>
    <s v="N"/>
    <s v="N"/>
    <s v=""/>
    <d v="2016-11-02T00:00:00"/>
    <s v="20"/>
    <s v="TAN"/>
    <s v="OR"/>
    <d v="2016-11-03T00:00:00"/>
    <s v="MN"/>
    <s v="US"/>
    <s v="ZR"/>
    <d v="2016-11-02T00:00:00"/>
  </r>
  <r>
    <x v="1"/>
    <x v="7"/>
    <x v="1627"/>
    <x v="36"/>
    <s v="Standard order"/>
    <x v="1535"/>
    <x v="1530"/>
    <s v="8337"/>
    <s v="BTS 8337"/>
    <s v="5002781"/>
    <s v="8337 MP BetaShield"/>
    <n v="214"/>
    <n v="214"/>
    <n v="0"/>
    <x v="7"/>
    <s v="DHMC"/>
    <s v="MP"/>
    <s v="382"/>
    <s v="4.0 UN"/>
    <s v="STANDARD"/>
    <s v="N"/>
    <s v="Y"/>
    <s v="Y"/>
    <s v="T20"/>
    <s v="N"/>
    <s v="N"/>
    <s v="N"/>
    <s v="N"/>
    <s v=""/>
    <d v="2016-11-02T00:00:00"/>
    <s v="30"/>
    <s v="TAN"/>
    <s v="OR"/>
    <d v="2016-11-03T00:00:00"/>
    <s v="MN"/>
    <s v="US"/>
    <s v="ZR"/>
    <d v="2016-11-02T00:00:00"/>
  </r>
  <r>
    <x v="1"/>
    <x v="7"/>
    <x v="1628"/>
    <x v="38"/>
    <s v="Standard order"/>
    <x v="1536"/>
    <x v="1531"/>
    <s v="8524"/>
    <s v="BTS 8524"/>
    <s v="5002896"/>
    <s v="8524 BTS T35 PB SYSTIVA RP"/>
    <n v="96"/>
    <n v="0"/>
    <n v="96"/>
    <x v="7"/>
    <s v="FWND"/>
    <s v="RP"/>
    <s v="333"/>
    <s v="4.0 UN"/>
    <s v="STANDARD"/>
    <s v="N"/>
    <s v="Y"/>
    <s v="N"/>
    <s v="T35"/>
    <s v="Y"/>
    <s v="N"/>
    <s v="Y"/>
    <s v="N"/>
    <s v="B031"/>
    <d v="2016-11-07T00:00:00"/>
    <s v="10"/>
    <s v="TAN"/>
    <s v="OR"/>
    <d v="2016-11-02T00:00:00"/>
    <s v="MN"/>
    <s v="US"/>
    <s v="ZR"/>
    <d v="2016-11-02T00:00:00"/>
  </r>
  <r>
    <x v="1"/>
    <x v="7"/>
    <x v="1628"/>
    <x v="38"/>
    <s v="Standard order"/>
    <x v="1536"/>
    <x v="1531"/>
    <s v="8337"/>
    <s v="BTS 8337"/>
    <s v="5002795"/>
    <s v="8337 BTS T35 PB SYSTIVA RP"/>
    <n v="96"/>
    <n v="0"/>
    <n v="96"/>
    <x v="7"/>
    <s v="DHMC"/>
    <s v="RP"/>
    <s v="333"/>
    <s v="4.0 UN"/>
    <s v="STANDARD"/>
    <s v="N"/>
    <s v="Y"/>
    <s v="N"/>
    <s v="T35"/>
    <s v="Y"/>
    <s v="N"/>
    <s v="Y"/>
    <s v="N"/>
    <s v="B031"/>
    <d v="2016-11-07T00:00:00"/>
    <s v="20"/>
    <s v="TAN"/>
    <s v="OR"/>
    <d v="2016-11-02T00:00:00"/>
    <s v="MN"/>
    <s v="US"/>
    <s v="ZR"/>
    <d v="2016-11-02T00:00:00"/>
  </r>
  <r>
    <x v="1"/>
    <x v="7"/>
    <x v="1629"/>
    <x v="38"/>
    <s v="Standard order"/>
    <x v="1537"/>
    <x v="1532"/>
    <s v="8500"/>
    <s v="BTS 8500"/>
    <s v="5002856"/>
    <s v="8500 BTS T35 PB SYSTIVA RP"/>
    <n v="192"/>
    <n v="0"/>
    <n v="192"/>
    <x v="7"/>
    <s v="FTND"/>
    <s v="RP"/>
    <s v="333"/>
    <s v="4.0 UN"/>
    <s v="STANDARD"/>
    <s v="N"/>
    <s v="Y"/>
    <s v="N"/>
    <s v="T35"/>
    <s v="Y"/>
    <s v="N"/>
    <s v="Y"/>
    <s v="N"/>
    <s v="B031"/>
    <d v="2016-11-07T00:00:00"/>
    <s v="10"/>
    <s v="TAN"/>
    <s v="OR"/>
    <d v="2016-11-02T00:00:00"/>
    <s v="MN"/>
    <s v="US"/>
    <s v="ZR"/>
    <d v="2016-11-02T00:00:00"/>
  </r>
  <r>
    <x v="1"/>
    <x v="7"/>
    <x v="1629"/>
    <x v="38"/>
    <s v="Standard order"/>
    <x v="1537"/>
    <x v="1532"/>
    <s v="8524"/>
    <s v="BTS 8524"/>
    <s v="5002896"/>
    <s v="8524 BTS T35 PB SYSTIVA RP"/>
    <n v="192"/>
    <n v="0"/>
    <n v="192"/>
    <x v="7"/>
    <s v="FWND"/>
    <s v="RP"/>
    <s v="333"/>
    <s v="4.0 UN"/>
    <s v="STANDARD"/>
    <s v="N"/>
    <s v="Y"/>
    <s v="N"/>
    <s v="T35"/>
    <s v="Y"/>
    <s v="N"/>
    <s v="Y"/>
    <s v="N"/>
    <s v="B031"/>
    <d v="2016-11-07T00:00:00"/>
    <s v="20"/>
    <s v="TAN"/>
    <s v="OR"/>
    <d v="2016-11-02T00:00:00"/>
    <s v="MN"/>
    <s v="US"/>
    <s v="ZR"/>
    <d v="2016-11-02T00:00:00"/>
  </r>
  <r>
    <x v="1"/>
    <x v="7"/>
    <x v="1630"/>
    <x v="37"/>
    <s v="Standard order"/>
    <x v="1538"/>
    <x v="1533"/>
    <s v="8500"/>
    <s v="BTS 8500"/>
    <s v="5002855"/>
    <s v="8500 BTS T35 PB SYSTIVA P200"/>
    <n v="100"/>
    <n v="0"/>
    <n v="100"/>
    <x v="7"/>
    <s v="FTND"/>
    <s v="PRO 200"/>
    <s v="333"/>
    <s v="4.0 UN"/>
    <s v="STANDARD"/>
    <s v="N"/>
    <s v="Y"/>
    <s v="N"/>
    <s v="T35"/>
    <s v="Y"/>
    <s v="N"/>
    <s v="Y"/>
    <s v="N"/>
    <s v="B033"/>
    <d v="2016-11-07T00:00:00"/>
    <s v="10"/>
    <s v="TAN"/>
    <s v="OR"/>
    <d v="2016-11-01T00:00:00"/>
    <s v="ND"/>
    <s v="US"/>
    <s v="ZR"/>
    <d v="2016-11-02T00:00:00"/>
  </r>
  <r>
    <x v="1"/>
    <x v="7"/>
    <x v="1631"/>
    <x v="38"/>
    <s v="Standard order"/>
    <x v="1539"/>
    <x v="1534"/>
    <s v="8363"/>
    <s v="BTS 8363"/>
    <s v="5002816"/>
    <s v="8363 BTS T35 PB SYSTIVA RP"/>
    <n v="152"/>
    <n v="0"/>
    <n v="152"/>
    <x v="7"/>
    <s v="DMMZ"/>
    <s v="RP"/>
    <s v="333"/>
    <s v="4.0 UN"/>
    <s v="STANDARD"/>
    <s v="N"/>
    <s v="Y"/>
    <s v="N"/>
    <s v="T35"/>
    <s v="Y"/>
    <s v="N"/>
    <s v="Y"/>
    <s v="N"/>
    <s v="B031"/>
    <d v="2016-11-07T00:00:00"/>
    <s v="10"/>
    <s v="TAN"/>
    <s v="OR"/>
    <d v="2016-11-02T00:00:00"/>
    <s v="MN"/>
    <s v="US"/>
    <s v="ZR"/>
    <d v="2016-11-02T00:00:00"/>
  </r>
  <r>
    <x v="1"/>
    <x v="7"/>
    <x v="1631"/>
    <x v="38"/>
    <s v="Standard order"/>
    <x v="1539"/>
    <x v="1534"/>
    <s v="8524"/>
    <s v="BTS 8524"/>
    <s v="5002896"/>
    <s v="8524 BTS T35 PB SYSTIVA RP"/>
    <n v="148"/>
    <n v="0"/>
    <n v="148"/>
    <x v="7"/>
    <s v="FWND"/>
    <s v="RP"/>
    <s v="333"/>
    <s v="4.0 UN"/>
    <s v="STANDARD"/>
    <s v="N"/>
    <s v="Y"/>
    <s v="N"/>
    <s v="T35"/>
    <s v="Y"/>
    <s v="N"/>
    <s v="Y"/>
    <s v="N"/>
    <s v="B031"/>
    <d v="2016-11-07T00:00:00"/>
    <s v="20"/>
    <s v="TAN"/>
    <s v="OR"/>
    <d v="2016-11-02T00:00:00"/>
    <s v="MN"/>
    <s v="US"/>
    <s v="ZR"/>
    <d v="2016-11-02T00:00:00"/>
  </r>
  <r>
    <x v="1"/>
    <x v="7"/>
    <x v="1632"/>
    <x v="33"/>
    <s v="Standard order"/>
    <x v="1540"/>
    <x v="1535"/>
    <s v="8052"/>
    <s v="BTS 80RR52"/>
    <s v="5002735"/>
    <s v="8052 BTS T35 PB SYSTIVA RP"/>
    <n v="116"/>
    <n v="0"/>
    <n v="116"/>
    <x v="7"/>
    <s v="AP82"/>
    <s v="RP"/>
    <s v="333"/>
    <s v="4.0 UN"/>
    <s v="STANDARD"/>
    <s v="N"/>
    <s v="Y"/>
    <s v="N"/>
    <s v="T35"/>
    <s v="Y"/>
    <s v="N"/>
    <s v="Y"/>
    <s v="N"/>
    <s v="B026"/>
    <d v="2016-11-07T00:00:00"/>
    <s v="10"/>
    <s v="TAN"/>
    <s v="OR"/>
    <d v="2016-11-02T00:00:00"/>
    <s v="MN"/>
    <s v="US"/>
    <s v="ZR"/>
    <d v="2016-11-02T00:00:00"/>
  </r>
  <r>
    <x v="1"/>
    <x v="7"/>
    <x v="1632"/>
    <x v="33"/>
    <s v="Standard order"/>
    <x v="1540"/>
    <x v="1535"/>
    <s v="8337"/>
    <s v="BTS 8337"/>
    <s v="5002795"/>
    <s v="8337 BTS T35 PB SYSTIVA RP"/>
    <n v="96"/>
    <n v="0"/>
    <n v="96"/>
    <x v="7"/>
    <s v="DHMC"/>
    <s v="RP"/>
    <s v="333"/>
    <s v="4.0 UN"/>
    <s v="STANDARD"/>
    <s v="N"/>
    <s v="Y"/>
    <s v="N"/>
    <s v="T35"/>
    <s v="Y"/>
    <s v="N"/>
    <s v="Y"/>
    <s v="N"/>
    <s v="B026"/>
    <d v="2016-11-07T00:00:00"/>
    <s v="20"/>
    <s v="TAN"/>
    <s v="OR"/>
    <d v="2016-11-02T00:00:00"/>
    <s v="MN"/>
    <s v="US"/>
    <s v="ZR"/>
    <d v="2016-11-02T00:00:00"/>
  </r>
  <r>
    <x v="1"/>
    <x v="7"/>
    <x v="1632"/>
    <x v="33"/>
    <s v="Standard order"/>
    <x v="1540"/>
    <x v="1535"/>
    <s v="8524"/>
    <s v="BTS 8524"/>
    <s v="5002896"/>
    <s v="8524 BTS T35 PB SYSTIVA RP"/>
    <n v="32"/>
    <n v="0"/>
    <n v="32"/>
    <x v="7"/>
    <s v="FWND"/>
    <s v="RP"/>
    <s v="333"/>
    <s v="4.0 UN"/>
    <s v="STANDARD"/>
    <s v="N"/>
    <s v="Y"/>
    <s v="N"/>
    <s v="T35"/>
    <s v="Y"/>
    <s v="N"/>
    <s v="Y"/>
    <s v="N"/>
    <s v="B026"/>
    <d v="2016-11-07T00:00:00"/>
    <s v="30"/>
    <s v="TAN"/>
    <s v="OR"/>
    <d v="2016-11-02T00:00:00"/>
    <s v="MN"/>
    <s v="US"/>
    <s v="ZR"/>
    <d v="2016-11-02T00:00:00"/>
  </r>
  <r>
    <x v="1"/>
    <x v="7"/>
    <x v="1633"/>
    <x v="33"/>
    <s v="Standard order"/>
    <x v="1541"/>
    <x v="1536"/>
    <s v="8337"/>
    <s v="BTS 8337"/>
    <s v="5002794"/>
    <s v="8337 BTS T35 PB SYSTIVA P200"/>
    <n v="96"/>
    <n v="0"/>
    <n v="96"/>
    <x v="7"/>
    <s v="DHMC"/>
    <s v="PRO 200"/>
    <s v="333"/>
    <s v="4.0 UN"/>
    <s v="STANDARD"/>
    <s v="N"/>
    <s v="Y"/>
    <s v="N"/>
    <s v="T35"/>
    <s v="Y"/>
    <s v="N"/>
    <s v="Y"/>
    <s v="N"/>
    <s v="B026"/>
    <d v="2016-11-07T00:00:00"/>
    <s v="20"/>
    <s v="TAN"/>
    <s v="OR"/>
    <d v="2016-11-02T00:00:00"/>
    <s v="ND"/>
    <s v="US"/>
    <s v="ZR"/>
    <d v="2016-11-02T00:00:00"/>
  </r>
  <r>
    <x v="1"/>
    <x v="7"/>
    <x v="1633"/>
    <x v="33"/>
    <s v="Standard order"/>
    <x v="1541"/>
    <x v="1536"/>
    <s v="8524"/>
    <s v="BTS 8524"/>
    <s v="5002895"/>
    <s v="8524 BTS T35 PB SYSTIVA P200"/>
    <n v="96"/>
    <n v="0"/>
    <n v="96"/>
    <x v="7"/>
    <s v="FWND"/>
    <s v="PRO 200"/>
    <s v="333"/>
    <s v="4.0 UN"/>
    <s v="STANDARD"/>
    <s v="N"/>
    <s v="Y"/>
    <s v="N"/>
    <s v="T35"/>
    <s v="Y"/>
    <s v="N"/>
    <s v="Y"/>
    <s v="N"/>
    <s v="B026"/>
    <d v="2016-11-07T00:00:00"/>
    <s v="30"/>
    <s v="TAN"/>
    <s v="OR"/>
    <d v="2016-11-02T00:00:00"/>
    <s v="ND"/>
    <s v="US"/>
    <s v="ZR"/>
    <d v="2016-11-02T00:00:00"/>
  </r>
  <r>
    <x v="1"/>
    <x v="7"/>
    <x v="1634"/>
    <x v="36"/>
    <s v="Returns Standard SAP"/>
    <x v="1526"/>
    <x v="1521"/>
    <s v="8233"/>
    <s v="BTS 82RR33"/>
    <s v="5002761"/>
    <s v="82RR33 MP BetaShield"/>
    <n v="-38"/>
    <n v="-38"/>
    <n v="0"/>
    <x v="7"/>
    <s v="DRMC"/>
    <s v="MP"/>
    <s v="382"/>
    <s v="4.0 UN"/>
    <s v="STANDARD"/>
    <s v="N"/>
    <s v="Y"/>
    <s v="Y"/>
    <s v="T20"/>
    <s v="N"/>
    <s v="N"/>
    <s v="N"/>
    <s v="N"/>
    <s v=""/>
    <m/>
    <s v="40"/>
    <s v="ZSRE"/>
    <s v="ZSRE"/>
    <d v="2016-11-02T00:00:00"/>
    <s v="MN"/>
    <s v="US"/>
    <s v="ZR"/>
    <d v="2016-11-02T00:00:00"/>
  </r>
  <r>
    <x v="1"/>
    <x v="7"/>
    <x v="1634"/>
    <x v="36"/>
    <s v="Returns Standard SAP"/>
    <x v="1526"/>
    <x v="1521"/>
    <s v="8390"/>
    <s v="BTS 8390"/>
    <s v="5002912"/>
    <s v="8390 BTS T20 PB Kabina MP"/>
    <n v="-48"/>
    <n v="-48"/>
    <n v="0"/>
    <x v="7"/>
    <s v="DRMK"/>
    <s v="MP"/>
    <s v="382"/>
    <s v="4.0 UN"/>
    <s v="STANDARD"/>
    <s v="N"/>
    <s v="Y"/>
    <s v="Y"/>
    <s v="T20"/>
    <s v="N"/>
    <s v="N"/>
    <s v="N"/>
    <s v="N"/>
    <s v=""/>
    <m/>
    <s v="50"/>
    <s v="ZSRE"/>
    <s v="ZSRE"/>
    <d v="2016-11-02T00:00:00"/>
    <s v="MN"/>
    <s v="US"/>
    <s v="ZR"/>
    <d v="2016-11-02T00:00:00"/>
  </r>
  <r>
    <x v="1"/>
    <x v="7"/>
    <x v="1634"/>
    <x v="36"/>
    <s v="Returns Standard SAP"/>
    <x v="1526"/>
    <x v="1521"/>
    <s v="8337"/>
    <s v="BTS 8337"/>
    <s v="5002781"/>
    <s v="8337 MP BetaShield"/>
    <n v="-214"/>
    <n v="-214"/>
    <n v="0"/>
    <x v="7"/>
    <s v="DHMC"/>
    <s v="MP"/>
    <s v="382"/>
    <s v="4.0 UN"/>
    <s v="STANDARD"/>
    <s v="N"/>
    <s v="Y"/>
    <s v="Y"/>
    <s v="T20"/>
    <s v="N"/>
    <s v="N"/>
    <s v="N"/>
    <s v="N"/>
    <s v=""/>
    <m/>
    <s v="60"/>
    <s v="ZSRE"/>
    <s v="ZSRE"/>
    <d v="2016-11-02T00:00:00"/>
    <s v="MN"/>
    <s v="US"/>
    <s v="ZR"/>
    <d v="2016-11-02T00:00:00"/>
  </r>
  <r>
    <x v="1"/>
    <x v="7"/>
    <x v="1635"/>
    <x v="31"/>
    <s v="Standard order"/>
    <x v="1542"/>
    <x v="1537"/>
    <s v="8524"/>
    <s v="BTS 8524"/>
    <s v="5002896"/>
    <s v="8524 BTS T35 PB SYSTIVA RP"/>
    <n v="152"/>
    <n v="0"/>
    <n v="152"/>
    <x v="7"/>
    <s v="FWND"/>
    <s v="RP"/>
    <s v="333"/>
    <s v="4.0 UN"/>
    <s v="STANDARD"/>
    <s v="N"/>
    <s v="Y"/>
    <s v="N"/>
    <s v="T35"/>
    <s v="Y"/>
    <s v="N"/>
    <s v="Y"/>
    <s v="N"/>
    <s v="B028"/>
    <d v="2016-11-07T00:00:00"/>
    <s v="10"/>
    <s v="TAN"/>
    <s v="OR"/>
    <d v="2016-11-02T00:00:00"/>
    <s v="ND"/>
    <s v="US"/>
    <s v="ZR"/>
    <d v="2016-11-02T00:00:00"/>
  </r>
  <r>
    <x v="1"/>
    <x v="7"/>
    <x v="1636"/>
    <x v="33"/>
    <s v="Standard order"/>
    <x v="1543"/>
    <x v="1538"/>
    <s v="8337"/>
    <s v="BTS 8337"/>
    <s v="5002795"/>
    <s v="8337 BTS T35 PB SYSTIVA RP"/>
    <n v="48"/>
    <n v="0"/>
    <n v="48"/>
    <x v="7"/>
    <s v="DHMC"/>
    <s v="RP"/>
    <s v="333"/>
    <s v="4.0 UN"/>
    <s v="STANDARD"/>
    <s v="N"/>
    <s v="Y"/>
    <s v="N"/>
    <s v="T35"/>
    <s v="Y"/>
    <s v="N"/>
    <s v="Y"/>
    <s v="N"/>
    <s v="B026"/>
    <d v="2016-11-07T00:00:00"/>
    <s v="10"/>
    <s v="TAN"/>
    <s v="OR"/>
    <d v="2016-11-02T00:00:00"/>
    <s v="MN"/>
    <s v="US"/>
    <s v="ZR"/>
    <d v="2016-11-02T00:00:00"/>
  </r>
  <r>
    <x v="1"/>
    <x v="7"/>
    <x v="1636"/>
    <x v="33"/>
    <s v="Standard order"/>
    <x v="1543"/>
    <x v="1538"/>
    <s v="8524"/>
    <s v="BTS 8524"/>
    <s v="5002896"/>
    <s v="8524 BTS T35 PB SYSTIVA RP"/>
    <n v="76"/>
    <n v="0"/>
    <n v="76"/>
    <x v="7"/>
    <s v="FWND"/>
    <s v="RP"/>
    <s v="333"/>
    <s v="4.0 UN"/>
    <s v="STANDARD"/>
    <s v="N"/>
    <s v="Y"/>
    <s v="N"/>
    <s v="T35"/>
    <s v="Y"/>
    <s v="N"/>
    <s v="Y"/>
    <s v="N"/>
    <s v="B026"/>
    <d v="2016-11-07T00:00:00"/>
    <s v="20"/>
    <s v="TAN"/>
    <s v="OR"/>
    <d v="2016-11-02T00:00:00"/>
    <s v="MN"/>
    <s v="US"/>
    <s v="ZR"/>
    <d v="2016-11-02T00:00:00"/>
  </r>
  <r>
    <x v="1"/>
    <x v="7"/>
    <x v="1637"/>
    <x v="36"/>
    <s v="Standard order"/>
    <x v="1544"/>
    <x v="1539"/>
    <s v="8500"/>
    <s v="BTS 8500"/>
    <s v="5002843"/>
    <s v="8500 BTS T20 PB SYSTIVA MP"/>
    <n v="20"/>
    <n v="0"/>
    <n v="20"/>
    <x v="7"/>
    <s v="FTND"/>
    <s v="MP"/>
    <s v="322"/>
    <s v="4.0 UN"/>
    <s v="STANDARD"/>
    <s v="N"/>
    <s v="N"/>
    <s v="N"/>
    <s v="T20"/>
    <s v="Y"/>
    <s v="N"/>
    <s v="Y"/>
    <s v="N"/>
    <s v="B027"/>
    <d v="2016-11-07T00:00:00"/>
    <s v="20"/>
    <s v="TAN"/>
    <s v="OR"/>
    <d v="2016-11-02T00:00:00"/>
    <s v="MN"/>
    <s v="US"/>
    <s v="ZR"/>
    <d v="2016-11-02T00:00:00"/>
  </r>
  <r>
    <x v="1"/>
    <x v="7"/>
    <x v="1637"/>
    <x v="36"/>
    <s v="Standard order"/>
    <x v="1544"/>
    <x v="1539"/>
    <s v="8572"/>
    <s v="BTS 8572"/>
    <s v="5003202"/>
    <s v="8572 BTS T20 PB SYSTIVA MP"/>
    <n v="180"/>
    <n v="0"/>
    <n v="180"/>
    <x v="7"/>
    <s v="FENB"/>
    <s v="MP"/>
    <s v="322"/>
    <s v="4.0 UN"/>
    <s v="STANDARD"/>
    <s v="N"/>
    <s v="N"/>
    <s v="N"/>
    <s v="T20"/>
    <s v="Y"/>
    <s v="N"/>
    <s v="Y"/>
    <s v="N"/>
    <s v="B027"/>
    <d v="2016-11-07T00:00:00"/>
    <s v="10"/>
    <s v="TAN"/>
    <s v="OR"/>
    <d v="2016-11-02T00:00:00"/>
    <s v="MN"/>
    <s v="US"/>
    <s v="ZR"/>
    <d v="2016-11-02T00:00:00"/>
  </r>
  <r>
    <x v="1"/>
    <x v="9"/>
    <x v="1638"/>
    <x v="35"/>
    <s v="Replant Order"/>
    <x v="1383"/>
    <x v="1378"/>
    <s v="A241"/>
    <s v="BTS AR241"/>
    <s v="5003279"/>
    <s v="AR241 P200 BetaShield"/>
    <n v="12"/>
    <n v="12"/>
    <n v="0"/>
    <x v="9"/>
    <s v="4D15"/>
    <s v="PRO 200"/>
    <s v="308"/>
    <s v="4.0 UN"/>
    <s v="STANDARD"/>
    <s v="N"/>
    <s v="Y"/>
    <s v="N"/>
    <s v="T20"/>
    <s v="N"/>
    <s v="N"/>
    <s v="N"/>
    <s v="N"/>
    <s v=""/>
    <d v="2016-11-02T00:00:00"/>
    <s v="10"/>
    <s v="TAN"/>
    <s v="ZRPU"/>
    <d v="2016-11-21T00:00:00"/>
    <s v="AZ"/>
    <s v="US"/>
    <s v="ZR"/>
    <d v="2016-11-02T00:00:00"/>
  </r>
  <r>
    <x v="1"/>
    <x v="7"/>
    <x v="1639"/>
    <x v="33"/>
    <s v="Standard order"/>
    <x v="1545"/>
    <x v="1540"/>
    <s v="8337"/>
    <s v="BTS 8337"/>
    <s v="5002794"/>
    <s v="8337 BTS T35 PB SYSTIVA P200"/>
    <n v="76"/>
    <n v="0"/>
    <n v="76"/>
    <x v="7"/>
    <s v="DHMC"/>
    <s v="PRO 200"/>
    <s v="333"/>
    <s v="4.0 UN"/>
    <s v="STANDARD"/>
    <s v="N"/>
    <s v="Y"/>
    <s v="N"/>
    <s v="T35"/>
    <s v="Y"/>
    <s v="N"/>
    <s v="Y"/>
    <s v="N"/>
    <s v="B026"/>
    <d v="2016-11-07T00:00:00"/>
    <s v="10"/>
    <s v="TAN"/>
    <s v="OR"/>
    <d v="2016-11-02T00:00:00"/>
    <s v="MN"/>
    <s v="US"/>
    <s v="ZR"/>
    <d v="2016-11-02T00:00:00"/>
  </r>
  <r>
    <x v="1"/>
    <x v="7"/>
    <x v="1639"/>
    <x v="33"/>
    <s v="Standard order"/>
    <x v="1545"/>
    <x v="1540"/>
    <s v="8524"/>
    <s v="BTS 8524"/>
    <s v="5002895"/>
    <s v="8524 BTS T35 PB SYSTIVA P200"/>
    <n v="48"/>
    <n v="0"/>
    <n v="48"/>
    <x v="7"/>
    <s v="FWND"/>
    <s v="PRO 200"/>
    <s v="333"/>
    <s v="4.0 UN"/>
    <s v="STANDARD"/>
    <s v="N"/>
    <s v="Y"/>
    <s v="N"/>
    <s v="T35"/>
    <s v="Y"/>
    <s v="N"/>
    <s v="Y"/>
    <s v="N"/>
    <s v="B026"/>
    <d v="2016-11-07T00:00:00"/>
    <s v="20"/>
    <s v="TAN"/>
    <s v="OR"/>
    <d v="2016-11-02T00:00:00"/>
    <s v="MN"/>
    <s v="US"/>
    <s v="ZR"/>
    <d v="2016-11-02T00:00:00"/>
  </r>
  <r>
    <x v="1"/>
    <x v="7"/>
    <x v="1639"/>
    <x v="33"/>
    <s v="Standard order"/>
    <x v="1545"/>
    <x v="1540"/>
    <s v="8500"/>
    <s v="BTS 8500"/>
    <s v="5002855"/>
    <s v="8500 BTS T35 PB SYSTIVA P200"/>
    <n v="56"/>
    <n v="0"/>
    <n v="56"/>
    <x v="7"/>
    <s v="FTND"/>
    <s v="PRO 200"/>
    <s v="333"/>
    <s v="4.0 UN"/>
    <s v="STANDARD"/>
    <s v="N"/>
    <s v="Y"/>
    <s v="N"/>
    <s v="T35"/>
    <s v="Y"/>
    <s v="N"/>
    <s v="Y"/>
    <s v="N"/>
    <s v="B026"/>
    <d v="2016-11-07T00:00:00"/>
    <s v="30"/>
    <s v="TAN"/>
    <s v="OR"/>
    <d v="2016-11-02T00:00:00"/>
    <s v="MN"/>
    <s v="US"/>
    <s v="ZR"/>
    <d v="2016-11-02T00:00:00"/>
  </r>
  <r>
    <x v="1"/>
    <x v="7"/>
    <x v="1640"/>
    <x v="31"/>
    <s v="Standard order"/>
    <x v="1546"/>
    <x v="1541"/>
    <s v="8500"/>
    <s v="BTS 8500"/>
    <s v="5002856"/>
    <s v="8500 BTS T35 PB SYSTIVA RP"/>
    <n v="60"/>
    <n v="0"/>
    <n v="60"/>
    <x v="7"/>
    <s v="FTND"/>
    <s v="RP"/>
    <s v="333"/>
    <s v="4.0 UN"/>
    <s v="STANDARD"/>
    <s v="N"/>
    <s v="Y"/>
    <s v="N"/>
    <s v="T35"/>
    <s v="Y"/>
    <s v="N"/>
    <s v="Y"/>
    <s v="N"/>
    <s v="B028"/>
    <d v="2016-11-08T00:00:00"/>
    <s v="20"/>
    <s v="TAN"/>
    <s v="OR"/>
    <d v="2016-11-03T00:00:00"/>
    <s v="MN"/>
    <s v="US"/>
    <s v="ZR"/>
    <d v="2016-11-03T00:00:00"/>
  </r>
  <r>
    <x v="1"/>
    <x v="7"/>
    <x v="1640"/>
    <x v="31"/>
    <s v="Standard order"/>
    <x v="1546"/>
    <x v="1541"/>
    <s v="8512"/>
    <s v="BTS 8512"/>
    <s v="5002876"/>
    <s v="8512 BTS T35 PB SYSTIVA RP"/>
    <n v="60"/>
    <n v="0"/>
    <n v="60"/>
    <x v="7"/>
    <s v="FX73"/>
    <s v="RP"/>
    <s v="333"/>
    <s v="4.0 UN"/>
    <s v="STANDARD"/>
    <s v="N"/>
    <s v="Y"/>
    <s v="N"/>
    <s v="T35"/>
    <s v="Y"/>
    <s v="N"/>
    <s v="Y"/>
    <s v="N"/>
    <s v="B028"/>
    <d v="2016-11-08T00:00:00"/>
    <s v="30"/>
    <s v="TAN"/>
    <s v="OR"/>
    <d v="2016-11-03T00:00:00"/>
    <s v="MN"/>
    <s v="US"/>
    <s v="ZR"/>
    <d v="2016-11-03T00:00:00"/>
  </r>
  <r>
    <x v="1"/>
    <x v="7"/>
    <x v="1641"/>
    <x v="31"/>
    <s v="Standard order"/>
    <x v="1547"/>
    <x v="1542"/>
    <s v="8524"/>
    <s v="BTS 8524"/>
    <s v="5002895"/>
    <s v="8524 BTS T35 PB SYSTIVA P200"/>
    <n v="56"/>
    <n v="0"/>
    <n v="56"/>
    <x v="7"/>
    <s v="FWND"/>
    <s v="PRO 200"/>
    <s v="333"/>
    <s v="4.0 UN"/>
    <s v="STANDARD"/>
    <s v="N"/>
    <s v="Y"/>
    <s v="N"/>
    <s v="T35"/>
    <s v="Y"/>
    <s v="N"/>
    <s v="Y"/>
    <s v="N"/>
    <s v="B028"/>
    <d v="2016-11-08T00:00:00"/>
    <s v="10"/>
    <s v="TAN"/>
    <s v="OR"/>
    <d v="2016-11-03T00:00:00"/>
    <s v="ND"/>
    <s v="US"/>
    <s v="ZR"/>
    <d v="2016-11-03T00:00:00"/>
  </r>
  <r>
    <x v="1"/>
    <x v="7"/>
    <x v="1642"/>
    <x v="31"/>
    <s v="Standard order"/>
    <x v="1548"/>
    <x v="1543"/>
    <s v="8337"/>
    <s v="BTS 8337"/>
    <s v="5002794"/>
    <s v="8337 BTS T35 PB SYSTIVA P200"/>
    <n v="64"/>
    <n v="0"/>
    <n v="64"/>
    <x v="7"/>
    <s v="DHMC"/>
    <s v="PRO 200"/>
    <s v="333"/>
    <s v="4.0 UN"/>
    <s v="STANDARD"/>
    <s v="N"/>
    <s v="Y"/>
    <s v="N"/>
    <s v="T35"/>
    <s v="Y"/>
    <s v="N"/>
    <s v="Y"/>
    <s v="N"/>
    <s v="B028"/>
    <d v="2016-11-08T00:00:00"/>
    <s v="10"/>
    <s v="TAN"/>
    <s v="OR"/>
    <d v="2016-11-03T00:00:00"/>
    <s v="ND"/>
    <s v="US"/>
    <s v="ZR"/>
    <d v="2016-11-03T00:00:00"/>
  </r>
  <r>
    <x v="1"/>
    <x v="7"/>
    <x v="1642"/>
    <x v="31"/>
    <s v="Standard order"/>
    <x v="1548"/>
    <x v="1543"/>
    <s v="8052"/>
    <s v="BTS 80RR52"/>
    <s v="5002734"/>
    <s v="8052 BTS T35 PB SYSTIVA P200"/>
    <n v="64"/>
    <n v="0"/>
    <n v="64"/>
    <x v="7"/>
    <s v="AP82"/>
    <s v="PRO 200"/>
    <s v="333"/>
    <s v="4.0 UN"/>
    <s v="STANDARD"/>
    <s v="N"/>
    <s v="Y"/>
    <s v="N"/>
    <s v="T35"/>
    <s v="Y"/>
    <s v="N"/>
    <s v="Y"/>
    <s v="N"/>
    <s v="B028"/>
    <d v="2016-11-08T00:00:00"/>
    <s v="20"/>
    <s v="TAN"/>
    <s v="OR"/>
    <d v="2016-11-03T00:00:00"/>
    <s v="ND"/>
    <s v="US"/>
    <s v="ZR"/>
    <d v="2016-11-03T00:00:00"/>
  </r>
  <r>
    <x v="1"/>
    <x v="7"/>
    <x v="1643"/>
    <x v="31"/>
    <s v="Standard order"/>
    <x v="1549"/>
    <x v="1544"/>
    <s v="8337"/>
    <s v="BTS 8337"/>
    <s v="5002795"/>
    <s v="8337 BTS T35 PB SYSTIVA RP"/>
    <n v="96"/>
    <n v="0"/>
    <n v="96"/>
    <x v="7"/>
    <s v="DHMC"/>
    <s v="RP"/>
    <s v="333"/>
    <s v="4.0 UN"/>
    <s v="STANDARD"/>
    <s v="N"/>
    <s v="Y"/>
    <s v="N"/>
    <s v="T35"/>
    <s v="Y"/>
    <s v="N"/>
    <s v="Y"/>
    <s v="N"/>
    <s v="B028"/>
    <d v="2016-11-08T00:00:00"/>
    <s v="10"/>
    <s v="TAN"/>
    <s v="OR"/>
    <d v="2016-11-03T00:00:00"/>
    <s v="ND"/>
    <s v="US"/>
    <s v="ZR"/>
    <d v="2016-11-03T00:00:00"/>
  </r>
  <r>
    <x v="1"/>
    <x v="7"/>
    <x v="1643"/>
    <x v="31"/>
    <s v="Standard order"/>
    <x v="1549"/>
    <x v="1544"/>
    <s v="8052"/>
    <s v="BTS 80RR52"/>
    <s v="5002735"/>
    <s v="8052 BTS T35 PB SYSTIVA RP"/>
    <n v="96"/>
    <n v="0"/>
    <n v="96"/>
    <x v="7"/>
    <s v="AP82"/>
    <s v="RP"/>
    <s v="333"/>
    <s v="4.0 UN"/>
    <s v="STANDARD"/>
    <s v="N"/>
    <s v="Y"/>
    <s v="N"/>
    <s v="T35"/>
    <s v="Y"/>
    <s v="N"/>
    <s v="Y"/>
    <s v="N"/>
    <s v="B028"/>
    <d v="2016-11-08T00:00:00"/>
    <s v="20"/>
    <s v="TAN"/>
    <s v="OR"/>
    <d v="2016-11-03T00:00:00"/>
    <s v="ND"/>
    <s v="US"/>
    <s v="ZR"/>
    <d v="2016-11-03T00:00:00"/>
  </r>
  <r>
    <x v="1"/>
    <x v="7"/>
    <x v="1643"/>
    <x v="31"/>
    <s v="Standard order"/>
    <x v="1549"/>
    <x v="1544"/>
    <s v="8524"/>
    <s v="BTS 8524"/>
    <s v="5002896"/>
    <s v="8524 BTS T35 PB SYSTIVA RP"/>
    <n v="192"/>
    <n v="0"/>
    <n v="192"/>
    <x v="7"/>
    <s v="FWND"/>
    <s v="RP"/>
    <s v="333"/>
    <s v="4.0 UN"/>
    <s v="STANDARD"/>
    <s v="N"/>
    <s v="Y"/>
    <s v="N"/>
    <s v="T35"/>
    <s v="Y"/>
    <s v="N"/>
    <s v="Y"/>
    <s v="N"/>
    <s v="B028"/>
    <d v="2016-11-08T00:00:00"/>
    <s v="30"/>
    <s v="TAN"/>
    <s v="OR"/>
    <d v="2016-11-03T00:00:00"/>
    <s v="ND"/>
    <s v="US"/>
    <s v="ZR"/>
    <d v="2016-11-03T00:00:00"/>
  </r>
  <r>
    <x v="1"/>
    <x v="7"/>
    <x v="1643"/>
    <x v="31"/>
    <s v="Standard order"/>
    <x v="1549"/>
    <x v="1544"/>
    <s v="83CN"/>
    <s v="BTS 83CN"/>
    <s v="5002836"/>
    <s v="83CN BTS T35 PB SYSTIVA RP"/>
    <n v="192"/>
    <n v="0"/>
    <n v="192"/>
    <x v="7"/>
    <s v="EE73"/>
    <s v="RP"/>
    <s v="333"/>
    <s v="4.0 UN"/>
    <s v="STANDARD"/>
    <s v="N"/>
    <s v="Y"/>
    <s v="N"/>
    <s v="T35"/>
    <s v="Y"/>
    <s v="N"/>
    <s v="Y"/>
    <s v="N"/>
    <s v="B028"/>
    <d v="2016-11-08T00:00:00"/>
    <s v="40"/>
    <s v="TAN"/>
    <s v="OR"/>
    <d v="2016-11-03T00:00:00"/>
    <s v="ND"/>
    <s v="US"/>
    <s v="ZR"/>
    <d v="2016-11-03T00:00:00"/>
  </r>
  <r>
    <x v="1"/>
    <x v="7"/>
    <x v="1644"/>
    <x v="37"/>
    <s v="Standard order"/>
    <x v="1550"/>
    <x v="1545"/>
    <s v="8500"/>
    <s v="BTS 8500"/>
    <s v="5002844"/>
    <s v="8500 BTS T20 SYSTIVA MP"/>
    <n v="12"/>
    <n v="0"/>
    <n v="12"/>
    <x v="7"/>
    <s v="FTND"/>
    <s v="MP"/>
    <s v="326"/>
    <s v="4.0 UN"/>
    <s v="STANDARD"/>
    <s v="N"/>
    <s v="N"/>
    <s v="N"/>
    <s v="T20"/>
    <s v="Y"/>
    <s v="N"/>
    <s v="Y"/>
    <s v="N"/>
    <s v="B033"/>
    <d v="2016-11-08T00:00:00"/>
    <s v="10"/>
    <s v="TAN"/>
    <s v="OR"/>
    <d v="2016-11-03T00:00:00"/>
    <s v="MN"/>
    <s v="US"/>
    <s v="ZR"/>
    <d v="2016-11-03T00:00:00"/>
  </r>
  <r>
    <x v="1"/>
    <x v="7"/>
    <x v="1644"/>
    <x v="37"/>
    <s v="Standard order"/>
    <x v="1550"/>
    <x v="1545"/>
    <s v="8524"/>
    <s v="BTS 8524"/>
    <s v="5002884"/>
    <s v="8524 BTS T20 SYSTIVA MP"/>
    <n v="44"/>
    <n v="0"/>
    <n v="44"/>
    <x v="7"/>
    <s v="FWND"/>
    <s v="MP"/>
    <s v="326"/>
    <s v="4.0 UN"/>
    <s v="STANDARD"/>
    <s v="N"/>
    <s v="N"/>
    <s v="N"/>
    <s v="T20"/>
    <s v="Y"/>
    <s v="N"/>
    <s v="Y"/>
    <s v="N"/>
    <s v="B033"/>
    <d v="2016-11-08T00:00:00"/>
    <s v="20"/>
    <s v="TAN"/>
    <s v="OR"/>
    <d v="2016-11-03T00:00:00"/>
    <s v="MN"/>
    <s v="US"/>
    <s v="ZR"/>
    <d v="2016-11-03T00:00:00"/>
  </r>
  <r>
    <x v="1"/>
    <x v="7"/>
    <x v="1645"/>
    <x v="31"/>
    <s v="Standard order"/>
    <x v="1551"/>
    <x v="1546"/>
    <s v="8337"/>
    <s v="BTS 8337"/>
    <s v="5002794"/>
    <s v="8337 BTS T35 PB SYSTIVA P200"/>
    <n v="60"/>
    <n v="0"/>
    <n v="60"/>
    <x v="7"/>
    <s v="DHMC"/>
    <s v="PRO 200"/>
    <s v="333"/>
    <s v="4.0 UN"/>
    <s v="STANDARD"/>
    <s v="N"/>
    <s v="Y"/>
    <s v="N"/>
    <s v="T35"/>
    <s v="Y"/>
    <s v="N"/>
    <s v="Y"/>
    <s v="N"/>
    <s v="B028"/>
    <d v="2016-11-08T00:00:00"/>
    <s v="10"/>
    <s v="TAN"/>
    <s v="OR"/>
    <d v="2016-11-03T00:00:00"/>
    <s v="ND"/>
    <s v="US"/>
    <s v="ZR"/>
    <d v="2016-11-03T00:00:00"/>
  </r>
  <r>
    <x v="1"/>
    <x v="7"/>
    <x v="1646"/>
    <x v="31"/>
    <s v="Standard order"/>
    <x v="1552"/>
    <x v="1547"/>
    <s v="8524"/>
    <s v="BTS 8524"/>
    <s v="5002895"/>
    <s v="8524 BTS T35 PB SYSTIVA P200"/>
    <n v="60"/>
    <n v="0"/>
    <n v="60"/>
    <x v="7"/>
    <s v="FWND"/>
    <s v="PRO 200"/>
    <s v="333"/>
    <s v="4.0 UN"/>
    <s v="STANDARD"/>
    <s v="N"/>
    <s v="Y"/>
    <s v="N"/>
    <s v="T35"/>
    <s v="Y"/>
    <s v="N"/>
    <s v="Y"/>
    <s v="N"/>
    <s v="B028"/>
    <d v="2016-11-08T00:00:00"/>
    <s v="20"/>
    <s v="TAN"/>
    <s v="OR"/>
    <d v="2016-11-03T00:00:00"/>
    <s v="ND"/>
    <s v="US"/>
    <s v="ZR"/>
    <d v="2016-11-03T00:00:00"/>
  </r>
  <r>
    <x v="1"/>
    <x v="7"/>
    <x v="1647"/>
    <x v="33"/>
    <s v="Standard order"/>
    <x v="1423"/>
    <x v="1418"/>
    <s v="8337"/>
    <s v="BTS 8337"/>
    <s v="5002790"/>
    <s v="8337 P200 BetaShield"/>
    <n v="260"/>
    <n v="260"/>
    <n v="0"/>
    <x v="7"/>
    <s v="DHMC"/>
    <s v="PRO 200"/>
    <s v="398"/>
    <s v="4.0 UN"/>
    <s v="STANDARD"/>
    <s v="N"/>
    <s v="Y"/>
    <s v="Y"/>
    <s v="T35"/>
    <s v="N"/>
    <s v="N"/>
    <s v="N"/>
    <s v="N"/>
    <s v=""/>
    <d v="2016-11-03T00:00:00"/>
    <s v="10"/>
    <s v="TAN"/>
    <s v="OR"/>
    <d v="2016-11-03T00:00:00"/>
    <s v="MN"/>
    <s v="US"/>
    <s v="ZR"/>
    <d v="2016-11-03T00:00:00"/>
  </r>
  <r>
    <x v="1"/>
    <x v="7"/>
    <x v="1647"/>
    <x v="33"/>
    <s v="Standard order"/>
    <x v="1423"/>
    <x v="1418"/>
    <s v="8233"/>
    <s v="BTS 82RR33"/>
    <s v="5002770"/>
    <s v="82RR33 P200 BetaShield"/>
    <n v="24"/>
    <n v="24"/>
    <n v="0"/>
    <x v="7"/>
    <s v="DRMC"/>
    <s v="PRO 200"/>
    <s v="398"/>
    <s v="4.0 UN"/>
    <s v="STANDARD"/>
    <s v="N"/>
    <s v="Y"/>
    <s v="Y"/>
    <s v="T35"/>
    <s v="N"/>
    <s v="N"/>
    <s v="N"/>
    <s v="N"/>
    <s v=""/>
    <d v="2016-11-03T00:00:00"/>
    <s v="20"/>
    <s v="TAN"/>
    <s v="OR"/>
    <d v="2016-11-03T00:00:00"/>
    <s v="MN"/>
    <s v="US"/>
    <s v="ZR"/>
    <d v="2016-11-03T00:00:00"/>
  </r>
  <r>
    <x v="1"/>
    <x v="7"/>
    <x v="1648"/>
    <x v="37"/>
    <s v="Standard order"/>
    <x v="1553"/>
    <x v="1548"/>
    <s v="8052"/>
    <s v="BTS 80RR52"/>
    <s v="5002735"/>
    <s v="8052 BTS T35 PB SYSTIVA RP"/>
    <n v="48"/>
    <n v="0"/>
    <n v="48"/>
    <x v="7"/>
    <s v="AP82"/>
    <s v="RP"/>
    <s v="333"/>
    <s v="4.0 UN"/>
    <s v="STANDARD"/>
    <s v="N"/>
    <s v="Y"/>
    <s v="N"/>
    <s v="T35"/>
    <s v="Y"/>
    <s v="N"/>
    <s v="Y"/>
    <s v="N"/>
    <s v="B033"/>
    <d v="2016-11-08T00:00:00"/>
    <s v="10"/>
    <s v="TAN"/>
    <s v="OR"/>
    <d v="2016-11-03T00:00:00"/>
    <s v="MN"/>
    <s v="US"/>
    <s v="ZR"/>
    <d v="2016-11-03T00:00:00"/>
  </r>
  <r>
    <x v="1"/>
    <x v="7"/>
    <x v="1648"/>
    <x v="37"/>
    <s v="Standard order"/>
    <x v="1553"/>
    <x v="1548"/>
    <s v="8233"/>
    <s v="BTS 82RR33"/>
    <s v="5002775"/>
    <s v="8233 BTS T35 PB SYSTIVA RP"/>
    <n v="48"/>
    <n v="0"/>
    <n v="48"/>
    <x v="7"/>
    <s v="DRMC"/>
    <s v="RP"/>
    <s v="333"/>
    <s v="4.0 UN"/>
    <s v="STANDARD"/>
    <s v="N"/>
    <s v="Y"/>
    <s v="N"/>
    <s v="T35"/>
    <s v="Y"/>
    <s v="N"/>
    <s v="Y"/>
    <s v="N"/>
    <s v="B033"/>
    <d v="2016-11-08T00:00:00"/>
    <s v="20"/>
    <s v="TAN"/>
    <s v="OR"/>
    <d v="2016-11-03T00:00:00"/>
    <s v="MN"/>
    <s v="US"/>
    <s v="ZR"/>
    <d v="2016-11-03T00:00:00"/>
  </r>
  <r>
    <x v="1"/>
    <x v="7"/>
    <x v="1649"/>
    <x v="33"/>
    <s v="Returns Standard SAP"/>
    <x v="1554"/>
    <x v="1549"/>
    <s v="8337"/>
    <s v="BTS 8337"/>
    <s v="5002790"/>
    <s v="8337 P200 BetaShield"/>
    <n v="-260"/>
    <n v="-260"/>
    <n v="0"/>
    <x v="7"/>
    <s v="DHMC"/>
    <s v="PRO 200"/>
    <s v="398"/>
    <s v="4.0 UN"/>
    <s v="STANDARD"/>
    <s v="N"/>
    <s v="Y"/>
    <s v="Y"/>
    <s v="T35"/>
    <s v="N"/>
    <s v="N"/>
    <s v="N"/>
    <s v="N"/>
    <s v=""/>
    <d v="2016-11-03T00:00:00"/>
    <s v="10"/>
    <s v="ZSRE"/>
    <s v="ZSRE"/>
    <d v="2016-11-03T00:00:00"/>
    <s v="MN"/>
    <s v="US"/>
    <s v="ZR"/>
    <d v="2016-11-03T00:00:00"/>
  </r>
  <r>
    <x v="1"/>
    <x v="7"/>
    <x v="1649"/>
    <x v="33"/>
    <s v="Returns Standard SAP"/>
    <x v="1554"/>
    <x v="1549"/>
    <s v="8233"/>
    <s v="BTS 82RR33"/>
    <s v="5002770"/>
    <s v="82RR33 P200 BetaShield"/>
    <n v="-24"/>
    <n v="-24"/>
    <n v="0"/>
    <x v="7"/>
    <s v="DRMC"/>
    <s v="PRO 200"/>
    <s v="398"/>
    <s v="4.0 UN"/>
    <s v="STANDARD"/>
    <s v="N"/>
    <s v="Y"/>
    <s v="Y"/>
    <s v="T35"/>
    <s v="N"/>
    <s v="N"/>
    <s v="N"/>
    <s v="N"/>
    <s v=""/>
    <d v="2016-11-03T00:00:00"/>
    <s v="20"/>
    <s v="ZSRE"/>
    <s v="ZSRE"/>
    <d v="2016-11-03T00:00:00"/>
    <s v="MN"/>
    <s v="US"/>
    <s v="ZR"/>
    <d v="2016-11-03T00:00:00"/>
  </r>
  <r>
    <x v="1"/>
    <x v="7"/>
    <x v="1650"/>
    <x v="31"/>
    <s v="Standard order"/>
    <x v="1555"/>
    <x v="1550"/>
    <s v="8052"/>
    <s v="BTS 80RR52"/>
    <s v="5002734"/>
    <s v="8052 BTS T35 PB SYSTIVA P200"/>
    <n v="28"/>
    <n v="0"/>
    <n v="28"/>
    <x v="7"/>
    <s v="AP82"/>
    <s v="PRO 200"/>
    <s v="333"/>
    <s v="4.0 UN"/>
    <s v="STANDARD"/>
    <s v="N"/>
    <s v="Y"/>
    <s v="N"/>
    <s v="T35"/>
    <s v="Y"/>
    <s v="N"/>
    <s v="Y"/>
    <s v="N"/>
    <s v="B028"/>
    <d v="2016-11-08T00:00:00"/>
    <s v="10"/>
    <s v="TAN"/>
    <s v="OR"/>
    <d v="2016-11-03T00:00:00"/>
    <s v="ND"/>
    <s v="US"/>
    <s v="ZR"/>
    <d v="2016-11-03T00:00:00"/>
  </r>
  <r>
    <x v="1"/>
    <x v="7"/>
    <x v="1651"/>
    <x v="31"/>
    <s v="Standard order"/>
    <x v="1556"/>
    <x v="1551"/>
    <s v="8500"/>
    <s v="BTS 8500"/>
    <s v="5002855"/>
    <s v="8500 BTS T35 PB SYSTIVA P200"/>
    <n v="84"/>
    <n v="0"/>
    <n v="84"/>
    <x v="7"/>
    <s v="FTND"/>
    <s v="PRO 200"/>
    <s v="333"/>
    <s v="4.0 UN"/>
    <s v="STANDARD"/>
    <s v="N"/>
    <s v="Y"/>
    <s v="N"/>
    <s v="T35"/>
    <s v="Y"/>
    <s v="N"/>
    <s v="Y"/>
    <s v="N"/>
    <s v="B028"/>
    <d v="2016-11-08T00:00:00"/>
    <s v="10"/>
    <s v="TAN"/>
    <s v="OR"/>
    <d v="2016-11-03T00:00:00"/>
    <s v="ND"/>
    <s v="US"/>
    <s v="ZR"/>
    <d v="2016-11-03T00:00:00"/>
  </r>
  <r>
    <x v="1"/>
    <x v="7"/>
    <x v="1652"/>
    <x v="36"/>
    <s v="Standard order"/>
    <x v="1557"/>
    <x v="1552"/>
    <s v="8524"/>
    <s v="BTS 8524"/>
    <s v="5002895"/>
    <s v="8524 BTS T35 PB SYSTIVA P200"/>
    <n v="192"/>
    <n v="0"/>
    <n v="192"/>
    <x v="7"/>
    <s v="FWND"/>
    <s v="PRO 200"/>
    <s v="333"/>
    <s v="4.0 UN"/>
    <s v="STANDARD"/>
    <s v="N"/>
    <s v="Y"/>
    <s v="N"/>
    <s v="T35"/>
    <s v="Y"/>
    <s v="N"/>
    <s v="Y"/>
    <s v="N"/>
    <s v="B027"/>
    <d v="2016-11-09T00:00:00"/>
    <s v="10"/>
    <s v="TAN"/>
    <s v="OR"/>
    <d v="2016-11-04T00:00:00"/>
    <s v="MN"/>
    <s v="US"/>
    <s v="ZR"/>
    <d v="2016-11-04T00:00:00"/>
  </r>
  <r>
    <x v="1"/>
    <x v="7"/>
    <x v="1653"/>
    <x v="36"/>
    <s v="Standard order"/>
    <x v="1558"/>
    <x v="1553"/>
    <s v="8052"/>
    <s v="BTS 80RR52"/>
    <s v="5002734"/>
    <s v="8052 BTS T35 PB SYSTIVA P200"/>
    <n v="96"/>
    <n v="0"/>
    <n v="96"/>
    <x v="7"/>
    <s v="AP82"/>
    <s v="PRO 200"/>
    <s v="333"/>
    <s v="4.0 UN"/>
    <s v="STANDARD"/>
    <s v="N"/>
    <s v="Y"/>
    <s v="N"/>
    <s v="T35"/>
    <s v="Y"/>
    <s v="N"/>
    <s v="Y"/>
    <s v="N"/>
    <s v="B027"/>
    <d v="2016-11-09T00:00:00"/>
    <s v="10"/>
    <s v="TAN"/>
    <s v="OR"/>
    <d v="2016-11-04T00:00:00"/>
    <s v="MN"/>
    <s v="US"/>
    <s v="ZR"/>
    <d v="2016-11-04T00:00:00"/>
  </r>
  <r>
    <x v="1"/>
    <x v="7"/>
    <x v="1653"/>
    <x v="36"/>
    <s v="Standard order"/>
    <x v="1558"/>
    <x v="1553"/>
    <s v="8524"/>
    <s v="BTS 8524"/>
    <s v="5002895"/>
    <s v="8524 BTS T35 PB SYSTIVA P200"/>
    <n v="96"/>
    <n v="0"/>
    <n v="96"/>
    <x v="7"/>
    <s v="FWND"/>
    <s v="PRO 200"/>
    <s v="333"/>
    <s v="4.0 UN"/>
    <s v="STANDARD"/>
    <s v="N"/>
    <s v="Y"/>
    <s v="N"/>
    <s v="T35"/>
    <s v="Y"/>
    <s v="N"/>
    <s v="Y"/>
    <s v="N"/>
    <s v="B027"/>
    <d v="2016-11-09T00:00:00"/>
    <s v="20"/>
    <s v="TAN"/>
    <s v="OR"/>
    <d v="2016-11-04T00:00:00"/>
    <s v="MN"/>
    <s v="US"/>
    <s v="ZR"/>
    <d v="2016-11-04T00:00:00"/>
  </r>
  <r>
    <x v="1"/>
    <x v="7"/>
    <x v="1653"/>
    <x v="36"/>
    <s v="Standard order"/>
    <x v="1558"/>
    <x v="1553"/>
    <s v="8500"/>
    <s v="BTS 8500"/>
    <s v="5002855"/>
    <s v="8500 BTS T35 PB SYSTIVA P200"/>
    <n v="96"/>
    <n v="0"/>
    <n v="96"/>
    <x v="7"/>
    <s v="FTND"/>
    <s v="PRO 200"/>
    <s v="333"/>
    <s v="4.0 UN"/>
    <s v="STANDARD"/>
    <s v="N"/>
    <s v="Y"/>
    <s v="N"/>
    <s v="T35"/>
    <s v="Y"/>
    <s v="N"/>
    <s v="Y"/>
    <s v="N"/>
    <s v="B027"/>
    <d v="2016-11-09T00:00:00"/>
    <s v="30"/>
    <s v="TAN"/>
    <s v="OR"/>
    <d v="2016-11-04T00:00:00"/>
    <s v="MN"/>
    <s v="US"/>
    <s v="ZR"/>
    <d v="2016-11-04T00:00:00"/>
  </r>
  <r>
    <x v="1"/>
    <x v="7"/>
    <x v="1654"/>
    <x v="39"/>
    <s v="Standard order"/>
    <x v="1559"/>
    <x v="1554"/>
    <s v="8363"/>
    <s v="BTS 8363"/>
    <s v="5002820"/>
    <s v="8363 BTS T35 SYSTIVA RP"/>
    <n v="120"/>
    <n v="0"/>
    <n v="120"/>
    <x v="7"/>
    <s v="DMMZ"/>
    <s v="RP"/>
    <s v="334"/>
    <s v="4.0 UN"/>
    <s v="STANDARD"/>
    <s v="N"/>
    <s v="N"/>
    <s v="N"/>
    <s v="T35"/>
    <s v="Y"/>
    <s v="N"/>
    <s v="Y"/>
    <s v="N"/>
    <s v="B030"/>
    <d v="2016-11-09T00:00:00"/>
    <s v="10"/>
    <s v="TAN"/>
    <s v="OR"/>
    <d v="2016-11-04T00:00:00"/>
    <s v="MN"/>
    <s v="US"/>
    <s v="ZR"/>
    <d v="2016-11-04T00:00:00"/>
  </r>
  <r>
    <x v="1"/>
    <x v="7"/>
    <x v="1654"/>
    <x v="39"/>
    <s v="Standard order"/>
    <x v="1559"/>
    <x v="1554"/>
    <s v="8052"/>
    <s v="BTS 80RR52"/>
    <s v="5002739"/>
    <s v="8052 BTS T35 SYSTIVA RP"/>
    <n v="60"/>
    <n v="0"/>
    <n v="60"/>
    <x v="7"/>
    <s v="AP82"/>
    <s v="RP"/>
    <s v="334"/>
    <s v="4.0 UN"/>
    <s v="STANDARD"/>
    <s v="N"/>
    <s v="N"/>
    <s v="N"/>
    <s v="T35"/>
    <s v="Y"/>
    <s v="N"/>
    <s v="Y"/>
    <s v="N"/>
    <s v="B030"/>
    <d v="2016-11-09T00:00:00"/>
    <s v="20"/>
    <s v="TAN"/>
    <s v="OR"/>
    <d v="2016-11-04T00:00:00"/>
    <s v="MN"/>
    <s v="US"/>
    <s v="ZR"/>
    <d v="2016-11-04T00:00:00"/>
  </r>
  <r>
    <x v="1"/>
    <x v="8"/>
    <x v="1655"/>
    <x v="34"/>
    <s v="Replant Order"/>
    <x v="1369"/>
    <x v="1364"/>
    <s v="5499"/>
    <s v="BTS 5499"/>
    <s v="5002605"/>
    <s v="5499 P100"/>
    <n v="16"/>
    <n v="16"/>
    <n v="0"/>
    <x v="8"/>
    <s v="DRMG"/>
    <s v="PRO 100"/>
    <s v="306"/>
    <s v="4.0 UN"/>
    <s v="STANDARD"/>
    <s v="N"/>
    <s v="N"/>
    <s v="N"/>
    <s v="N"/>
    <s v="N"/>
    <s v="N"/>
    <s v="N"/>
    <s v="N"/>
    <s v=""/>
    <d v="2016-11-04T00:00:00"/>
    <s v="10"/>
    <s v="TAN"/>
    <s v="ZRPU"/>
    <d v="2016-11-22T00:00:00"/>
    <s v="CA"/>
    <s v="US"/>
    <s v="ZR"/>
    <d v="2016-11-04T00:00:00"/>
  </r>
  <r>
    <x v="1"/>
    <x v="7"/>
    <x v="1656"/>
    <x v="39"/>
    <s v="Standard order"/>
    <x v="1560"/>
    <x v="1555"/>
    <s v="8233"/>
    <s v="BTS 82RR33"/>
    <s v="5002771"/>
    <s v="82RR33 RP BetaShield"/>
    <n v="144"/>
    <n v="144"/>
    <n v="0"/>
    <x v="7"/>
    <s v="DRMC"/>
    <s v="RP"/>
    <s v="398"/>
    <s v="4.0 UN"/>
    <s v="STANDARD"/>
    <s v="N"/>
    <s v="Y"/>
    <s v="Y"/>
    <s v="T35"/>
    <s v="N"/>
    <s v="N"/>
    <s v="N"/>
    <s v="N"/>
    <s v=""/>
    <d v="2016-11-04T00:00:00"/>
    <s v="10"/>
    <s v="TAN"/>
    <s v="OR"/>
    <d v="2016-11-04T00:00:00"/>
    <s v="MN"/>
    <s v="US"/>
    <s v="ZR"/>
    <d v="2016-11-04T00:00:00"/>
  </r>
  <r>
    <x v="1"/>
    <x v="7"/>
    <x v="1657"/>
    <x v="39"/>
    <s v="Standard order"/>
    <x v="1561"/>
    <x v="1556"/>
    <s v="8363"/>
    <s v="BTS 8363"/>
    <s v="5002816"/>
    <s v="8363 BTS T35 PB SYSTIVA RP"/>
    <n v="96"/>
    <n v="0"/>
    <n v="96"/>
    <x v="7"/>
    <s v="DMMZ"/>
    <s v="RP"/>
    <s v="333"/>
    <s v="4.0 UN"/>
    <s v="STANDARD"/>
    <s v="N"/>
    <s v="Y"/>
    <s v="N"/>
    <s v="T35"/>
    <s v="Y"/>
    <s v="N"/>
    <s v="Y"/>
    <s v="N"/>
    <s v="B030"/>
    <d v="2016-11-09T00:00:00"/>
    <s v="10"/>
    <s v="TAN"/>
    <s v="OR"/>
    <d v="2016-11-04T00:00:00"/>
    <s v="MN"/>
    <s v="US"/>
    <s v="ZR"/>
    <d v="2016-11-04T00:00:00"/>
  </r>
  <r>
    <x v="1"/>
    <x v="7"/>
    <x v="1657"/>
    <x v="39"/>
    <s v="Standard order"/>
    <x v="1561"/>
    <x v="1556"/>
    <s v="8524"/>
    <s v="BTS 8524"/>
    <s v="5002896"/>
    <s v="8524 BTS T35 PB SYSTIVA RP"/>
    <n v="60"/>
    <n v="0"/>
    <n v="60"/>
    <x v="7"/>
    <s v="FWND"/>
    <s v="RP"/>
    <s v="333"/>
    <s v="4.0 UN"/>
    <s v="STANDARD"/>
    <s v="N"/>
    <s v="Y"/>
    <s v="N"/>
    <s v="T35"/>
    <s v="Y"/>
    <s v="N"/>
    <s v="Y"/>
    <s v="N"/>
    <s v="B030"/>
    <d v="2016-11-09T00:00:00"/>
    <s v="20"/>
    <s v="TAN"/>
    <s v="OR"/>
    <d v="2016-11-04T00:00:00"/>
    <s v="MN"/>
    <s v="US"/>
    <s v="ZR"/>
    <d v="2016-11-04T00:00:00"/>
  </r>
  <r>
    <x v="1"/>
    <x v="7"/>
    <x v="1657"/>
    <x v="39"/>
    <s v="Standard order"/>
    <x v="1561"/>
    <x v="1556"/>
    <s v="8572"/>
    <s v="BTS 8572"/>
    <s v="5003215"/>
    <s v="8572 BTS T35 PB SYSTIVA RP"/>
    <n v="64"/>
    <n v="0"/>
    <n v="64"/>
    <x v="7"/>
    <s v="FENB"/>
    <s v="RP"/>
    <s v="333"/>
    <s v="4.0 UN"/>
    <s v="STANDARD"/>
    <s v="N"/>
    <s v="Y"/>
    <s v="N"/>
    <s v="T35"/>
    <s v="Y"/>
    <s v="N"/>
    <s v="Y"/>
    <s v="N"/>
    <s v="B030"/>
    <d v="2016-11-09T00:00:00"/>
    <s v="30"/>
    <s v="TAN"/>
    <s v="OR"/>
    <d v="2016-11-04T00:00:00"/>
    <s v="MN"/>
    <s v="US"/>
    <s v="ZR"/>
    <d v="2016-11-04T00:00:00"/>
  </r>
  <r>
    <x v="1"/>
    <x v="7"/>
    <x v="1658"/>
    <x v="39"/>
    <s v="Standard order"/>
    <x v="1562"/>
    <x v="1557"/>
    <s v="8233"/>
    <s v="BTS 82RR33"/>
    <s v="5002775"/>
    <s v="8233 BTS T35 PB SYSTIVA RP"/>
    <n v="44"/>
    <n v="0"/>
    <n v="44"/>
    <x v="7"/>
    <s v="DRMC"/>
    <s v="RP"/>
    <s v="333"/>
    <s v="4.0 UN"/>
    <s v="STANDARD"/>
    <s v="N"/>
    <s v="Y"/>
    <s v="N"/>
    <s v="T35"/>
    <s v="Y"/>
    <s v="N"/>
    <s v="Y"/>
    <s v="N"/>
    <s v="B030"/>
    <d v="2016-11-09T00:00:00"/>
    <s v="10"/>
    <s v="TAN"/>
    <s v="OR"/>
    <d v="2016-11-04T00:00:00"/>
    <s v="MN"/>
    <s v="US"/>
    <s v="ZR"/>
    <d v="2016-11-04T00:00:00"/>
  </r>
  <r>
    <x v="1"/>
    <x v="7"/>
    <x v="1658"/>
    <x v="39"/>
    <s v="Standard order"/>
    <x v="1562"/>
    <x v="1557"/>
    <s v="8500"/>
    <s v="BTS 8500"/>
    <s v="5002856"/>
    <s v="8500 BTS T35 PB SYSTIVA RP"/>
    <n v="48"/>
    <n v="0"/>
    <n v="48"/>
    <x v="7"/>
    <s v="FTND"/>
    <s v="RP"/>
    <s v="333"/>
    <s v="4.0 UN"/>
    <s v="STANDARD"/>
    <s v="N"/>
    <s v="Y"/>
    <s v="N"/>
    <s v="T35"/>
    <s v="Y"/>
    <s v="N"/>
    <s v="Y"/>
    <s v="N"/>
    <s v="B030"/>
    <d v="2016-11-09T00:00:00"/>
    <s v="20"/>
    <s v="TAN"/>
    <s v="OR"/>
    <d v="2016-11-04T00:00:00"/>
    <s v="MN"/>
    <s v="US"/>
    <s v="ZR"/>
    <d v="2016-11-04T00:00:00"/>
  </r>
  <r>
    <x v="1"/>
    <x v="7"/>
    <x v="1659"/>
    <x v="39"/>
    <s v="Returns Standard SAP"/>
    <x v="1533"/>
    <x v="1528"/>
    <s v="8233"/>
    <s v="BTS 82RR33"/>
    <s v="5002771"/>
    <s v="82RR33 RP BetaShield"/>
    <n v="-144"/>
    <n v="-144"/>
    <n v="0"/>
    <x v="7"/>
    <s v="DRMC"/>
    <s v="RP"/>
    <s v="398"/>
    <s v="4.0 UN"/>
    <s v="STANDARD"/>
    <s v="N"/>
    <s v="Y"/>
    <s v="Y"/>
    <s v="T35"/>
    <s v="N"/>
    <s v="N"/>
    <s v="N"/>
    <s v="N"/>
    <s v=""/>
    <d v="2016-11-04T00:00:00"/>
    <s v="10"/>
    <s v="ZSRE"/>
    <s v="ZSRE"/>
    <d v="2016-11-04T00:00:00"/>
    <s v="MN"/>
    <s v="US"/>
    <s v="ZR"/>
    <d v="2016-11-04T00:00:00"/>
  </r>
  <r>
    <x v="1"/>
    <x v="7"/>
    <x v="1660"/>
    <x v="33"/>
    <s v="Standard order"/>
    <x v="1563"/>
    <x v="1558"/>
    <s v="8052"/>
    <s v="BTS 80RR52"/>
    <s v="5002735"/>
    <s v="8052 BTS T35 PB SYSTIVA RP"/>
    <n v="96"/>
    <n v="0"/>
    <n v="96"/>
    <x v="7"/>
    <s v="AP82"/>
    <s v="RP"/>
    <s v="333"/>
    <s v="4.0 UN"/>
    <s v="STANDARD"/>
    <s v="N"/>
    <s v="Y"/>
    <s v="N"/>
    <s v="T35"/>
    <s v="Y"/>
    <s v="N"/>
    <s v="Y"/>
    <s v="N"/>
    <s v="B026"/>
    <d v="2016-11-09T00:00:00"/>
    <s v="10"/>
    <s v="TAN"/>
    <s v="OR"/>
    <d v="2016-11-04T00:00:00"/>
    <s v="ND"/>
    <s v="US"/>
    <s v="ZR"/>
    <d v="2016-11-04T00:00:00"/>
  </r>
  <r>
    <x v="1"/>
    <x v="7"/>
    <x v="1660"/>
    <x v="33"/>
    <s v="Standard order"/>
    <x v="1563"/>
    <x v="1558"/>
    <s v="8524"/>
    <s v="BTS 8524"/>
    <s v="5002896"/>
    <s v="8524 BTS T35 PB SYSTIVA RP"/>
    <n v="96"/>
    <n v="0"/>
    <n v="96"/>
    <x v="7"/>
    <s v="FWND"/>
    <s v="RP"/>
    <s v="333"/>
    <s v="4.0 UN"/>
    <s v="STANDARD"/>
    <s v="N"/>
    <s v="Y"/>
    <s v="N"/>
    <s v="T35"/>
    <s v="Y"/>
    <s v="N"/>
    <s v="Y"/>
    <s v="N"/>
    <s v="B026"/>
    <d v="2016-11-09T00:00:00"/>
    <s v="20"/>
    <s v="TAN"/>
    <s v="OR"/>
    <d v="2016-11-04T00:00:00"/>
    <s v="ND"/>
    <s v="US"/>
    <s v="ZR"/>
    <d v="2016-11-04T00:00:00"/>
  </r>
  <r>
    <x v="1"/>
    <x v="7"/>
    <x v="1660"/>
    <x v="33"/>
    <s v="Standard order"/>
    <x v="1563"/>
    <x v="1558"/>
    <s v="8500"/>
    <s v="BTS 8500"/>
    <s v="5002856"/>
    <s v="8500 BTS T35 PB SYSTIVA RP"/>
    <n v="48"/>
    <n v="0"/>
    <n v="48"/>
    <x v="7"/>
    <s v="FTND"/>
    <s v="RP"/>
    <s v="333"/>
    <s v="4.0 UN"/>
    <s v="STANDARD"/>
    <s v="N"/>
    <s v="Y"/>
    <s v="N"/>
    <s v="T35"/>
    <s v="Y"/>
    <s v="N"/>
    <s v="Y"/>
    <s v="N"/>
    <s v="B026"/>
    <d v="2016-11-09T00:00:00"/>
    <s v="30"/>
    <s v="TAN"/>
    <s v="OR"/>
    <d v="2016-11-04T00:00:00"/>
    <s v="ND"/>
    <s v="US"/>
    <s v="ZR"/>
    <d v="2016-11-04T00:00:00"/>
  </r>
  <r>
    <x v="1"/>
    <x v="7"/>
    <x v="1661"/>
    <x v="36"/>
    <s v="Standard order"/>
    <x v="1564"/>
    <x v="1559"/>
    <s v="83CN"/>
    <s v="BTS 83CN"/>
    <s v="5002836"/>
    <s v="83CN BTS T35 PB SYSTIVA RP"/>
    <n v="52"/>
    <n v="0"/>
    <n v="52"/>
    <x v="7"/>
    <s v="EE73"/>
    <s v="RP"/>
    <s v="333"/>
    <s v="4.0 UN"/>
    <s v="STANDARD"/>
    <s v="N"/>
    <s v="Y"/>
    <s v="N"/>
    <s v="T35"/>
    <s v="Y"/>
    <s v="N"/>
    <s v="Y"/>
    <s v="N"/>
    <s v="B027"/>
    <d v="2016-11-09T00:00:00"/>
    <s v="10"/>
    <s v="TAN"/>
    <s v="OR"/>
    <d v="2016-11-04T00:00:00"/>
    <s v="ND"/>
    <s v="US"/>
    <s v="ZR"/>
    <d v="2016-11-04T00:00:00"/>
  </r>
  <r>
    <x v="1"/>
    <x v="7"/>
    <x v="1661"/>
    <x v="36"/>
    <s v="Standard order"/>
    <x v="1564"/>
    <x v="1559"/>
    <s v="8500"/>
    <s v="BTS 8500"/>
    <s v="5002856"/>
    <s v="8500 BTS T35 PB SYSTIVA RP"/>
    <n v="52"/>
    <n v="0"/>
    <n v="52"/>
    <x v="7"/>
    <s v="FTND"/>
    <s v="RP"/>
    <s v="333"/>
    <s v="4.0 UN"/>
    <s v="STANDARD"/>
    <s v="N"/>
    <s v="Y"/>
    <s v="N"/>
    <s v="T35"/>
    <s v="Y"/>
    <s v="N"/>
    <s v="Y"/>
    <s v="N"/>
    <s v="B027"/>
    <d v="2016-11-09T00:00:00"/>
    <s v="20"/>
    <s v="TAN"/>
    <s v="OR"/>
    <d v="2016-11-04T00:00:00"/>
    <s v="ND"/>
    <s v="US"/>
    <s v="ZR"/>
    <d v="2016-11-04T00:00:00"/>
  </r>
  <r>
    <x v="1"/>
    <x v="7"/>
    <x v="1661"/>
    <x v="36"/>
    <s v="Standard order"/>
    <x v="1564"/>
    <x v="1559"/>
    <s v="8337"/>
    <s v="BTS 8337"/>
    <s v="5002795"/>
    <s v="8337 BTS T35 PB SYSTIVA RP"/>
    <n v="52"/>
    <n v="0"/>
    <n v="52"/>
    <x v="7"/>
    <s v="DHMC"/>
    <s v="RP"/>
    <s v="333"/>
    <s v="4.0 UN"/>
    <s v="STANDARD"/>
    <s v="N"/>
    <s v="Y"/>
    <s v="N"/>
    <s v="T35"/>
    <s v="Y"/>
    <s v="N"/>
    <s v="Y"/>
    <s v="N"/>
    <s v="B027"/>
    <d v="2016-11-09T00:00:00"/>
    <s v="30"/>
    <s v="TAN"/>
    <s v="OR"/>
    <d v="2016-11-04T00:00:00"/>
    <s v="ND"/>
    <s v="US"/>
    <s v="ZR"/>
    <d v="2016-11-04T00:00:00"/>
  </r>
  <r>
    <x v="1"/>
    <x v="7"/>
    <x v="1662"/>
    <x v="39"/>
    <s v="Standard order"/>
    <x v="1565"/>
    <x v="1560"/>
    <s v="8233"/>
    <s v="BTS 82RR33"/>
    <s v="5002775"/>
    <s v="8233 BTS T35 PB SYSTIVA RP"/>
    <n v="96"/>
    <n v="0"/>
    <n v="96"/>
    <x v="7"/>
    <s v="DRMC"/>
    <s v="RP"/>
    <s v="333"/>
    <s v="4.0 UN"/>
    <s v="STANDARD"/>
    <s v="N"/>
    <s v="Y"/>
    <s v="N"/>
    <s v="T35"/>
    <s v="Y"/>
    <s v="N"/>
    <s v="Y"/>
    <s v="N"/>
    <s v="B030"/>
    <d v="2016-11-09T00:00:00"/>
    <s v="10"/>
    <s v="TAN"/>
    <s v="OR"/>
    <d v="2016-11-04T00:00:00"/>
    <s v="MN"/>
    <s v="US"/>
    <s v="ZR"/>
    <d v="2016-11-04T00:00:00"/>
  </r>
  <r>
    <x v="1"/>
    <x v="7"/>
    <x v="1662"/>
    <x v="39"/>
    <s v="Standard order"/>
    <x v="1565"/>
    <x v="1560"/>
    <s v="8500"/>
    <s v="BTS 8500"/>
    <s v="5002856"/>
    <s v="8500 BTS T35 PB SYSTIVA RP"/>
    <n v="96"/>
    <n v="0"/>
    <n v="96"/>
    <x v="7"/>
    <s v="FTND"/>
    <s v="RP"/>
    <s v="333"/>
    <s v="4.0 UN"/>
    <s v="STANDARD"/>
    <s v="N"/>
    <s v="Y"/>
    <s v="N"/>
    <s v="T35"/>
    <s v="Y"/>
    <s v="N"/>
    <s v="Y"/>
    <s v="N"/>
    <s v="B030"/>
    <d v="2016-11-09T00:00:00"/>
    <s v="20"/>
    <s v="TAN"/>
    <s v="OR"/>
    <d v="2016-11-04T00:00:00"/>
    <s v="MN"/>
    <s v="US"/>
    <s v="ZR"/>
    <d v="2016-11-04T00:00:00"/>
  </r>
  <r>
    <x v="1"/>
    <x v="7"/>
    <x v="1662"/>
    <x v="39"/>
    <s v="Standard order"/>
    <x v="1565"/>
    <x v="1560"/>
    <s v="8524"/>
    <s v="BTS 8524"/>
    <s v="5002896"/>
    <s v="8524 BTS T35 PB SYSTIVA RP"/>
    <n v="60"/>
    <n v="0"/>
    <n v="60"/>
    <x v="7"/>
    <s v="FWND"/>
    <s v="RP"/>
    <s v="333"/>
    <s v="4.0 UN"/>
    <s v="STANDARD"/>
    <s v="N"/>
    <s v="Y"/>
    <s v="N"/>
    <s v="T35"/>
    <s v="Y"/>
    <s v="N"/>
    <s v="Y"/>
    <s v="N"/>
    <s v="B030"/>
    <d v="2016-11-09T00:00:00"/>
    <s v="30"/>
    <s v="TAN"/>
    <s v="OR"/>
    <d v="2016-11-04T00:00:00"/>
    <s v="MN"/>
    <s v="US"/>
    <s v="ZR"/>
    <d v="2016-11-04T00:00:00"/>
  </r>
  <r>
    <x v="1"/>
    <x v="7"/>
    <x v="1663"/>
    <x v="39"/>
    <s v="Standard order"/>
    <x v="1566"/>
    <x v="1561"/>
    <s v="8052"/>
    <s v="BTS 80RR52"/>
    <s v="5002735"/>
    <s v="8052 BTS T35 PB SYSTIVA RP"/>
    <n v="168"/>
    <n v="0"/>
    <n v="168"/>
    <x v="7"/>
    <s v="AP82"/>
    <s v="RP"/>
    <s v="333"/>
    <s v="4.0 UN"/>
    <s v="STANDARD"/>
    <s v="N"/>
    <s v="Y"/>
    <s v="N"/>
    <s v="T35"/>
    <s v="Y"/>
    <s v="N"/>
    <s v="Y"/>
    <s v="N"/>
    <s v="B030"/>
    <d v="2016-11-09T00:00:00"/>
    <s v="10"/>
    <s v="TAN"/>
    <s v="OR"/>
    <d v="2016-11-04T00:00:00"/>
    <s v="MN"/>
    <s v="US"/>
    <s v="ZR"/>
    <d v="2016-11-04T00:00:00"/>
  </r>
  <r>
    <x v="1"/>
    <x v="7"/>
    <x v="1664"/>
    <x v="39"/>
    <s v="Standard order"/>
    <x v="1567"/>
    <x v="1562"/>
    <s v="8524"/>
    <s v="BTS 8524"/>
    <s v="5002896"/>
    <s v="8524 BTS T35 PB SYSTIVA RP"/>
    <n v="192"/>
    <n v="0"/>
    <n v="192"/>
    <x v="7"/>
    <s v="FWND"/>
    <s v="RP"/>
    <s v="333"/>
    <s v="4.0 UN"/>
    <s v="STANDARD"/>
    <s v="N"/>
    <s v="Y"/>
    <s v="N"/>
    <s v="T35"/>
    <s v="Y"/>
    <s v="N"/>
    <s v="Y"/>
    <s v="N"/>
    <s v="B030"/>
    <d v="2016-11-09T00:00:00"/>
    <s v="30"/>
    <s v="TAN"/>
    <s v="OR"/>
    <d v="2016-11-04T00:00:00"/>
    <s v="MN"/>
    <s v="US"/>
    <s v="ZR"/>
    <d v="2016-11-04T00:00:00"/>
  </r>
  <r>
    <x v="1"/>
    <x v="8"/>
    <x v="1665"/>
    <x v="34"/>
    <s v="Returns Standard SAP"/>
    <x v="1369"/>
    <x v="1364"/>
    <s v="5499"/>
    <s v="BTS 5499"/>
    <s v="5002605"/>
    <s v="5499 BTS P100"/>
    <n v="-16"/>
    <n v="-16"/>
    <n v="0"/>
    <x v="8"/>
    <s v="DRMG"/>
    <s v="PRO 100"/>
    <s v="306"/>
    <s v="4.0 UN"/>
    <s v="STANDARD"/>
    <s v="N"/>
    <s v="N"/>
    <s v="N"/>
    <s v="N"/>
    <s v="N"/>
    <s v="N"/>
    <s v="N"/>
    <s v="N"/>
    <s v="B052"/>
    <m/>
    <s v="10"/>
    <s v="ZSRE"/>
    <s v="ZSRE"/>
    <d v="2016-11-22T00:00:00"/>
    <s v="CA"/>
    <s v="US"/>
    <s v="ZR"/>
    <d v="2016-11-04T00:00:00"/>
  </r>
  <r>
    <x v="1"/>
    <x v="7"/>
    <x v="1666"/>
    <x v="41"/>
    <s v="Standard order"/>
    <x v="1568"/>
    <x v="1563"/>
    <s v="8052"/>
    <s v="BTS 80RR52"/>
    <s v="5002739"/>
    <s v="8052 BTS T35 SYSTIVA RP"/>
    <n v="32"/>
    <n v="0"/>
    <n v="32"/>
    <x v="7"/>
    <s v="AP82"/>
    <s v="RP"/>
    <s v="334"/>
    <s v="4.0 UN"/>
    <s v="STANDARD"/>
    <s v="N"/>
    <s v="N"/>
    <s v="N"/>
    <s v="T35"/>
    <s v="Y"/>
    <s v="N"/>
    <s v="Y"/>
    <s v="N"/>
    <s v="B032"/>
    <d v="2016-11-09T00:00:00"/>
    <s v="10"/>
    <s v="TAN"/>
    <s v="OR"/>
    <d v="2016-11-05T00:00:00"/>
    <s v="MN"/>
    <s v="US"/>
    <s v="ZR"/>
    <d v="2016-11-05T00:00:00"/>
  </r>
  <r>
    <x v="1"/>
    <x v="7"/>
    <x v="1666"/>
    <x v="41"/>
    <s v="Standard order"/>
    <x v="1568"/>
    <x v="1563"/>
    <s v="8572"/>
    <s v="BTS 8572"/>
    <s v="5003219"/>
    <s v="8572 BTS T35 SYSTIVA RP"/>
    <n v="96"/>
    <n v="0"/>
    <n v="96"/>
    <x v="7"/>
    <s v="FENB"/>
    <s v="RP"/>
    <s v="334"/>
    <s v="4.0 UN"/>
    <s v="STANDARD"/>
    <s v="N"/>
    <s v="N"/>
    <s v="N"/>
    <s v="T35"/>
    <s v="Y"/>
    <s v="N"/>
    <s v="Y"/>
    <s v="N"/>
    <s v="B032"/>
    <d v="2016-11-09T00:00:00"/>
    <s v="20"/>
    <s v="TAN"/>
    <s v="OR"/>
    <d v="2016-11-05T00:00:00"/>
    <s v="MN"/>
    <s v="US"/>
    <s v="ZR"/>
    <d v="2016-11-05T00:00:00"/>
  </r>
  <r>
    <x v="1"/>
    <x v="7"/>
    <x v="1667"/>
    <x v="28"/>
    <s v="Standard order"/>
    <x v="1569"/>
    <x v="1564"/>
    <s v="8500"/>
    <s v="BTS 8500"/>
    <s v="5002856"/>
    <s v="8500 BTS T35 PB SYSTIVA RP"/>
    <n v="40"/>
    <n v="0"/>
    <n v="40"/>
    <x v="7"/>
    <s v="FTND"/>
    <s v="RP"/>
    <s v="333"/>
    <s v="4.0 UN"/>
    <s v="STANDARD"/>
    <s v="N"/>
    <s v="Y"/>
    <s v="N"/>
    <s v="T35"/>
    <s v="Y"/>
    <s v="N"/>
    <s v="Y"/>
    <s v="N"/>
    <s v="B056"/>
    <d v="2016-11-09T00:00:00"/>
    <s v="40"/>
    <s v="TAN"/>
    <s v="OR"/>
    <d v="2016-11-06T00:00:00"/>
    <s v="ND"/>
    <s v="US"/>
    <s v="ZR"/>
    <d v="2016-11-06T00:00:00"/>
  </r>
  <r>
    <x v="1"/>
    <x v="7"/>
    <x v="1667"/>
    <x v="28"/>
    <s v="Standard order"/>
    <x v="1569"/>
    <x v="1564"/>
    <s v="8363"/>
    <s v="BTS 8363"/>
    <s v="5002816"/>
    <s v="8363 BTS T35 PB SYSTIVA RP"/>
    <n v="48"/>
    <n v="0"/>
    <n v="48"/>
    <x v="7"/>
    <s v="DMMZ"/>
    <s v="RP"/>
    <s v="333"/>
    <s v="4.0 UN"/>
    <s v="STANDARD"/>
    <s v="N"/>
    <s v="Y"/>
    <s v="N"/>
    <s v="T35"/>
    <s v="Y"/>
    <s v="N"/>
    <s v="Y"/>
    <s v="N"/>
    <s v="B056"/>
    <d v="2016-11-09T00:00:00"/>
    <s v="20"/>
    <s v="TAN"/>
    <s v="OR"/>
    <d v="2016-11-06T00:00:00"/>
    <s v="ND"/>
    <s v="US"/>
    <s v="ZR"/>
    <d v="2016-11-06T00:00:00"/>
  </r>
  <r>
    <x v="1"/>
    <x v="7"/>
    <x v="1667"/>
    <x v="28"/>
    <s v="Standard order"/>
    <x v="1569"/>
    <x v="1564"/>
    <s v="8524"/>
    <s v="BTS 8524"/>
    <s v="5002896"/>
    <s v="8524 BTS T35 PB SYSTIVA RP"/>
    <n v="48"/>
    <n v="0"/>
    <n v="48"/>
    <x v="7"/>
    <s v="FWND"/>
    <s v="RP"/>
    <s v="333"/>
    <s v="4.0 UN"/>
    <s v="STANDARD"/>
    <s v="N"/>
    <s v="Y"/>
    <s v="N"/>
    <s v="T35"/>
    <s v="Y"/>
    <s v="N"/>
    <s v="Y"/>
    <s v="N"/>
    <s v="B056"/>
    <d v="2016-11-09T00:00:00"/>
    <s v="30"/>
    <s v="TAN"/>
    <s v="OR"/>
    <d v="2016-11-06T00:00:00"/>
    <s v="ND"/>
    <s v="US"/>
    <s v="ZR"/>
    <d v="2016-11-06T00:00:00"/>
  </r>
  <r>
    <x v="1"/>
    <x v="7"/>
    <x v="1668"/>
    <x v="28"/>
    <s v="Standard order"/>
    <x v="1570"/>
    <x v="1565"/>
    <s v="8500"/>
    <s v="BTS 8500"/>
    <s v="5002856"/>
    <s v="8500 BTS T35 PB SYSTIVA RP"/>
    <n v="192"/>
    <n v="0"/>
    <n v="192"/>
    <x v="7"/>
    <s v="FTND"/>
    <s v="RP"/>
    <s v="333"/>
    <s v="4.0 UN"/>
    <s v="STANDARD"/>
    <s v="N"/>
    <s v="Y"/>
    <s v="N"/>
    <s v="T35"/>
    <s v="Y"/>
    <s v="N"/>
    <s v="Y"/>
    <s v="N"/>
    <s v="B056"/>
    <d v="2016-11-09T00:00:00"/>
    <s v="10"/>
    <s v="TAN"/>
    <s v="OR"/>
    <d v="2016-11-06T00:00:00"/>
    <s v="ND"/>
    <s v="US"/>
    <s v="ZR"/>
    <d v="2016-11-06T00:00:00"/>
  </r>
  <r>
    <x v="1"/>
    <x v="7"/>
    <x v="1668"/>
    <x v="28"/>
    <s v="Standard order"/>
    <x v="1570"/>
    <x v="1565"/>
    <s v="8363"/>
    <s v="BTS 8363"/>
    <s v="5002816"/>
    <s v="8363 BTS T35 PB SYSTIVA RP"/>
    <n v="144"/>
    <n v="0"/>
    <n v="144"/>
    <x v="7"/>
    <s v="DMMZ"/>
    <s v="RP"/>
    <s v="333"/>
    <s v="4.0 UN"/>
    <s v="STANDARD"/>
    <s v="N"/>
    <s v="Y"/>
    <s v="N"/>
    <s v="T35"/>
    <s v="Y"/>
    <s v="N"/>
    <s v="Y"/>
    <s v="N"/>
    <s v="B056"/>
    <d v="2016-11-09T00:00:00"/>
    <s v="20"/>
    <s v="TAN"/>
    <s v="OR"/>
    <d v="2016-11-06T00:00:00"/>
    <s v="ND"/>
    <s v="US"/>
    <s v="ZR"/>
    <d v="2016-11-06T00:00:00"/>
  </r>
  <r>
    <x v="1"/>
    <x v="7"/>
    <x v="1668"/>
    <x v="28"/>
    <s v="Standard order"/>
    <x v="1570"/>
    <x v="1565"/>
    <s v="8524"/>
    <s v="BTS 8524"/>
    <s v="5002896"/>
    <s v="8524 BTS T35 PB SYSTIVA RP"/>
    <n v="112"/>
    <n v="0"/>
    <n v="112"/>
    <x v="7"/>
    <s v="FWND"/>
    <s v="RP"/>
    <s v="333"/>
    <s v="4.0 UN"/>
    <s v="STANDARD"/>
    <s v="N"/>
    <s v="Y"/>
    <s v="N"/>
    <s v="T35"/>
    <s v="Y"/>
    <s v="N"/>
    <s v="Y"/>
    <s v="N"/>
    <s v="B056"/>
    <d v="2016-11-09T00:00:00"/>
    <s v="30"/>
    <s v="TAN"/>
    <s v="OR"/>
    <d v="2016-11-06T00:00:00"/>
    <s v="ND"/>
    <s v="US"/>
    <s v="ZR"/>
    <d v="2016-11-06T00:00:00"/>
  </r>
  <r>
    <x v="1"/>
    <x v="7"/>
    <x v="1669"/>
    <x v="38"/>
    <s v="Standard order"/>
    <x v="1571"/>
    <x v="1566"/>
    <s v="8052"/>
    <s v="BTS 80RR52"/>
    <s v="5002735"/>
    <s v="8052 BTS T35 PB SYSTIVA RP"/>
    <n v="144"/>
    <n v="0"/>
    <n v="144"/>
    <x v="7"/>
    <s v="AP82"/>
    <s v="RP"/>
    <s v="333"/>
    <s v="4.0 UN"/>
    <s v="STANDARD"/>
    <s v="N"/>
    <s v="Y"/>
    <s v="N"/>
    <s v="T35"/>
    <s v="Y"/>
    <s v="N"/>
    <s v="Y"/>
    <s v="N"/>
    <s v="B031"/>
    <d v="2016-11-09T00:00:00"/>
    <s v="10"/>
    <s v="TAN"/>
    <s v="OR"/>
    <d v="2016-11-06T00:00:00"/>
    <s v="MN"/>
    <s v="US"/>
    <s v="ZR"/>
    <d v="2016-11-06T00:00:00"/>
  </r>
  <r>
    <x v="1"/>
    <x v="7"/>
    <x v="1669"/>
    <x v="38"/>
    <s v="Standard order"/>
    <x v="1571"/>
    <x v="1566"/>
    <s v="8524"/>
    <s v="BTS 8524"/>
    <s v="5002896"/>
    <s v="8524 BTS T35 PB SYSTIVA RP"/>
    <n v="144"/>
    <n v="0"/>
    <n v="144"/>
    <x v="7"/>
    <s v="FWND"/>
    <s v="RP"/>
    <s v="333"/>
    <s v="4.0 UN"/>
    <s v="STANDARD"/>
    <s v="N"/>
    <s v="Y"/>
    <s v="N"/>
    <s v="T35"/>
    <s v="Y"/>
    <s v="N"/>
    <s v="Y"/>
    <s v="N"/>
    <s v="B031"/>
    <d v="2016-11-09T00:00:00"/>
    <s v="20"/>
    <s v="TAN"/>
    <s v="OR"/>
    <d v="2016-11-06T00:00:00"/>
    <s v="MN"/>
    <s v="US"/>
    <s v="ZR"/>
    <d v="2016-11-06T00:00:00"/>
  </r>
  <r>
    <x v="1"/>
    <x v="7"/>
    <x v="1669"/>
    <x v="38"/>
    <s v="Standard order"/>
    <x v="1571"/>
    <x v="1566"/>
    <s v="8337"/>
    <s v="BTS 8337"/>
    <s v="5002795"/>
    <s v="8337 BTS T35 PB SYSTIVA RP"/>
    <n v="144"/>
    <n v="0"/>
    <n v="144"/>
    <x v="7"/>
    <s v="DHMC"/>
    <s v="RP"/>
    <s v="333"/>
    <s v="4.0 UN"/>
    <s v="STANDARD"/>
    <s v="N"/>
    <s v="Y"/>
    <s v="N"/>
    <s v="T35"/>
    <s v="Y"/>
    <s v="N"/>
    <s v="Y"/>
    <s v="N"/>
    <s v="B031"/>
    <d v="2016-11-09T00:00:00"/>
    <s v="30"/>
    <s v="TAN"/>
    <s v="OR"/>
    <d v="2016-11-06T00:00:00"/>
    <s v="MN"/>
    <s v="US"/>
    <s v="ZR"/>
    <d v="2016-11-06T00:00:00"/>
  </r>
  <r>
    <x v="1"/>
    <x v="7"/>
    <x v="1670"/>
    <x v="38"/>
    <s v="Standard order"/>
    <x v="1572"/>
    <x v="1567"/>
    <s v="8500"/>
    <s v="BTS 8500"/>
    <s v="5002856"/>
    <s v="8500 BTS T35 PB SYSTIVA RP"/>
    <n v="68"/>
    <n v="0"/>
    <n v="68"/>
    <x v="7"/>
    <s v="FTND"/>
    <s v="RP"/>
    <s v="333"/>
    <s v="4.0 UN"/>
    <s v="STANDARD"/>
    <s v="N"/>
    <s v="Y"/>
    <s v="N"/>
    <s v="T35"/>
    <s v="Y"/>
    <s v="N"/>
    <s v="Y"/>
    <s v="N"/>
    <s v="B031"/>
    <d v="2016-11-09T00:00:00"/>
    <s v="10"/>
    <s v="TAN"/>
    <s v="OR"/>
    <d v="2016-11-06T00:00:00"/>
    <s v="MN"/>
    <s v="US"/>
    <s v="ZR"/>
    <d v="2016-11-06T00:00:00"/>
  </r>
  <r>
    <x v="1"/>
    <x v="7"/>
    <x v="1670"/>
    <x v="38"/>
    <s v="Standard order"/>
    <x v="1572"/>
    <x v="1567"/>
    <s v="8524"/>
    <s v="BTS 8524"/>
    <s v="5002896"/>
    <s v="8524 BTS T35 PB SYSTIVA RP"/>
    <n v="192"/>
    <n v="0"/>
    <n v="192"/>
    <x v="7"/>
    <s v="FWND"/>
    <s v="RP"/>
    <s v="333"/>
    <s v="4.0 UN"/>
    <s v="STANDARD"/>
    <s v="N"/>
    <s v="Y"/>
    <s v="N"/>
    <s v="T35"/>
    <s v="Y"/>
    <s v="N"/>
    <s v="Y"/>
    <s v="N"/>
    <s v="B031"/>
    <d v="2016-11-09T00:00:00"/>
    <s v="20"/>
    <s v="TAN"/>
    <s v="OR"/>
    <d v="2016-11-06T00:00:00"/>
    <s v="MN"/>
    <s v="US"/>
    <s v="ZR"/>
    <d v="2016-11-06T00:00:00"/>
  </r>
  <r>
    <x v="1"/>
    <x v="7"/>
    <x v="1670"/>
    <x v="38"/>
    <s v="Standard order"/>
    <x v="1572"/>
    <x v="1567"/>
    <s v="8337"/>
    <s v="BTS 8337"/>
    <s v="5002795"/>
    <s v="8337 BTS T35 PB SYSTIVA RP"/>
    <n v="64"/>
    <n v="0"/>
    <n v="64"/>
    <x v="7"/>
    <s v="DHMC"/>
    <s v="RP"/>
    <s v="333"/>
    <s v="4.0 UN"/>
    <s v="STANDARD"/>
    <s v="N"/>
    <s v="Y"/>
    <s v="N"/>
    <s v="T35"/>
    <s v="Y"/>
    <s v="N"/>
    <s v="Y"/>
    <s v="N"/>
    <s v="B031"/>
    <d v="2016-11-09T00:00:00"/>
    <s v="30"/>
    <s v="TAN"/>
    <s v="OR"/>
    <d v="2016-11-06T00:00:00"/>
    <s v="MN"/>
    <s v="US"/>
    <s v="ZR"/>
    <d v="2016-11-06T00:00:00"/>
  </r>
  <r>
    <x v="1"/>
    <x v="7"/>
    <x v="1671"/>
    <x v="28"/>
    <s v="Standard order"/>
    <x v="1344"/>
    <x v="1339"/>
    <s v="8052"/>
    <s v="BTS 80RR52"/>
    <s v="5002722"/>
    <s v="8052 BTS T20 PB SYSTIVA MP"/>
    <n v="144"/>
    <n v="0"/>
    <n v="144"/>
    <x v="7"/>
    <s v="AP82"/>
    <s v="MP"/>
    <s v="322"/>
    <s v="4.0 UN"/>
    <s v="STANDARD"/>
    <s v="N"/>
    <s v="N"/>
    <s v="N"/>
    <s v="T20"/>
    <s v="Y"/>
    <s v="N"/>
    <s v="Y"/>
    <s v="N"/>
    <s v="B056"/>
    <d v="2016-11-09T00:00:00"/>
    <s v="10"/>
    <s v="TAN"/>
    <s v="OR"/>
    <d v="2016-11-06T00:00:00"/>
    <s v="ND"/>
    <s v="US"/>
    <s v="ZR"/>
    <d v="2016-11-06T00:00:00"/>
  </r>
  <r>
    <x v="1"/>
    <x v="7"/>
    <x v="1671"/>
    <x v="28"/>
    <s v="Standard order"/>
    <x v="1344"/>
    <x v="1339"/>
    <s v="8500"/>
    <s v="BTS 8500"/>
    <s v="5002843"/>
    <s v="8500 BTS T20 PB SYSTIVA MP"/>
    <n v="220"/>
    <n v="0"/>
    <n v="220"/>
    <x v="7"/>
    <s v="FTND"/>
    <s v="MP"/>
    <s v="322"/>
    <s v="4.0 UN"/>
    <s v="STANDARD"/>
    <s v="N"/>
    <s v="N"/>
    <s v="N"/>
    <s v="T20"/>
    <s v="Y"/>
    <s v="N"/>
    <s v="Y"/>
    <s v="N"/>
    <s v="B056"/>
    <d v="2016-11-09T00:00:00"/>
    <s v="20"/>
    <s v="TAN"/>
    <s v="OR"/>
    <d v="2016-11-06T00:00:00"/>
    <s v="ND"/>
    <s v="US"/>
    <s v="ZR"/>
    <d v="2016-11-06T00:00:00"/>
  </r>
  <r>
    <x v="1"/>
    <x v="7"/>
    <x v="1671"/>
    <x v="28"/>
    <s v="Standard order"/>
    <x v="1344"/>
    <x v="1339"/>
    <s v="8524"/>
    <s v="BTS 8524"/>
    <s v="5002883"/>
    <s v="8524 BTS T20 PB SYSTIVA MP"/>
    <n v="192"/>
    <n v="0"/>
    <n v="192"/>
    <x v="7"/>
    <s v="FWND"/>
    <s v="MP"/>
    <s v="322"/>
    <s v="4.0 UN"/>
    <s v="STANDARD"/>
    <s v="N"/>
    <s v="N"/>
    <s v="N"/>
    <s v="T20"/>
    <s v="Y"/>
    <s v="N"/>
    <s v="Y"/>
    <s v="N"/>
    <s v="B056"/>
    <d v="2016-11-09T00:00:00"/>
    <s v="30"/>
    <s v="TAN"/>
    <s v="OR"/>
    <d v="2016-11-06T00:00:00"/>
    <s v="ND"/>
    <s v="US"/>
    <s v="ZR"/>
    <d v="2016-11-06T00:00:00"/>
  </r>
  <r>
    <x v="1"/>
    <x v="7"/>
    <x v="1671"/>
    <x v="28"/>
    <s v="Standard order"/>
    <x v="1344"/>
    <x v="1339"/>
    <s v="8572"/>
    <s v="BTS 8572"/>
    <s v="5003202"/>
    <s v="8572 BTS T20 PB SYSTIVA MP"/>
    <n v="192"/>
    <n v="0"/>
    <n v="192"/>
    <x v="7"/>
    <s v="FENB"/>
    <s v="MP"/>
    <s v="322"/>
    <s v="4.0 UN"/>
    <s v="STANDARD"/>
    <s v="N"/>
    <s v="N"/>
    <s v="N"/>
    <s v="T20"/>
    <s v="Y"/>
    <s v="N"/>
    <s v="Y"/>
    <s v="N"/>
    <s v="B056"/>
    <d v="2016-11-09T00:00:00"/>
    <s v="40"/>
    <s v="TAN"/>
    <s v="OR"/>
    <d v="2016-11-06T00:00:00"/>
    <s v="ND"/>
    <s v="US"/>
    <s v="ZR"/>
    <d v="2016-11-06T00:00:00"/>
  </r>
  <r>
    <x v="1"/>
    <x v="7"/>
    <x v="1672"/>
    <x v="33"/>
    <s v="Standard order"/>
    <x v="1573"/>
    <x v="1568"/>
    <s v="8337"/>
    <s v="BTS 8337"/>
    <s v="5002794"/>
    <s v="8337 BTS T35 PB SYSTIVA P200"/>
    <n v="60"/>
    <n v="0"/>
    <n v="60"/>
    <x v="7"/>
    <s v="DHMC"/>
    <s v="PRO 200"/>
    <s v="333"/>
    <s v="4.0 UN"/>
    <s v="STANDARD"/>
    <s v="N"/>
    <s v="Y"/>
    <s v="N"/>
    <s v="T35"/>
    <s v="Y"/>
    <s v="N"/>
    <s v="Y"/>
    <s v="N"/>
    <s v="B026"/>
    <d v="2016-11-10T00:00:00"/>
    <s v="10"/>
    <s v="TAN"/>
    <s v="OR"/>
    <d v="2016-11-07T00:00:00"/>
    <s v="MN"/>
    <s v="US"/>
    <s v="ZR"/>
    <d v="2016-11-07T00:00:00"/>
  </r>
  <r>
    <x v="1"/>
    <x v="7"/>
    <x v="1672"/>
    <x v="33"/>
    <s v="Standard order"/>
    <x v="1573"/>
    <x v="1568"/>
    <s v="8500"/>
    <s v="BTS 8500"/>
    <s v="5002855"/>
    <s v="8500 BTS T35 PB SYSTIVA P200"/>
    <n v="48"/>
    <n v="0"/>
    <n v="48"/>
    <x v="7"/>
    <s v="FTND"/>
    <s v="PRO 200"/>
    <s v="333"/>
    <s v="4.0 UN"/>
    <s v="STANDARD"/>
    <s v="N"/>
    <s v="Y"/>
    <s v="N"/>
    <s v="T35"/>
    <s v="Y"/>
    <s v="N"/>
    <s v="Y"/>
    <s v="N"/>
    <s v="B026"/>
    <d v="2016-11-10T00:00:00"/>
    <s v="20"/>
    <s v="TAN"/>
    <s v="OR"/>
    <d v="2016-11-07T00:00:00"/>
    <s v="MN"/>
    <s v="US"/>
    <s v="ZR"/>
    <d v="2016-11-07T00:00:00"/>
  </r>
  <r>
    <x v="1"/>
    <x v="7"/>
    <x v="1672"/>
    <x v="33"/>
    <s v="Standard order"/>
    <x v="1573"/>
    <x v="1568"/>
    <s v="8524"/>
    <s v="BTS 8524"/>
    <s v="5002895"/>
    <s v="8524 BTS T35 PB SYSTIVA P200"/>
    <n v="96"/>
    <n v="0"/>
    <n v="96"/>
    <x v="7"/>
    <s v="FWND"/>
    <s v="PRO 200"/>
    <s v="333"/>
    <s v="4.0 UN"/>
    <s v="STANDARD"/>
    <s v="N"/>
    <s v="Y"/>
    <s v="N"/>
    <s v="T35"/>
    <s v="Y"/>
    <s v="N"/>
    <s v="Y"/>
    <s v="N"/>
    <s v="B026"/>
    <d v="2016-11-10T00:00:00"/>
    <s v="30"/>
    <s v="TAN"/>
    <s v="OR"/>
    <d v="2016-11-07T00:00:00"/>
    <s v="MN"/>
    <s v="US"/>
    <s v="ZR"/>
    <d v="2016-11-07T00:00:00"/>
  </r>
  <r>
    <x v="1"/>
    <x v="7"/>
    <x v="1673"/>
    <x v="38"/>
    <s v="Standard order"/>
    <x v="1574"/>
    <x v="1569"/>
    <s v="8363"/>
    <s v="BTS 8363"/>
    <s v="5002816"/>
    <s v="8363 BTS T35 PB SYSTIVA RP"/>
    <n v="36"/>
    <n v="0"/>
    <n v="36"/>
    <x v="7"/>
    <s v="DMMZ"/>
    <s v="RP"/>
    <s v="333"/>
    <s v="4.0 UN"/>
    <s v="STANDARD"/>
    <s v="N"/>
    <s v="Y"/>
    <s v="N"/>
    <s v="T35"/>
    <s v="Y"/>
    <s v="N"/>
    <s v="Y"/>
    <s v="N"/>
    <s v="B031"/>
    <d v="2016-11-10T00:00:00"/>
    <s v="30"/>
    <s v="TAN"/>
    <s v="OR"/>
    <d v="2016-11-07T00:00:00"/>
    <s v="MN"/>
    <s v="US"/>
    <s v="ZR"/>
    <d v="2016-11-07T00:00:00"/>
  </r>
  <r>
    <x v="1"/>
    <x v="7"/>
    <x v="1673"/>
    <x v="38"/>
    <s v="Standard order"/>
    <x v="1574"/>
    <x v="1569"/>
    <s v="8337"/>
    <s v="BTS 8337"/>
    <s v="5002795"/>
    <s v="8337 BTS T35 PB SYSTIVA RP"/>
    <n v="16"/>
    <n v="0"/>
    <n v="16"/>
    <x v="7"/>
    <s v="DHMC"/>
    <s v="RP"/>
    <s v="333"/>
    <s v="4.0 UN"/>
    <s v="STANDARD"/>
    <s v="N"/>
    <s v="Y"/>
    <s v="N"/>
    <s v="T35"/>
    <s v="Y"/>
    <s v="N"/>
    <s v="Y"/>
    <s v="N"/>
    <s v="B031"/>
    <d v="2016-11-10T00:00:00"/>
    <s v="20"/>
    <s v="TAN"/>
    <s v="OR"/>
    <d v="2016-11-07T00:00:00"/>
    <s v="MN"/>
    <s v="US"/>
    <s v="ZR"/>
    <d v="2016-11-07T00:00:00"/>
  </r>
  <r>
    <x v="1"/>
    <x v="7"/>
    <x v="1674"/>
    <x v="36"/>
    <s v="Standard order"/>
    <x v="1575"/>
    <x v="1570"/>
    <s v="83CN"/>
    <s v="BTS 83CN"/>
    <s v="5002836"/>
    <s v="83CN BTS T35 PB SYSTIVA RP"/>
    <n v="48"/>
    <n v="0"/>
    <n v="48"/>
    <x v="7"/>
    <s v="EE73"/>
    <s v="RP"/>
    <s v="333"/>
    <s v="4.0 UN"/>
    <s v="STANDARD"/>
    <s v="N"/>
    <s v="Y"/>
    <s v="N"/>
    <s v="T35"/>
    <s v="Y"/>
    <s v="N"/>
    <s v="Y"/>
    <s v="N"/>
    <s v="B027"/>
    <d v="2016-11-10T00:00:00"/>
    <s v="10"/>
    <s v="TAN"/>
    <s v="OR"/>
    <d v="2016-11-07T00:00:00"/>
    <s v="ND"/>
    <s v="US"/>
    <s v="ZR"/>
    <d v="2016-11-07T00:00:00"/>
  </r>
  <r>
    <x v="1"/>
    <x v="7"/>
    <x v="1674"/>
    <x v="36"/>
    <s v="Standard order"/>
    <x v="1575"/>
    <x v="1570"/>
    <s v="8572"/>
    <s v="BTS 8572"/>
    <s v="5003215"/>
    <s v="8572 BTS T35 PB SYSTIVA RP"/>
    <n v="48"/>
    <n v="0"/>
    <n v="48"/>
    <x v="7"/>
    <s v="FENB"/>
    <s v="RP"/>
    <s v="333"/>
    <s v="4.0 UN"/>
    <s v="STANDARD"/>
    <s v="N"/>
    <s v="Y"/>
    <s v="N"/>
    <s v="T35"/>
    <s v="Y"/>
    <s v="N"/>
    <s v="Y"/>
    <s v="N"/>
    <s v="B027"/>
    <d v="2016-11-10T00:00:00"/>
    <s v="20"/>
    <s v="TAN"/>
    <s v="OR"/>
    <d v="2016-11-07T00:00:00"/>
    <s v="ND"/>
    <s v="US"/>
    <s v="ZR"/>
    <d v="2016-11-07T00:00:00"/>
  </r>
  <r>
    <x v="1"/>
    <x v="7"/>
    <x v="1674"/>
    <x v="36"/>
    <s v="Standard order"/>
    <x v="1575"/>
    <x v="1570"/>
    <s v="8524"/>
    <s v="BTS 8524"/>
    <s v="5002896"/>
    <s v="8524 BTS T35 PB SYSTIVA RP"/>
    <n v="48"/>
    <n v="0"/>
    <n v="48"/>
    <x v="7"/>
    <s v="FWND"/>
    <s v="RP"/>
    <s v="333"/>
    <s v="4.0 UN"/>
    <s v="STANDARD"/>
    <s v="N"/>
    <s v="Y"/>
    <s v="N"/>
    <s v="T35"/>
    <s v="Y"/>
    <s v="N"/>
    <s v="Y"/>
    <s v="N"/>
    <s v="B027"/>
    <d v="2016-11-10T00:00:00"/>
    <s v="50"/>
    <s v="TAN"/>
    <s v="OR"/>
    <d v="2016-11-07T00:00:00"/>
    <s v="ND"/>
    <s v="US"/>
    <s v="ZR"/>
    <d v="2016-11-07T00:00:00"/>
  </r>
  <r>
    <x v="1"/>
    <x v="7"/>
    <x v="1675"/>
    <x v="36"/>
    <s v="Standard order"/>
    <x v="1576"/>
    <x v="1571"/>
    <s v="83CN"/>
    <s v="BTS 83CN"/>
    <s v="5002836"/>
    <s v="83CN BTS T35 PB SYSTIVA RP"/>
    <n v="60"/>
    <n v="0"/>
    <n v="60"/>
    <x v="7"/>
    <s v="EE73"/>
    <s v="RP"/>
    <s v="333"/>
    <s v="4.0 UN"/>
    <s v="STANDARD"/>
    <s v="N"/>
    <s v="Y"/>
    <s v="N"/>
    <s v="T35"/>
    <s v="Y"/>
    <s v="N"/>
    <s v="Y"/>
    <s v="N"/>
    <s v="B027"/>
    <d v="2016-11-10T00:00:00"/>
    <s v="10"/>
    <s v="TAN"/>
    <s v="OR"/>
    <d v="2016-11-07T00:00:00"/>
    <s v="MN"/>
    <s v="US"/>
    <s v="ZR"/>
    <d v="2016-11-07T00:00:00"/>
  </r>
  <r>
    <x v="1"/>
    <x v="7"/>
    <x v="1675"/>
    <x v="36"/>
    <s v="Standard order"/>
    <x v="1576"/>
    <x v="1571"/>
    <s v="8500"/>
    <s v="BTS 8500"/>
    <s v="5002856"/>
    <s v="8500 BTS T35 PB SYSTIVA RP"/>
    <n v="40"/>
    <n v="0"/>
    <n v="40"/>
    <x v="7"/>
    <s v="FTND"/>
    <s v="RP"/>
    <s v="333"/>
    <s v="4.0 UN"/>
    <s v="STANDARD"/>
    <s v="N"/>
    <s v="Y"/>
    <s v="N"/>
    <s v="T35"/>
    <s v="Y"/>
    <s v="N"/>
    <s v="Y"/>
    <s v="N"/>
    <s v="B027"/>
    <d v="2016-11-10T00:00:00"/>
    <s v="20"/>
    <s v="TAN"/>
    <s v="OR"/>
    <d v="2016-11-07T00:00:00"/>
    <s v="MN"/>
    <s v="US"/>
    <s v="ZR"/>
    <d v="2016-11-07T00:00:00"/>
  </r>
  <r>
    <x v="1"/>
    <x v="7"/>
    <x v="1676"/>
    <x v="38"/>
    <s v="Standard order"/>
    <x v="1577"/>
    <x v="1572"/>
    <s v="8337"/>
    <s v="BTS 8337"/>
    <s v="5002795"/>
    <s v="8337 BTS T35 PB SYSTIVA RP"/>
    <n v="152"/>
    <n v="0"/>
    <n v="152"/>
    <x v="7"/>
    <s v="DHMC"/>
    <s v="RP"/>
    <s v="333"/>
    <s v="4.0 UN"/>
    <s v="STANDARD"/>
    <s v="N"/>
    <s v="Y"/>
    <s v="N"/>
    <s v="T35"/>
    <s v="Y"/>
    <s v="N"/>
    <s v="Y"/>
    <s v="N"/>
    <s v="B031"/>
    <d v="2016-11-10T00:00:00"/>
    <s v="10"/>
    <s v="TAN"/>
    <s v="OR"/>
    <d v="2016-11-07T00:00:00"/>
    <s v="MN"/>
    <s v="US"/>
    <s v="ZR"/>
    <d v="2016-11-07T00:00:00"/>
  </r>
  <r>
    <x v="1"/>
    <x v="7"/>
    <x v="1676"/>
    <x v="38"/>
    <s v="Standard order"/>
    <x v="1577"/>
    <x v="1572"/>
    <s v="8524"/>
    <s v="BTS 8524"/>
    <s v="5002896"/>
    <s v="8524 BTS T35 PB SYSTIVA RP"/>
    <n v="148"/>
    <n v="0"/>
    <n v="148"/>
    <x v="7"/>
    <s v="FWND"/>
    <s v="RP"/>
    <s v="333"/>
    <s v="4.0 UN"/>
    <s v="STANDARD"/>
    <s v="N"/>
    <s v="Y"/>
    <s v="N"/>
    <s v="T35"/>
    <s v="Y"/>
    <s v="N"/>
    <s v="Y"/>
    <s v="N"/>
    <s v="B031"/>
    <d v="2016-11-10T00:00:00"/>
    <s v="20"/>
    <s v="TAN"/>
    <s v="OR"/>
    <d v="2016-11-07T00:00:00"/>
    <s v="MN"/>
    <s v="US"/>
    <s v="ZR"/>
    <d v="2016-11-07T00:00:00"/>
  </r>
  <r>
    <x v="1"/>
    <x v="7"/>
    <x v="1677"/>
    <x v="38"/>
    <s v="Standard order"/>
    <x v="1578"/>
    <x v="1573"/>
    <s v="8524"/>
    <s v="BTS 8524"/>
    <s v="5002896"/>
    <s v="8524 BTS T35 PB SYSTIVA RP"/>
    <n v="24"/>
    <n v="0"/>
    <n v="24"/>
    <x v="7"/>
    <s v="FWND"/>
    <s v="RP"/>
    <s v="333"/>
    <s v="4.0 UN"/>
    <s v="STANDARD"/>
    <s v="N"/>
    <s v="Y"/>
    <s v="N"/>
    <s v="T35"/>
    <s v="Y"/>
    <s v="N"/>
    <s v="Y"/>
    <s v="N"/>
    <s v="B031"/>
    <d v="2016-11-10T00:00:00"/>
    <s v="20"/>
    <s v="TAN"/>
    <s v="OR"/>
    <d v="2016-11-07T00:00:00"/>
    <s v="ND"/>
    <s v="US"/>
    <s v="ZR"/>
    <d v="2016-11-07T00:00:00"/>
  </r>
  <r>
    <x v="1"/>
    <x v="7"/>
    <x v="1677"/>
    <x v="38"/>
    <s v="Standard order"/>
    <x v="1578"/>
    <x v="1573"/>
    <s v="8337"/>
    <s v="BTS 8337"/>
    <s v="5002795"/>
    <s v="8337 BTS T35 PB SYSTIVA RP"/>
    <n v="96"/>
    <n v="0"/>
    <n v="96"/>
    <x v="7"/>
    <s v="DHMC"/>
    <s v="RP"/>
    <s v="333"/>
    <s v="4.0 UN"/>
    <s v="STANDARD"/>
    <s v="N"/>
    <s v="Y"/>
    <s v="N"/>
    <s v="T35"/>
    <s v="Y"/>
    <s v="N"/>
    <s v="Y"/>
    <s v="N"/>
    <s v="B031"/>
    <d v="2016-11-10T00:00:00"/>
    <s v="10"/>
    <s v="TAN"/>
    <s v="OR"/>
    <d v="2016-11-07T00:00:00"/>
    <s v="ND"/>
    <s v="US"/>
    <s v="ZR"/>
    <d v="2016-11-07T00:00:00"/>
  </r>
  <r>
    <x v="1"/>
    <x v="7"/>
    <x v="1678"/>
    <x v="38"/>
    <s v="Standard order"/>
    <x v="1579"/>
    <x v="1574"/>
    <s v="8500"/>
    <s v="BTS 8500"/>
    <s v="5002856"/>
    <s v="8500 BTS T35 PB SYSTIVA RP"/>
    <n v="64"/>
    <n v="0"/>
    <n v="64"/>
    <x v="7"/>
    <s v="FTND"/>
    <s v="RP"/>
    <s v="333"/>
    <s v="4.0 UN"/>
    <s v="STANDARD"/>
    <s v="N"/>
    <s v="Y"/>
    <s v="N"/>
    <s v="T35"/>
    <s v="Y"/>
    <s v="N"/>
    <s v="Y"/>
    <s v="N"/>
    <s v="B031"/>
    <d v="2016-11-10T00:00:00"/>
    <s v="10"/>
    <s v="TAN"/>
    <s v="OR"/>
    <d v="2016-11-07T00:00:00"/>
    <s v="ND"/>
    <s v="US"/>
    <s v="ZR"/>
    <d v="2016-11-07T00:00:00"/>
  </r>
  <r>
    <x v="1"/>
    <x v="7"/>
    <x v="1678"/>
    <x v="38"/>
    <s v="Standard order"/>
    <x v="1579"/>
    <x v="1574"/>
    <s v="8524"/>
    <s v="BTS 8524"/>
    <s v="5002896"/>
    <s v="8524 BTS T35 PB SYSTIVA RP"/>
    <n v="72"/>
    <n v="0"/>
    <n v="72"/>
    <x v="7"/>
    <s v="FWND"/>
    <s v="RP"/>
    <s v="333"/>
    <s v="4.0 UN"/>
    <s v="STANDARD"/>
    <s v="N"/>
    <s v="Y"/>
    <s v="N"/>
    <s v="T35"/>
    <s v="Y"/>
    <s v="N"/>
    <s v="Y"/>
    <s v="N"/>
    <s v="B031"/>
    <d v="2016-11-10T00:00:00"/>
    <s v="20"/>
    <s v="TAN"/>
    <s v="OR"/>
    <d v="2016-11-07T00:00:00"/>
    <s v="ND"/>
    <s v="US"/>
    <s v="ZR"/>
    <d v="2016-11-07T00:00:00"/>
  </r>
  <r>
    <x v="1"/>
    <x v="7"/>
    <x v="1679"/>
    <x v="38"/>
    <s v="Standard order"/>
    <x v="1580"/>
    <x v="1575"/>
    <s v="8337"/>
    <s v="BTS 8337"/>
    <s v="5002795"/>
    <s v="8337 BTS T35 PB SYSTIVA RP"/>
    <n v="68"/>
    <n v="0"/>
    <n v="68"/>
    <x v="7"/>
    <s v="DHMC"/>
    <s v="RP"/>
    <s v="333"/>
    <s v="4.0 UN"/>
    <s v="STANDARD"/>
    <s v="N"/>
    <s v="Y"/>
    <s v="N"/>
    <s v="T35"/>
    <s v="Y"/>
    <s v="N"/>
    <s v="Y"/>
    <s v="N"/>
    <s v="B031"/>
    <d v="2016-11-10T00:00:00"/>
    <s v="10"/>
    <s v="TAN"/>
    <s v="OR"/>
    <d v="2016-11-07T00:00:00"/>
    <s v="ND"/>
    <s v="US"/>
    <s v="ZR"/>
    <d v="2016-11-07T00:00:00"/>
  </r>
  <r>
    <x v="1"/>
    <x v="7"/>
    <x v="1679"/>
    <x v="38"/>
    <s v="Standard order"/>
    <x v="1580"/>
    <x v="1575"/>
    <s v="8524"/>
    <s v="BTS 8524"/>
    <s v="5002896"/>
    <s v="8524 BTS T35 PB SYSTIVA RP"/>
    <n v="36"/>
    <n v="0"/>
    <n v="36"/>
    <x v="7"/>
    <s v="FWND"/>
    <s v="RP"/>
    <s v="333"/>
    <s v="4.0 UN"/>
    <s v="STANDARD"/>
    <s v="N"/>
    <s v="Y"/>
    <s v="N"/>
    <s v="T35"/>
    <s v="Y"/>
    <s v="N"/>
    <s v="Y"/>
    <s v="N"/>
    <s v="B031"/>
    <d v="2016-11-10T00:00:00"/>
    <s v="20"/>
    <s v="TAN"/>
    <s v="OR"/>
    <d v="2016-11-07T00:00:00"/>
    <s v="ND"/>
    <s v="US"/>
    <s v="ZR"/>
    <d v="2016-11-07T00:00:00"/>
  </r>
  <r>
    <x v="1"/>
    <x v="7"/>
    <x v="1679"/>
    <x v="38"/>
    <s v="Standard order"/>
    <x v="1580"/>
    <x v="1575"/>
    <s v="8500"/>
    <s v="BTS 8500"/>
    <s v="5002856"/>
    <s v="8500 BTS T35 PB SYSTIVA RP"/>
    <n v="36"/>
    <n v="0"/>
    <n v="36"/>
    <x v="7"/>
    <s v="FTND"/>
    <s v="RP"/>
    <s v="333"/>
    <s v="4.0 UN"/>
    <s v="STANDARD"/>
    <s v="N"/>
    <s v="Y"/>
    <s v="N"/>
    <s v="T35"/>
    <s v="Y"/>
    <s v="N"/>
    <s v="Y"/>
    <s v="N"/>
    <s v="B031"/>
    <d v="2016-11-10T00:00:00"/>
    <s v="30"/>
    <s v="TAN"/>
    <s v="OR"/>
    <d v="2016-11-07T00:00:00"/>
    <s v="ND"/>
    <s v="US"/>
    <s v="ZR"/>
    <d v="2016-11-07T00:00:00"/>
  </r>
  <r>
    <x v="1"/>
    <x v="7"/>
    <x v="1680"/>
    <x v="38"/>
    <s v="Standard order"/>
    <x v="1581"/>
    <x v="1576"/>
    <s v="8500"/>
    <s v="BTS 8500"/>
    <s v="5002856"/>
    <s v="8500 BTS T35 PB SYSTIVA RP"/>
    <n v="24"/>
    <n v="0"/>
    <n v="24"/>
    <x v="7"/>
    <s v="FTND"/>
    <s v="RP"/>
    <s v="333"/>
    <s v="4.0 UN"/>
    <s v="STANDARD"/>
    <s v="N"/>
    <s v="Y"/>
    <s v="N"/>
    <s v="T35"/>
    <s v="Y"/>
    <s v="N"/>
    <s v="Y"/>
    <s v="N"/>
    <s v="B031"/>
    <d v="2016-11-10T00:00:00"/>
    <s v="10"/>
    <s v="TAN"/>
    <s v="OR"/>
    <d v="2016-11-07T00:00:00"/>
    <s v="MN"/>
    <s v="US"/>
    <s v="ZR"/>
    <d v="2016-11-07T00:00:00"/>
  </r>
  <r>
    <x v="1"/>
    <x v="7"/>
    <x v="1681"/>
    <x v="38"/>
    <s v="Standard order"/>
    <x v="1582"/>
    <x v="1577"/>
    <s v="8337"/>
    <s v="BTS 8337"/>
    <s v="5002795"/>
    <s v="8337 BTS T35 PB SYSTIVA RP"/>
    <n v="48"/>
    <n v="0"/>
    <n v="48"/>
    <x v="7"/>
    <s v="DHMC"/>
    <s v="RP"/>
    <s v="333"/>
    <s v="4.0 UN"/>
    <s v="STANDARD"/>
    <s v="N"/>
    <s v="Y"/>
    <s v="N"/>
    <s v="T35"/>
    <s v="Y"/>
    <s v="N"/>
    <s v="Y"/>
    <s v="N"/>
    <s v="B031"/>
    <d v="2016-11-10T00:00:00"/>
    <s v="10"/>
    <s v="TAN"/>
    <s v="OR"/>
    <d v="2016-11-07T00:00:00"/>
    <s v="MN"/>
    <s v="US"/>
    <s v="ZR"/>
    <d v="2016-11-07T00:00:00"/>
  </r>
  <r>
    <x v="1"/>
    <x v="7"/>
    <x v="1682"/>
    <x v="38"/>
    <s v="Standard order"/>
    <x v="1583"/>
    <x v="1578"/>
    <s v="8572"/>
    <s v="BTS 8572"/>
    <s v="5003215"/>
    <s v="8572 BTS T35 PB SYSTIVA RP"/>
    <n v="24"/>
    <n v="0"/>
    <n v="24"/>
    <x v="7"/>
    <s v="FENB"/>
    <s v="RP"/>
    <s v="333"/>
    <s v="4.0 UN"/>
    <s v="STANDARD"/>
    <s v="N"/>
    <s v="Y"/>
    <s v="N"/>
    <s v="T35"/>
    <s v="Y"/>
    <s v="N"/>
    <s v="Y"/>
    <s v="N"/>
    <s v="B031"/>
    <d v="2016-11-10T00:00:00"/>
    <s v="10"/>
    <s v="TAN"/>
    <s v="OR"/>
    <d v="2016-11-07T00:00:00"/>
    <s v="ND"/>
    <s v="US"/>
    <s v="ZR"/>
    <d v="2016-11-07T00:00:00"/>
  </r>
  <r>
    <x v="1"/>
    <x v="7"/>
    <x v="1682"/>
    <x v="38"/>
    <s v="Standard order"/>
    <x v="1583"/>
    <x v="1578"/>
    <s v="8337"/>
    <s v="BTS 8337"/>
    <s v="5002795"/>
    <s v="8337 BTS T35 PB SYSTIVA RP"/>
    <n v="36"/>
    <n v="0"/>
    <n v="36"/>
    <x v="7"/>
    <s v="DHMC"/>
    <s v="RP"/>
    <s v="333"/>
    <s v="4.0 UN"/>
    <s v="STANDARD"/>
    <s v="N"/>
    <s v="Y"/>
    <s v="N"/>
    <s v="T35"/>
    <s v="Y"/>
    <s v="N"/>
    <s v="Y"/>
    <s v="N"/>
    <s v="B031"/>
    <d v="2016-11-10T00:00:00"/>
    <s v="20"/>
    <s v="TAN"/>
    <s v="OR"/>
    <d v="2016-11-07T00:00:00"/>
    <s v="ND"/>
    <s v="US"/>
    <s v="ZR"/>
    <d v="2016-11-07T00:00:00"/>
  </r>
  <r>
    <x v="1"/>
    <x v="8"/>
    <x v="1683"/>
    <x v="34"/>
    <s v="Returns Standard SAP"/>
    <x v="1365"/>
    <x v="1360"/>
    <s v="5245"/>
    <s v="BTS 52RR45"/>
    <s v="5002600"/>
    <s v="52RR45 P50"/>
    <n v="-32"/>
    <n v="-32"/>
    <n v="0"/>
    <x v="8"/>
    <s v="4D15"/>
    <s v="PRO 50"/>
    <s v="306"/>
    <s v="4.0 UN"/>
    <s v="STANDARD"/>
    <s v="N"/>
    <s v="N"/>
    <s v="N"/>
    <s v="N"/>
    <s v="N"/>
    <s v="N"/>
    <s v="N"/>
    <s v="N"/>
    <s v=""/>
    <m/>
    <s v="10"/>
    <s v="ZSRE"/>
    <s v="ZSRE"/>
    <d v="2016-11-14T00:00:00"/>
    <s v="CA"/>
    <s v="US"/>
    <s v="ZR"/>
    <d v="2016-11-07T00:00:00"/>
  </r>
  <r>
    <x v="1"/>
    <x v="7"/>
    <x v="1684"/>
    <x v="39"/>
    <s v="Standard order"/>
    <x v="1584"/>
    <x v="1579"/>
    <s v="8363"/>
    <s v="BTS 8363"/>
    <s v="5002820"/>
    <s v="8363 BTS T35 SYSTIVA RP"/>
    <n v="36"/>
    <n v="0"/>
    <n v="36"/>
    <x v="7"/>
    <s v="DMMZ"/>
    <s v="RP"/>
    <s v="334"/>
    <s v="4.0 UN"/>
    <s v="STANDARD"/>
    <s v="N"/>
    <s v="N"/>
    <s v="N"/>
    <s v="T35"/>
    <s v="Y"/>
    <s v="N"/>
    <s v="Y"/>
    <s v="N"/>
    <s v="B030"/>
    <d v="2016-11-10T00:00:00"/>
    <s v="10"/>
    <s v="TAN"/>
    <s v="OR"/>
    <d v="2016-11-07T00:00:00"/>
    <s v="MN"/>
    <s v="US"/>
    <s v="ZR"/>
    <d v="2016-11-07T00:00:00"/>
  </r>
  <r>
    <x v="1"/>
    <x v="7"/>
    <x v="1685"/>
    <x v="39"/>
    <s v="Standard order"/>
    <x v="1585"/>
    <x v="1580"/>
    <s v="8500"/>
    <s v="BTS 8500"/>
    <s v="5002843"/>
    <s v="8500 BTS T20 PB SYSTIVA MP"/>
    <n v="96"/>
    <n v="0"/>
    <n v="96"/>
    <x v="7"/>
    <s v="FTND"/>
    <s v="MP"/>
    <s v="322"/>
    <s v="4.0 UN"/>
    <s v="STANDARD"/>
    <s v="N"/>
    <s v="N"/>
    <s v="N"/>
    <s v="T20"/>
    <s v="Y"/>
    <s v="N"/>
    <s v="Y"/>
    <s v="N"/>
    <s v="B030"/>
    <d v="2016-11-10T00:00:00"/>
    <s v="10"/>
    <s v="TAN"/>
    <s v="OR"/>
    <d v="2016-11-07T00:00:00"/>
    <s v="MN"/>
    <s v="US"/>
    <s v="ZR"/>
    <d v="2016-11-07T00:00:00"/>
  </r>
  <r>
    <x v="1"/>
    <x v="7"/>
    <x v="1685"/>
    <x v="39"/>
    <s v="Standard order"/>
    <x v="1585"/>
    <x v="1580"/>
    <s v="8524"/>
    <s v="BTS 8524"/>
    <s v="5002883"/>
    <s v="8524 BTS T20 PB SYSTIVA MP"/>
    <n v="96"/>
    <n v="0"/>
    <n v="96"/>
    <x v="7"/>
    <s v="FWND"/>
    <s v="MP"/>
    <s v="322"/>
    <s v="4.0 UN"/>
    <s v="STANDARD"/>
    <s v="N"/>
    <s v="N"/>
    <s v="N"/>
    <s v="T20"/>
    <s v="Y"/>
    <s v="N"/>
    <s v="Y"/>
    <s v="N"/>
    <s v="B030"/>
    <d v="2016-11-10T00:00:00"/>
    <s v="20"/>
    <s v="TAN"/>
    <s v="OR"/>
    <d v="2016-11-07T00:00:00"/>
    <s v="MN"/>
    <s v="US"/>
    <s v="ZR"/>
    <d v="2016-11-07T00:00:00"/>
  </r>
  <r>
    <x v="1"/>
    <x v="7"/>
    <x v="1686"/>
    <x v="31"/>
    <s v="Standard order"/>
    <x v="1586"/>
    <x v="1581"/>
    <s v="8524"/>
    <s v="BTS 8524"/>
    <s v="5002896"/>
    <s v="8524 BTS T35 PB SYSTIVA RP"/>
    <n v="192"/>
    <n v="0"/>
    <n v="192"/>
    <x v="7"/>
    <s v="FWND"/>
    <s v="RP"/>
    <s v="333"/>
    <s v="4.0 UN"/>
    <s v="STANDARD"/>
    <s v="N"/>
    <s v="Y"/>
    <s v="N"/>
    <s v="T35"/>
    <s v="Y"/>
    <s v="N"/>
    <s v="Y"/>
    <s v="N"/>
    <s v="B028"/>
    <d v="2016-11-10T00:00:00"/>
    <s v="40"/>
    <s v="TAN"/>
    <s v="OR"/>
    <d v="2016-11-07T00:00:00"/>
    <s v="ND"/>
    <s v="US"/>
    <s v="ZR"/>
    <d v="2016-11-07T00:00:00"/>
  </r>
  <r>
    <x v="1"/>
    <x v="7"/>
    <x v="1686"/>
    <x v="31"/>
    <s v="Standard order"/>
    <x v="1586"/>
    <x v="1581"/>
    <s v="8512"/>
    <s v="BTS 8512"/>
    <s v="5002876"/>
    <s v="8512 BTS T35 PB SYSTIVA RP"/>
    <n v="96"/>
    <n v="0"/>
    <n v="96"/>
    <x v="7"/>
    <s v="FX73"/>
    <s v="RP"/>
    <s v="333"/>
    <s v="4.0 UN"/>
    <s v="STANDARD"/>
    <s v="N"/>
    <s v="Y"/>
    <s v="N"/>
    <s v="T35"/>
    <s v="Y"/>
    <s v="N"/>
    <s v="Y"/>
    <s v="N"/>
    <s v="B028"/>
    <d v="2016-11-10T00:00:00"/>
    <s v="50"/>
    <s v="TAN"/>
    <s v="OR"/>
    <d v="2016-11-07T00:00:00"/>
    <s v="ND"/>
    <s v="US"/>
    <s v="ZR"/>
    <d v="2016-11-07T00:00:00"/>
  </r>
  <r>
    <x v="1"/>
    <x v="7"/>
    <x v="1686"/>
    <x v="31"/>
    <s v="Standard order"/>
    <x v="1586"/>
    <x v="1581"/>
    <s v="8052"/>
    <s v="BTS 80RR52"/>
    <s v="5002735"/>
    <s v="8052 BTS T35 PB SYSTIVA RP"/>
    <n v="96"/>
    <n v="0"/>
    <n v="96"/>
    <x v="7"/>
    <s v="AP82"/>
    <s v="RP"/>
    <s v="333"/>
    <s v="4.0 UN"/>
    <s v="STANDARD"/>
    <s v="N"/>
    <s v="Y"/>
    <s v="N"/>
    <s v="T35"/>
    <s v="Y"/>
    <s v="N"/>
    <s v="Y"/>
    <s v="N"/>
    <s v="B028"/>
    <d v="2016-11-10T00:00:00"/>
    <s v="60"/>
    <s v="TAN"/>
    <s v="OR"/>
    <d v="2016-11-07T00:00:00"/>
    <s v="ND"/>
    <s v="US"/>
    <s v="ZR"/>
    <d v="2016-11-07T00:00:00"/>
  </r>
  <r>
    <x v="1"/>
    <x v="8"/>
    <x v="1687"/>
    <x v="34"/>
    <s v="Returns Standard SAP"/>
    <x v="1364"/>
    <x v="1359"/>
    <s v="541N"/>
    <s v="BTS 541N"/>
    <s v="5002602"/>
    <s v="541N P50"/>
    <n v="-4"/>
    <n v="-4"/>
    <n v="0"/>
    <x v="8"/>
    <s v="BK71"/>
    <s v="PRO 50"/>
    <s v="306"/>
    <s v="4.0 UN"/>
    <s v="STANDARD"/>
    <s v="N"/>
    <s v="N"/>
    <s v="N"/>
    <s v="N"/>
    <s v="N"/>
    <s v="N"/>
    <s v="N"/>
    <s v="N"/>
    <s v=""/>
    <m/>
    <s v="10"/>
    <s v="ZSRE"/>
    <s v="ZSRE"/>
    <d v="2016-11-23T00:00:00"/>
    <s v="CA"/>
    <s v="US"/>
    <s v="ZR"/>
    <d v="2016-11-07T00:00:00"/>
  </r>
  <r>
    <x v="1"/>
    <x v="8"/>
    <x v="1687"/>
    <x v="34"/>
    <s v="Returns Standard SAP"/>
    <x v="1364"/>
    <x v="1359"/>
    <s v="5499"/>
    <s v="BTS 5499"/>
    <s v="5002606"/>
    <s v="5499 P50"/>
    <n v="-8"/>
    <n v="-8"/>
    <n v="0"/>
    <x v="8"/>
    <s v="DRMG"/>
    <s v="PRO 50"/>
    <s v="306"/>
    <s v="4.0 UN"/>
    <s v="STANDARD"/>
    <s v="N"/>
    <s v="N"/>
    <s v="N"/>
    <s v="N"/>
    <s v="N"/>
    <s v="N"/>
    <s v="N"/>
    <s v="N"/>
    <s v=""/>
    <m/>
    <s v="20"/>
    <s v="ZSRE"/>
    <s v="ZSRE"/>
    <d v="2016-11-23T00:00:00"/>
    <s v="CA"/>
    <s v="US"/>
    <s v="ZR"/>
    <d v="2016-11-07T00:00:00"/>
  </r>
  <r>
    <x v="1"/>
    <x v="7"/>
    <x v="1688"/>
    <x v="41"/>
    <s v="Standard order"/>
    <x v="1587"/>
    <x v="1582"/>
    <s v="8500"/>
    <s v="BTS 8500"/>
    <s v="5002843"/>
    <s v="8500 BTS T20 PB SYSTIVA MP"/>
    <n v="20"/>
    <n v="0"/>
    <n v="20"/>
    <x v="7"/>
    <s v="FTND"/>
    <s v="MP"/>
    <s v="322"/>
    <s v="4.0 UN"/>
    <s v="STANDARD"/>
    <s v="N"/>
    <s v="N"/>
    <s v="N"/>
    <s v="T20"/>
    <s v="Y"/>
    <s v="N"/>
    <s v="Y"/>
    <s v="N"/>
    <s v="B032"/>
    <d v="2016-11-10T00:00:00"/>
    <s v="40"/>
    <s v="TAN"/>
    <s v="OR"/>
    <d v="2016-11-07T00:00:00"/>
    <s v="MN"/>
    <s v="US"/>
    <s v="ZR"/>
    <d v="2016-11-07T00:00:00"/>
  </r>
  <r>
    <x v="1"/>
    <x v="7"/>
    <x v="1688"/>
    <x v="41"/>
    <s v="Standard order"/>
    <x v="1587"/>
    <x v="1582"/>
    <s v="8052"/>
    <s v="BTS 80RR52"/>
    <s v="5002722"/>
    <s v="8052 BTS T20 PB SYSTIVA MP"/>
    <n v="48"/>
    <n v="0"/>
    <n v="48"/>
    <x v="7"/>
    <s v="AP82"/>
    <s v="MP"/>
    <s v="322"/>
    <s v="4.0 UN"/>
    <s v="STANDARD"/>
    <s v="N"/>
    <s v="N"/>
    <s v="N"/>
    <s v="T20"/>
    <s v="Y"/>
    <s v="N"/>
    <s v="Y"/>
    <s v="N"/>
    <s v="B032"/>
    <d v="2016-11-10T00:00:00"/>
    <s v="10"/>
    <s v="TAN"/>
    <s v="OR"/>
    <d v="2016-11-07T00:00:00"/>
    <s v="MN"/>
    <s v="US"/>
    <s v="ZR"/>
    <d v="2016-11-07T00:00:00"/>
  </r>
  <r>
    <x v="1"/>
    <x v="7"/>
    <x v="1688"/>
    <x v="41"/>
    <s v="Standard order"/>
    <x v="1587"/>
    <x v="1582"/>
    <s v="8572"/>
    <s v="BTS 8572"/>
    <s v="5003202"/>
    <s v="8572 BTS T20 PB SYSTIVA MP"/>
    <n v="44"/>
    <n v="0"/>
    <n v="44"/>
    <x v="7"/>
    <s v="FENB"/>
    <s v="MP"/>
    <s v="322"/>
    <s v="4.0 UN"/>
    <s v="STANDARD"/>
    <s v="N"/>
    <s v="N"/>
    <s v="N"/>
    <s v="T20"/>
    <s v="Y"/>
    <s v="N"/>
    <s v="Y"/>
    <s v="N"/>
    <s v="B032"/>
    <d v="2016-11-10T00:00:00"/>
    <s v="20"/>
    <s v="TAN"/>
    <s v="OR"/>
    <d v="2016-11-07T00:00:00"/>
    <s v="MN"/>
    <s v="US"/>
    <s v="ZR"/>
    <d v="2016-11-07T00:00:00"/>
  </r>
  <r>
    <x v="1"/>
    <x v="7"/>
    <x v="1689"/>
    <x v="41"/>
    <s v="Standard order"/>
    <x v="1588"/>
    <x v="1583"/>
    <s v="8052"/>
    <s v="BTS 80RR52"/>
    <s v="5002722"/>
    <s v="8052 BTS T20 PB SYSTIVA MP"/>
    <n v="28"/>
    <n v="0"/>
    <n v="28"/>
    <x v="7"/>
    <s v="AP82"/>
    <s v="MP"/>
    <s v="322"/>
    <s v="4.0 UN"/>
    <s v="STANDARD"/>
    <s v="N"/>
    <s v="N"/>
    <s v="N"/>
    <s v="T20"/>
    <s v="Y"/>
    <s v="N"/>
    <s v="Y"/>
    <s v="N"/>
    <s v="B032"/>
    <d v="2016-11-10T00:00:00"/>
    <s v="10"/>
    <s v="TAN"/>
    <s v="OR"/>
    <d v="2016-11-07T00:00:00"/>
    <s v="MN"/>
    <s v="US"/>
    <s v="ZR"/>
    <d v="2016-11-07T00:00:00"/>
  </r>
  <r>
    <x v="1"/>
    <x v="7"/>
    <x v="1689"/>
    <x v="41"/>
    <s v="Standard order"/>
    <x v="1588"/>
    <x v="1583"/>
    <s v="8500"/>
    <s v="BTS 8500"/>
    <s v="5002844"/>
    <s v="8500 BTS T20 SYSTIVA MP"/>
    <n v="52"/>
    <n v="0"/>
    <n v="52"/>
    <x v="7"/>
    <s v="FTND"/>
    <s v="MP"/>
    <s v="326"/>
    <s v="4.0 UN"/>
    <s v="STANDARD"/>
    <s v="N"/>
    <s v="N"/>
    <s v="N"/>
    <s v="T20"/>
    <s v="Y"/>
    <s v="N"/>
    <s v="Y"/>
    <s v="N"/>
    <s v="B032"/>
    <d v="2016-11-10T00:00:00"/>
    <s v="30"/>
    <s v="TAN"/>
    <s v="OR"/>
    <d v="2016-11-07T00:00:00"/>
    <s v="MN"/>
    <s v="US"/>
    <s v="ZR"/>
    <d v="2016-11-07T00:00:00"/>
  </r>
  <r>
    <x v="1"/>
    <x v="7"/>
    <x v="1690"/>
    <x v="36"/>
    <s v="Standard order"/>
    <x v="1589"/>
    <x v="1584"/>
    <s v="8233"/>
    <s v="BTS 82RR33"/>
    <s v="5002774"/>
    <s v="8233 BTS T35 PB SYSTIVA P200"/>
    <n v="48"/>
    <n v="0"/>
    <n v="48"/>
    <x v="7"/>
    <s v="DRMC"/>
    <s v="PRO 200"/>
    <s v="333"/>
    <s v="4.0 UN"/>
    <s v="STANDARD"/>
    <s v="N"/>
    <s v="Y"/>
    <s v="N"/>
    <s v="T35"/>
    <s v="Y"/>
    <s v="N"/>
    <s v="Y"/>
    <s v="N"/>
    <s v="B027"/>
    <d v="2016-11-10T00:00:00"/>
    <s v="10"/>
    <s v="TAN"/>
    <s v="OR"/>
    <d v="2016-11-07T00:00:00"/>
    <s v="MN"/>
    <s v="US"/>
    <s v="ZR"/>
    <d v="2016-11-07T00:00:00"/>
  </r>
  <r>
    <x v="1"/>
    <x v="7"/>
    <x v="1690"/>
    <x v="36"/>
    <s v="Standard order"/>
    <x v="1589"/>
    <x v="1584"/>
    <s v="8500"/>
    <s v="BTS 8500"/>
    <s v="5002855"/>
    <s v="8500 BTS T35 PB SYSTIVA P200"/>
    <n v="96"/>
    <n v="0"/>
    <n v="96"/>
    <x v="7"/>
    <s v="FTND"/>
    <s v="PRO 200"/>
    <s v="333"/>
    <s v="4.0 UN"/>
    <s v="STANDARD"/>
    <s v="N"/>
    <s v="Y"/>
    <s v="N"/>
    <s v="T35"/>
    <s v="Y"/>
    <s v="N"/>
    <s v="Y"/>
    <s v="N"/>
    <s v="B027"/>
    <d v="2016-11-10T00:00:00"/>
    <s v="20"/>
    <s v="TAN"/>
    <s v="OR"/>
    <d v="2016-11-07T00:00:00"/>
    <s v="MN"/>
    <s v="US"/>
    <s v="ZR"/>
    <d v="2016-11-07T00:00:00"/>
  </r>
  <r>
    <x v="1"/>
    <x v="7"/>
    <x v="1691"/>
    <x v="33"/>
    <s v="Standard order"/>
    <x v="1590"/>
    <x v="1585"/>
    <s v="8052"/>
    <s v="BTS 80RR52"/>
    <s v="5002734"/>
    <s v="8052 BTS T35 PB SYSTIVA P200"/>
    <n v="52"/>
    <n v="0"/>
    <n v="52"/>
    <x v="7"/>
    <s v="AP82"/>
    <s v="PRO 200"/>
    <s v="333"/>
    <s v="4.0 UN"/>
    <s v="STANDARD"/>
    <s v="N"/>
    <s v="Y"/>
    <s v="N"/>
    <s v="T35"/>
    <s v="Y"/>
    <s v="N"/>
    <s v="Y"/>
    <s v="N"/>
    <s v="B026"/>
    <d v="2016-11-10T00:00:00"/>
    <s v="10"/>
    <s v="TAN"/>
    <s v="OR"/>
    <d v="2016-11-07T00:00:00"/>
    <s v="MN"/>
    <s v="US"/>
    <s v="ZR"/>
    <d v="2016-11-07T00:00:00"/>
  </r>
  <r>
    <x v="1"/>
    <x v="7"/>
    <x v="1692"/>
    <x v="39"/>
    <s v="Standard order"/>
    <x v="1591"/>
    <x v="1586"/>
    <s v="8337"/>
    <s v="BTS 8337"/>
    <s v="5002795"/>
    <s v="8337 RP BetaShield"/>
    <n v="64"/>
    <n v="0"/>
    <n v="64"/>
    <x v="7"/>
    <s v="DHMC"/>
    <s v="RP"/>
    <s v="333"/>
    <s v="4.0 UN"/>
    <s v="STANDARD"/>
    <s v="N"/>
    <s v="Y"/>
    <s v="N"/>
    <s v="T35"/>
    <s v="Y"/>
    <s v="N"/>
    <s v="Y"/>
    <s v="N"/>
    <s v=""/>
    <d v="2016-11-10T00:00:00"/>
    <s v="40"/>
    <s v="TAN"/>
    <s v="OR"/>
    <d v="2016-11-07T00:00:00"/>
    <s v="MN"/>
    <s v="US"/>
    <s v="ZR"/>
    <d v="2016-11-07T00:00:00"/>
  </r>
  <r>
    <x v="1"/>
    <x v="7"/>
    <x v="1692"/>
    <x v="39"/>
    <s v="Standard order"/>
    <x v="1591"/>
    <x v="1586"/>
    <s v="8363"/>
    <s v="BTS 8363"/>
    <s v="5002816"/>
    <s v="8363 RP BetaShield"/>
    <n v="120"/>
    <n v="0"/>
    <n v="120"/>
    <x v="7"/>
    <s v="DMMZ"/>
    <s v="RP"/>
    <s v="333"/>
    <s v="4.0 UN"/>
    <s v="STANDARD"/>
    <s v="N"/>
    <s v="Y"/>
    <s v="N"/>
    <s v="T35"/>
    <s v="Y"/>
    <s v="N"/>
    <s v="Y"/>
    <s v="N"/>
    <s v=""/>
    <d v="2016-11-10T00:00:00"/>
    <s v="50"/>
    <s v="TAN"/>
    <s v="OR"/>
    <d v="2016-11-07T00:00:00"/>
    <s v="MN"/>
    <s v="US"/>
    <s v="ZR"/>
    <d v="2016-11-07T00:00:00"/>
  </r>
  <r>
    <x v="1"/>
    <x v="7"/>
    <x v="1692"/>
    <x v="39"/>
    <s v="Standard order"/>
    <x v="1591"/>
    <x v="1586"/>
    <s v="8572"/>
    <s v="BTS 8572"/>
    <s v="5003215"/>
    <s v="8572 RP BetaShield"/>
    <n v="120"/>
    <n v="0"/>
    <n v="120"/>
    <x v="7"/>
    <s v="FENB"/>
    <s v="RP"/>
    <s v="333"/>
    <s v="4.0 UN"/>
    <s v="STANDARD"/>
    <s v="N"/>
    <s v="Y"/>
    <s v="N"/>
    <s v="T35"/>
    <s v="Y"/>
    <s v="N"/>
    <s v="Y"/>
    <s v="N"/>
    <s v=""/>
    <d v="2016-11-10T00:00:00"/>
    <s v="60"/>
    <s v="TAN"/>
    <s v="OR"/>
    <d v="2016-11-07T00:00:00"/>
    <s v="MN"/>
    <s v="US"/>
    <s v="ZR"/>
    <d v="2016-11-07T00:00:00"/>
  </r>
  <r>
    <x v="1"/>
    <x v="7"/>
    <x v="1693"/>
    <x v="31"/>
    <s v="Standard order"/>
    <x v="1592"/>
    <x v="1587"/>
    <s v="8500"/>
    <s v="BTS 8500"/>
    <s v="5002843"/>
    <s v="8500 BTS T20 PB SYSTIVA MP"/>
    <n v="60"/>
    <n v="0"/>
    <n v="60"/>
    <x v="7"/>
    <s v="FTND"/>
    <s v="MP"/>
    <s v="322"/>
    <s v="4.0 UN"/>
    <s v="STANDARD"/>
    <s v="N"/>
    <s v="N"/>
    <s v="N"/>
    <s v="T20"/>
    <s v="Y"/>
    <s v="N"/>
    <s v="Y"/>
    <s v="N"/>
    <s v="B028"/>
    <d v="2016-11-14T00:00:00"/>
    <s v="10"/>
    <s v="TAN"/>
    <s v="OR"/>
    <d v="2016-11-07T00:00:00"/>
    <s v="ND"/>
    <s v="US"/>
    <s v="ZR"/>
    <d v="2016-11-08T00:00:00"/>
  </r>
  <r>
    <x v="1"/>
    <x v="7"/>
    <x v="1694"/>
    <x v="41"/>
    <s v="Standard order"/>
    <x v="1593"/>
    <x v="1588"/>
    <s v="8052"/>
    <s v="BTS 80RR52"/>
    <s v="5002723"/>
    <s v="8052 BTS T20 SYSTIVA MP"/>
    <n v="44"/>
    <n v="0"/>
    <n v="44"/>
    <x v="7"/>
    <s v="AP82"/>
    <s v="MP"/>
    <s v="326"/>
    <s v="4.0 UN"/>
    <s v="STANDARD"/>
    <s v="N"/>
    <s v="N"/>
    <s v="N"/>
    <s v="T20"/>
    <s v="Y"/>
    <s v="N"/>
    <s v="Y"/>
    <s v="N"/>
    <s v="B032"/>
    <d v="2016-11-14T00:00:00"/>
    <s v="10"/>
    <s v="TAN"/>
    <s v="OR"/>
    <d v="2016-11-07T00:00:00"/>
    <s v="MN"/>
    <s v="US"/>
    <s v="ZR"/>
    <d v="2016-11-08T00:00:00"/>
  </r>
  <r>
    <x v="1"/>
    <x v="7"/>
    <x v="1694"/>
    <x v="41"/>
    <s v="Standard order"/>
    <x v="1593"/>
    <x v="1588"/>
    <s v="8572"/>
    <s v="BTS 8572"/>
    <s v="5003203"/>
    <s v="8572 BTS T20 SYSTIVA MP"/>
    <n v="40"/>
    <n v="0"/>
    <n v="40"/>
    <x v="7"/>
    <s v="FENB"/>
    <s v="MP"/>
    <s v="326"/>
    <s v="4.0 UN"/>
    <s v="STANDARD"/>
    <s v="N"/>
    <s v="N"/>
    <s v="N"/>
    <s v="T20"/>
    <s v="Y"/>
    <s v="N"/>
    <s v="Y"/>
    <s v="N"/>
    <s v="B032"/>
    <d v="2016-11-14T00:00:00"/>
    <s v="20"/>
    <s v="TAN"/>
    <s v="OR"/>
    <d v="2016-11-07T00:00:00"/>
    <s v="MN"/>
    <s v="US"/>
    <s v="ZR"/>
    <d v="2016-11-08T00:00:00"/>
  </r>
  <r>
    <x v="1"/>
    <x v="7"/>
    <x v="1695"/>
    <x v="28"/>
    <s v="Standard order"/>
    <x v="1594"/>
    <x v="1589"/>
    <s v="8500"/>
    <s v="BTS 8500"/>
    <s v="5002843"/>
    <s v="8500 BTS T20 PB SYSTIVA MP"/>
    <n v="80"/>
    <n v="0"/>
    <n v="80"/>
    <x v="7"/>
    <s v="FTND"/>
    <s v="MP"/>
    <s v="322"/>
    <s v="4.0 UN"/>
    <s v="STANDARD"/>
    <s v="N"/>
    <s v="N"/>
    <s v="N"/>
    <s v="T20"/>
    <s v="Y"/>
    <s v="N"/>
    <s v="Y"/>
    <s v="N"/>
    <s v="B056"/>
    <d v="2016-11-14T00:00:00"/>
    <s v="30"/>
    <s v="TAN"/>
    <s v="OR"/>
    <d v="2016-11-08T00:00:00"/>
    <s v="ND"/>
    <s v="US"/>
    <s v="ZR"/>
    <d v="2016-11-08T00:00:00"/>
  </r>
  <r>
    <x v="1"/>
    <x v="7"/>
    <x v="1695"/>
    <x v="28"/>
    <s v="Standard order"/>
    <x v="1594"/>
    <x v="1589"/>
    <s v="8572"/>
    <s v="BTS 8572"/>
    <s v="5003202"/>
    <s v="8572 BTS T20 PB SYSTIVA MP"/>
    <n v="60"/>
    <n v="0"/>
    <n v="60"/>
    <x v="7"/>
    <s v="FENB"/>
    <s v="MP"/>
    <s v="322"/>
    <s v="4.0 UN"/>
    <s v="STANDARD"/>
    <s v="N"/>
    <s v="N"/>
    <s v="N"/>
    <s v="T20"/>
    <s v="Y"/>
    <s v="N"/>
    <s v="Y"/>
    <s v="N"/>
    <s v="B056"/>
    <d v="2016-11-14T00:00:00"/>
    <s v="10"/>
    <s v="TAN"/>
    <s v="OR"/>
    <d v="2016-11-08T00:00:00"/>
    <s v="ND"/>
    <s v="US"/>
    <s v="ZR"/>
    <d v="2016-11-08T00:00:00"/>
  </r>
  <r>
    <x v="1"/>
    <x v="7"/>
    <x v="1696"/>
    <x v="28"/>
    <s v="Standard order"/>
    <x v="1595"/>
    <x v="1590"/>
    <s v="8500"/>
    <s v="BTS 8500"/>
    <s v="5002843"/>
    <s v="8500 BTS T20 PB SYSTIVA MP"/>
    <n v="52"/>
    <n v="0"/>
    <n v="52"/>
    <x v="7"/>
    <s v="FTND"/>
    <s v="MP"/>
    <s v="322"/>
    <s v="4.0 UN"/>
    <s v="STANDARD"/>
    <s v="N"/>
    <s v="N"/>
    <s v="N"/>
    <s v="T20"/>
    <s v="Y"/>
    <s v="N"/>
    <s v="Y"/>
    <s v="N"/>
    <s v="B056"/>
    <d v="2016-11-14T00:00:00"/>
    <s v="20"/>
    <s v="TAN"/>
    <s v="OR"/>
    <d v="2016-11-08T00:00:00"/>
    <s v="ND"/>
    <s v="US"/>
    <s v="ZR"/>
    <d v="2016-11-08T00:00:00"/>
  </r>
  <r>
    <x v="1"/>
    <x v="7"/>
    <x v="1697"/>
    <x v="28"/>
    <s v="Standard order"/>
    <x v="1596"/>
    <x v="1591"/>
    <s v="8500"/>
    <s v="BTS 8500"/>
    <s v="5002855"/>
    <s v="8500 BTS T35 PB SYSTIVA P200"/>
    <n v="136"/>
    <n v="0"/>
    <n v="136"/>
    <x v="7"/>
    <s v="FTND"/>
    <s v="PRO 200"/>
    <s v="333"/>
    <s v="4.0 UN"/>
    <s v="STANDARD"/>
    <s v="N"/>
    <s v="Y"/>
    <s v="N"/>
    <s v="T35"/>
    <s v="Y"/>
    <s v="N"/>
    <s v="Y"/>
    <s v="N"/>
    <s v="B056"/>
    <d v="2016-11-14T00:00:00"/>
    <s v="10"/>
    <s v="TAN"/>
    <s v="OR"/>
    <d v="2016-11-08T00:00:00"/>
    <s v="ND"/>
    <s v="US"/>
    <s v="ZR"/>
    <d v="2016-11-08T00:00:00"/>
  </r>
  <r>
    <x v="1"/>
    <x v="7"/>
    <x v="1697"/>
    <x v="28"/>
    <s v="Standard order"/>
    <x v="1596"/>
    <x v="1591"/>
    <s v="8363"/>
    <s v="BTS 8363"/>
    <s v="5002815"/>
    <s v="8363 BTS T35 PB SYSTIVA P200"/>
    <n v="144"/>
    <n v="0"/>
    <n v="144"/>
    <x v="7"/>
    <s v="DMMZ"/>
    <s v="PRO 200"/>
    <s v="333"/>
    <s v="4.0 UN"/>
    <s v="STANDARD"/>
    <s v="N"/>
    <s v="Y"/>
    <s v="N"/>
    <s v="T35"/>
    <s v="Y"/>
    <s v="N"/>
    <s v="Y"/>
    <s v="N"/>
    <s v="B056"/>
    <d v="2016-11-14T00:00:00"/>
    <s v="20"/>
    <s v="TAN"/>
    <s v="OR"/>
    <d v="2016-11-08T00:00:00"/>
    <s v="ND"/>
    <s v="US"/>
    <s v="ZR"/>
    <d v="2016-11-08T00:00:00"/>
  </r>
  <r>
    <x v="1"/>
    <x v="7"/>
    <x v="1697"/>
    <x v="28"/>
    <s v="Standard order"/>
    <x v="1596"/>
    <x v="1591"/>
    <s v="8512"/>
    <s v="BTS 8512"/>
    <s v="5002875"/>
    <s v="8512 BTS T35 PB SYSTIVA P200"/>
    <n v="192"/>
    <n v="0"/>
    <n v="192"/>
    <x v="7"/>
    <s v="FX73"/>
    <s v="PRO 200"/>
    <s v="333"/>
    <s v="4.0 UN"/>
    <s v="STANDARD"/>
    <s v="N"/>
    <s v="Y"/>
    <s v="N"/>
    <s v="T35"/>
    <s v="Y"/>
    <s v="N"/>
    <s v="Y"/>
    <s v="N"/>
    <s v="B056"/>
    <d v="2016-11-14T00:00:00"/>
    <s v="30"/>
    <s v="TAN"/>
    <s v="OR"/>
    <d v="2016-11-08T00:00:00"/>
    <s v="ND"/>
    <s v="US"/>
    <s v="ZR"/>
    <d v="2016-11-08T00:00:00"/>
  </r>
  <r>
    <x v="1"/>
    <x v="7"/>
    <x v="1698"/>
    <x v="31"/>
    <s v="Standard order"/>
    <x v="1597"/>
    <x v="1592"/>
    <s v="8500"/>
    <s v="BTS 8500"/>
    <s v="5002855"/>
    <s v="8500 BTS T35 PB SYSTIVA P200"/>
    <n v="60"/>
    <n v="0"/>
    <n v="60"/>
    <x v="7"/>
    <s v="FTND"/>
    <s v="PRO 200"/>
    <s v="333"/>
    <s v="4.0 UN"/>
    <s v="STANDARD"/>
    <s v="N"/>
    <s v="Y"/>
    <s v="N"/>
    <s v="T35"/>
    <s v="Y"/>
    <s v="N"/>
    <s v="Y"/>
    <s v="N"/>
    <s v="B028"/>
    <d v="2016-11-14T00:00:00"/>
    <s v="10"/>
    <s v="TAN"/>
    <s v="OR"/>
    <d v="2016-11-08T00:00:00"/>
    <s v="ND"/>
    <s v="US"/>
    <s v="ZR"/>
    <d v="2016-11-08T00:00:00"/>
  </r>
  <r>
    <x v="1"/>
    <x v="7"/>
    <x v="1699"/>
    <x v="28"/>
    <s v="Standard order"/>
    <x v="1598"/>
    <x v="1593"/>
    <s v="8524"/>
    <s v="BTS 8524"/>
    <s v="5002883"/>
    <s v="8524 BTS T20 PB SYSTIVA MP"/>
    <n v="96"/>
    <n v="0"/>
    <n v="96"/>
    <x v="7"/>
    <s v="FWND"/>
    <s v="MP"/>
    <s v="322"/>
    <s v="4.0 UN"/>
    <s v="STANDARD"/>
    <s v="N"/>
    <s v="N"/>
    <s v="N"/>
    <s v="T20"/>
    <s v="Y"/>
    <s v="N"/>
    <s v="Y"/>
    <s v="N"/>
    <s v="B056"/>
    <d v="2016-11-14T00:00:00"/>
    <s v="10"/>
    <s v="TAN"/>
    <s v="OR"/>
    <d v="2016-11-08T00:00:00"/>
    <s v="ND"/>
    <s v="US"/>
    <s v="ZR"/>
    <d v="2016-11-08T00:00:00"/>
  </r>
  <r>
    <x v="1"/>
    <x v="7"/>
    <x v="1699"/>
    <x v="28"/>
    <s v="Standard order"/>
    <x v="1598"/>
    <x v="1593"/>
    <s v="8512"/>
    <s v="BTS 8512"/>
    <s v="5002863"/>
    <s v="8512 BTS T20 PB SYSTIVA MP"/>
    <n v="96"/>
    <n v="0"/>
    <n v="96"/>
    <x v="7"/>
    <s v="FX73"/>
    <s v="MP"/>
    <s v="322"/>
    <s v="4.0 UN"/>
    <s v="STANDARD"/>
    <s v="N"/>
    <s v="N"/>
    <s v="N"/>
    <s v="T20"/>
    <s v="Y"/>
    <s v="N"/>
    <s v="Y"/>
    <s v="N"/>
    <s v="B056"/>
    <d v="2016-11-14T00:00:00"/>
    <s v="20"/>
    <s v="TAN"/>
    <s v="OR"/>
    <d v="2016-11-08T00:00:00"/>
    <s v="ND"/>
    <s v="US"/>
    <s v="ZR"/>
    <d v="2016-11-08T00:00:00"/>
  </r>
  <r>
    <x v="1"/>
    <x v="7"/>
    <x v="1699"/>
    <x v="28"/>
    <s v="Standard order"/>
    <x v="1598"/>
    <x v="1593"/>
    <s v="8363"/>
    <s v="BTS 8363"/>
    <s v="5002803"/>
    <s v="8363 BTS T20 PB SYSTIVA MP"/>
    <n v="96"/>
    <n v="0"/>
    <n v="96"/>
    <x v="7"/>
    <s v="DMMZ"/>
    <s v="MP"/>
    <s v="322"/>
    <s v="4.0 UN"/>
    <s v="STANDARD"/>
    <s v="N"/>
    <s v="N"/>
    <s v="N"/>
    <s v="T20"/>
    <s v="Y"/>
    <s v="N"/>
    <s v="Y"/>
    <s v="N"/>
    <s v="B056"/>
    <d v="2016-11-14T00:00:00"/>
    <s v="30"/>
    <s v="TAN"/>
    <s v="OR"/>
    <d v="2016-11-08T00:00:00"/>
    <s v="ND"/>
    <s v="US"/>
    <s v="ZR"/>
    <d v="2016-11-08T00:00:00"/>
  </r>
  <r>
    <x v="1"/>
    <x v="7"/>
    <x v="1699"/>
    <x v="28"/>
    <s v="Standard order"/>
    <x v="1598"/>
    <x v="1593"/>
    <s v="8500"/>
    <s v="BTS 8500"/>
    <s v="5002843"/>
    <s v="8500 BTS T20 PB SYSTIVA MP"/>
    <n v="44"/>
    <n v="0"/>
    <n v="44"/>
    <x v="7"/>
    <s v="FTND"/>
    <s v="MP"/>
    <s v="322"/>
    <s v="4.0 UN"/>
    <s v="STANDARD"/>
    <s v="N"/>
    <s v="N"/>
    <s v="N"/>
    <s v="T20"/>
    <s v="Y"/>
    <s v="N"/>
    <s v="Y"/>
    <s v="N"/>
    <s v="B056"/>
    <d v="2016-11-14T00:00:00"/>
    <s v="50"/>
    <s v="TAN"/>
    <s v="OR"/>
    <d v="2016-11-08T00:00:00"/>
    <s v="ND"/>
    <s v="US"/>
    <s v="ZR"/>
    <d v="2016-11-08T00:00:00"/>
  </r>
  <r>
    <x v="1"/>
    <x v="7"/>
    <x v="1700"/>
    <x v="39"/>
    <s v="Standard order"/>
    <x v="1599"/>
    <x v="1594"/>
    <s v="8500"/>
    <s v="BTS 8500"/>
    <s v="5002856"/>
    <s v="8500 BTS T35 PB SYSTIVA RP"/>
    <n v="48"/>
    <n v="0"/>
    <n v="48"/>
    <x v="7"/>
    <s v="FTND"/>
    <s v="RP"/>
    <s v="333"/>
    <s v="4.0 UN"/>
    <s v="STANDARD"/>
    <s v="N"/>
    <s v="Y"/>
    <s v="N"/>
    <s v="T35"/>
    <s v="Y"/>
    <s v="N"/>
    <s v="Y"/>
    <s v="N"/>
    <s v="B030"/>
    <d v="2016-11-14T00:00:00"/>
    <s v="10"/>
    <s v="TAN"/>
    <s v="OR"/>
    <d v="2016-11-08T00:00:00"/>
    <s v="MN"/>
    <s v="US"/>
    <s v="ZR"/>
    <d v="2016-11-08T00:00:00"/>
  </r>
  <r>
    <x v="1"/>
    <x v="7"/>
    <x v="1700"/>
    <x v="39"/>
    <s v="Standard order"/>
    <x v="1599"/>
    <x v="1594"/>
    <s v="8524"/>
    <s v="BTS 8524"/>
    <s v="5002896"/>
    <s v="8524 BTS T35 PB SYSTIVA RP"/>
    <n v="48"/>
    <n v="0"/>
    <n v="48"/>
    <x v="7"/>
    <s v="FWND"/>
    <s v="RP"/>
    <s v="333"/>
    <s v="4.0 UN"/>
    <s v="STANDARD"/>
    <s v="N"/>
    <s v="Y"/>
    <s v="N"/>
    <s v="T35"/>
    <s v="Y"/>
    <s v="N"/>
    <s v="Y"/>
    <s v="N"/>
    <s v="B030"/>
    <d v="2016-11-14T00:00:00"/>
    <s v="20"/>
    <s v="TAN"/>
    <s v="OR"/>
    <d v="2016-11-08T00:00:00"/>
    <s v="MN"/>
    <s v="US"/>
    <s v="ZR"/>
    <d v="2016-11-08T00:00:00"/>
  </r>
  <r>
    <x v="1"/>
    <x v="8"/>
    <x v="1701"/>
    <x v="34"/>
    <s v="Returns Standard SAP"/>
    <x v="1385"/>
    <x v="1380"/>
    <s v="5245"/>
    <s v="BTS 52RR45"/>
    <s v="5002600"/>
    <s v="5245 BTS P50"/>
    <n v="-24"/>
    <n v="-24"/>
    <n v="0"/>
    <x v="8"/>
    <s v="4D15"/>
    <s v="PRO 50"/>
    <s v="306"/>
    <s v="4.0 UN"/>
    <s v="STANDARD"/>
    <s v="N"/>
    <s v="N"/>
    <s v="N"/>
    <s v="N"/>
    <s v="N"/>
    <s v="N"/>
    <s v="N"/>
    <s v="N"/>
    <s v="B052"/>
    <m/>
    <s v="10"/>
    <s v="ZSRE"/>
    <s v="ZSRE"/>
    <d v="2016-10-25T00:00:00"/>
    <s v="CA"/>
    <s v="US"/>
    <s v="ZR"/>
    <d v="2016-11-08T00:00:00"/>
  </r>
  <r>
    <x v="1"/>
    <x v="8"/>
    <x v="1701"/>
    <x v="34"/>
    <s v="Returns Standard SAP"/>
    <x v="1385"/>
    <x v="1380"/>
    <s v="5499"/>
    <s v="BTS 5499"/>
    <s v="5002606"/>
    <s v="5499 BTS P50"/>
    <n v="-24"/>
    <n v="-24"/>
    <n v="0"/>
    <x v="8"/>
    <s v="DRMG"/>
    <s v="PRO 50"/>
    <s v="306"/>
    <s v="4.0 UN"/>
    <s v="STANDARD"/>
    <s v="N"/>
    <s v="N"/>
    <s v="N"/>
    <s v="N"/>
    <s v="N"/>
    <s v="N"/>
    <s v="N"/>
    <s v="N"/>
    <s v="B052"/>
    <m/>
    <s v="20"/>
    <s v="ZSRE"/>
    <s v="ZSRE"/>
    <d v="2016-10-25T00:00:00"/>
    <s v="CA"/>
    <s v="US"/>
    <s v="ZR"/>
    <d v="2016-11-08T00:00:00"/>
  </r>
  <r>
    <x v="1"/>
    <x v="7"/>
    <x v="1702"/>
    <x v="31"/>
    <s v="Standard order"/>
    <x v="1600"/>
    <x v="1595"/>
    <s v="8052"/>
    <s v="BTS 80RR52"/>
    <s v="5002734"/>
    <s v="8052 BTS T35 PB SYSTIVA P200"/>
    <n v="72"/>
    <n v="0"/>
    <n v="72"/>
    <x v="7"/>
    <s v="AP82"/>
    <s v="PRO 200"/>
    <s v="333"/>
    <s v="4.0 UN"/>
    <s v="STANDARD"/>
    <s v="N"/>
    <s v="Y"/>
    <s v="N"/>
    <s v="T35"/>
    <s v="Y"/>
    <s v="N"/>
    <s v="Y"/>
    <s v="N"/>
    <s v="B028"/>
    <d v="2016-11-14T00:00:00"/>
    <s v="10"/>
    <s v="TAN"/>
    <s v="OR"/>
    <d v="2016-11-07T00:00:00"/>
    <s v="ND"/>
    <s v="US"/>
    <s v="ZR"/>
    <d v="2016-11-08T00:00:00"/>
  </r>
  <r>
    <x v="1"/>
    <x v="7"/>
    <x v="1703"/>
    <x v="31"/>
    <s v="Standard order"/>
    <x v="1601"/>
    <x v="1596"/>
    <s v="8512"/>
    <s v="BTS 8512"/>
    <s v="5002876"/>
    <s v="8512 BTS T35 PB SYSTIVA RP"/>
    <n v="96"/>
    <n v="0"/>
    <n v="96"/>
    <x v="7"/>
    <s v="FX73"/>
    <s v="RP"/>
    <s v="333"/>
    <s v="4.0 UN"/>
    <s v="STANDARD"/>
    <s v="N"/>
    <s v="Y"/>
    <s v="N"/>
    <s v="T35"/>
    <s v="Y"/>
    <s v="N"/>
    <s v="Y"/>
    <s v="N"/>
    <s v="B028"/>
    <d v="2016-11-14T00:00:00"/>
    <s v="10"/>
    <s v="TAN"/>
    <s v="OR"/>
    <d v="2016-11-07T00:00:00"/>
    <s v="ND"/>
    <s v="US"/>
    <s v="ZR"/>
    <d v="2016-11-08T00:00:00"/>
  </r>
  <r>
    <x v="1"/>
    <x v="7"/>
    <x v="1704"/>
    <x v="28"/>
    <s v="Standard order"/>
    <x v="1602"/>
    <x v="1597"/>
    <s v="8512"/>
    <s v="BTS 8512"/>
    <s v="5002876"/>
    <s v="8512 BTS T35 PB SYSTIVA RP"/>
    <n v="192"/>
    <n v="0"/>
    <n v="192"/>
    <x v="7"/>
    <s v="FX73"/>
    <s v="RP"/>
    <s v="333"/>
    <s v="4.0 UN"/>
    <s v="STANDARD"/>
    <s v="N"/>
    <s v="Y"/>
    <s v="N"/>
    <s v="T35"/>
    <s v="Y"/>
    <s v="N"/>
    <s v="Y"/>
    <s v="N"/>
    <s v="B056"/>
    <d v="2016-11-14T00:00:00"/>
    <s v="10"/>
    <s v="TAN"/>
    <s v="OR"/>
    <d v="2016-11-08T00:00:00"/>
    <s v="ND"/>
    <s v="US"/>
    <s v="ZR"/>
    <d v="2016-11-08T00:00:00"/>
  </r>
  <r>
    <x v="1"/>
    <x v="7"/>
    <x v="1704"/>
    <x v="28"/>
    <s v="Standard order"/>
    <x v="1602"/>
    <x v="1597"/>
    <s v="8363"/>
    <s v="BTS 8363"/>
    <s v="5002816"/>
    <s v="8363 BTS T35 PB SYSTIVA RP"/>
    <n v="112"/>
    <n v="0"/>
    <n v="112"/>
    <x v="7"/>
    <s v="DMMZ"/>
    <s v="RP"/>
    <s v="333"/>
    <s v="4.0 UN"/>
    <s v="STANDARD"/>
    <s v="N"/>
    <s v="Y"/>
    <s v="N"/>
    <s v="T35"/>
    <s v="Y"/>
    <s v="N"/>
    <s v="Y"/>
    <s v="N"/>
    <s v="B056"/>
    <d v="2016-11-14T00:00:00"/>
    <s v="20"/>
    <s v="TAN"/>
    <s v="OR"/>
    <d v="2016-11-08T00:00:00"/>
    <s v="ND"/>
    <s v="US"/>
    <s v="ZR"/>
    <d v="2016-11-08T00:00:00"/>
  </r>
  <r>
    <x v="1"/>
    <x v="7"/>
    <x v="1704"/>
    <x v="28"/>
    <s v="Standard order"/>
    <x v="1602"/>
    <x v="1597"/>
    <s v="8572"/>
    <s v="BTS 8572"/>
    <s v="5003215"/>
    <s v="8572 BTS T35 PB SYSTIVA RP"/>
    <n v="96"/>
    <n v="0"/>
    <n v="96"/>
    <x v="7"/>
    <s v="FENB"/>
    <s v="RP"/>
    <s v="333"/>
    <s v="4.0 UN"/>
    <s v="STANDARD"/>
    <s v="N"/>
    <s v="Y"/>
    <s v="N"/>
    <s v="T35"/>
    <s v="Y"/>
    <s v="N"/>
    <s v="Y"/>
    <s v="N"/>
    <s v="B056"/>
    <d v="2016-11-14T00:00:00"/>
    <s v="30"/>
    <s v="TAN"/>
    <s v="OR"/>
    <d v="2016-11-08T00:00:00"/>
    <s v="ND"/>
    <s v="US"/>
    <s v="ZR"/>
    <d v="2016-11-08T00:00:00"/>
  </r>
  <r>
    <x v="1"/>
    <x v="7"/>
    <x v="1705"/>
    <x v="39"/>
    <s v="Standard order"/>
    <x v="1603"/>
    <x v="1598"/>
    <s v="8233"/>
    <s v="BTS 82RR33"/>
    <s v="5002775"/>
    <s v="8233 BTS T35 PB SYSTIVA RP"/>
    <n v="168"/>
    <n v="0"/>
    <n v="168"/>
    <x v="7"/>
    <s v="DRMC"/>
    <s v="RP"/>
    <s v="333"/>
    <s v="4.0 UN"/>
    <s v="STANDARD"/>
    <s v="N"/>
    <s v="Y"/>
    <s v="N"/>
    <s v="T35"/>
    <s v="Y"/>
    <s v="N"/>
    <s v="Y"/>
    <s v="N"/>
    <s v="B030"/>
    <d v="2016-11-14T00:00:00"/>
    <s v="10"/>
    <s v="TAN"/>
    <s v="OR"/>
    <d v="2016-11-08T00:00:00"/>
    <s v="MN"/>
    <s v="US"/>
    <s v="ZR"/>
    <d v="2016-11-08T00:00:00"/>
  </r>
  <r>
    <x v="1"/>
    <x v="7"/>
    <x v="1705"/>
    <x v="39"/>
    <s v="Standard order"/>
    <x v="1603"/>
    <x v="1598"/>
    <s v="8500"/>
    <s v="BTS 8500"/>
    <s v="5002856"/>
    <s v="8500 BTS T35 PB SYSTIVA RP"/>
    <n v="192"/>
    <n v="0"/>
    <n v="192"/>
    <x v="7"/>
    <s v="FTND"/>
    <s v="RP"/>
    <s v="333"/>
    <s v="4.0 UN"/>
    <s v="STANDARD"/>
    <s v="N"/>
    <s v="Y"/>
    <s v="N"/>
    <s v="T35"/>
    <s v="Y"/>
    <s v="N"/>
    <s v="Y"/>
    <s v="N"/>
    <s v="B030"/>
    <d v="2016-11-14T00:00:00"/>
    <s v="20"/>
    <s v="TAN"/>
    <s v="OR"/>
    <d v="2016-11-08T00:00:00"/>
    <s v="MN"/>
    <s v="US"/>
    <s v="ZR"/>
    <d v="2016-11-08T00:00:00"/>
  </r>
  <r>
    <x v="1"/>
    <x v="7"/>
    <x v="1705"/>
    <x v="39"/>
    <s v="Standard order"/>
    <x v="1603"/>
    <x v="1598"/>
    <s v="8524"/>
    <s v="BTS 8524"/>
    <s v="5002896"/>
    <s v="8524 BTS T35 PB SYSTIVA RP"/>
    <n v="96"/>
    <n v="0"/>
    <n v="96"/>
    <x v="7"/>
    <s v="FWND"/>
    <s v="RP"/>
    <s v="333"/>
    <s v="4.0 UN"/>
    <s v="STANDARD"/>
    <s v="N"/>
    <s v="Y"/>
    <s v="N"/>
    <s v="T35"/>
    <s v="Y"/>
    <s v="N"/>
    <s v="Y"/>
    <s v="N"/>
    <s v="B030"/>
    <d v="2016-11-14T00:00:00"/>
    <s v="30"/>
    <s v="TAN"/>
    <s v="OR"/>
    <d v="2016-11-08T00:00:00"/>
    <s v="MN"/>
    <s v="US"/>
    <s v="ZR"/>
    <d v="2016-11-08T00:00:00"/>
  </r>
  <r>
    <x v="1"/>
    <x v="7"/>
    <x v="1705"/>
    <x v="39"/>
    <s v="Standard order"/>
    <x v="1603"/>
    <x v="1598"/>
    <s v="8572"/>
    <s v="BTS 8572"/>
    <s v="5003215"/>
    <s v="8572 BTS T35 PB SYSTIVA RP"/>
    <n v="96"/>
    <n v="0"/>
    <n v="96"/>
    <x v="7"/>
    <s v="FENB"/>
    <s v="RP"/>
    <s v="333"/>
    <s v="4.0 UN"/>
    <s v="STANDARD"/>
    <s v="N"/>
    <s v="Y"/>
    <s v="N"/>
    <s v="T35"/>
    <s v="Y"/>
    <s v="N"/>
    <s v="Y"/>
    <s v="N"/>
    <s v="B030"/>
    <d v="2016-11-14T00:00:00"/>
    <s v="40"/>
    <s v="TAN"/>
    <s v="OR"/>
    <d v="2016-11-08T00:00:00"/>
    <s v="MN"/>
    <s v="US"/>
    <s v="ZR"/>
    <d v="2016-11-08T00:00:00"/>
  </r>
  <r>
    <x v="1"/>
    <x v="7"/>
    <x v="1706"/>
    <x v="39"/>
    <s v="Standard order"/>
    <x v="1604"/>
    <x v="1599"/>
    <s v="8052"/>
    <s v="BTS 80RR52"/>
    <s v="5002735"/>
    <s v="8052 BTS T35 PB SYSTIVA RP"/>
    <n v="96"/>
    <n v="0"/>
    <n v="96"/>
    <x v="7"/>
    <s v="AP82"/>
    <s v="RP"/>
    <s v="333"/>
    <s v="4.0 UN"/>
    <s v="STANDARD"/>
    <s v="N"/>
    <s v="Y"/>
    <s v="N"/>
    <s v="T35"/>
    <s v="Y"/>
    <s v="N"/>
    <s v="Y"/>
    <s v="N"/>
    <s v="B030"/>
    <d v="2016-11-14T00:00:00"/>
    <s v="10"/>
    <s v="TAN"/>
    <s v="OR"/>
    <d v="2016-11-08T00:00:00"/>
    <s v="MN"/>
    <s v="US"/>
    <s v="ZR"/>
    <d v="2016-11-08T00:00:00"/>
  </r>
  <r>
    <x v="1"/>
    <x v="7"/>
    <x v="1706"/>
    <x v="39"/>
    <s v="Standard order"/>
    <x v="1604"/>
    <x v="1599"/>
    <s v="8572"/>
    <s v="BTS 8572"/>
    <s v="5003215"/>
    <s v="8572 BTS T35 PB SYSTIVA RP"/>
    <n v="68"/>
    <n v="0"/>
    <n v="68"/>
    <x v="7"/>
    <s v="FENB"/>
    <s v="RP"/>
    <s v="333"/>
    <s v="4.0 UN"/>
    <s v="STANDARD"/>
    <s v="N"/>
    <s v="Y"/>
    <s v="N"/>
    <s v="T35"/>
    <s v="Y"/>
    <s v="N"/>
    <s v="Y"/>
    <s v="N"/>
    <s v="B030"/>
    <d v="2016-11-14T00:00:00"/>
    <s v="20"/>
    <s v="TAN"/>
    <s v="OR"/>
    <d v="2016-11-08T00:00:00"/>
    <s v="MN"/>
    <s v="US"/>
    <s v="ZR"/>
    <d v="2016-11-08T00:00:00"/>
  </r>
  <r>
    <x v="1"/>
    <x v="7"/>
    <x v="1707"/>
    <x v="33"/>
    <s v="Standard order"/>
    <x v="1605"/>
    <x v="1600"/>
    <s v="8052"/>
    <s v="BTS 80RR52"/>
    <s v="5002734"/>
    <s v="8052 BTS T35 PB SYSTIVA P200"/>
    <n v="288"/>
    <n v="0"/>
    <n v="288"/>
    <x v="7"/>
    <s v="AP82"/>
    <s v="PRO 200"/>
    <s v="333"/>
    <s v="4.0 UN"/>
    <s v="STANDARD"/>
    <s v="N"/>
    <s v="Y"/>
    <s v="N"/>
    <s v="T35"/>
    <s v="Y"/>
    <s v="N"/>
    <s v="Y"/>
    <s v="N"/>
    <s v="B026"/>
    <d v="2016-11-14T00:00:00"/>
    <s v="10"/>
    <s v="TAN"/>
    <s v="OR"/>
    <d v="2016-11-08T00:00:00"/>
    <s v="MN"/>
    <s v="US"/>
    <s v="ZR"/>
    <d v="2016-11-08T00:00:00"/>
  </r>
  <r>
    <x v="1"/>
    <x v="7"/>
    <x v="1707"/>
    <x v="33"/>
    <s v="Standard order"/>
    <x v="1605"/>
    <x v="1600"/>
    <s v="8337"/>
    <s v="BTS 8337"/>
    <s v="5002794"/>
    <s v="8337 BTS T35 PB SYSTIVA P200"/>
    <n v="260"/>
    <n v="0"/>
    <n v="260"/>
    <x v="7"/>
    <s v="DHMC"/>
    <s v="PRO 200"/>
    <s v="333"/>
    <s v="4.0 UN"/>
    <s v="STANDARD"/>
    <s v="N"/>
    <s v="Y"/>
    <s v="N"/>
    <s v="T35"/>
    <s v="Y"/>
    <s v="N"/>
    <s v="Y"/>
    <s v="N"/>
    <s v="B026"/>
    <d v="2016-11-14T00:00:00"/>
    <s v="20"/>
    <s v="TAN"/>
    <s v="OR"/>
    <d v="2016-11-08T00:00:00"/>
    <s v="MN"/>
    <s v="US"/>
    <s v="ZR"/>
    <d v="2016-11-08T00:00:00"/>
  </r>
  <r>
    <x v="1"/>
    <x v="7"/>
    <x v="1707"/>
    <x v="33"/>
    <s v="Standard order"/>
    <x v="1605"/>
    <x v="1600"/>
    <s v="8500"/>
    <s v="BTS 8500"/>
    <s v="5002855"/>
    <s v="8500 BTS T35 PB SYSTIVA P200"/>
    <n v="324"/>
    <n v="0"/>
    <n v="324"/>
    <x v="7"/>
    <s v="FTND"/>
    <s v="PRO 200"/>
    <s v="333"/>
    <s v="4.0 UN"/>
    <s v="STANDARD"/>
    <s v="N"/>
    <s v="Y"/>
    <s v="N"/>
    <s v="T35"/>
    <s v="Y"/>
    <s v="N"/>
    <s v="Y"/>
    <s v="N"/>
    <s v="B026"/>
    <d v="2016-11-14T00:00:00"/>
    <s v="30"/>
    <s v="TAN"/>
    <s v="OR"/>
    <d v="2016-11-08T00:00:00"/>
    <s v="MN"/>
    <s v="US"/>
    <s v="ZR"/>
    <d v="2016-11-08T00:00:00"/>
  </r>
  <r>
    <x v="1"/>
    <x v="7"/>
    <x v="1707"/>
    <x v="33"/>
    <s v="Standard order"/>
    <x v="1605"/>
    <x v="1600"/>
    <s v="8524"/>
    <s v="BTS 8524"/>
    <s v="5002895"/>
    <s v="8524 BTS T35 PB SYSTIVA P200"/>
    <n v="192"/>
    <n v="0"/>
    <n v="192"/>
    <x v="7"/>
    <s v="FWND"/>
    <s v="PRO 200"/>
    <s v="333"/>
    <s v="4.0 UN"/>
    <s v="STANDARD"/>
    <s v="N"/>
    <s v="Y"/>
    <s v="N"/>
    <s v="T35"/>
    <s v="Y"/>
    <s v="N"/>
    <s v="Y"/>
    <s v="N"/>
    <s v="B026"/>
    <d v="2016-11-14T00:00:00"/>
    <s v="60"/>
    <s v="TAN"/>
    <s v="OR"/>
    <d v="2016-11-08T00:00:00"/>
    <s v="MN"/>
    <s v="US"/>
    <s v="ZR"/>
    <d v="2016-11-08T00:00:00"/>
  </r>
  <r>
    <x v="1"/>
    <x v="7"/>
    <x v="1708"/>
    <x v="41"/>
    <s v="Standard order"/>
    <x v="1606"/>
    <x v="1601"/>
    <s v="8052"/>
    <s v="BTS 80RR52"/>
    <s v="5002735"/>
    <s v="8052 BTS T35 PB SYSTIVA RP"/>
    <n v="136"/>
    <n v="0"/>
    <n v="136"/>
    <x v="7"/>
    <s v="AP82"/>
    <s v="RP"/>
    <s v="333"/>
    <s v="4.0 UN"/>
    <s v="STANDARD"/>
    <s v="N"/>
    <s v="Y"/>
    <s v="N"/>
    <s v="T35"/>
    <s v="Y"/>
    <s v="N"/>
    <s v="Y"/>
    <s v="N"/>
    <s v="B032"/>
    <d v="2016-11-14T00:00:00"/>
    <s v="10"/>
    <s v="TAN"/>
    <s v="OR"/>
    <d v="2016-11-07T00:00:00"/>
    <s v="ND"/>
    <s v="US"/>
    <s v="ZR"/>
    <d v="2016-11-08T00:00:00"/>
  </r>
  <r>
    <x v="1"/>
    <x v="7"/>
    <x v="1708"/>
    <x v="41"/>
    <s v="Standard order"/>
    <x v="1606"/>
    <x v="1601"/>
    <s v="8572"/>
    <s v="BTS 8572"/>
    <s v="5003215"/>
    <s v="8572 BTS T35 PB SYSTIVA RP"/>
    <n v="144"/>
    <n v="0"/>
    <n v="144"/>
    <x v="7"/>
    <s v="FENB"/>
    <s v="RP"/>
    <s v="333"/>
    <s v="4.0 UN"/>
    <s v="STANDARD"/>
    <s v="N"/>
    <s v="Y"/>
    <s v="N"/>
    <s v="T35"/>
    <s v="Y"/>
    <s v="N"/>
    <s v="Y"/>
    <s v="N"/>
    <s v="B032"/>
    <d v="2016-11-14T00:00:00"/>
    <s v="20"/>
    <s v="TAN"/>
    <s v="OR"/>
    <d v="2016-11-07T00:00:00"/>
    <s v="ND"/>
    <s v="US"/>
    <s v="ZR"/>
    <d v="2016-11-08T00:00:00"/>
  </r>
  <r>
    <x v="1"/>
    <x v="7"/>
    <x v="1708"/>
    <x v="41"/>
    <s v="Standard order"/>
    <x v="1606"/>
    <x v="1601"/>
    <s v="8363"/>
    <s v="BTS 8363"/>
    <s v="5002816"/>
    <s v="8363 BTS T35 PB SYSTIVA RP"/>
    <n v="152"/>
    <n v="0"/>
    <n v="152"/>
    <x v="7"/>
    <s v="DMMZ"/>
    <s v="RP"/>
    <s v="333"/>
    <s v="4.0 UN"/>
    <s v="STANDARD"/>
    <s v="N"/>
    <s v="Y"/>
    <s v="N"/>
    <s v="T35"/>
    <s v="Y"/>
    <s v="N"/>
    <s v="Y"/>
    <s v="N"/>
    <s v="B032"/>
    <d v="2016-11-14T00:00:00"/>
    <s v="30"/>
    <s v="TAN"/>
    <s v="OR"/>
    <d v="2016-11-07T00:00:00"/>
    <s v="ND"/>
    <s v="US"/>
    <s v="ZR"/>
    <d v="2016-11-08T00:00:00"/>
  </r>
  <r>
    <x v="1"/>
    <x v="7"/>
    <x v="1709"/>
    <x v="41"/>
    <s v="Standard order"/>
    <x v="1607"/>
    <x v="1602"/>
    <s v="8572"/>
    <s v="BTS 8572"/>
    <s v="5003219"/>
    <s v="8572 BTS T35 SYSTIVA RP"/>
    <n v="52"/>
    <n v="0"/>
    <n v="52"/>
    <x v="7"/>
    <s v="FENB"/>
    <s v="RP"/>
    <s v="334"/>
    <s v="4.0 UN"/>
    <s v="STANDARD"/>
    <s v="N"/>
    <s v="N"/>
    <s v="N"/>
    <s v="T35"/>
    <s v="Y"/>
    <s v="N"/>
    <s v="Y"/>
    <s v="N"/>
    <s v="B032"/>
    <d v="2016-11-14T00:00:00"/>
    <s v="10"/>
    <s v="TAN"/>
    <s v="OR"/>
    <d v="2016-11-07T00:00:00"/>
    <s v="MN"/>
    <s v="US"/>
    <s v="ZR"/>
    <d v="2016-11-08T00:00:00"/>
  </r>
  <r>
    <x v="1"/>
    <x v="7"/>
    <x v="1710"/>
    <x v="36"/>
    <s v="Standard order"/>
    <x v="1608"/>
    <x v="1603"/>
    <s v="8524"/>
    <s v="BTS 8524"/>
    <s v="5002896"/>
    <s v="8524 BTS T35 PB SYSTIVA RP"/>
    <n v="76"/>
    <n v="0"/>
    <n v="76"/>
    <x v="7"/>
    <s v="FWND"/>
    <s v="RP"/>
    <s v="333"/>
    <s v="4.0 UN"/>
    <s v="STANDARD"/>
    <s v="N"/>
    <s v="Y"/>
    <s v="N"/>
    <s v="T35"/>
    <s v="Y"/>
    <s v="N"/>
    <s v="Y"/>
    <s v="N"/>
    <s v="B027"/>
    <d v="2016-11-14T00:00:00"/>
    <s v="10"/>
    <s v="TAN"/>
    <s v="OR"/>
    <d v="2016-11-08T00:00:00"/>
    <s v="MN"/>
    <s v="US"/>
    <s v="ZR"/>
    <d v="2016-11-08T00:00:00"/>
  </r>
  <r>
    <x v="1"/>
    <x v="7"/>
    <x v="1710"/>
    <x v="36"/>
    <s v="Standard order"/>
    <x v="1608"/>
    <x v="1603"/>
    <s v="8052"/>
    <s v="BTS 80RR52"/>
    <s v="5002735"/>
    <s v="8052 BTS T35 PB SYSTIVA RP"/>
    <n v="76"/>
    <n v="0"/>
    <n v="76"/>
    <x v="7"/>
    <s v="AP82"/>
    <s v="RP"/>
    <s v="333"/>
    <s v="4.0 UN"/>
    <s v="STANDARD"/>
    <s v="N"/>
    <s v="Y"/>
    <s v="N"/>
    <s v="T35"/>
    <s v="Y"/>
    <s v="N"/>
    <s v="Y"/>
    <s v="N"/>
    <s v="B027"/>
    <d v="2016-11-14T00:00:00"/>
    <s v="20"/>
    <s v="TAN"/>
    <s v="OR"/>
    <d v="2016-11-08T00:00:00"/>
    <s v="MN"/>
    <s v="US"/>
    <s v="ZR"/>
    <d v="2016-11-08T00:00:00"/>
  </r>
  <r>
    <x v="1"/>
    <x v="7"/>
    <x v="1710"/>
    <x v="36"/>
    <s v="Standard order"/>
    <x v="1608"/>
    <x v="1603"/>
    <s v="8337"/>
    <s v="BTS 8337"/>
    <s v="5002795"/>
    <s v="8337 BTS T35 PB SYSTIVA RP"/>
    <n v="76"/>
    <n v="0"/>
    <n v="76"/>
    <x v="7"/>
    <s v="DHMC"/>
    <s v="RP"/>
    <s v="333"/>
    <s v="4.0 UN"/>
    <s v="STANDARD"/>
    <s v="N"/>
    <s v="Y"/>
    <s v="N"/>
    <s v="T35"/>
    <s v="Y"/>
    <s v="N"/>
    <s v="Y"/>
    <s v="N"/>
    <s v="B027"/>
    <d v="2016-11-14T00:00:00"/>
    <s v="30"/>
    <s v="TAN"/>
    <s v="OR"/>
    <d v="2016-11-08T00:00:00"/>
    <s v="MN"/>
    <s v="US"/>
    <s v="ZR"/>
    <d v="2016-11-08T00:00:00"/>
  </r>
  <r>
    <x v="1"/>
    <x v="7"/>
    <x v="1710"/>
    <x v="36"/>
    <s v="Standard order"/>
    <x v="1608"/>
    <x v="1603"/>
    <s v="8512"/>
    <s v="BTS 8512"/>
    <s v="5002876"/>
    <s v="8512 BTS T35 PB SYSTIVA RP"/>
    <n v="76"/>
    <n v="0"/>
    <n v="76"/>
    <x v="7"/>
    <s v="FX73"/>
    <s v="RP"/>
    <s v="333"/>
    <s v="4.0 UN"/>
    <s v="STANDARD"/>
    <s v="N"/>
    <s v="Y"/>
    <s v="N"/>
    <s v="T35"/>
    <s v="Y"/>
    <s v="N"/>
    <s v="Y"/>
    <s v="N"/>
    <s v="B027"/>
    <d v="2016-11-14T00:00:00"/>
    <s v="40"/>
    <s v="TAN"/>
    <s v="OR"/>
    <d v="2016-11-08T00:00:00"/>
    <s v="MN"/>
    <s v="US"/>
    <s v="ZR"/>
    <d v="2016-11-08T00:00:00"/>
  </r>
  <r>
    <x v="1"/>
    <x v="7"/>
    <x v="1711"/>
    <x v="36"/>
    <s v="Standard order"/>
    <x v="1609"/>
    <x v="1604"/>
    <s v="8052"/>
    <s v="BTS 80RR52"/>
    <s v="5002735"/>
    <s v="8052 BTS T35 PB SYSTIVA RP"/>
    <n v="48"/>
    <n v="0"/>
    <n v="48"/>
    <x v="7"/>
    <s v="AP82"/>
    <s v="RP"/>
    <s v="333"/>
    <s v="4.0 UN"/>
    <s v="STANDARD"/>
    <s v="N"/>
    <s v="Y"/>
    <s v="N"/>
    <s v="T35"/>
    <s v="Y"/>
    <s v="N"/>
    <s v="Y"/>
    <s v="N"/>
    <s v="B027"/>
    <d v="2016-11-14T00:00:00"/>
    <s v="10"/>
    <s v="TAN"/>
    <s v="OR"/>
    <d v="2016-11-08T00:00:00"/>
    <s v="MN"/>
    <s v="US"/>
    <s v="ZR"/>
    <d v="2016-11-08T00:00:00"/>
  </r>
  <r>
    <x v="1"/>
    <x v="7"/>
    <x v="1711"/>
    <x v="36"/>
    <s v="Standard order"/>
    <x v="1609"/>
    <x v="1604"/>
    <s v="8524"/>
    <s v="BTS 8524"/>
    <s v="5002896"/>
    <s v="8524 BTS T35 PB SYSTIVA RP"/>
    <n v="48"/>
    <n v="0"/>
    <n v="48"/>
    <x v="7"/>
    <s v="FWND"/>
    <s v="RP"/>
    <s v="333"/>
    <s v="4.0 UN"/>
    <s v="STANDARD"/>
    <s v="N"/>
    <s v="Y"/>
    <s v="N"/>
    <s v="T35"/>
    <s v="Y"/>
    <s v="N"/>
    <s v="Y"/>
    <s v="N"/>
    <s v="B027"/>
    <d v="2016-11-14T00:00:00"/>
    <s v="20"/>
    <s v="TAN"/>
    <s v="OR"/>
    <d v="2016-11-08T00:00:00"/>
    <s v="MN"/>
    <s v="US"/>
    <s v="ZR"/>
    <d v="2016-11-08T00:00:00"/>
  </r>
  <r>
    <x v="1"/>
    <x v="7"/>
    <x v="1712"/>
    <x v="33"/>
    <s v="Standard order"/>
    <x v="1610"/>
    <x v="1605"/>
    <s v="8337"/>
    <s v="BTS 8337"/>
    <s v="5002794"/>
    <s v="8337 BTS T35 PB SYSTIVA P200"/>
    <n v="96"/>
    <n v="0"/>
    <n v="96"/>
    <x v="7"/>
    <s v="DHMC"/>
    <s v="PRO 200"/>
    <s v="333"/>
    <s v="4.0 UN"/>
    <s v="STANDARD"/>
    <s v="N"/>
    <s v="Y"/>
    <s v="N"/>
    <s v="T35"/>
    <s v="Y"/>
    <s v="N"/>
    <s v="Y"/>
    <s v="N"/>
    <s v="B026"/>
    <d v="2016-11-15T00:00:00"/>
    <s v="10"/>
    <s v="TAN"/>
    <s v="OR"/>
    <d v="2016-11-09T00:00:00"/>
    <s v="MN"/>
    <s v="US"/>
    <s v="ZR"/>
    <d v="2016-11-09T00:00:00"/>
  </r>
  <r>
    <x v="1"/>
    <x v="7"/>
    <x v="1712"/>
    <x v="33"/>
    <s v="Standard order"/>
    <x v="1610"/>
    <x v="1605"/>
    <s v="8524"/>
    <s v="BTS 8524"/>
    <s v="5002895"/>
    <s v="8524 BTS T35 PB SYSTIVA P200"/>
    <n v="96"/>
    <n v="0"/>
    <n v="96"/>
    <x v="7"/>
    <s v="FWND"/>
    <s v="PRO 200"/>
    <s v="333"/>
    <s v="4.0 UN"/>
    <s v="STANDARD"/>
    <s v="N"/>
    <s v="Y"/>
    <s v="N"/>
    <s v="T35"/>
    <s v="Y"/>
    <s v="N"/>
    <s v="Y"/>
    <s v="N"/>
    <s v="B026"/>
    <d v="2016-11-15T00:00:00"/>
    <s v="20"/>
    <s v="TAN"/>
    <s v="OR"/>
    <d v="2016-11-09T00:00:00"/>
    <s v="MN"/>
    <s v="US"/>
    <s v="ZR"/>
    <d v="2016-11-09T00:00:00"/>
  </r>
  <r>
    <x v="1"/>
    <x v="7"/>
    <x v="1712"/>
    <x v="33"/>
    <s v="Standard order"/>
    <x v="1610"/>
    <x v="1605"/>
    <s v="8500"/>
    <s v="BTS 8500"/>
    <s v="5002855"/>
    <s v="8500 BTS T35 PB SYSTIVA P200"/>
    <n v="48"/>
    <n v="0"/>
    <n v="48"/>
    <x v="7"/>
    <s v="FTND"/>
    <s v="PRO 200"/>
    <s v="333"/>
    <s v="4.0 UN"/>
    <s v="STANDARD"/>
    <s v="N"/>
    <s v="Y"/>
    <s v="N"/>
    <s v="T35"/>
    <s v="Y"/>
    <s v="N"/>
    <s v="Y"/>
    <s v="N"/>
    <s v="B026"/>
    <d v="2016-11-15T00:00:00"/>
    <s v="30"/>
    <s v="TAN"/>
    <s v="OR"/>
    <d v="2016-11-09T00:00:00"/>
    <s v="MN"/>
    <s v="US"/>
    <s v="ZR"/>
    <d v="2016-11-09T00:00:00"/>
  </r>
  <r>
    <x v="1"/>
    <x v="7"/>
    <x v="1713"/>
    <x v="38"/>
    <s v="Standard order"/>
    <x v="1611"/>
    <x v="1606"/>
    <s v="8524"/>
    <s v="BTS 8524"/>
    <s v="5002896"/>
    <s v="8524 BTS T35 PB SYSTIVA RP"/>
    <n v="72"/>
    <n v="0"/>
    <n v="72"/>
    <x v="7"/>
    <s v="FWND"/>
    <s v="RP"/>
    <s v="333"/>
    <s v="4.0 UN"/>
    <s v="STANDARD"/>
    <s v="N"/>
    <s v="Y"/>
    <s v="N"/>
    <s v="T35"/>
    <s v="Y"/>
    <s v="N"/>
    <s v="Y"/>
    <s v="N"/>
    <s v="B031"/>
    <d v="2016-11-15T00:00:00"/>
    <s v="10"/>
    <s v="TAN"/>
    <s v="OR"/>
    <d v="2016-11-09T00:00:00"/>
    <s v="MN"/>
    <s v="US"/>
    <s v="ZR"/>
    <d v="2016-11-09T00:00:00"/>
  </r>
  <r>
    <x v="1"/>
    <x v="7"/>
    <x v="1713"/>
    <x v="38"/>
    <s v="Standard order"/>
    <x v="1611"/>
    <x v="1606"/>
    <s v="8337"/>
    <s v="BTS 8337"/>
    <s v="5002795"/>
    <s v="8337 BTS T35 PB SYSTIVA RP"/>
    <n v="152"/>
    <n v="0"/>
    <n v="152"/>
    <x v="7"/>
    <s v="DHMC"/>
    <s v="RP"/>
    <s v="333"/>
    <s v="4.0 UN"/>
    <s v="STANDARD"/>
    <s v="N"/>
    <s v="Y"/>
    <s v="N"/>
    <s v="T35"/>
    <s v="Y"/>
    <s v="N"/>
    <s v="Y"/>
    <s v="N"/>
    <s v="B031"/>
    <d v="2016-11-15T00:00:00"/>
    <s v="20"/>
    <s v="TAN"/>
    <s v="OR"/>
    <d v="2016-11-09T00:00:00"/>
    <s v="MN"/>
    <s v="US"/>
    <s v="ZR"/>
    <d v="2016-11-09T00:00:00"/>
  </r>
  <r>
    <x v="1"/>
    <x v="7"/>
    <x v="1714"/>
    <x v="39"/>
    <s v="Standard order"/>
    <x v="1612"/>
    <x v="1607"/>
    <s v="8500"/>
    <s v="BTS 8500"/>
    <s v="5002856"/>
    <s v="8500 BTS T35 PB SYSTIVA RP"/>
    <n v="96"/>
    <n v="0"/>
    <n v="96"/>
    <x v="7"/>
    <s v="FTND"/>
    <s v="RP"/>
    <s v="333"/>
    <s v="4.0 UN"/>
    <s v="STANDARD"/>
    <s v="N"/>
    <s v="Y"/>
    <s v="N"/>
    <s v="T35"/>
    <s v="Y"/>
    <s v="N"/>
    <s v="Y"/>
    <s v="N"/>
    <s v="B030"/>
    <d v="2016-11-15T00:00:00"/>
    <s v="10"/>
    <s v="TAN"/>
    <s v="OR"/>
    <d v="2016-11-09T00:00:00"/>
    <s v="MN"/>
    <s v="US"/>
    <s v="ZR"/>
    <d v="2016-11-09T00:00:00"/>
  </r>
  <r>
    <x v="1"/>
    <x v="7"/>
    <x v="1715"/>
    <x v="33"/>
    <s v="Standard order"/>
    <x v="1613"/>
    <x v="1608"/>
    <s v="8337"/>
    <s v="BTS 8337"/>
    <s v="5002795"/>
    <s v="8337 BTS T35 PB SYSTIVA RP"/>
    <n v="36"/>
    <n v="0"/>
    <n v="36"/>
    <x v="7"/>
    <s v="DHMC"/>
    <s v="RP"/>
    <s v="333"/>
    <s v="4.0 UN"/>
    <s v="STANDARD"/>
    <s v="N"/>
    <s v="Y"/>
    <s v="N"/>
    <s v="T35"/>
    <s v="Y"/>
    <s v="N"/>
    <s v="Y"/>
    <s v="N"/>
    <s v="B026"/>
    <d v="2016-11-15T00:00:00"/>
    <s v="10"/>
    <s v="TAN"/>
    <s v="OR"/>
    <d v="2016-11-09T00:00:00"/>
    <s v="MN"/>
    <s v="US"/>
    <s v="ZR"/>
    <d v="2016-11-09T00:00:00"/>
  </r>
  <r>
    <x v="1"/>
    <x v="7"/>
    <x v="1716"/>
    <x v="39"/>
    <s v="Standard order"/>
    <x v="1614"/>
    <x v="1609"/>
    <s v="8572"/>
    <s v="BTS 8572"/>
    <s v="5003215"/>
    <s v="8572 BTS T35 PB SYSTIVA RP"/>
    <n v="96"/>
    <n v="0"/>
    <n v="96"/>
    <x v="7"/>
    <s v="FENB"/>
    <s v="RP"/>
    <s v="333"/>
    <s v="4.0 UN"/>
    <s v="STANDARD"/>
    <s v="N"/>
    <s v="Y"/>
    <s v="N"/>
    <s v="T35"/>
    <s v="Y"/>
    <s v="N"/>
    <s v="Y"/>
    <s v="N"/>
    <s v="B030"/>
    <d v="2016-11-15T00:00:00"/>
    <s v="10"/>
    <s v="TAN"/>
    <s v="OR"/>
    <d v="2016-11-09T00:00:00"/>
    <s v="MN"/>
    <s v="US"/>
    <s v="ZR"/>
    <d v="2016-11-09T00:00:00"/>
  </r>
  <r>
    <x v="1"/>
    <x v="8"/>
    <x v="1717"/>
    <x v="34"/>
    <s v="Replant Order"/>
    <x v="1350"/>
    <x v="1345"/>
    <s v="5499"/>
    <s v="BTS 5499"/>
    <s v="5002606"/>
    <s v="5499 P50"/>
    <n v="12"/>
    <n v="12"/>
    <n v="0"/>
    <x v="8"/>
    <s v="DRMG"/>
    <s v="PRO 50"/>
    <s v="306"/>
    <s v="4.0 UN"/>
    <s v="STANDARD"/>
    <s v="N"/>
    <s v="N"/>
    <s v="N"/>
    <s v="N"/>
    <s v="N"/>
    <s v="N"/>
    <s v="N"/>
    <s v="N"/>
    <s v=""/>
    <d v="2016-11-09T00:00:00"/>
    <s v="10"/>
    <s v="TAN"/>
    <s v="ZRPU"/>
    <d v="2016-11-14T00:00:00"/>
    <s v="CA"/>
    <s v="US"/>
    <s v="ZR"/>
    <d v="2016-11-09T00:00:00"/>
  </r>
  <r>
    <x v="1"/>
    <x v="7"/>
    <x v="1718"/>
    <x v="39"/>
    <s v="Standard order"/>
    <x v="1615"/>
    <x v="1610"/>
    <s v="8363"/>
    <s v="BTS 8363"/>
    <s v="5002816"/>
    <s v="8363 BTS T35 PB SYSTIVA RP"/>
    <n v="96"/>
    <n v="0"/>
    <n v="96"/>
    <x v="7"/>
    <s v="DMMZ"/>
    <s v="RP"/>
    <s v="333"/>
    <s v="4.0 UN"/>
    <s v="STANDARD"/>
    <s v="N"/>
    <s v="Y"/>
    <s v="N"/>
    <s v="T35"/>
    <s v="Y"/>
    <s v="N"/>
    <s v="Y"/>
    <s v="N"/>
    <s v="B030"/>
    <d v="2016-11-15T00:00:00"/>
    <s v="10"/>
    <s v="TAN"/>
    <s v="OR"/>
    <d v="2016-11-09T00:00:00"/>
    <s v="MN"/>
    <s v="US"/>
    <s v="ZR"/>
    <d v="2016-11-09T00:00:00"/>
  </r>
  <r>
    <x v="1"/>
    <x v="7"/>
    <x v="1719"/>
    <x v="41"/>
    <s v="Standard order"/>
    <x v="1616"/>
    <x v="1611"/>
    <s v="8524"/>
    <s v="BTS 8524"/>
    <s v="5002896"/>
    <s v="8524 BTS T35 PB SYSTIVA RP"/>
    <n v="48"/>
    <n v="0"/>
    <n v="48"/>
    <x v="7"/>
    <s v="FWND"/>
    <s v="RP"/>
    <s v="333"/>
    <s v="4.0 UN"/>
    <s v="STANDARD"/>
    <s v="N"/>
    <s v="Y"/>
    <s v="N"/>
    <s v="T35"/>
    <s v="Y"/>
    <s v="N"/>
    <s v="Y"/>
    <s v="N"/>
    <s v="B032"/>
    <d v="2016-11-15T00:00:00"/>
    <s v="10"/>
    <s v="TAN"/>
    <s v="OR"/>
    <d v="2016-11-09T00:00:00"/>
    <s v="ND"/>
    <s v="US"/>
    <s v="ZR"/>
    <d v="2016-11-09T00:00:00"/>
  </r>
  <r>
    <x v="1"/>
    <x v="7"/>
    <x v="1719"/>
    <x v="41"/>
    <s v="Standard order"/>
    <x v="1616"/>
    <x v="1611"/>
    <s v="8337"/>
    <s v="BTS 8337"/>
    <s v="5002795"/>
    <s v="8337 BTS T35 PB SYSTIVA RP"/>
    <n v="48"/>
    <n v="0"/>
    <n v="48"/>
    <x v="7"/>
    <s v="DHMC"/>
    <s v="RP"/>
    <s v="333"/>
    <s v="4.0 UN"/>
    <s v="STANDARD"/>
    <s v="N"/>
    <s v="Y"/>
    <s v="N"/>
    <s v="T35"/>
    <s v="Y"/>
    <s v="N"/>
    <s v="Y"/>
    <s v="N"/>
    <s v="B032"/>
    <d v="2016-11-15T00:00:00"/>
    <s v="20"/>
    <s v="TAN"/>
    <s v="OR"/>
    <d v="2016-11-09T00:00:00"/>
    <s v="ND"/>
    <s v="US"/>
    <s v="ZR"/>
    <d v="2016-11-09T00:00:00"/>
  </r>
  <r>
    <x v="1"/>
    <x v="7"/>
    <x v="1720"/>
    <x v="31"/>
    <s v="Standard order"/>
    <x v="1617"/>
    <x v="1612"/>
    <s v="8512"/>
    <s v="BTS 8512"/>
    <s v="5002876"/>
    <s v="8512 BTS T35 PB SYSTIVA RP"/>
    <n v="48"/>
    <n v="0"/>
    <n v="48"/>
    <x v="7"/>
    <s v="FX73"/>
    <s v="RP"/>
    <s v="333"/>
    <s v="4.0 UN"/>
    <s v="STANDARD"/>
    <s v="N"/>
    <s v="Y"/>
    <s v="N"/>
    <s v="T35"/>
    <s v="Y"/>
    <s v="N"/>
    <s v="Y"/>
    <s v="N"/>
    <s v="B028"/>
    <d v="2016-11-15T00:00:00"/>
    <s v="10"/>
    <s v="TAN"/>
    <s v="OR"/>
    <d v="2016-11-09T00:00:00"/>
    <s v="MN"/>
    <s v="US"/>
    <s v="ZR"/>
    <d v="2016-11-09T00:00:00"/>
  </r>
  <r>
    <x v="1"/>
    <x v="7"/>
    <x v="1721"/>
    <x v="31"/>
    <s v="Standard order"/>
    <x v="1618"/>
    <x v="1613"/>
    <s v="8500"/>
    <s v="BTS 8500"/>
    <s v="5002860"/>
    <s v="8500 BTS T35 SYSTIVA RP"/>
    <n v="88"/>
    <n v="0"/>
    <n v="88"/>
    <x v="7"/>
    <s v="FTND"/>
    <s v="RP"/>
    <s v="334"/>
    <s v="4.0 UN"/>
    <s v="STANDARD"/>
    <s v="N"/>
    <s v="N"/>
    <s v="N"/>
    <s v="T35"/>
    <s v="Y"/>
    <s v="N"/>
    <s v="Y"/>
    <s v="N"/>
    <s v="B028"/>
    <d v="2016-11-15T00:00:00"/>
    <s v="10"/>
    <s v="TAN"/>
    <s v="OR"/>
    <d v="2016-11-09T00:00:00"/>
    <s v="MN"/>
    <s v="US"/>
    <s v="ZR"/>
    <d v="2016-11-09T00:00:00"/>
  </r>
  <r>
    <x v="1"/>
    <x v="7"/>
    <x v="1721"/>
    <x v="31"/>
    <s v="Standard order"/>
    <x v="1618"/>
    <x v="1613"/>
    <s v="8512"/>
    <s v="BTS 8512"/>
    <s v="5002880"/>
    <s v="8512 BTS T35 SYSTIVA RP"/>
    <n v="88"/>
    <n v="0"/>
    <n v="88"/>
    <x v="7"/>
    <s v="FX73"/>
    <s v="RP"/>
    <s v="334"/>
    <s v="4.0 UN"/>
    <s v="STANDARD"/>
    <s v="N"/>
    <s v="N"/>
    <s v="N"/>
    <s v="T35"/>
    <s v="Y"/>
    <s v="N"/>
    <s v="Y"/>
    <s v="N"/>
    <s v="B028"/>
    <d v="2016-11-15T00:00:00"/>
    <s v="20"/>
    <s v="TAN"/>
    <s v="OR"/>
    <d v="2016-11-09T00:00:00"/>
    <s v="MN"/>
    <s v="US"/>
    <s v="ZR"/>
    <d v="2016-11-09T00:00:00"/>
  </r>
  <r>
    <x v="1"/>
    <x v="7"/>
    <x v="1722"/>
    <x v="33"/>
    <s v="Standard order"/>
    <x v="1619"/>
    <x v="1614"/>
    <s v="8052"/>
    <s v="BTS 80RR52"/>
    <s v="5002735"/>
    <s v="8052 BTS T35 PB SYSTIVA RP"/>
    <n v="96"/>
    <n v="0"/>
    <n v="96"/>
    <x v="7"/>
    <s v="AP82"/>
    <s v="RP"/>
    <s v="333"/>
    <s v="4.0 UN"/>
    <s v="STANDARD"/>
    <s v="N"/>
    <s v="Y"/>
    <s v="N"/>
    <s v="T35"/>
    <s v="Y"/>
    <s v="N"/>
    <s v="Y"/>
    <s v="N"/>
    <s v="B026"/>
    <d v="2016-11-15T00:00:00"/>
    <s v="50"/>
    <s v="TAN"/>
    <s v="OR"/>
    <d v="2016-11-09T00:00:00"/>
    <s v="MN"/>
    <s v="US"/>
    <s v="ZR"/>
    <d v="2016-11-09T00:00:00"/>
  </r>
  <r>
    <x v="1"/>
    <x v="7"/>
    <x v="1722"/>
    <x v="33"/>
    <s v="Standard order"/>
    <x v="1619"/>
    <x v="1614"/>
    <s v="8500"/>
    <s v="BTS 8500"/>
    <s v="5002856"/>
    <s v="8500 BTS T35 PB SYSTIVA RP"/>
    <n v="48"/>
    <n v="0"/>
    <n v="48"/>
    <x v="7"/>
    <s v="FTND"/>
    <s v="RP"/>
    <s v="333"/>
    <s v="4.0 UN"/>
    <s v="STANDARD"/>
    <s v="N"/>
    <s v="Y"/>
    <s v="N"/>
    <s v="T35"/>
    <s v="Y"/>
    <s v="N"/>
    <s v="Y"/>
    <s v="N"/>
    <s v="B026"/>
    <d v="2016-11-15T00:00:00"/>
    <s v="60"/>
    <s v="TAN"/>
    <s v="OR"/>
    <d v="2016-11-09T00:00:00"/>
    <s v="MN"/>
    <s v="US"/>
    <s v="ZR"/>
    <d v="2016-11-09T00:00:00"/>
  </r>
  <r>
    <x v="1"/>
    <x v="7"/>
    <x v="1723"/>
    <x v="41"/>
    <s v="Standard order"/>
    <x v="1620"/>
    <x v="1615"/>
    <s v="8524"/>
    <s v="BTS 8524"/>
    <s v="5002896"/>
    <s v="8524 BTS T35 PB SYSTIVA RP"/>
    <n v="60"/>
    <n v="0"/>
    <n v="60"/>
    <x v="7"/>
    <s v="FWND"/>
    <s v="RP"/>
    <s v="333"/>
    <s v="4.0 UN"/>
    <s v="STANDARD"/>
    <s v="N"/>
    <s v="Y"/>
    <s v="N"/>
    <s v="T35"/>
    <s v="Y"/>
    <s v="N"/>
    <s v="Y"/>
    <s v="N"/>
    <s v="B032"/>
    <d v="2016-11-16T00:00:00"/>
    <s v="10"/>
    <s v="TAN"/>
    <s v="OR"/>
    <d v="2016-11-09T00:00:00"/>
    <s v="MN"/>
    <s v="US"/>
    <s v="ZR"/>
    <d v="2016-11-10T00:00:00"/>
  </r>
  <r>
    <x v="1"/>
    <x v="7"/>
    <x v="1724"/>
    <x v="41"/>
    <s v="Standard order"/>
    <x v="1621"/>
    <x v="1616"/>
    <s v="8500"/>
    <s v="BTS 8500"/>
    <s v="5002856"/>
    <s v="8500 BTS T35 PB SYSTIVA RP"/>
    <n v="48"/>
    <n v="0"/>
    <n v="48"/>
    <x v="7"/>
    <s v="FTND"/>
    <s v="RP"/>
    <s v="333"/>
    <s v="4.0 UN"/>
    <s v="STANDARD"/>
    <s v="N"/>
    <s v="Y"/>
    <s v="N"/>
    <s v="T35"/>
    <s v="Y"/>
    <s v="N"/>
    <s v="Y"/>
    <s v="N"/>
    <s v="B032"/>
    <d v="2016-11-16T00:00:00"/>
    <s v="60"/>
    <s v="TAN"/>
    <s v="OR"/>
    <d v="2016-11-10T00:00:00"/>
    <s v="MN"/>
    <s v="US"/>
    <s v="ZR"/>
    <d v="2016-11-10T00:00:00"/>
  </r>
  <r>
    <x v="1"/>
    <x v="7"/>
    <x v="1724"/>
    <x v="41"/>
    <s v="Standard order"/>
    <x v="1621"/>
    <x v="1616"/>
    <s v="8052"/>
    <s v="BTS 80RR52"/>
    <s v="5002735"/>
    <s v="8052 BTS T35 PB SYSTIVA RP"/>
    <n v="116"/>
    <n v="0"/>
    <n v="116"/>
    <x v="7"/>
    <s v="AP82"/>
    <s v="RP"/>
    <s v="333"/>
    <s v="4.0 UN"/>
    <s v="STANDARD"/>
    <s v="N"/>
    <s v="Y"/>
    <s v="N"/>
    <s v="T35"/>
    <s v="Y"/>
    <s v="N"/>
    <s v="Y"/>
    <s v="N"/>
    <s v="B032"/>
    <d v="2016-11-16T00:00:00"/>
    <s v="20"/>
    <s v="TAN"/>
    <s v="OR"/>
    <d v="2016-11-10T00:00:00"/>
    <s v="MN"/>
    <s v="US"/>
    <s v="ZR"/>
    <d v="2016-11-10T00:00:00"/>
  </r>
  <r>
    <x v="1"/>
    <x v="7"/>
    <x v="1724"/>
    <x v="41"/>
    <s v="Standard order"/>
    <x v="1621"/>
    <x v="1616"/>
    <s v="8572"/>
    <s v="BTS 8572"/>
    <s v="5003215"/>
    <s v="8572 BTS T35 PB SYSTIVA RP"/>
    <n v="100"/>
    <n v="0"/>
    <n v="100"/>
    <x v="7"/>
    <s v="FENB"/>
    <s v="RP"/>
    <s v="333"/>
    <s v="4.0 UN"/>
    <s v="STANDARD"/>
    <s v="N"/>
    <s v="Y"/>
    <s v="N"/>
    <s v="T35"/>
    <s v="Y"/>
    <s v="N"/>
    <s v="Y"/>
    <s v="N"/>
    <s v="B032"/>
    <d v="2016-11-16T00:00:00"/>
    <s v="30"/>
    <s v="TAN"/>
    <s v="OR"/>
    <d v="2016-11-10T00:00:00"/>
    <s v="MN"/>
    <s v="US"/>
    <s v="ZR"/>
    <d v="2016-11-10T00:00:00"/>
  </r>
  <r>
    <x v="1"/>
    <x v="7"/>
    <x v="1724"/>
    <x v="41"/>
    <s v="Standard order"/>
    <x v="1621"/>
    <x v="1616"/>
    <s v="8512"/>
    <s v="BTS 8512"/>
    <s v="5002876"/>
    <s v="8512 BTS T35 PB SYSTIVA RP"/>
    <n v="192"/>
    <n v="0"/>
    <n v="192"/>
    <x v="7"/>
    <s v="FX73"/>
    <s v="RP"/>
    <s v="333"/>
    <s v="4.0 UN"/>
    <s v="STANDARD"/>
    <s v="N"/>
    <s v="Y"/>
    <s v="N"/>
    <s v="T35"/>
    <s v="Y"/>
    <s v="N"/>
    <s v="Y"/>
    <s v="N"/>
    <s v="B032"/>
    <d v="2016-11-16T00:00:00"/>
    <s v="40"/>
    <s v="TAN"/>
    <s v="OR"/>
    <d v="2016-11-10T00:00:00"/>
    <s v="MN"/>
    <s v="US"/>
    <s v="ZR"/>
    <d v="2016-11-10T00:00:00"/>
  </r>
  <r>
    <x v="1"/>
    <x v="7"/>
    <x v="1724"/>
    <x v="41"/>
    <s v="Standard order"/>
    <x v="1621"/>
    <x v="1616"/>
    <s v="8337"/>
    <s v="BTS 8337"/>
    <s v="5002795"/>
    <s v="8337 BTS T35 PB SYSTIVA RP"/>
    <n v="96"/>
    <n v="0"/>
    <n v="96"/>
    <x v="7"/>
    <s v="DHMC"/>
    <s v="RP"/>
    <s v="333"/>
    <s v="4.0 UN"/>
    <s v="STANDARD"/>
    <s v="N"/>
    <s v="Y"/>
    <s v="N"/>
    <s v="T35"/>
    <s v="Y"/>
    <s v="N"/>
    <s v="Y"/>
    <s v="N"/>
    <s v="B032"/>
    <d v="2016-11-16T00:00:00"/>
    <s v="50"/>
    <s v="TAN"/>
    <s v="OR"/>
    <d v="2016-11-10T00:00:00"/>
    <s v="MN"/>
    <s v="US"/>
    <s v="ZR"/>
    <d v="2016-11-10T00:00:00"/>
  </r>
  <r>
    <x v="1"/>
    <x v="7"/>
    <x v="1725"/>
    <x v="39"/>
    <s v="Standard order"/>
    <x v="1622"/>
    <x v="1617"/>
    <s v="8572"/>
    <s v="BTS 8572"/>
    <s v="5003215"/>
    <s v="8572 BTS T35 PB SYSTIVA RP"/>
    <n v="96"/>
    <n v="0"/>
    <n v="96"/>
    <x v="7"/>
    <s v="FENB"/>
    <s v="RP"/>
    <s v="333"/>
    <s v="4.0 UN"/>
    <s v="STANDARD"/>
    <s v="N"/>
    <s v="Y"/>
    <s v="N"/>
    <s v="T35"/>
    <s v="Y"/>
    <s v="N"/>
    <s v="Y"/>
    <s v="N"/>
    <s v="B030"/>
    <d v="2016-11-16T00:00:00"/>
    <s v="10"/>
    <s v="TAN"/>
    <s v="OR"/>
    <d v="2016-11-10T00:00:00"/>
    <s v="MN"/>
    <s v="US"/>
    <s v="ZR"/>
    <d v="2016-11-10T00:00:00"/>
  </r>
  <r>
    <x v="1"/>
    <x v="7"/>
    <x v="1726"/>
    <x v="39"/>
    <s v="Standard order"/>
    <x v="1623"/>
    <x v="1618"/>
    <s v="8337"/>
    <s v="BTS 8337"/>
    <s v="5002799"/>
    <s v="8337 BTS T35 SYSTIVA RP"/>
    <n v="48"/>
    <n v="0"/>
    <n v="48"/>
    <x v="7"/>
    <s v="DHMC"/>
    <s v="RP"/>
    <s v="334"/>
    <s v="4.0 UN"/>
    <s v="STANDARD"/>
    <s v="N"/>
    <s v="N"/>
    <s v="N"/>
    <s v="T35"/>
    <s v="Y"/>
    <s v="N"/>
    <s v="Y"/>
    <s v="N"/>
    <s v="B030"/>
    <d v="2016-11-16T00:00:00"/>
    <s v="40"/>
    <s v="TAN"/>
    <s v="OR"/>
    <d v="2016-11-10T00:00:00"/>
    <s v="MN"/>
    <s v="US"/>
    <s v="ZR"/>
    <d v="2016-11-10T00:00:00"/>
  </r>
  <r>
    <x v="1"/>
    <x v="7"/>
    <x v="1726"/>
    <x v="39"/>
    <s v="Standard order"/>
    <x v="1623"/>
    <x v="1618"/>
    <s v="8500"/>
    <s v="BTS 8500"/>
    <s v="5002860"/>
    <s v="8500 BTS T35 SYSTIVA RP"/>
    <n v="48"/>
    <n v="0"/>
    <n v="48"/>
    <x v="7"/>
    <s v="FTND"/>
    <s v="RP"/>
    <s v="334"/>
    <s v="4.0 UN"/>
    <s v="STANDARD"/>
    <s v="N"/>
    <s v="N"/>
    <s v="N"/>
    <s v="T35"/>
    <s v="Y"/>
    <s v="N"/>
    <s v="Y"/>
    <s v="N"/>
    <s v="B030"/>
    <d v="2016-11-16T00:00:00"/>
    <s v="20"/>
    <s v="TAN"/>
    <s v="OR"/>
    <d v="2016-11-10T00:00:00"/>
    <s v="MN"/>
    <s v="US"/>
    <s v="ZR"/>
    <d v="2016-11-10T00:00:00"/>
  </r>
  <r>
    <x v="1"/>
    <x v="7"/>
    <x v="1727"/>
    <x v="39"/>
    <s v="Standard order"/>
    <x v="1624"/>
    <x v="1619"/>
    <s v="8233"/>
    <s v="BTS 82RR33"/>
    <s v="5002775"/>
    <s v="8233 BTS T35 PB SYSTIVA RP"/>
    <n v="44"/>
    <n v="0"/>
    <n v="44"/>
    <x v="7"/>
    <s v="DRMC"/>
    <s v="RP"/>
    <s v="333"/>
    <s v="4.0 UN"/>
    <s v="STANDARD"/>
    <s v="N"/>
    <s v="Y"/>
    <s v="N"/>
    <s v="T35"/>
    <s v="Y"/>
    <s v="N"/>
    <s v="Y"/>
    <s v="N"/>
    <s v="B030"/>
    <d v="2016-11-16T00:00:00"/>
    <s v="10"/>
    <s v="TAN"/>
    <s v="OR"/>
    <d v="2016-11-10T00:00:00"/>
    <s v="MN"/>
    <s v="US"/>
    <s v="ZR"/>
    <d v="2016-11-10T00:00:00"/>
  </r>
  <r>
    <x v="1"/>
    <x v="7"/>
    <x v="1727"/>
    <x v="39"/>
    <s v="Standard order"/>
    <x v="1624"/>
    <x v="1619"/>
    <s v="8500"/>
    <s v="BTS 8500"/>
    <s v="5002856"/>
    <s v="8500 BTS T35 PB SYSTIVA RP"/>
    <n v="48"/>
    <n v="0"/>
    <n v="48"/>
    <x v="7"/>
    <s v="FTND"/>
    <s v="RP"/>
    <s v="333"/>
    <s v="4.0 UN"/>
    <s v="STANDARD"/>
    <s v="N"/>
    <s v="Y"/>
    <s v="N"/>
    <s v="T35"/>
    <s v="Y"/>
    <s v="N"/>
    <s v="Y"/>
    <s v="N"/>
    <s v="B030"/>
    <d v="2016-11-16T00:00:00"/>
    <s v="20"/>
    <s v="TAN"/>
    <s v="OR"/>
    <d v="2016-11-10T00:00:00"/>
    <s v="MN"/>
    <s v="US"/>
    <s v="ZR"/>
    <d v="2016-11-10T00:00:00"/>
  </r>
  <r>
    <x v="1"/>
    <x v="7"/>
    <x v="1728"/>
    <x v="28"/>
    <s v="Standard order"/>
    <x v="1625"/>
    <x v="1620"/>
    <s v="8512"/>
    <s v="BTS 8512"/>
    <s v="5002876"/>
    <s v="8512 BTS T35 PB SYSTIVA RP"/>
    <n v="72"/>
    <n v="0"/>
    <n v="72"/>
    <x v="7"/>
    <s v="FX73"/>
    <s v="RP"/>
    <s v="333"/>
    <s v="4.0 UN"/>
    <s v="STANDARD"/>
    <s v="N"/>
    <s v="Y"/>
    <s v="N"/>
    <s v="T35"/>
    <s v="Y"/>
    <s v="N"/>
    <s v="Y"/>
    <s v="N"/>
    <s v="B056"/>
    <d v="2016-11-16T00:00:00"/>
    <s v="20"/>
    <s v="TAN"/>
    <s v="OR"/>
    <d v="2016-11-10T00:00:00"/>
    <s v="ND"/>
    <s v="US"/>
    <s v="ZR"/>
    <d v="2016-11-10T00:00:00"/>
  </r>
  <r>
    <x v="1"/>
    <x v="7"/>
    <x v="1728"/>
    <x v="28"/>
    <s v="Standard order"/>
    <x v="1625"/>
    <x v="1620"/>
    <s v="8524"/>
    <s v="BTS 8524"/>
    <s v="5002896"/>
    <s v="8524 BTS T35 PB SYSTIVA RP"/>
    <n v="144"/>
    <n v="0"/>
    <n v="144"/>
    <x v="7"/>
    <s v="FWND"/>
    <s v="RP"/>
    <s v="333"/>
    <s v="4.0 UN"/>
    <s v="STANDARD"/>
    <s v="N"/>
    <s v="Y"/>
    <s v="N"/>
    <s v="T35"/>
    <s v="Y"/>
    <s v="N"/>
    <s v="Y"/>
    <s v="N"/>
    <s v="B056"/>
    <d v="2016-11-16T00:00:00"/>
    <s v="10"/>
    <s v="TAN"/>
    <s v="OR"/>
    <d v="2016-11-10T00:00:00"/>
    <s v="ND"/>
    <s v="US"/>
    <s v="ZR"/>
    <d v="2016-11-10T00:00:00"/>
  </r>
  <r>
    <x v="1"/>
    <x v="7"/>
    <x v="1729"/>
    <x v="41"/>
    <s v="Standard order"/>
    <x v="1626"/>
    <x v="1621"/>
    <s v="8337"/>
    <s v="BTS 8337"/>
    <s v="5002795"/>
    <s v="8337 BTS T35 PB SYSTIVA RP"/>
    <n v="96"/>
    <n v="0"/>
    <n v="96"/>
    <x v="7"/>
    <s v="DHMC"/>
    <s v="RP"/>
    <s v="333"/>
    <s v="4.0 UN"/>
    <s v="STANDARD"/>
    <s v="N"/>
    <s v="Y"/>
    <s v="N"/>
    <s v="T35"/>
    <s v="Y"/>
    <s v="N"/>
    <s v="Y"/>
    <s v="N"/>
    <s v="B032"/>
    <d v="2016-11-16T00:00:00"/>
    <s v="10"/>
    <s v="TAN"/>
    <s v="OR"/>
    <d v="2016-11-09T00:00:00"/>
    <s v="ND"/>
    <s v="US"/>
    <s v="ZR"/>
    <d v="2016-11-10T00:00:00"/>
  </r>
  <r>
    <x v="1"/>
    <x v="7"/>
    <x v="1730"/>
    <x v="39"/>
    <s v="Standard order"/>
    <x v="1627"/>
    <x v="1622"/>
    <s v="8052"/>
    <s v="BTS 80RR52"/>
    <s v="5002735"/>
    <s v="8052 BTS T35 PB SYSTIVA RP"/>
    <n v="32"/>
    <n v="0"/>
    <n v="32"/>
    <x v="7"/>
    <s v="AP82"/>
    <s v="RP"/>
    <s v="333"/>
    <s v="4.0 UN"/>
    <s v="STANDARD"/>
    <s v="N"/>
    <s v="Y"/>
    <s v="N"/>
    <s v="T35"/>
    <s v="Y"/>
    <s v="N"/>
    <s v="Y"/>
    <s v="N"/>
    <s v="B030"/>
    <d v="2016-11-16T00:00:00"/>
    <s v="10"/>
    <s v="TAN"/>
    <s v="OR"/>
    <d v="2016-11-10T00:00:00"/>
    <s v="MN"/>
    <s v="US"/>
    <s v="ZR"/>
    <d v="2016-11-10T00:00:00"/>
  </r>
  <r>
    <x v="1"/>
    <x v="7"/>
    <x v="1730"/>
    <x v="39"/>
    <s v="Standard order"/>
    <x v="1627"/>
    <x v="1622"/>
    <s v="8337"/>
    <s v="BTS 8337"/>
    <s v="5002795"/>
    <s v="8337 BTS T35 PB SYSTIVA RP"/>
    <n v="48"/>
    <n v="0"/>
    <n v="48"/>
    <x v="7"/>
    <s v="DHMC"/>
    <s v="RP"/>
    <s v="333"/>
    <s v="4.0 UN"/>
    <s v="STANDARD"/>
    <s v="N"/>
    <s v="Y"/>
    <s v="N"/>
    <s v="T35"/>
    <s v="Y"/>
    <s v="N"/>
    <s v="Y"/>
    <s v="N"/>
    <s v="B030"/>
    <d v="2016-11-16T00:00:00"/>
    <s v="20"/>
    <s v="TAN"/>
    <s v="OR"/>
    <d v="2016-11-10T00:00:00"/>
    <s v="MN"/>
    <s v="US"/>
    <s v="ZR"/>
    <d v="2016-11-10T00:00:00"/>
  </r>
  <r>
    <x v="1"/>
    <x v="7"/>
    <x v="1730"/>
    <x v="39"/>
    <s v="Standard order"/>
    <x v="1627"/>
    <x v="1622"/>
    <s v="8500"/>
    <s v="BTS 8500"/>
    <s v="5002856"/>
    <s v="8500 BTS T35 PB SYSTIVA RP"/>
    <n v="92"/>
    <n v="0"/>
    <n v="92"/>
    <x v="7"/>
    <s v="FTND"/>
    <s v="RP"/>
    <s v="333"/>
    <s v="4.0 UN"/>
    <s v="STANDARD"/>
    <s v="N"/>
    <s v="Y"/>
    <s v="N"/>
    <s v="T35"/>
    <s v="Y"/>
    <s v="N"/>
    <s v="Y"/>
    <s v="N"/>
    <s v="B030"/>
    <d v="2016-11-16T00:00:00"/>
    <s v="30"/>
    <s v="TAN"/>
    <s v="OR"/>
    <d v="2016-11-10T00:00:00"/>
    <s v="MN"/>
    <s v="US"/>
    <s v="ZR"/>
    <d v="2016-11-10T00:00:00"/>
  </r>
  <r>
    <x v="1"/>
    <x v="7"/>
    <x v="1731"/>
    <x v="39"/>
    <s v="Standard order"/>
    <x v="1628"/>
    <x v="1623"/>
    <s v="8500"/>
    <s v="BTS 8500"/>
    <s v="5002856"/>
    <s v="8500 BTS T35 PB SYSTIVA RP"/>
    <n v="96"/>
    <n v="0"/>
    <n v="96"/>
    <x v="7"/>
    <s v="FTND"/>
    <s v="RP"/>
    <s v="333"/>
    <s v="4.0 UN"/>
    <s v="STANDARD"/>
    <s v="N"/>
    <s v="Y"/>
    <s v="N"/>
    <s v="T35"/>
    <s v="Y"/>
    <s v="N"/>
    <s v="Y"/>
    <s v="N"/>
    <s v="B030"/>
    <d v="2016-11-16T00:00:00"/>
    <s v="40"/>
    <s v="TAN"/>
    <s v="OR"/>
    <d v="2016-11-10T00:00:00"/>
    <s v="MN"/>
    <s v="US"/>
    <s v="ZR"/>
    <d v="2016-11-10T00:00:00"/>
  </r>
  <r>
    <x v="1"/>
    <x v="7"/>
    <x v="1731"/>
    <x v="39"/>
    <s v="Standard order"/>
    <x v="1628"/>
    <x v="1623"/>
    <s v="8233"/>
    <s v="BTS 82RR33"/>
    <s v="5002775"/>
    <s v="8233 BTS T35 PB SYSTIVA RP"/>
    <n v="192"/>
    <n v="0"/>
    <n v="192"/>
    <x v="7"/>
    <s v="DRMC"/>
    <s v="RP"/>
    <s v="333"/>
    <s v="4.0 UN"/>
    <s v="STANDARD"/>
    <s v="N"/>
    <s v="Y"/>
    <s v="N"/>
    <s v="T35"/>
    <s v="Y"/>
    <s v="N"/>
    <s v="Y"/>
    <s v="N"/>
    <s v="B030"/>
    <d v="2016-11-16T00:00:00"/>
    <s v="20"/>
    <s v="TAN"/>
    <s v="OR"/>
    <d v="2016-11-10T00:00:00"/>
    <s v="MN"/>
    <s v="US"/>
    <s v="ZR"/>
    <d v="2016-11-10T00:00:00"/>
  </r>
  <r>
    <x v="1"/>
    <x v="7"/>
    <x v="1731"/>
    <x v="39"/>
    <s v="Standard order"/>
    <x v="1628"/>
    <x v="1623"/>
    <s v="8572"/>
    <s v="BTS 8572"/>
    <s v="5003215"/>
    <s v="8572 BTS T35 PB SYSTIVA RP"/>
    <n v="96"/>
    <n v="0"/>
    <n v="96"/>
    <x v="7"/>
    <s v="FENB"/>
    <s v="RP"/>
    <s v="333"/>
    <s v="4.0 UN"/>
    <s v="STANDARD"/>
    <s v="N"/>
    <s v="Y"/>
    <s v="N"/>
    <s v="T35"/>
    <s v="Y"/>
    <s v="N"/>
    <s v="Y"/>
    <s v="N"/>
    <s v="B030"/>
    <d v="2016-11-16T00:00:00"/>
    <s v="30"/>
    <s v="TAN"/>
    <s v="OR"/>
    <d v="2016-11-10T00:00:00"/>
    <s v="MN"/>
    <s v="US"/>
    <s v="ZR"/>
    <d v="2016-11-10T00:00:00"/>
  </r>
  <r>
    <x v="1"/>
    <x v="7"/>
    <x v="1732"/>
    <x v="39"/>
    <s v="Standard order"/>
    <x v="1629"/>
    <x v="1624"/>
    <s v="8524"/>
    <s v="BTS 8524"/>
    <s v="5002896"/>
    <s v="8524 BTS T35 PB SYSTIVA RP"/>
    <n v="192"/>
    <n v="0"/>
    <n v="192"/>
    <x v="7"/>
    <s v="FWND"/>
    <s v="RP"/>
    <s v="333"/>
    <s v="4.0 UN"/>
    <s v="STANDARD"/>
    <s v="N"/>
    <s v="Y"/>
    <s v="N"/>
    <s v="T35"/>
    <s v="Y"/>
    <s v="N"/>
    <s v="Y"/>
    <s v="N"/>
    <s v="B030"/>
    <d v="2016-11-16T00:00:00"/>
    <s v="10"/>
    <s v="TAN"/>
    <s v="OR"/>
    <d v="2016-11-10T00:00:00"/>
    <s v="MN"/>
    <s v="US"/>
    <s v="ZR"/>
    <d v="2016-11-10T00:00:00"/>
  </r>
  <r>
    <x v="1"/>
    <x v="7"/>
    <x v="1733"/>
    <x v="41"/>
    <s v="Standard order"/>
    <x v="1630"/>
    <x v="1625"/>
    <s v="8500"/>
    <s v="BTS 8500"/>
    <s v="5002860"/>
    <s v="8500 BTS T35 SYSTIVA RP"/>
    <n v="96"/>
    <n v="0"/>
    <n v="96"/>
    <x v="7"/>
    <s v="FTND"/>
    <s v="RP"/>
    <s v="334"/>
    <s v="4.0 UN"/>
    <s v="STANDARD"/>
    <s v="N"/>
    <s v="N"/>
    <s v="N"/>
    <s v="T35"/>
    <s v="Y"/>
    <s v="N"/>
    <s v="Y"/>
    <s v="N"/>
    <s v="B032"/>
    <d v="2016-11-16T00:00:00"/>
    <s v="50"/>
    <s v="TAN"/>
    <s v="OR"/>
    <d v="2016-11-09T00:00:00"/>
    <s v="MN"/>
    <s v="US"/>
    <s v="ZR"/>
    <d v="2016-11-10T00:00:00"/>
  </r>
  <r>
    <x v="1"/>
    <x v="7"/>
    <x v="1733"/>
    <x v="41"/>
    <s v="Standard order"/>
    <x v="1630"/>
    <x v="1625"/>
    <s v="8337"/>
    <s v="BTS 8337"/>
    <s v="5002799"/>
    <s v="8337 BTS T35 SYSTIVA RP"/>
    <n v="144"/>
    <n v="0"/>
    <n v="144"/>
    <x v="7"/>
    <s v="DHMC"/>
    <s v="RP"/>
    <s v="334"/>
    <s v="4.0 UN"/>
    <s v="STANDARD"/>
    <s v="N"/>
    <s v="N"/>
    <s v="N"/>
    <s v="T35"/>
    <s v="Y"/>
    <s v="N"/>
    <s v="Y"/>
    <s v="N"/>
    <s v="B032"/>
    <d v="2016-11-16T00:00:00"/>
    <s v="60"/>
    <s v="TAN"/>
    <s v="OR"/>
    <d v="2016-11-09T00:00:00"/>
    <s v="MN"/>
    <s v="US"/>
    <s v="ZR"/>
    <d v="2016-11-10T00:00:00"/>
  </r>
  <r>
    <x v="1"/>
    <x v="7"/>
    <x v="1733"/>
    <x v="41"/>
    <s v="Standard order"/>
    <x v="1630"/>
    <x v="1625"/>
    <s v="8512"/>
    <s v="BTS 8512"/>
    <s v="5002880"/>
    <s v="8512 BTS T35 SYSTIVA RP"/>
    <n v="144"/>
    <n v="0"/>
    <n v="144"/>
    <x v="7"/>
    <s v="FX73"/>
    <s v="RP"/>
    <s v="334"/>
    <s v="4.0 UN"/>
    <s v="STANDARD"/>
    <s v="N"/>
    <s v="N"/>
    <s v="N"/>
    <s v="T35"/>
    <s v="Y"/>
    <s v="N"/>
    <s v="Y"/>
    <s v="N"/>
    <s v="B032"/>
    <d v="2016-11-16T00:00:00"/>
    <s v="70"/>
    <s v="TAN"/>
    <s v="OR"/>
    <d v="2016-11-09T00:00:00"/>
    <s v="MN"/>
    <s v="US"/>
    <s v="ZR"/>
    <d v="2016-11-10T00:00:00"/>
  </r>
  <r>
    <x v="1"/>
    <x v="7"/>
    <x v="1733"/>
    <x v="41"/>
    <s v="Standard order"/>
    <x v="1630"/>
    <x v="1625"/>
    <s v="8052"/>
    <s v="BTS 80RR52"/>
    <s v="5002739"/>
    <s v="8052 BTS T35 SYSTIVA RP"/>
    <n v="96"/>
    <n v="0"/>
    <n v="96"/>
    <x v="7"/>
    <s v="AP82"/>
    <s v="RP"/>
    <s v="334"/>
    <s v="4.0 UN"/>
    <s v="STANDARD"/>
    <s v="N"/>
    <s v="N"/>
    <s v="N"/>
    <s v="T35"/>
    <s v="Y"/>
    <s v="N"/>
    <s v="Y"/>
    <s v="N"/>
    <s v="B032"/>
    <d v="2016-11-16T00:00:00"/>
    <s v="90"/>
    <s v="TAN"/>
    <s v="OR"/>
    <d v="2016-11-09T00:00:00"/>
    <s v="MN"/>
    <s v="US"/>
    <s v="ZR"/>
    <d v="2016-11-10T00:00:00"/>
  </r>
  <r>
    <x v="1"/>
    <x v="7"/>
    <x v="1734"/>
    <x v="39"/>
    <s v="Standard order"/>
    <x v="1631"/>
    <x v="874"/>
    <s v="8500"/>
    <s v="BTS 8500"/>
    <s v="5002859"/>
    <s v="8500 BTS T35 SYSTIVA P200"/>
    <n v="96"/>
    <n v="0"/>
    <n v="96"/>
    <x v="7"/>
    <s v="FTND"/>
    <s v="PRO 200"/>
    <s v="334"/>
    <s v="4.0 UN"/>
    <s v="STANDARD"/>
    <s v="N"/>
    <s v="N"/>
    <s v="N"/>
    <s v="T35"/>
    <s v="Y"/>
    <s v="N"/>
    <s v="Y"/>
    <s v="N"/>
    <s v="B030"/>
    <d v="2016-11-16T00:00:00"/>
    <s v="50"/>
    <s v="TAN"/>
    <s v="OR"/>
    <d v="2016-11-11T00:00:00"/>
    <s v="MN"/>
    <s v="US"/>
    <s v="ZR"/>
    <d v="2016-11-11T00:00:00"/>
  </r>
  <r>
    <x v="1"/>
    <x v="7"/>
    <x v="1734"/>
    <x v="39"/>
    <s v="Standard order"/>
    <x v="1631"/>
    <x v="874"/>
    <s v="8233"/>
    <s v="BTS 82RR33"/>
    <s v="5002778"/>
    <s v="8233 BTS T35 SYSTIVA P200"/>
    <n v="192"/>
    <n v="0"/>
    <n v="192"/>
    <x v="7"/>
    <s v="DRMC"/>
    <s v="PRO 200"/>
    <s v="334"/>
    <s v="4.0 UN"/>
    <s v="STANDARD"/>
    <s v="N"/>
    <s v="N"/>
    <s v="N"/>
    <s v="T35"/>
    <s v="Y"/>
    <s v="N"/>
    <s v="Y"/>
    <s v="N"/>
    <s v="B030"/>
    <d v="2016-11-16T00:00:00"/>
    <s v="60"/>
    <s v="TAN"/>
    <s v="OR"/>
    <d v="2016-11-11T00:00:00"/>
    <s v="MN"/>
    <s v="US"/>
    <s v="ZR"/>
    <d v="2016-11-11T00:00:00"/>
  </r>
  <r>
    <x v="1"/>
    <x v="7"/>
    <x v="1734"/>
    <x v="39"/>
    <s v="Standard order"/>
    <x v="1631"/>
    <x v="874"/>
    <s v="8500"/>
    <s v="BTS 8500"/>
    <s v="5002859"/>
    <s v="8500 BTS T35 SYSTIVA P200"/>
    <n v="192"/>
    <n v="0"/>
    <n v="192"/>
    <x v="7"/>
    <s v="FTND"/>
    <s v="PRO 200"/>
    <s v="334"/>
    <s v="4.0 UN"/>
    <s v="STANDARD"/>
    <s v="N"/>
    <s v="N"/>
    <s v="N"/>
    <s v="T35"/>
    <s v="Y"/>
    <s v="N"/>
    <s v="Y"/>
    <s v="N"/>
    <s v="B030"/>
    <d v="2016-11-16T00:00:00"/>
    <s v="70"/>
    <s v="TAN"/>
    <s v="OR"/>
    <d v="2016-11-11T00:00:00"/>
    <s v="MN"/>
    <s v="US"/>
    <s v="ZR"/>
    <d v="2016-11-11T00:00:00"/>
  </r>
  <r>
    <x v="1"/>
    <x v="7"/>
    <x v="1735"/>
    <x v="39"/>
    <s v="Standard order"/>
    <x v="1632"/>
    <x v="1626"/>
    <s v="8052"/>
    <s v="BTS 80RR52"/>
    <s v="5002739"/>
    <s v="8052 BTS T35 SYSTIVA RP"/>
    <n v="64"/>
    <n v="0"/>
    <n v="64"/>
    <x v="7"/>
    <s v="AP82"/>
    <s v="RP"/>
    <s v="334"/>
    <s v="4.0 UN"/>
    <s v="STANDARD"/>
    <s v="N"/>
    <s v="N"/>
    <s v="N"/>
    <s v="T35"/>
    <s v="Y"/>
    <s v="N"/>
    <s v="Y"/>
    <s v="N"/>
    <s v="B030"/>
    <d v="2016-11-16T00:00:00"/>
    <s v="10"/>
    <s v="TAN"/>
    <s v="OR"/>
    <d v="2016-11-11T00:00:00"/>
    <s v="ND"/>
    <s v="US"/>
    <s v="ZR"/>
    <d v="2016-11-11T00:00:00"/>
  </r>
  <r>
    <x v="1"/>
    <x v="7"/>
    <x v="1736"/>
    <x v="39"/>
    <s v="Standard order"/>
    <x v="1633"/>
    <x v="1627"/>
    <s v="8052"/>
    <s v="BTS 80RR52"/>
    <s v="5002735"/>
    <s v="8052 BTS T35 PB SYSTIVA RP"/>
    <n v="36"/>
    <n v="0"/>
    <n v="36"/>
    <x v="7"/>
    <s v="AP82"/>
    <s v="RP"/>
    <s v="333"/>
    <s v="4.0 UN"/>
    <s v="STANDARD"/>
    <s v="N"/>
    <s v="Y"/>
    <s v="N"/>
    <s v="T35"/>
    <s v="Y"/>
    <s v="N"/>
    <s v="Y"/>
    <s v="N"/>
    <s v="B030"/>
    <d v="2016-11-16T00:00:00"/>
    <s v="10"/>
    <s v="TAN"/>
    <s v="OR"/>
    <d v="2016-11-11T00:00:00"/>
    <s v="MN"/>
    <s v="US"/>
    <s v="ZR"/>
    <d v="2016-11-11T00:00:00"/>
  </r>
  <r>
    <x v="1"/>
    <x v="7"/>
    <x v="1736"/>
    <x v="39"/>
    <s v="Standard order"/>
    <x v="1633"/>
    <x v="1627"/>
    <s v="8572"/>
    <s v="BTS 8572"/>
    <s v="5003215"/>
    <s v="8572 BTS T35 PB SYSTIVA RP"/>
    <n v="36"/>
    <n v="0"/>
    <n v="36"/>
    <x v="7"/>
    <s v="FENB"/>
    <s v="RP"/>
    <s v="333"/>
    <s v="4.0 UN"/>
    <s v="STANDARD"/>
    <s v="N"/>
    <s v="Y"/>
    <s v="N"/>
    <s v="T35"/>
    <s v="Y"/>
    <s v="N"/>
    <s v="Y"/>
    <s v="N"/>
    <s v="B030"/>
    <d v="2016-11-16T00:00:00"/>
    <s v="20"/>
    <s v="TAN"/>
    <s v="OR"/>
    <d v="2016-11-11T00:00:00"/>
    <s v="MN"/>
    <s v="US"/>
    <s v="ZR"/>
    <d v="2016-11-11T00:00:00"/>
  </r>
  <r>
    <x v="1"/>
    <x v="7"/>
    <x v="1737"/>
    <x v="28"/>
    <s v="Standard order"/>
    <x v="1634"/>
    <x v="1628"/>
    <s v="8512"/>
    <s v="BTS 8512"/>
    <s v="5002880"/>
    <s v="8512 BTS T35 SYSTIVA RP"/>
    <n v="96"/>
    <n v="0"/>
    <n v="96"/>
    <x v="7"/>
    <s v="FX73"/>
    <s v="RP"/>
    <s v="334"/>
    <s v="4.0 UN"/>
    <s v="STANDARD"/>
    <s v="N"/>
    <s v="N"/>
    <s v="N"/>
    <s v="T35"/>
    <s v="Y"/>
    <s v="N"/>
    <s v="Y"/>
    <s v="N"/>
    <s v="B056"/>
    <d v="2016-11-16T00:00:00"/>
    <s v="70"/>
    <s v="TAN"/>
    <s v="OR"/>
    <d v="2016-11-11T00:00:00"/>
    <s v="MN"/>
    <s v="US"/>
    <s v="ZR"/>
    <d v="2016-11-11T00:00:00"/>
  </r>
  <r>
    <x v="1"/>
    <x v="7"/>
    <x v="1737"/>
    <x v="28"/>
    <s v="Standard order"/>
    <x v="1634"/>
    <x v="1628"/>
    <s v="8572"/>
    <s v="BTS 8572"/>
    <s v="5003219"/>
    <s v="8572 BTS T35 SYSTIVA RP"/>
    <n v="96"/>
    <n v="0"/>
    <n v="96"/>
    <x v="7"/>
    <s v="FENB"/>
    <s v="RP"/>
    <s v="334"/>
    <s v="4.0 UN"/>
    <s v="STANDARD"/>
    <s v="N"/>
    <s v="N"/>
    <s v="N"/>
    <s v="T35"/>
    <s v="Y"/>
    <s v="N"/>
    <s v="Y"/>
    <s v="N"/>
    <s v="B056"/>
    <d v="2016-11-16T00:00:00"/>
    <s v="80"/>
    <s v="TAN"/>
    <s v="OR"/>
    <d v="2016-11-11T00:00:00"/>
    <s v="MN"/>
    <s v="US"/>
    <s v="ZR"/>
    <d v="2016-11-11T00:00:00"/>
  </r>
  <r>
    <x v="1"/>
    <x v="7"/>
    <x v="1737"/>
    <x v="28"/>
    <s v="Standard order"/>
    <x v="1634"/>
    <x v="1628"/>
    <s v="8337"/>
    <s v="BTS 8337"/>
    <s v="5002799"/>
    <s v="8337 BTS T35 SYSTIVA RP"/>
    <n v="96"/>
    <n v="0"/>
    <n v="96"/>
    <x v="7"/>
    <s v="DHMC"/>
    <s v="RP"/>
    <s v="334"/>
    <s v="4.0 UN"/>
    <s v="STANDARD"/>
    <s v="N"/>
    <s v="N"/>
    <s v="N"/>
    <s v="T35"/>
    <s v="Y"/>
    <s v="N"/>
    <s v="Y"/>
    <s v="N"/>
    <s v="B056"/>
    <d v="2016-11-16T00:00:00"/>
    <s v="30"/>
    <s v="TAN"/>
    <s v="OR"/>
    <d v="2016-11-11T00:00:00"/>
    <s v="MN"/>
    <s v="US"/>
    <s v="ZR"/>
    <d v="2016-11-11T00:00:00"/>
  </r>
  <r>
    <x v="1"/>
    <x v="7"/>
    <x v="1737"/>
    <x v="28"/>
    <s v="Standard order"/>
    <x v="1634"/>
    <x v="1628"/>
    <s v="8500"/>
    <s v="BTS 8500"/>
    <s v="5002860"/>
    <s v="8500 BTS T35 SYSTIVA RP"/>
    <n v="192"/>
    <n v="0"/>
    <n v="192"/>
    <x v="7"/>
    <s v="FTND"/>
    <s v="RP"/>
    <s v="334"/>
    <s v="4.0 UN"/>
    <s v="STANDARD"/>
    <s v="N"/>
    <s v="N"/>
    <s v="N"/>
    <s v="T35"/>
    <s v="Y"/>
    <s v="N"/>
    <s v="Y"/>
    <s v="N"/>
    <s v="B056"/>
    <d v="2016-11-16T00:00:00"/>
    <s v="40"/>
    <s v="TAN"/>
    <s v="OR"/>
    <d v="2016-11-11T00:00:00"/>
    <s v="MN"/>
    <s v="US"/>
    <s v="ZR"/>
    <d v="2016-11-11T00:00:00"/>
  </r>
  <r>
    <x v="1"/>
    <x v="7"/>
    <x v="1737"/>
    <x v="28"/>
    <s v="Standard order"/>
    <x v="1634"/>
    <x v="1628"/>
    <s v="8363"/>
    <s v="BTS 8363"/>
    <s v="5002820"/>
    <s v="8363 BTS T35 SYSTIVA RP"/>
    <n v="96"/>
    <n v="0"/>
    <n v="96"/>
    <x v="7"/>
    <s v="DMMZ"/>
    <s v="RP"/>
    <s v="334"/>
    <s v="4.0 UN"/>
    <s v="STANDARD"/>
    <s v="N"/>
    <s v="N"/>
    <s v="N"/>
    <s v="T35"/>
    <s v="Y"/>
    <s v="N"/>
    <s v="Y"/>
    <s v="N"/>
    <s v="B056"/>
    <d v="2016-11-16T00:00:00"/>
    <s v="50"/>
    <s v="TAN"/>
    <s v="OR"/>
    <d v="2016-11-11T00:00:00"/>
    <s v="MN"/>
    <s v="US"/>
    <s v="ZR"/>
    <d v="2016-11-11T00:00:00"/>
  </r>
  <r>
    <x v="1"/>
    <x v="7"/>
    <x v="1737"/>
    <x v="28"/>
    <s v="Standard order"/>
    <x v="1634"/>
    <x v="1628"/>
    <s v="8524"/>
    <s v="BTS 8524"/>
    <s v="5002900"/>
    <s v="8524 BTS T35 SYSTIVA RP"/>
    <n v="96"/>
    <n v="0"/>
    <n v="96"/>
    <x v="7"/>
    <s v="FWND"/>
    <s v="RP"/>
    <s v="334"/>
    <s v="4.0 UN"/>
    <s v="STANDARD"/>
    <s v="N"/>
    <s v="N"/>
    <s v="N"/>
    <s v="T35"/>
    <s v="Y"/>
    <s v="N"/>
    <s v="Y"/>
    <s v="N"/>
    <s v="B056"/>
    <d v="2016-11-16T00:00:00"/>
    <s v="60"/>
    <s v="TAN"/>
    <s v="OR"/>
    <d v="2016-11-11T00:00:00"/>
    <s v="MN"/>
    <s v="US"/>
    <s v="ZR"/>
    <d v="2016-11-11T00:00:00"/>
  </r>
  <r>
    <x v="1"/>
    <x v="7"/>
    <x v="1738"/>
    <x v="39"/>
    <s v="Standard order"/>
    <x v="1635"/>
    <x v="1629"/>
    <s v="8524"/>
    <s v="BTS 8524"/>
    <s v="5002895"/>
    <s v="8524 BTS T35 PB SYSTIVA P200"/>
    <n v="140"/>
    <n v="0"/>
    <n v="140"/>
    <x v="7"/>
    <s v="FWND"/>
    <s v="PRO 200"/>
    <s v="333"/>
    <s v="4.0 UN"/>
    <s v="STANDARD"/>
    <s v="N"/>
    <s v="Y"/>
    <s v="N"/>
    <s v="T35"/>
    <s v="Y"/>
    <s v="N"/>
    <s v="Y"/>
    <s v="N"/>
    <s v="B030"/>
    <d v="2016-11-16T00:00:00"/>
    <s v="10"/>
    <s v="TAN"/>
    <s v="OR"/>
    <d v="2016-11-11T00:00:00"/>
    <s v="MN"/>
    <s v="US"/>
    <s v="ZR"/>
    <d v="2016-11-11T00:00:00"/>
  </r>
  <r>
    <x v="1"/>
    <x v="7"/>
    <x v="1738"/>
    <x v="39"/>
    <s v="Standard order"/>
    <x v="1635"/>
    <x v="1629"/>
    <s v="8572"/>
    <s v="BTS 8572"/>
    <s v="5003214"/>
    <s v="8572 BTS T35 PB SYSTIVA P200"/>
    <n v="132"/>
    <n v="0"/>
    <n v="132"/>
    <x v="7"/>
    <s v="FENB"/>
    <s v="PRO 200"/>
    <s v="333"/>
    <s v="4.0 UN"/>
    <s v="STANDARD"/>
    <s v="N"/>
    <s v="Y"/>
    <s v="N"/>
    <s v="T35"/>
    <s v="Y"/>
    <s v="N"/>
    <s v="Y"/>
    <s v="N"/>
    <s v="B030"/>
    <d v="2016-11-16T00:00:00"/>
    <s v="20"/>
    <s v="TAN"/>
    <s v="OR"/>
    <d v="2016-11-11T00:00:00"/>
    <s v="MN"/>
    <s v="US"/>
    <s v="ZR"/>
    <d v="2016-11-11T00:00:00"/>
  </r>
  <r>
    <x v="1"/>
    <x v="7"/>
    <x v="1739"/>
    <x v="39"/>
    <s v="Standard order"/>
    <x v="1636"/>
    <x v="1630"/>
    <s v="8052"/>
    <s v="BTS 80RR52"/>
    <s v="5002735"/>
    <s v="8052 BTS T35 PB SYSTIVA RP"/>
    <n v="116"/>
    <n v="0"/>
    <n v="116"/>
    <x v="7"/>
    <s v="AP82"/>
    <s v="RP"/>
    <s v="333"/>
    <s v="4.0 UN"/>
    <s v="STANDARD"/>
    <s v="N"/>
    <s v="Y"/>
    <s v="N"/>
    <s v="T35"/>
    <s v="Y"/>
    <s v="N"/>
    <s v="Y"/>
    <s v="N"/>
    <s v="B030"/>
    <d v="2016-11-16T00:00:00"/>
    <s v="10"/>
    <s v="TAN"/>
    <s v="OR"/>
    <d v="2016-11-11T00:00:00"/>
    <s v="MN"/>
    <s v="US"/>
    <s v="ZR"/>
    <d v="2016-11-11T00:00:00"/>
  </r>
  <r>
    <x v="1"/>
    <x v="7"/>
    <x v="1739"/>
    <x v="39"/>
    <s v="Standard order"/>
    <x v="1636"/>
    <x v="1630"/>
    <s v="8337"/>
    <s v="BTS 8337"/>
    <s v="5002795"/>
    <s v="8337 BTS T35 PB SYSTIVA RP"/>
    <n v="68"/>
    <n v="0"/>
    <n v="68"/>
    <x v="7"/>
    <s v="DHMC"/>
    <s v="RP"/>
    <s v="333"/>
    <s v="4.0 UN"/>
    <s v="STANDARD"/>
    <s v="N"/>
    <s v="Y"/>
    <s v="N"/>
    <s v="T35"/>
    <s v="Y"/>
    <s v="N"/>
    <s v="Y"/>
    <s v="N"/>
    <s v="B030"/>
    <d v="2016-11-16T00:00:00"/>
    <s v="20"/>
    <s v="TAN"/>
    <s v="OR"/>
    <d v="2016-11-11T00:00:00"/>
    <s v="MN"/>
    <s v="US"/>
    <s v="ZR"/>
    <d v="2016-11-11T00:00:00"/>
  </r>
  <r>
    <x v="1"/>
    <x v="7"/>
    <x v="1739"/>
    <x v="39"/>
    <s v="Standard order"/>
    <x v="1636"/>
    <x v="1630"/>
    <s v="8524"/>
    <s v="BTS 8524"/>
    <s v="5002896"/>
    <s v="8524 BTS T35 PB SYSTIVA RP"/>
    <n v="116"/>
    <n v="0"/>
    <n v="116"/>
    <x v="7"/>
    <s v="FWND"/>
    <s v="RP"/>
    <s v="333"/>
    <s v="4.0 UN"/>
    <s v="STANDARD"/>
    <s v="N"/>
    <s v="Y"/>
    <s v="N"/>
    <s v="T35"/>
    <s v="Y"/>
    <s v="N"/>
    <s v="Y"/>
    <s v="N"/>
    <s v="B030"/>
    <d v="2016-11-16T00:00:00"/>
    <s v="30"/>
    <s v="TAN"/>
    <s v="OR"/>
    <d v="2016-11-11T00:00:00"/>
    <s v="MN"/>
    <s v="US"/>
    <s v="ZR"/>
    <d v="2016-11-11T00:00:00"/>
  </r>
  <r>
    <x v="1"/>
    <x v="7"/>
    <x v="1740"/>
    <x v="39"/>
    <s v="Standard order"/>
    <x v="1637"/>
    <x v="1631"/>
    <s v="8052"/>
    <s v="BTS 80RR52"/>
    <s v="5002735"/>
    <s v="8052 BTS T35 PB SYSTIVA RP"/>
    <n v="36"/>
    <n v="0"/>
    <n v="36"/>
    <x v="7"/>
    <s v="AP82"/>
    <s v="RP"/>
    <s v="333"/>
    <s v="4.0 UN"/>
    <s v="STANDARD"/>
    <s v="N"/>
    <s v="Y"/>
    <s v="N"/>
    <s v="T35"/>
    <s v="Y"/>
    <s v="N"/>
    <s v="Y"/>
    <s v="N"/>
    <s v="B030"/>
    <d v="2016-11-16T00:00:00"/>
    <s v="10"/>
    <s v="TAN"/>
    <s v="OR"/>
    <d v="2016-11-11T00:00:00"/>
    <s v="MN"/>
    <s v="US"/>
    <s v="ZR"/>
    <d v="2016-11-11T00:00:00"/>
  </r>
  <r>
    <x v="1"/>
    <x v="7"/>
    <x v="1740"/>
    <x v="39"/>
    <s v="Standard order"/>
    <x v="1637"/>
    <x v="1631"/>
    <s v="8524"/>
    <s v="BTS 8524"/>
    <s v="5002896"/>
    <s v="8524 BTS T35 PB SYSTIVA RP"/>
    <n v="36"/>
    <n v="0"/>
    <n v="36"/>
    <x v="7"/>
    <s v="FWND"/>
    <s v="RP"/>
    <s v="333"/>
    <s v="4.0 UN"/>
    <s v="STANDARD"/>
    <s v="N"/>
    <s v="Y"/>
    <s v="N"/>
    <s v="T35"/>
    <s v="Y"/>
    <s v="N"/>
    <s v="Y"/>
    <s v="N"/>
    <s v="B030"/>
    <d v="2016-11-16T00:00:00"/>
    <s v="30"/>
    <s v="TAN"/>
    <s v="OR"/>
    <d v="2016-11-11T00:00:00"/>
    <s v="MN"/>
    <s v="US"/>
    <s v="ZR"/>
    <d v="2016-11-11T00:00:00"/>
  </r>
  <r>
    <x v="1"/>
    <x v="7"/>
    <x v="1741"/>
    <x v="41"/>
    <s v="Standard order"/>
    <x v="1638"/>
    <x v="1632"/>
    <s v="8524"/>
    <s v="BTS 8524"/>
    <s v="5002883"/>
    <s v="8524 BTS T20 PB SYSTIVA MP"/>
    <n v="120"/>
    <n v="0"/>
    <n v="120"/>
    <x v="7"/>
    <s v="FWND"/>
    <s v="MP"/>
    <s v="322"/>
    <s v="4.0 UN"/>
    <s v="STANDARD"/>
    <s v="N"/>
    <s v="N"/>
    <s v="N"/>
    <s v="T20"/>
    <s v="Y"/>
    <s v="N"/>
    <s v="Y"/>
    <s v="N"/>
    <s v="B032"/>
    <d v="2016-11-16T00:00:00"/>
    <s v="10"/>
    <s v="TAN"/>
    <s v="OR"/>
    <d v="2016-11-11T00:00:00"/>
    <s v="MN"/>
    <s v="US"/>
    <s v="ZR"/>
    <d v="2016-11-11T00:00:00"/>
  </r>
  <r>
    <x v="1"/>
    <x v="7"/>
    <x v="1742"/>
    <x v="39"/>
    <s v="Standard order"/>
    <x v="1639"/>
    <x v="1633"/>
    <s v="8052"/>
    <s v="BTS 80RR52"/>
    <s v="5002739"/>
    <s v="8052 BTS T35 SYSTIVA RP"/>
    <n v="100"/>
    <n v="0"/>
    <n v="100"/>
    <x v="7"/>
    <s v="AP82"/>
    <s v="RP"/>
    <s v="334"/>
    <s v="4.0 UN"/>
    <s v="STANDARD"/>
    <s v="N"/>
    <s v="N"/>
    <s v="N"/>
    <s v="T35"/>
    <s v="Y"/>
    <s v="N"/>
    <s v="Y"/>
    <s v="N"/>
    <s v="B030"/>
    <d v="2016-11-16T00:00:00"/>
    <s v="10"/>
    <s v="TAN"/>
    <s v="OR"/>
    <d v="2016-11-11T00:00:00"/>
    <s v="MN"/>
    <s v="US"/>
    <s v="ZR"/>
    <d v="2016-11-11T00:00:00"/>
  </r>
  <r>
    <x v="1"/>
    <x v="7"/>
    <x v="1742"/>
    <x v="39"/>
    <s v="Standard order"/>
    <x v="1639"/>
    <x v="1633"/>
    <s v="8500"/>
    <s v="BTS 8500"/>
    <s v="5002860"/>
    <s v="8500 BTS T35 SYSTIVA RP"/>
    <n v="100"/>
    <n v="0"/>
    <n v="100"/>
    <x v="7"/>
    <s v="FTND"/>
    <s v="RP"/>
    <s v="334"/>
    <s v="4.0 UN"/>
    <s v="STANDARD"/>
    <s v="N"/>
    <s v="N"/>
    <s v="N"/>
    <s v="T35"/>
    <s v="Y"/>
    <s v="N"/>
    <s v="Y"/>
    <s v="N"/>
    <s v="B030"/>
    <d v="2016-11-16T00:00:00"/>
    <s v="20"/>
    <s v="TAN"/>
    <s v="OR"/>
    <d v="2016-11-11T00:00:00"/>
    <s v="MN"/>
    <s v="US"/>
    <s v="ZR"/>
    <d v="2016-11-11T00:00:00"/>
  </r>
  <r>
    <x v="1"/>
    <x v="7"/>
    <x v="1743"/>
    <x v="41"/>
    <s v="Standard order"/>
    <x v="1640"/>
    <x v="1634"/>
    <s v="8524"/>
    <s v="BTS 8524"/>
    <s v="5002896"/>
    <s v="8524 BTS T35 PB SYSTIVA RP"/>
    <n v="48"/>
    <n v="0"/>
    <n v="48"/>
    <x v="7"/>
    <s v="FWND"/>
    <s v="RP"/>
    <s v="333"/>
    <s v="4.0 UN"/>
    <s v="STANDARD"/>
    <s v="N"/>
    <s v="Y"/>
    <s v="N"/>
    <s v="T35"/>
    <s v="Y"/>
    <s v="N"/>
    <s v="Y"/>
    <s v="N"/>
    <s v="B032"/>
    <d v="2016-11-16T00:00:00"/>
    <s v="10"/>
    <s v="TAN"/>
    <s v="OR"/>
    <d v="2016-11-11T00:00:00"/>
    <s v="ND"/>
    <s v="US"/>
    <s v="ZR"/>
    <d v="2016-11-12T00:00:00"/>
  </r>
  <r>
    <x v="1"/>
    <x v="7"/>
    <x v="1743"/>
    <x v="41"/>
    <s v="Standard order"/>
    <x v="1640"/>
    <x v="1634"/>
    <s v="83CN"/>
    <s v="BTS 83CN"/>
    <s v="5002836"/>
    <s v="83CN BTS T35 PB SYSTIVA RP"/>
    <n v="132"/>
    <n v="0"/>
    <n v="132"/>
    <x v="7"/>
    <s v="EE73"/>
    <s v="RP"/>
    <s v="333"/>
    <s v="4.0 UN"/>
    <s v="STANDARD"/>
    <s v="N"/>
    <s v="Y"/>
    <s v="N"/>
    <s v="T35"/>
    <s v="Y"/>
    <s v="N"/>
    <s v="Y"/>
    <s v="N"/>
    <s v="B032"/>
    <d v="2016-11-16T00:00:00"/>
    <s v="20"/>
    <s v="TAN"/>
    <s v="OR"/>
    <d v="2016-11-11T00:00:00"/>
    <s v="ND"/>
    <s v="US"/>
    <s v="ZR"/>
    <d v="2016-11-12T00:00:00"/>
  </r>
  <r>
    <x v="1"/>
    <x v="7"/>
    <x v="1744"/>
    <x v="41"/>
    <s v="Standard order"/>
    <x v="1641"/>
    <x v="1635"/>
    <s v="8052"/>
    <s v="BTS 80RR52"/>
    <s v="5002739"/>
    <s v="8052 BTS T35 SYSTIVA RP"/>
    <n v="56"/>
    <n v="0"/>
    <n v="56"/>
    <x v="7"/>
    <s v="AP82"/>
    <s v="RP"/>
    <s v="334"/>
    <s v="4.0 UN"/>
    <s v="STANDARD"/>
    <s v="N"/>
    <s v="N"/>
    <s v="N"/>
    <s v="T35"/>
    <s v="Y"/>
    <s v="N"/>
    <s v="Y"/>
    <s v="N"/>
    <s v="B032"/>
    <d v="2016-11-16T00:00:00"/>
    <s v="10"/>
    <s v="TAN"/>
    <s v="OR"/>
    <d v="2016-11-11T00:00:00"/>
    <s v="MN"/>
    <s v="US"/>
    <s v="ZR"/>
    <d v="2016-11-12T00:00:00"/>
  </r>
  <r>
    <x v="1"/>
    <x v="7"/>
    <x v="1744"/>
    <x v="41"/>
    <s v="Standard order"/>
    <x v="1641"/>
    <x v="1635"/>
    <s v="8572"/>
    <s v="BTS 8572"/>
    <s v="5003219"/>
    <s v="8572 BTS T35 SYSTIVA RP"/>
    <n v="52"/>
    <n v="0"/>
    <n v="52"/>
    <x v="7"/>
    <s v="FENB"/>
    <s v="RP"/>
    <s v="334"/>
    <s v="4.0 UN"/>
    <s v="STANDARD"/>
    <s v="N"/>
    <s v="N"/>
    <s v="N"/>
    <s v="T35"/>
    <s v="Y"/>
    <s v="N"/>
    <s v="Y"/>
    <s v="N"/>
    <s v="B032"/>
    <d v="2016-11-16T00:00:00"/>
    <s v="20"/>
    <s v="TAN"/>
    <s v="OR"/>
    <d v="2016-11-11T00:00:00"/>
    <s v="MN"/>
    <s v="US"/>
    <s v="ZR"/>
    <d v="2016-11-12T00:00:00"/>
  </r>
  <r>
    <x v="1"/>
    <x v="7"/>
    <x v="1745"/>
    <x v="41"/>
    <s v="Standard order"/>
    <x v="1642"/>
    <x v="1636"/>
    <s v="8524"/>
    <s v="BTS 8524"/>
    <s v="5002896"/>
    <s v="8524 BTS T35 PB SYSTIVA RP"/>
    <n v="96"/>
    <n v="0"/>
    <n v="96"/>
    <x v="7"/>
    <s v="FWND"/>
    <s v="RP"/>
    <s v="333"/>
    <s v="4.0 UN"/>
    <s v="STANDARD"/>
    <s v="N"/>
    <s v="Y"/>
    <s v="N"/>
    <s v="T35"/>
    <s v="Y"/>
    <s v="N"/>
    <s v="Y"/>
    <s v="N"/>
    <s v="B032"/>
    <d v="2016-11-16T00:00:00"/>
    <s v="20"/>
    <s v="TAN"/>
    <s v="OR"/>
    <d v="2016-11-11T00:00:00"/>
    <s v="ND"/>
    <s v="US"/>
    <s v="ZR"/>
    <d v="2016-11-12T00:00:00"/>
  </r>
  <r>
    <x v="1"/>
    <x v="7"/>
    <x v="1745"/>
    <x v="41"/>
    <s v="Standard order"/>
    <x v="1642"/>
    <x v="1636"/>
    <s v="8512"/>
    <s v="BTS 8512"/>
    <s v="5002876"/>
    <s v="8512 BTS T35 PB SYSTIVA RP"/>
    <n v="240"/>
    <n v="0"/>
    <n v="240"/>
    <x v="7"/>
    <s v="FX73"/>
    <s v="RP"/>
    <s v="333"/>
    <s v="4.0 UN"/>
    <s v="STANDARD"/>
    <s v="N"/>
    <s v="Y"/>
    <s v="N"/>
    <s v="T35"/>
    <s v="Y"/>
    <s v="N"/>
    <s v="Y"/>
    <s v="N"/>
    <s v="B032"/>
    <d v="2016-11-16T00:00:00"/>
    <s v="30"/>
    <s v="TAN"/>
    <s v="OR"/>
    <d v="2016-11-11T00:00:00"/>
    <s v="ND"/>
    <s v="US"/>
    <s v="ZR"/>
    <d v="2016-11-12T00:00:00"/>
  </r>
  <r>
    <x v="1"/>
    <x v="7"/>
    <x v="1745"/>
    <x v="41"/>
    <s v="Standard order"/>
    <x v="1642"/>
    <x v="1636"/>
    <s v="8500"/>
    <s v="BTS 8500"/>
    <s v="5002856"/>
    <s v="8500 BTS T35 PB SYSTIVA RP"/>
    <n v="192"/>
    <n v="0"/>
    <n v="192"/>
    <x v="7"/>
    <s v="FTND"/>
    <s v="RP"/>
    <s v="333"/>
    <s v="4.0 UN"/>
    <s v="STANDARD"/>
    <s v="N"/>
    <s v="Y"/>
    <s v="N"/>
    <s v="T35"/>
    <s v="Y"/>
    <s v="N"/>
    <s v="Y"/>
    <s v="N"/>
    <s v="B032"/>
    <d v="2016-11-16T00:00:00"/>
    <s v="40"/>
    <s v="TAN"/>
    <s v="OR"/>
    <d v="2016-11-11T00:00:00"/>
    <s v="ND"/>
    <s v="US"/>
    <s v="ZR"/>
    <d v="2016-11-12T00:00:00"/>
  </r>
  <r>
    <x v="1"/>
    <x v="7"/>
    <x v="1745"/>
    <x v="41"/>
    <s v="Standard order"/>
    <x v="1642"/>
    <x v="1636"/>
    <s v="8337"/>
    <s v="BTS 8337"/>
    <s v="5002795"/>
    <s v="8337 BTS T35 PB SYSTIVA RP"/>
    <n v="144"/>
    <n v="0"/>
    <n v="144"/>
    <x v="7"/>
    <s v="DHMC"/>
    <s v="RP"/>
    <s v="333"/>
    <s v="4.0 UN"/>
    <s v="STANDARD"/>
    <s v="N"/>
    <s v="Y"/>
    <s v="N"/>
    <s v="T35"/>
    <s v="Y"/>
    <s v="N"/>
    <s v="Y"/>
    <s v="N"/>
    <s v="B032"/>
    <d v="2016-11-16T00:00:00"/>
    <s v="10"/>
    <s v="TAN"/>
    <s v="OR"/>
    <d v="2016-11-11T00:00:00"/>
    <s v="ND"/>
    <s v="US"/>
    <s v="ZR"/>
    <d v="2016-11-12T00:00:00"/>
  </r>
  <r>
    <x v="1"/>
    <x v="7"/>
    <x v="1746"/>
    <x v="41"/>
    <s v="Standard order"/>
    <x v="1643"/>
    <x v="1637"/>
    <s v="8052"/>
    <s v="BTS 80RR52"/>
    <s v="5002735"/>
    <s v="8052 BTS T35 PB SYSTIVA RP"/>
    <n v="96"/>
    <n v="0"/>
    <n v="96"/>
    <x v="7"/>
    <s v="AP82"/>
    <s v="RP"/>
    <s v="333"/>
    <s v="4.0 UN"/>
    <s v="STANDARD"/>
    <s v="N"/>
    <s v="Y"/>
    <s v="N"/>
    <s v="T35"/>
    <s v="Y"/>
    <s v="N"/>
    <s v="Y"/>
    <s v="N"/>
    <s v="B032"/>
    <d v="2016-11-16T00:00:00"/>
    <s v="30"/>
    <s v="TAN"/>
    <s v="OR"/>
    <d v="2016-11-11T00:00:00"/>
    <s v="ND"/>
    <s v="US"/>
    <s v="ZR"/>
    <d v="2016-11-12T00:00:00"/>
  </r>
  <r>
    <x v="1"/>
    <x v="7"/>
    <x v="1746"/>
    <x v="41"/>
    <s v="Standard order"/>
    <x v="1643"/>
    <x v="1637"/>
    <s v="8512"/>
    <s v="BTS 8512"/>
    <s v="5002876"/>
    <s v="8512 BTS T35 PB SYSTIVA RP"/>
    <n v="192"/>
    <n v="0"/>
    <n v="192"/>
    <x v="7"/>
    <s v="FX73"/>
    <s v="RP"/>
    <s v="333"/>
    <s v="4.0 UN"/>
    <s v="STANDARD"/>
    <s v="N"/>
    <s v="Y"/>
    <s v="N"/>
    <s v="T35"/>
    <s v="Y"/>
    <s v="N"/>
    <s v="Y"/>
    <s v="N"/>
    <s v="B032"/>
    <d v="2016-11-16T00:00:00"/>
    <s v="50"/>
    <s v="TAN"/>
    <s v="OR"/>
    <d v="2016-11-11T00:00:00"/>
    <s v="ND"/>
    <s v="US"/>
    <s v="ZR"/>
    <d v="2016-11-12T00:00:00"/>
  </r>
  <r>
    <x v="1"/>
    <x v="7"/>
    <x v="1746"/>
    <x v="41"/>
    <s v="Standard order"/>
    <x v="1643"/>
    <x v="1637"/>
    <s v="8524"/>
    <s v="BTS 8524"/>
    <s v="5002896"/>
    <s v="8524 BTS T35 PB SYSTIVA RP"/>
    <n v="96"/>
    <n v="0"/>
    <n v="96"/>
    <x v="7"/>
    <s v="FWND"/>
    <s v="RP"/>
    <s v="333"/>
    <s v="4.0 UN"/>
    <s v="STANDARD"/>
    <s v="N"/>
    <s v="Y"/>
    <s v="N"/>
    <s v="T35"/>
    <s v="Y"/>
    <s v="N"/>
    <s v="Y"/>
    <s v="N"/>
    <s v="B032"/>
    <d v="2016-11-16T00:00:00"/>
    <s v="60"/>
    <s v="TAN"/>
    <s v="OR"/>
    <d v="2016-11-11T00:00:00"/>
    <s v="ND"/>
    <s v="US"/>
    <s v="ZR"/>
    <d v="2016-11-12T00:00:00"/>
  </r>
  <r>
    <x v="1"/>
    <x v="7"/>
    <x v="1746"/>
    <x v="41"/>
    <s v="Standard order"/>
    <x v="1643"/>
    <x v="1637"/>
    <s v="8337"/>
    <s v="BTS 8337"/>
    <s v="5002795"/>
    <s v="8337 BTS T35 PB SYSTIVA RP"/>
    <n v="96"/>
    <n v="0"/>
    <n v="96"/>
    <x v="7"/>
    <s v="DHMC"/>
    <s v="RP"/>
    <s v="333"/>
    <s v="4.0 UN"/>
    <s v="STANDARD"/>
    <s v="N"/>
    <s v="Y"/>
    <s v="N"/>
    <s v="T35"/>
    <s v="Y"/>
    <s v="N"/>
    <s v="Y"/>
    <s v="N"/>
    <s v="B032"/>
    <d v="2016-11-16T00:00:00"/>
    <s v="10"/>
    <s v="TAN"/>
    <s v="OR"/>
    <d v="2016-11-11T00:00:00"/>
    <s v="ND"/>
    <s v="US"/>
    <s v="ZR"/>
    <d v="2016-11-12T00:00:00"/>
  </r>
  <r>
    <x v="1"/>
    <x v="7"/>
    <x v="1746"/>
    <x v="41"/>
    <s v="Standard order"/>
    <x v="1643"/>
    <x v="1637"/>
    <s v="8572"/>
    <s v="BTS 8572"/>
    <s v="5003215"/>
    <s v="8572 BTS T35 PB SYSTIVA RP"/>
    <n v="96"/>
    <n v="0"/>
    <n v="96"/>
    <x v="7"/>
    <s v="FENB"/>
    <s v="RP"/>
    <s v="333"/>
    <s v="4.0 UN"/>
    <s v="STANDARD"/>
    <s v="N"/>
    <s v="Y"/>
    <s v="N"/>
    <s v="T35"/>
    <s v="Y"/>
    <s v="N"/>
    <s v="Y"/>
    <s v="N"/>
    <s v="B032"/>
    <d v="2016-11-16T00:00:00"/>
    <s v="20"/>
    <s v="TAN"/>
    <s v="OR"/>
    <d v="2016-11-11T00:00:00"/>
    <s v="ND"/>
    <s v="US"/>
    <s v="ZR"/>
    <d v="2016-11-12T00:00:00"/>
  </r>
  <r>
    <x v="1"/>
    <x v="7"/>
    <x v="1747"/>
    <x v="41"/>
    <s v="Standard order"/>
    <x v="1644"/>
    <x v="1638"/>
    <s v="8512"/>
    <s v="BTS 8512"/>
    <s v="5002876"/>
    <s v="8512 BTS T35 PB SYSTIVA RP"/>
    <n v="48"/>
    <n v="0"/>
    <n v="48"/>
    <x v="7"/>
    <s v="FX73"/>
    <s v="RP"/>
    <s v="333"/>
    <s v="4.0 UN"/>
    <s v="STANDARD"/>
    <s v="N"/>
    <s v="Y"/>
    <s v="N"/>
    <s v="T35"/>
    <s v="Y"/>
    <s v="N"/>
    <s v="Y"/>
    <s v="N"/>
    <s v="B032"/>
    <d v="2016-11-16T00:00:00"/>
    <s v="10"/>
    <s v="TAN"/>
    <s v="OR"/>
    <d v="2016-11-11T00:00:00"/>
    <s v="MN"/>
    <s v="US"/>
    <s v="ZR"/>
    <d v="2016-11-12T00:00:00"/>
  </r>
  <r>
    <x v="1"/>
    <x v="7"/>
    <x v="1747"/>
    <x v="41"/>
    <s v="Standard order"/>
    <x v="1644"/>
    <x v="1638"/>
    <s v="8572"/>
    <s v="BTS 8572"/>
    <s v="5003215"/>
    <s v="8572 BTS T35 PB SYSTIVA RP"/>
    <n v="48"/>
    <n v="0"/>
    <n v="48"/>
    <x v="7"/>
    <s v="FENB"/>
    <s v="RP"/>
    <s v="333"/>
    <s v="4.0 UN"/>
    <s v="STANDARD"/>
    <s v="N"/>
    <s v="Y"/>
    <s v="N"/>
    <s v="T35"/>
    <s v="Y"/>
    <s v="N"/>
    <s v="Y"/>
    <s v="N"/>
    <s v="B032"/>
    <d v="2016-11-16T00:00:00"/>
    <s v="20"/>
    <s v="TAN"/>
    <s v="OR"/>
    <d v="2016-11-11T00:00:00"/>
    <s v="MN"/>
    <s v="US"/>
    <s v="ZR"/>
    <d v="2016-11-12T00:00:00"/>
  </r>
  <r>
    <x v="1"/>
    <x v="7"/>
    <x v="1748"/>
    <x v="41"/>
    <s v="Standard order"/>
    <x v="1645"/>
    <x v="1639"/>
    <s v="8524"/>
    <s v="BTS 8524"/>
    <s v="5002900"/>
    <s v="8524 BTS T35 SYSTIVA RP"/>
    <n v="40"/>
    <n v="0"/>
    <n v="40"/>
    <x v="7"/>
    <s v="FWND"/>
    <s v="RP"/>
    <s v="334"/>
    <s v="4.0 UN"/>
    <s v="STANDARD"/>
    <s v="N"/>
    <s v="N"/>
    <s v="N"/>
    <s v="T35"/>
    <s v="Y"/>
    <s v="N"/>
    <s v="Y"/>
    <s v="N"/>
    <s v="B032"/>
    <d v="2016-11-16T00:00:00"/>
    <s v="10"/>
    <s v="TAN"/>
    <s v="OR"/>
    <d v="2016-11-11T00:00:00"/>
    <s v="MN"/>
    <s v="US"/>
    <s v="ZR"/>
    <d v="2016-11-12T00:00:00"/>
  </r>
  <r>
    <x v="1"/>
    <x v="7"/>
    <x v="1748"/>
    <x v="41"/>
    <s v="Standard order"/>
    <x v="1645"/>
    <x v="1639"/>
    <s v="8512"/>
    <s v="BTS 8512"/>
    <s v="5002880"/>
    <s v="8512 BTS T35 SYSTIVA RP"/>
    <n v="40"/>
    <n v="0"/>
    <n v="40"/>
    <x v="7"/>
    <s v="FX73"/>
    <s v="RP"/>
    <s v="334"/>
    <s v="4.0 UN"/>
    <s v="STANDARD"/>
    <s v="N"/>
    <s v="N"/>
    <s v="N"/>
    <s v="T35"/>
    <s v="Y"/>
    <s v="N"/>
    <s v="Y"/>
    <s v="N"/>
    <s v="B032"/>
    <d v="2016-11-16T00:00:00"/>
    <s v="20"/>
    <s v="TAN"/>
    <s v="OR"/>
    <d v="2016-11-11T00:00:00"/>
    <s v="MN"/>
    <s v="US"/>
    <s v="ZR"/>
    <d v="2016-11-12T00:00:00"/>
  </r>
  <r>
    <x v="1"/>
    <x v="7"/>
    <x v="1749"/>
    <x v="41"/>
    <s v="Standard order"/>
    <x v="1646"/>
    <x v="1640"/>
    <s v="8337"/>
    <s v="BTS 8337"/>
    <s v="5002795"/>
    <s v="8337 BTS T35 PB SYSTIVA RP"/>
    <n v="96"/>
    <n v="0"/>
    <n v="96"/>
    <x v="7"/>
    <s v="DHMC"/>
    <s v="RP"/>
    <s v="333"/>
    <s v="4.0 UN"/>
    <s v="STANDARD"/>
    <s v="N"/>
    <s v="Y"/>
    <s v="N"/>
    <s v="T35"/>
    <s v="Y"/>
    <s v="N"/>
    <s v="Y"/>
    <s v="N"/>
    <s v="B032"/>
    <d v="2016-11-16T00:00:00"/>
    <s v="10"/>
    <s v="TAN"/>
    <s v="OR"/>
    <d v="2016-11-11T00:00:00"/>
    <s v="ND"/>
    <s v="US"/>
    <s v="ZR"/>
    <d v="2016-11-12T00:00:00"/>
  </r>
  <r>
    <x v="1"/>
    <x v="7"/>
    <x v="1749"/>
    <x v="41"/>
    <s v="Standard order"/>
    <x v="1646"/>
    <x v="1640"/>
    <s v="8512"/>
    <s v="BTS 8512"/>
    <s v="5002876"/>
    <s v="8512 BTS T35 PB SYSTIVA RP"/>
    <n v="156"/>
    <n v="0"/>
    <n v="156"/>
    <x v="7"/>
    <s v="FX73"/>
    <s v="RP"/>
    <s v="333"/>
    <s v="4.0 UN"/>
    <s v="STANDARD"/>
    <s v="N"/>
    <s v="Y"/>
    <s v="N"/>
    <s v="T35"/>
    <s v="Y"/>
    <s v="N"/>
    <s v="Y"/>
    <s v="N"/>
    <s v="B032"/>
    <d v="2016-11-16T00:00:00"/>
    <s v="30"/>
    <s v="TAN"/>
    <s v="OR"/>
    <d v="2016-11-11T00:00:00"/>
    <s v="ND"/>
    <s v="US"/>
    <s v="ZR"/>
    <d v="2016-11-12T00:00:00"/>
  </r>
  <r>
    <x v="1"/>
    <x v="7"/>
    <x v="1749"/>
    <x v="41"/>
    <s v="Standard order"/>
    <x v="1646"/>
    <x v="1640"/>
    <s v="83CN"/>
    <s v="BTS 83CN"/>
    <s v="5002836"/>
    <s v="83CN BTS T35 PB SYSTIVA RP"/>
    <n v="76"/>
    <n v="0"/>
    <n v="76"/>
    <x v="7"/>
    <s v="EE73"/>
    <s v="RP"/>
    <s v="333"/>
    <s v="4.0 UN"/>
    <s v="STANDARD"/>
    <s v="N"/>
    <s v="Y"/>
    <s v="N"/>
    <s v="T35"/>
    <s v="Y"/>
    <s v="N"/>
    <s v="Y"/>
    <s v="N"/>
    <s v="B032"/>
    <d v="2016-11-16T00:00:00"/>
    <s v="40"/>
    <s v="TAN"/>
    <s v="OR"/>
    <d v="2016-11-11T00:00:00"/>
    <s v="ND"/>
    <s v="US"/>
    <s v="ZR"/>
    <d v="2016-11-12T00:00:00"/>
  </r>
  <r>
    <x v="1"/>
    <x v="7"/>
    <x v="1749"/>
    <x v="41"/>
    <s v="Standard order"/>
    <x v="1646"/>
    <x v="1640"/>
    <s v="8524"/>
    <s v="BTS 8524"/>
    <s v="5002896"/>
    <s v="8524 BTS T35 PB SYSTIVA RP"/>
    <n v="76"/>
    <n v="0"/>
    <n v="76"/>
    <x v="7"/>
    <s v="FWND"/>
    <s v="RP"/>
    <s v="333"/>
    <s v="4.0 UN"/>
    <s v="STANDARD"/>
    <s v="N"/>
    <s v="Y"/>
    <s v="N"/>
    <s v="T35"/>
    <s v="Y"/>
    <s v="N"/>
    <s v="Y"/>
    <s v="N"/>
    <s v="B032"/>
    <d v="2016-11-16T00:00:00"/>
    <s v="20"/>
    <s v="TAN"/>
    <s v="OR"/>
    <d v="2016-11-11T00:00:00"/>
    <s v="ND"/>
    <s v="US"/>
    <s v="ZR"/>
    <d v="2016-11-12T00:00:00"/>
  </r>
  <r>
    <x v="1"/>
    <x v="7"/>
    <x v="1750"/>
    <x v="39"/>
    <s v="Standard order"/>
    <x v="1560"/>
    <x v="1555"/>
    <s v="8500"/>
    <s v="BTS 8500"/>
    <s v="5002855"/>
    <s v="8500 BTS T35 PB SYSTIVA P200"/>
    <n v="180"/>
    <n v="0"/>
    <n v="180"/>
    <x v="7"/>
    <s v="FTND"/>
    <s v="PRO 200"/>
    <s v="333"/>
    <s v="4.0 UN"/>
    <s v="STANDARD"/>
    <s v="N"/>
    <s v="Y"/>
    <s v="N"/>
    <s v="T35"/>
    <s v="Y"/>
    <s v="N"/>
    <s v="Y"/>
    <s v="N"/>
    <s v="B030"/>
    <d v="2016-11-17T00:00:00"/>
    <s v="10"/>
    <s v="TAN"/>
    <s v="OR"/>
    <d v="2016-11-14T00:00:00"/>
    <s v="MN"/>
    <s v="US"/>
    <s v="ZR"/>
    <d v="2016-11-14T00:00:00"/>
  </r>
  <r>
    <x v="1"/>
    <x v="7"/>
    <x v="1750"/>
    <x v="39"/>
    <s v="Standard order"/>
    <x v="1560"/>
    <x v="1555"/>
    <s v="8363"/>
    <s v="BTS 8363"/>
    <s v="5002815"/>
    <s v="8363 BTS T35 PB SYSTIVA P200"/>
    <n v="48"/>
    <n v="0"/>
    <n v="48"/>
    <x v="7"/>
    <s v="DMMZ"/>
    <s v="PRO 200"/>
    <s v="333"/>
    <s v="4.0 UN"/>
    <s v="STANDARD"/>
    <s v="N"/>
    <s v="Y"/>
    <s v="N"/>
    <s v="T35"/>
    <s v="Y"/>
    <s v="N"/>
    <s v="Y"/>
    <s v="N"/>
    <s v="B030"/>
    <d v="2016-11-17T00:00:00"/>
    <s v="20"/>
    <s v="TAN"/>
    <s v="OR"/>
    <d v="2016-11-14T00:00:00"/>
    <s v="MN"/>
    <s v="US"/>
    <s v="ZR"/>
    <d v="2016-11-14T00:00:00"/>
  </r>
  <r>
    <x v="1"/>
    <x v="7"/>
    <x v="1751"/>
    <x v="36"/>
    <s v="Standard order"/>
    <x v="1647"/>
    <x v="1641"/>
    <s v="8524"/>
    <s v="BTS 8524"/>
    <s v="5002896"/>
    <s v="8524 BTS T35 PB SYSTIVA RP"/>
    <n v="96"/>
    <n v="0"/>
    <n v="96"/>
    <x v="7"/>
    <s v="FWND"/>
    <s v="RP"/>
    <s v="333"/>
    <s v="4.0 UN"/>
    <s v="STANDARD"/>
    <s v="N"/>
    <s v="Y"/>
    <s v="N"/>
    <s v="T35"/>
    <s v="Y"/>
    <s v="N"/>
    <s v="Y"/>
    <s v="N"/>
    <s v="B027"/>
    <d v="2016-11-17T00:00:00"/>
    <s v="20"/>
    <s v="TAN"/>
    <s v="OR"/>
    <d v="2016-11-14T00:00:00"/>
    <s v="MN"/>
    <s v="US"/>
    <s v="ZR"/>
    <d v="2016-11-14T00:00:00"/>
  </r>
  <r>
    <x v="1"/>
    <x v="7"/>
    <x v="1752"/>
    <x v="28"/>
    <s v="Standard order"/>
    <x v="1648"/>
    <x v="1642"/>
    <s v="8524"/>
    <s v="BTS 8524"/>
    <s v="5002896"/>
    <s v="8524 BTS T35 PB SYSTIVA RP"/>
    <n v="48"/>
    <n v="0"/>
    <n v="48"/>
    <x v="7"/>
    <s v="FWND"/>
    <s v="RP"/>
    <s v="333"/>
    <s v="4.0 UN"/>
    <s v="STANDARD"/>
    <s v="N"/>
    <s v="Y"/>
    <s v="N"/>
    <s v="T35"/>
    <s v="Y"/>
    <s v="N"/>
    <s v="Y"/>
    <s v="N"/>
    <s v="B056"/>
    <d v="2016-11-17T00:00:00"/>
    <s v="10"/>
    <s v="TAN"/>
    <s v="OR"/>
    <d v="2016-11-14T00:00:00"/>
    <s v="ND"/>
    <s v="US"/>
    <s v="ZR"/>
    <d v="2016-11-14T00:00:00"/>
  </r>
  <r>
    <x v="1"/>
    <x v="7"/>
    <x v="1753"/>
    <x v="39"/>
    <s v="Standard order"/>
    <x v="1649"/>
    <x v="1643"/>
    <s v="8337"/>
    <s v="BTS 8337"/>
    <s v="5002795"/>
    <s v="8337 BTS T35 PB SYSTIVA RP"/>
    <n v="48"/>
    <n v="0"/>
    <n v="48"/>
    <x v="7"/>
    <s v="DHMC"/>
    <s v="RP"/>
    <s v="333"/>
    <s v="4.0 UN"/>
    <s v="STANDARD"/>
    <s v="N"/>
    <s v="Y"/>
    <s v="N"/>
    <s v="T35"/>
    <s v="Y"/>
    <s v="N"/>
    <s v="Y"/>
    <s v="N"/>
    <s v="B030"/>
    <d v="2016-11-17T00:00:00"/>
    <s v="10"/>
    <s v="TAN"/>
    <s v="OR"/>
    <d v="2016-11-14T00:00:00"/>
    <s v="MN"/>
    <s v="US"/>
    <s v="ZR"/>
    <d v="2016-11-14T00:00:00"/>
  </r>
  <r>
    <x v="1"/>
    <x v="7"/>
    <x v="1753"/>
    <x v="39"/>
    <s v="Standard order"/>
    <x v="1649"/>
    <x v="1643"/>
    <s v="8500"/>
    <s v="BTS 8500"/>
    <s v="5002856"/>
    <s v="8500 BTS T35 PB SYSTIVA RP"/>
    <n v="80"/>
    <n v="0"/>
    <n v="80"/>
    <x v="7"/>
    <s v="FTND"/>
    <s v="RP"/>
    <s v="333"/>
    <s v="4.0 UN"/>
    <s v="STANDARD"/>
    <s v="N"/>
    <s v="Y"/>
    <s v="N"/>
    <s v="T35"/>
    <s v="Y"/>
    <s v="N"/>
    <s v="Y"/>
    <s v="N"/>
    <s v="B030"/>
    <d v="2016-11-17T00:00:00"/>
    <s v="20"/>
    <s v="TAN"/>
    <s v="OR"/>
    <d v="2016-11-14T00:00:00"/>
    <s v="MN"/>
    <s v="US"/>
    <s v="ZR"/>
    <d v="2016-11-14T00:00:00"/>
  </r>
  <r>
    <x v="1"/>
    <x v="7"/>
    <x v="1753"/>
    <x v="39"/>
    <s v="Standard order"/>
    <x v="1649"/>
    <x v="1643"/>
    <s v="8524"/>
    <s v="BTS 8524"/>
    <s v="5002896"/>
    <s v="8524 BTS T35 PB SYSTIVA RP"/>
    <n v="76"/>
    <n v="0"/>
    <n v="76"/>
    <x v="7"/>
    <s v="FWND"/>
    <s v="RP"/>
    <s v="333"/>
    <s v="4.0 UN"/>
    <s v="STANDARD"/>
    <s v="N"/>
    <s v="Y"/>
    <s v="N"/>
    <s v="T35"/>
    <s v="Y"/>
    <s v="N"/>
    <s v="Y"/>
    <s v="N"/>
    <s v="B030"/>
    <d v="2016-11-17T00:00:00"/>
    <s v="30"/>
    <s v="TAN"/>
    <s v="OR"/>
    <d v="2016-11-14T00:00:00"/>
    <s v="MN"/>
    <s v="US"/>
    <s v="ZR"/>
    <d v="2016-11-14T00:00:00"/>
  </r>
  <r>
    <x v="1"/>
    <x v="7"/>
    <x v="1754"/>
    <x v="28"/>
    <s v="Standard order"/>
    <x v="1650"/>
    <x v="1644"/>
    <s v="8052"/>
    <s v="BTS 80RR52"/>
    <s v="5002735"/>
    <s v="8052 BTS T35 PB SYSTIVA RP"/>
    <n v="132"/>
    <n v="0"/>
    <n v="132"/>
    <x v="7"/>
    <s v="AP82"/>
    <s v="RP"/>
    <s v="333"/>
    <s v="4.0 UN"/>
    <s v="STANDARD"/>
    <s v="N"/>
    <s v="Y"/>
    <s v="N"/>
    <s v="T35"/>
    <s v="Y"/>
    <s v="N"/>
    <s v="Y"/>
    <s v="N"/>
    <s v="B056"/>
    <d v="2016-11-17T00:00:00"/>
    <s v="10"/>
    <s v="TAN"/>
    <s v="OR"/>
    <d v="2016-11-14T00:00:00"/>
    <s v="ND"/>
    <s v="US"/>
    <s v="ZR"/>
    <d v="2016-11-14T00:00:00"/>
  </r>
  <r>
    <x v="1"/>
    <x v="7"/>
    <x v="1754"/>
    <x v="28"/>
    <s v="Standard order"/>
    <x v="1650"/>
    <x v="1644"/>
    <s v="8337"/>
    <s v="BTS 8337"/>
    <s v="5002795"/>
    <s v="8337 BTS T35 PB SYSTIVA RP"/>
    <n v="20"/>
    <n v="0"/>
    <n v="20"/>
    <x v="7"/>
    <s v="DHMC"/>
    <s v="RP"/>
    <s v="333"/>
    <s v="4.0 UN"/>
    <s v="STANDARD"/>
    <s v="N"/>
    <s v="Y"/>
    <s v="N"/>
    <s v="T35"/>
    <s v="Y"/>
    <s v="N"/>
    <s v="Y"/>
    <s v="N"/>
    <s v="B056"/>
    <d v="2016-11-17T00:00:00"/>
    <s v="20"/>
    <s v="TAN"/>
    <s v="OR"/>
    <d v="2016-11-14T00:00:00"/>
    <s v="ND"/>
    <s v="US"/>
    <s v="ZR"/>
    <d v="2016-11-14T00:00:00"/>
  </r>
  <r>
    <x v="1"/>
    <x v="7"/>
    <x v="1754"/>
    <x v="28"/>
    <s v="Standard order"/>
    <x v="1650"/>
    <x v="1644"/>
    <s v="8500"/>
    <s v="BTS 8500"/>
    <s v="5002856"/>
    <s v="8500 BTS T35 PB SYSTIVA RP"/>
    <n v="28"/>
    <n v="0"/>
    <n v="28"/>
    <x v="7"/>
    <s v="FTND"/>
    <s v="RP"/>
    <s v="333"/>
    <s v="4.0 UN"/>
    <s v="STANDARD"/>
    <s v="N"/>
    <s v="Y"/>
    <s v="N"/>
    <s v="T35"/>
    <s v="Y"/>
    <s v="N"/>
    <s v="Y"/>
    <s v="N"/>
    <s v="B056"/>
    <d v="2016-11-17T00:00:00"/>
    <s v="30"/>
    <s v="TAN"/>
    <s v="OR"/>
    <d v="2016-11-14T00:00:00"/>
    <s v="ND"/>
    <s v="US"/>
    <s v="ZR"/>
    <d v="2016-11-14T00:00:00"/>
  </r>
  <r>
    <x v="1"/>
    <x v="7"/>
    <x v="1755"/>
    <x v="36"/>
    <s v="Standard order"/>
    <x v="1651"/>
    <x v="1645"/>
    <s v="8572"/>
    <s v="BTS 8572"/>
    <s v="5003215"/>
    <s v="8572 BTS T35 PB SYSTIVA RP"/>
    <n v="44"/>
    <n v="0"/>
    <n v="44"/>
    <x v="7"/>
    <s v="FENB"/>
    <s v="RP"/>
    <s v="333"/>
    <s v="4.0 UN"/>
    <s v="STANDARD"/>
    <s v="N"/>
    <s v="Y"/>
    <s v="N"/>
    <s v="T35"/>
    <s v="Y"/>
    <s v="N"/>
    <s v="Y"/>
    <s v="N"/>
    <s v="B027"/>
    <d v="2016-11-17T00:00:00"/>
    <s v="10"/>
    <s v="TAN"/>
    <s v="OR"/>
    <d v="2016-11-14T00:00:00"/>
    <s v="ND"/>
    <s v="US"/>
    <s v="ZR"/>
    <d v="2016-11-14T00:00:00"/>
  </r>
  <r>
    <x v="1"/>
    <x v="7"/>
    <x v="1756"/>
    <x v="39"/>
    <s v="Standard order"/>
    <x v="1652"/>
    <x v="1646"/>
    <s v="8052"/>
    <s v="BTS 80RR52"/>
    <s v="5002739"/>
    <s v="8052 BTS T35 SYSTIVA RP"/>
    <n v="48"/>
    <n v="0"/>
    <n v="48"/>
    <x v="7"/>
    <s v="AP82"/>
    <s v="RP"/>
    <s v="334"/>
    <s v="4.0 UN"/>
    <s v="STANDARD"/>
    <s v="N"/>
    <s v="N"/>
    <s v="N"/>
    <s v="T35"/>
    <s v="Y"/>
    <s v="N"/>
    <s v="Y"/>
    <s v="N"/>
    <s v="B030"/>
    <d v="2016-11-17T00:00:00"/>
    <s v="30"/>
    <s v="TAN"/>
    <s v="OR"/>
    <d v="2016-11-14T00:00:00"/>
    <s v="MN"/>
    <s v="US"/>
    <s v="ZR"/>
    <d v="2016-11-14T00:00:00"/>
  </r>
  <r>
    <x v="1"/>
    <x v="7"/>
    <x v="1756"/>
    <x v="39"/>
    <s v="Standard order"/>
    <x v="1652"/>
    <x v="1646"/>
    <s v="8052"/>
    <s v="BTS 80RR52"/>
    <s v="5002739"/>
    <s v="8052 BTS T35 SYSTIVA RP"/>
    <n v="48"/>
    <n v="0"/>
    <n v="48"/>
    <x v="7"/>
    <s v="AP82"/>
    <s v="RP"/>
    <s v="334"/>
    <s v="4.0 UN"/>
    <s v="STANDARD"/>
    <s v="N"/>
    <s v="N"/>
    <s v="N"/>
    <s v="T35"/>
    <s v="Y"/>
    <s v="N"/>
    <s v="Y"/>
    <s v="N"/>
    <s v="B030"/>
    <d v="2016-11-17T00:00:00"/>
    <s v="10"/>
    <s v="TAN"/>
    <s v="OR"/>
    <d v="2016-11-14T00:00:00"/>
    <s v="MN"/>
    <s v="US"/>
    <s v="ZR"/>
    <d v="2016-11-14T00:00:00"/>
  </r>
  <r>
    <x v="1"/>
    <x v="8"/>
    <x v="1757"/>
    <x v="34"/>
    <s v="Returns Standard SAP"/>
    <x v="1368"/>
    <x v="1363"/>
    <s v="541N"/>
    <s v="BTS 541N"/>
    <s v="5002601"/>
    <s v="541N P100"/>
    <n v="-8"/>
    <n v="-8"/>
    <n v="0"/>
    <x v="8"/>
    <s v="BK71"/>
    <s v="PRO 100"/>
    <s v="306"/>
    <s v="4.0 UN"/>
    <s v="STANDARD"/>
    <s v="N"/>
    <s v="N"/>
    <s v="N"/>
    <s v="N"/>
    <s v="N"/>
    <s v="N"/>
    <s v="N"/>
    <s v="N"/>
    <s v=""/>
    <m/>
    <s v="10"/>
    <s v="ZSRE"/>
    <s v="ZSRE"/>
    <d v="2016-11-23T00:00:00"/>
    <s v="CA"/>
    <s v="US"/>
    <s v="ZR"/>
    <d v="2016-11-14T00:00:00"/>
  </r>
  <r>
    <x v="1"/>
    <x v="7"/>
    <x v="1758"/>
    <x v="36"/>
    <s v="Standard order"/>
    <x v="1653"/>
    <x v="1647"/>
    <s v="8524"/>
    <s v="BTS 8524"/>
    <s v="5002896"/>
    <s v="8524 BTS T35 PB SYSTIVA RP"/>
    <n v="24"/>
    <n v="0"/>
    <n v="24"/>
    <x v="7"/>
    <s v="FWND"/>
    <s v="RP"/>
    <s v="333"/>
    <s v="4.0 UN"/>
    <s v="STANDARD"/>
    <s v="N"/>
    <s v="Y"/>
    <s v="N"/>
    <s v="T35"/>
    <s v="Y"/>
    <s v="N"/>
    <s v="Y"/>
    <s v="N"/>
    <s v="B027"/>
    <d v="2016-11-17T00:00:00"/>
    <s v="60"/>
    <s v="TAN"/>
    <s v="OR"/>
    <d v="2016-11-14T00:00:00"/>
    <s v="MN"/>
    <s v="US"/>
    <s v="ZR"/>
    <d v="2016-11-14T00:00:00"/>
  </r>
  <r>
    <x v="1"/>
    <x v="7"/>
    <x v="1758"/>
    <x v="36"/>
    <s v="Standard order"/>
    <x v="1653"/>
    <x v="1647"/>
    <s v="8052"/>
    <s v="BTS 80RR52"/>
    <s v="5002735"/>
    <s v="8052 BTS T35 PB SYSTIVA RP"/>
    <n v="180"/>
    <n v="0"/>
    <n v="180"/>
    <x v="7"/>
    <s v="AP82"/>
    <s v="RP"/>
    <s v="333"/>
    <s v="4.0 UN"/>
    <s v="STANDARD"/>
    <s v="N"/>
    <s v="Y"/>
    <s v="N"/>
    <s v="T35"/>
    <s v="Y"/>
    <s v="N"/>
    <s v="Y"/>
    <s v="N"/>
    <s v="B027"/>
    <d v="2016-11-17T00:00:00"/>
    <s v="70"/>
    <s v="TAN"/>
    <s v="OR"/>
    <d v="2016-11-14T00:00:00"/>
    <s v="MN"/>
    <s v="US"/>
    <s v="ZR"/>
    <d v="2016-11-14T00:00:00"/>
  </r>
  <r>
    <x v="1"/>
    <x v="7"/>
    <x v="1758"/>
    <x v="36"/>
    <s v="Standard order"/>
    <x v="1653"/>
    <x v="1647"/>
    <s v="8500"/>
    <s v="BTS 8500"/>
    <s v="5002856"/>
    <s v="8500 BTS T35 PB SYSTIVA RP"/>
    <n v="212"/>
    <n v="0"/>
    <n v="212"/>
    <x v="7"/>
    <s v="FTND"/>
    <s v="RP"/>
    <s v="333"/>
    <s v="4.0 UN"/>
    <s v="STANDARD"/>
    <s v="N"/>
    <s v="Y"/>
    <s v="N"/>
    <s v="T35"/>
    <s v="Y"/>
    <s v="N"/>
    <s v="Y"/>
    <s v="N"/>
    <s v="B027"/>
    <d v="2016-11-17T00:00:00"/>
    <s v="80"/>
    <s v="TAN"/>
    <s v="OR"/>
    <d v="2016-11-14T00:00:00"/>
    <s v="MN"/>
    <s v="US"/>
    <s v="ZR"/>
    <d v="2016-11-14T00:00:00"/>
  </r>
  <r>
    <x v="1"/>
    <x v="7"/>
    <x v="1758"/>
    <x v="36"/>
    <s v="Standard order"/>
    <x v="1653"/>
    <x v="1647"/>
    <s v="8337"/>
    <s v="BTS 8337"/>
    <s v="5002782"/>
    <s v="8337 BTS T20 PB SYSTIVA MP"/>
    <n v="120"/>
    <n v="0"/>
    <n v="120"/>
    <x v="7"/>
    <s v="DHMC"/>
    <s v="MP"/>
    <s v="322"/>
    <s v="4.0 UN"/>
    <s v="STANDARD"/>
    <s v="N"/>
    <s v="N"/>
    <s v="N"/>
    <s v="T20"/>
    <s v="Y"/>
    <s v="N"/>
    <s v="Y"/>
    <s v="N"/>
    <s v="B027"/>
    <d v="2016-11-17T00:00:00"/>
    <s v="20"/>
    <s v="TAN"/>
    <s v="OR"/>
    <d v="2016-11-14T00:00:00"/>
    <s v="MN"/>
    <s v="US"/>
    <s v="ZR"/>
    <d v="2016-11-14T00:00:00"/>
  </r>
  <r>
    <x v="1"/>
    <x v="7"/>
    <x v="1759"/>
    <x v="39"/>
    <s v="Standard order"/>
    <x v="1654"/>
    <x v="1648"/>
    <s v="8233"/>
    <s v="BTS 82RR33"/>
    <s v="5002775"/>
    <s v="8233 BTS T35 PB SYSTIVA RP"/>
    <n v="48"/>
    <n v="0"/>
    <n v="48"/>
    <x v="7"/>
    <s v="DRMC"/>
    <s v="RP"/>
    <s v="333"/>
    <s v="4.0 UN"/>
    <s v="STANDARD"/>
    <s v="N"/>
    <s v="Y"/>
    <s v="N"/>
    <s v="T35"/>
    <s v="Y"/>
    <s v="N"/>
    <s v="Y"/>
    <s v="N"/>
    <s v="B030"/>
    <d v="2016-11-17T00:00:00"/>
    <s v="10"/>
    <s v="TAN"/>
    <s v="OR"/>
    <d v="2016-11-14T00:00:00"/>
    <s v="MN"/>
    <s v="US"/>
    <s v="ZR"/>
    <d v="2016-11-14T00:00:00"/>
  </r>
  <r>
    <x v="1"/>
    <x v="7"/>
    <x v="1759"/>
    <x v="39"/>
    <s v="Standard order"/>
    <x v="1654"/>
    <x v="1648"/>
    <s v="8363"/>
    <s v="BTS 8363"/>
    <s v="5002816"/>
    <s v="8363 BTS T35 PB SYSTIVA RP"/>
    <n v="48"/>
    <n v="0"/>
    <n v="48"/>
    <x v="7"/>
    <s v="DMMZ"/>
    <s v="RP"/>
    <s v="333"/>
    <s v="4.0 UN"/>
    <s v="STANDARD"/>
    <s v="N"/>
    <s v="Y"/>
    <s v="N"/>
    <s v="T35"/>
    <s v="Y"/>
    <s v="N"/>
    <s v="Y"/>
    <s v="N"/>
    <s v="B030"/>
    <d v="2016-11-17T00:00:00"/>
    <s v="20"/>
    <s v="TAN"/>
    <s v="OR"/>
    <d v="2016-11-14T00:00:00"/>
    <s v="MN"/>
    <s v="US"/>
    <s v="ZR"/>
    <d v="2016-11-14T00:00:00"/>
  </r>
  <r>
    <x v="1"/>
    <x v="7"/>
    <x v="1760"/>
    <x v="28"/>
    <s v="Standard order"/>
    <x v="1655"/>
    <x v="1649"/>
    <s v="8052"/>
    <s v="BTS 80RR52"/>
    <s v="5002734"/>
    <s v="8052 BTS T35 PB SYSTIVA P200"/>
    <n v="336"/>
    <n v="0"/>
    <n v="336"/>
    <x v="7"/>
    <s v="AP82"/>
    <s v="PRO 200"/>
    <s v="333"/>
    <s v="4.0 UN"/>
    <s v="STANDARD"/>
    <s v="N"/>
    <s v="Y"/>
    <s v="N"/>
    <s v="T35"/>
    <s v="Y"/>
    <s v="N"/>
    <s v="Y"/>
    <s v="N"/>
    <s v="B056"/>
    <d v="2016-11-17T00:00:00"/>
    <s v="10"/>
    <s v="TAN"/>
    <s v="OR"/>
    <d v="2016-11-14T00:00:00"/>
    <s v="ND"/>
    <s v="US"/>
    <s v="ZR"/>
    <d v="2016-11-14T00:00:00"/>
  </r>
  <r>
    <x v="1"/>
    <x v="7"/>
    <x v="1760"/>
    <x v="28"/>
    <s v="Standard order"/>
    <x v="1655"/>
    <x v="1649"/>
    <s v="8337"/>
    <s v="BTS 8337"/>
    <s v="5002794"/>
    <s v="8337 BTS T35 PB SYSTIVA P200"/>
    <n v="72"/>
    <n v="0"/>
    <n v="72"/>
    <x v="7"/>
    <s v="DHMC"/>
    <s v="PRO 200"/>
    <s v="333"/>
    <s v="4.0 UN"/>
    <s v="STANDARD"/>
    <s v="N"/>
    <s v="Y"/>
    <s v="N"/>
    <s v="T35"/>
    <s v="Y"/>
    <s v="N"/>
    <s v="Y"/>
    <s v="N"/>
    <s v="B056"/>
    <d v="2016-11-17T00:00:00"/>
    <s v="20"/>
    <s v="TAN"/>
    <s v="OR"/>
    <d v="2016-11-14T00:00:00"/>
    <s v="ND"/>
    <s v="US"/>
    <s v="ZR"/>
    <d v="2016-11-14T00:00:00"/>
  </r>
  <r>
    <x v="1"/>
    <x v="7"/>
    <x v="1761"/>
    <x v="36"/>
    <s v="Standard order"/>
    <x v="1656"/>
    <x v="1650"/>
    <s v="8500"/>
    <s v="BTS 8500"/>
    <s v="5002856"/>
    <s v="8500 BTS T35 PB SYSTIVA RP"/>
    <n v="160"/>
    <n v="0"/>
    <n v="160"/>
    <x v="7"/>
    <s v="FTND"/>
    <s v="RP"/>
    <s v="333"/>
    <s v="4.0 UN"/>
    <s v="STANDARD"/>
    <s v="N"/>
    <s v="Y"/>
    <s v="N"/>
    <s v="T35"/>
    <s v="Y"/>
    <s v="N"/>
    <s v="Y"/>
    <s v="N"/>
    <s v="B027"/>
    <d v="2016-11-17T00:00:00"/>
    <s v="10"/>
    <s v="TAN"/>
    <s v="OR"/>
    <d v="2016-11-14T00:00:00"/>
    <s v="MN"/>
    <s v="US"/>
    <s v="ZR"/>
    <d v="2016-11-14T00:00:00"/>
  </r>
  <r>
    <x v="1"/>
    <x v="7"/>
    <x v="1761"/>
    <x v="36"/>
    <s v="Standard order"/>
    <x v="1656"/>
    <x v="1650"/>
    <s v="8524"/>
    <s v="BTS 8524"/>
    <s v="5002896"/>
    <s v="8524 BTS T35 PB SYSTIVA RP"/>
    <n v="160"/>
    <n v="0"/>
    <n v="160"/>
    <x v="7"/>
    <s v="FWND"/>
    <s v="RP"/>
    <s v="333"/>
    <s v="4.0 UN"/>
    <s v="STANDARD"/>
    <s v="N"/>
    <s v="Y"/>
    <s v="N"/>
    <s v="T35"/>
    <s v="Y"/>
    <s v="N"/>
    <s v="Y"/>
    <s v="N"/>
    <s v="B027"/>
    <d v="2016-11-17T00:00:00"/>
    <s v="20"/>
    <s v="TAN"/>
    <s v="OR"/>
    <d v="2016-11-14T00:00:00"/>
    <s v="MN"/>
    <s v="US"/>
    <s v="ZR"/>
    <d v="2016-11-14T00:00:00"/>
  </r>
  <r>
    <x v="1"/>
    <x v="7"/>
    <x v="1762"/>
    <x v="36"/>
    <s v="Standard order"/>
    <x v="1657"/>
    <x v="1651"/>
    <s v="83CN"/>
    <s v="BTS 83CN"/>
    <s v="5002836"/>
    <s v="83CN BTS T35 PB SYSTIVA RP"/>
    <n v="300"/>
    <n v="0"/>
    <n v="300"/>
    <x v="7"/>
    <s v="EE73"/>
    <s v="RP"/>
    <s v="333"/>
    <s v="4.0 UN"/>
    <s v="STANDARD"/>
    <s v="N"/>
    <s v="Y"/>
    <s v="N"/>
    <s v="T35"/>
    <s v="Y"/>
    <s v="N"/>
    <s v="Y"/>
    <s v="N"/>
    <s v="B027"/>
    <d v="2016-11-17T00:00:00"/>
    <s v="10"/>
    <s v="TAN"/>
    <s v="OR"/>
    <d v="2016-11-14T00:00:00"/>
    <s v="MN"/>
    <s v="US"/>
    <s v="ZR"/>
    <d v="2016-11-14T00:00:00"/>
  </r>
  <r>
    <x v="1"/>
    <x v="7"/>
    <x v="1763"/>
    <x v="36"/>
    <s v="Standard order"/>
    <x v="1658"/>
    <x v="1652"/>
    <s v="8233"/>
    <s v="BTS 82RR33"/>
    <s v="5002763"/>
    <s v="8233 BTS T20 SYSTIVA MP"/>
    <n v="96"/>
    <n v="0"/>
    <n v="96"/>
    <x v="7"/>
    <s v="DRMC"/>
    <s v="MP"/>
    <s v="326"/>
    <s v="4.0 UN"/>
    <s v="STANDARD"/>
    <s v="N"/>
    <s v="N"/>
    <s v="N"/>
    <s v="T20"/>
    <s v="Y"/>
    <s v="N"/>
    <s v="Y"/>
    <s v="N"/>
    <s v="B027"/>
    <d v="2016-11-17T00:00:00"/>
    <s v="10"/>
    <s v="TAN"/>
    <s v="OR"/>
    <d v="2016-11-14T00:00:00"/>
    <s v="MN"/>
    <s v="US"/>
    <s v="ZR"/>
    <d v="2016-11-14T00:00:00"/>
  </r>
  <r>
    <x v="1"/>
    <x v="7"/>
    <x v="1763"/>
    <x v="36"/>
    <s v="Standard order"/>
    <x v="1658"/>
    <x v="1652"/>
    <s v="8052"/>
    <s v="BTS 80RR52"/>
    <s v="5002723"/>
    <s v="8052 BTS T20 SYSTIVA MP"/>
    <n v="96"/>
    <n v="0"/>
    <n v="96"/>
    <x v="7"/>
    <s v="AP82"/>
    <s v="MP"/>
    <s v="326"/>
    <s v="4.0 UN"/>
    <s v="STANDARD"/>
    <s v="N"/>
    <s v="N"/>
    <s v="N"/>
    <s v="T20"/>
    <s v="Y"/>
    <s v="N"/>
    <s v="Y"/>
    <s v="N"/>
    <s v="B027"/>
    <d v="2016-11-17T00:00:00"/>
    <s v="20"/>
    <s v="TAN"/>
    <s v="OR"/>
    <d v="2016-11-14T00:00:00"/>
    <s v="MN"/>
    <s v="US"/>
    <s v="ZR"/>
    <d v="2016-11-14T00:00:00"/>
  </r>
  <r>
    <x v="1"/>
    <x v="8"/>
    <x v="1764"/>
    <x v="34"/>
    <s v="Returns Standard SAP"/>
    <x v="1359"/>
    <x v="1354"/>
    <s v="5499"/>
    <s v="BTS 5499"/>
    <s v="5002606"/>
    <s v="5499 P50"/>
    <n v="-8"/>
    <n v="-8"/>
    <n v="0"/>
    <x v="8"/>
    <s v="DRMG"/>
    <s v="PRO 50"/>
    <s v="306"/>
    <s v="4.0 UN"/>
    <s v="STANDARD"/>
    <s v="N"/>
    <s v="N"/>
    <s v="N"/>
    <s v="N"/>
    <s v="N"/>
    <s v="N"/>
    <s v="N"/>
    <s v="N"/>
    <s v=""/>
    <m/>
    <s v="10"/>
    <s v="ZSRE"/>
    <s v="ZSRE"/>
    <d v="2016-11-30T00:00:00"/>
    <s v="CA"/>
    <s v="US"/>
    <s v="ZR"/>
    <d v="2016-11-15T00:00:00"/>
  </r>
  <r>
    <x v="1"/>
    <x v="7"/>
    <x v="1765"/>
    <x v="37"/>
    <s v="Standard order"/>
    <x v="1659"/>
    <x v="1653"/>
    <s v="8363"/>
    <s v="BTS 8363"/>
    <s v="5002815"/>
    <s v="8363 BTS T35 PB SYSTIVA P200"/>
    <n v="96"/>
    <n v="0"/>
    <n v="96"/>
    <x v="7"/>
    <s v="DMMZ"/>
    <s v="PRO 200"/>
    <s v="333"/>
    <s v="4.0 UN"/>
    <s v="STANDARD"/>
    <s v="N"/>
    <s v="Y"/>
    <s v="N"/>
    <s v="T35"/>
    <s v="Y"/>
    <s v="N"/>
    <s v="Y"/>
    <s v="N"/>
    <s v="B033"/>
    <d v="2016-11-18T00:00:00"/>
    <s v="20"/>
    <s v="TAN"/>
    <s v="OR"/>
    <d v="2016-11-14T00:00:00"/>
    <s v="MN"/>
    <s v="US"/>
    <s v="ZR"/>
    <d v="2016-11-15T00:00:00"/>
  </r>
  <r>
    <x v="1"/>
    <x v="7"/>
    <x v="1765"/>
    <x v="37"/>
    <s v="Standard order"/>
    <x v="1659"/>
    <x v="1653"/>
    <s v="8052"/>
    <s v="BTS 80RR52"/>
    <s v="5002734"/>
    <s v="8052 BTS T35 PB SYSTIVA P200"/>
    <n v="96"/>
    <n v="0"/>
    <n v="96"/>
    <x v="7"/>
    <s v="AP82"/>
    <s v="PRO 200"/>
    <s v="333"/>
    <s v="4.0 UN"/>
    <s v="STANDARD"/>
    <s v="N"/>
    <s v="Y"/>
    <s v="N"/>
    <s v="T35"/>
    <s v="Y"/>
    <s v="N"/>
    <s v="Y"/>
    <s v="N"/>
    <s v="B033"/>
    <d v="2016-11-18T00:00:00"/>
    <s v="30"/>
    <s v="TAN"/>
    <s v="OR"/>
    <d v="2016-11-14T00:00:00"/>
    <s v="MN"/>
    <s v="US"/>
    <s v="ZR"/>
    <d v="2016-11-15T00:00:00"/>
  </r>
  <r>
    <x v="1"/>
    <x v="7"/>
    <x v="1765"/>
    <x v="37"/>
    <s v="Standard order"/>
    <x v="1659"/>
    <x v="1653"/>
    <s v="8500"/>
    <s v="BTS 8500"/>
    <s v="5002855"/>
    <s v="8500 BTS T35 PB SYSTIVA P200"/>
    <n v="192"/>
    <n v="0"/>
    <n v="192"/>
    <x v="7"/>
    <s v="FTND"/>
    <s v="PRO 200"/>
    <s v="333"/>
    <s v="4.0 UN"/>
    <s v="STANDARD"/>
    <s v="N"/>
    <s v="Y"/>
    <s v="N"/>
    <s v="T35"/>
    <s v="Y"/>
    <s v="N"/>
    <s v="Y"/>
    <s v="N"/>
    <s v="B033"/>
    <d v="2016-11-18T00:00:00"/>
    <s v="10"/>
    <s v="TAN"/>
    <s v="OR"/>
    <d v="2016-11-14T00:00:00"/>
    <s v="MN"/>
    <s v="US"/>
    <s v="ZR"/>
    <d v="2016-11-15T00:00:00"/>
  </r>
  <r>
    <x v="1"/>
    <x v="7"/>
    <x v="1766"/>
    <x v="36"/>
    <s v="Standard order"/>
    <x v="1399"/>
    <x v="1394"/>
    <s v="8052"/>
    <s v="BTS 80RR52"/>
    <s v="5002734"/>
    <s v="8052 BTS T35 PB SYSTIVA P200"/>
    <n v="16"/>
    <n v="0"/>
    <n v="16"/>
    <x v="7"/>
    <s v="AP82"/>
    <s v="PRO 200"/>
    <s v="333"/>
    <s v="4.0 UN"/>
    <s v="STANDARD"/>
    <s v="N"/>
    <s v="Y"/>
    <s v="N"/>
    <s v="T35"/>
    <s v="Y"/>
    <s v="N"/>
    <s v="Y"/>
    <s v="N"/>
    <s v="B027"/>
    <d v="2016-11-18T00:00:00"/>
    <s v="30"/>
    <s v="TAN"/>
    <s v="OR"/>
    <d v="2016-11-14T00:00:00"/>
    <s v="MN"/>
    <s v="US"/>
    <s v="ZR"/>
    <d v="2016-11-15T00:00:00"/>
  </r>
  <r>
    <x v="1"/>
    <x v="7"/>
    <x v="1767"/>
    <x v="33"/>
    <s v="Standard order"/>
    <x v="1660"/>
    <x v="1654"/>
    <s v="8337"/>
    <s v="BTS 8337"/>
    <s v="5002794"/>
    <s v="8337 BTS T35 PB SYSTIVA P200"/>
    <n v="36"/>
    <n v="0"/>
    <n v="36"/>
    <x v="7"/>
    <s v="DHMC"/>
    <s v="PRO 200"/>
    <s v="333"/>
    <s v="4.0 UN"/>
    <s v="STANDARD"/>
    <s v="N"/>
    <s v="Y"/>
    <s v="N"/>
    <s v="T35"/>
    <s v="Y"/>
    <s v="N"/>
    <s v="Y"/>
    <s v="N"/>
    <s v="B026"/>
    <d v="2016-11-18T00:00:00"/>
    <s v="10"/>
    <s v="TAN"/>
    <s v="OR"/>
    <d v="2016-11-15T00:00:00"/>
    <s v="MN"/>
    <s v="US"/>
    <s v="ZR"/>
    <d v="2016-11-15T00:00:00"/>
  </r>
  <r>
    <x v="1"/>
    <x v="7"/>
    <x v="1768"/>
    <x v="33"/>
    <s v="Standard order"/>
    <x v="1661"/>
    <x v="1655"/>
    <s v="8500"/>
    <s v="BTS 8500"/>
    <s v="5002855"/>
    <s v="8500 BTS T35 PB SYSTIVA P200"/>
    <n v="48"/>
    <n v="0"/>
    <n v="48"/>
    <x v="7"/>
    <s v="FTND"/>
    <s v="PRO 200"/>
    <s v="333"/>
    <s v="4.0 UN"/>
    <s v="STANDARD"/>
    <s v="N"/>
    <s v="Y"/>
    <s v="N"/>
    <s v="T35"/>
    <s v="Y"/>
    <s v="N"/>
    <s v="Y"/>
    <s v="N"/>
    <s v="B026"/>
    <d v="2016-11-18T00:00:00"/>
    <s v="10"/>
    <s v="TAN"/>
    <s v="OR"/>
    <d v="2016-11-15T00:00:00"/>
    <s v="MN"/>
    <s v="US"/>
    <s v="ZR"/>
    <d v="2016-11-15T00:00:00"/>
  </r>
  <r>
    <x v="1"/>
    <x v="7"/>
    <x v="1769"/>
    <x v="31"/>
    <s v="Standard order"/>
    <x v="1662"/>
    <x v="1656"/>
    <s v="8337"/>
    <s v="BTS 8337"/>
    <s v="5002795"/>
    <s v="8337 BTS T35 PB SYSTIVA RP"/>
    <n v="60"/>
    <n v="0"/>
    <n v="60"/>
    <x v="7"/>
    <s v="DHMC"/>
    <s v="RP"/>
    <s v="333"/>
    <s v="4.0 UN"/>
    <s v="STANDARD"/>
    <s v="N"/>
    <s v="Y"/>
    <s v="N"/>
    <s v="T35"/>
    <s v="Y"/>
    <s v="N"/>
    <s v="Y"/>
    <s v="N"/>
    <s v="B028"/>
    <d v="2016-11-18T00:00:00"/>
    <s v="10"/>
    <s v="TAN"/>
    <s v="OR"/>
    <d v="2016-11-15T00:00:00"/>
    <s v="ND"/>
    <s v="US"/>
    <s v="ZR"/>
    <d v="2016-11-15T00:00:00"/>
  </r>
  <r>
    <x v="1"/>
    <x v="7"/>
    <x v="1770"/>
    <x v="31"/>
    <s v="Standard order"/>
    <x v="1663"/>
    <x v="1657"/>
    <s v="8052"/>
    <s v="BTS 80RR52"/>
    <s v="5002735"/>
    <s v="8052 BTS T35 PB SYSTIVA RP"/>
    <n v="96"/>
    <n v="0"/>
    <n v="96"/>
    <x v="7"/>
    <s v="AP82"/>
    <s v="RP"/>
    <s v="333"/>
    <s v="4.0 UN"/>
    <s v="STANDARD"/>
    <s v="N"/>
    <s v="Y"/>
    <s v="N"/>
    <s v="T35"/>
    <s v="Y"/>
    <s v="N"/>
    <s v="Y"/>
    <s v="N"/>
    <s v="B028"/>
    <d v="2016-11-18T00:00:00"/>
    <s v="10"/>
    <s v="TAN"/>
    <s v="OR"/>
    <d v="2016-11-15T00:00:00"/>
    <s v="ND"/>
    <s v="US"/>
    <s v="ZR"/>
    <d v="2016-11-15T00:00:00"/>
  </r>
  <r>
    <x v="1"/>
    <x v="7"/>
    <x v="1770"/>
    <x v="31"/>
    <s v="Standard order"/>
    <x v="1663"/>
    <x v="1657"/>
    <s v="8512"/>
    <s v="BTS 8512"/>
    <s v="5002876"/>
    <s v="8512 BTS T35 PB SYSTIVA RP"/>
    <n v="96"/>
    <n v="0"/>
    <n v="96"/>
    <x v="7"/>
    <s v="FX73"/>
    <s v="RP"/>
    <s v="333"/>
    <s v="4.0 UN"/>
    <s v="STANDARD"/>
    <s v="N"/>
    <s v="Y"/>
    <s v="N"/>
    <s v="T35"/>
    <s v="Y"/>
    <s v="N"/>
    <s v="Y"/>
    <s v="N"/>
    <s v="B028"/>
    <d v="2016-11-18T00:00:00"/>
    <s v="20"/>
    <s v="TAN"/>
    <s v="OR"/>
    <d v="2016-11-15T00:00:00"/>
    <s v="ND"/>
    <s v="US"/>
    <s v="ZR"/>
    <d v="2016-11-15T00:00:00"/>
  </r>
  <r>
    <x v="1"/>
    <x v="7"/>
    <x v="1771"/>
    <x v="37"/>
    <s v="Standard order"/>
    <x v="1664"/>
    <x v="1658"/>
    <s v="8052"/>
    <s v="BTS 80RR52"/>
    <s v="5002722"/>
    <s v="8052 BTS T20 PB SYSTIVA MP"/>
    <n v="60"/>
    <n v="0"/>
    <n v="60"/>
    <x v="7"/>
    <s v="AP82"/>
    <s v="MP"/>
    <s v="322"/>
    <s v="4.0 UN"/>
    <s v="STANDARD"/>
    <s v="N"/>
    <s v="N"/>
    <s v="N"/>
    <s v="T20"/>
    <s v="Y"/>
    <s v="N"/>
    <s v="Y"/>
    <s v="N"/>
    <s v="B033"/>
    <d v="2016-11-18T00:00:00"/>
    <s v="10"/>
    <s v="TAN"/>
    <s v="OR"/>
    <d v="2016-11-15T00:00:00"/>
    <s v="MN"/>
    <s v="US"/>
    <s v="ZR"/>
    <d v="2016-11-15T00:00:00"/>
  </r>
  <r>
    <x v="1"/>
    <x v="7"/>
    <x v="1772"/>
    <x v="33"/>
    <s v="Standard order"/>
    <x v="1665"/>
    <x v="1659"/>
    <s v="8337"/>
    <s v="BTS 8337"/>
    <s v="5002794"/>
    <s v="8337 BTS T35 PB SYSTIVA P200"/>
    <n v="192"/>
    <n v="0"/>
    <n v="192"/>
    <x v="7"/>
    <s v="DHMC"/>
    <s v="PRO 200"/>
    <s v="333"/>
    <s v="4.0 UN"/>
    <s v="STANDARD"/>
    <s v="N"/>
    <s v="Y"/>
    <s v="N"/>
    <s v="T35"/>
    <s v="Y"/>
    <s v="N"/>
    <s v="Y"/>
    <s v="N"/>
    <s v="B026"/>
    <d v="2016-11-18T00:00:00"/>
    <s v="10"/>
    <s v="TAN"/>
    <s v="OR"/>
    <d v="2016-11-15T00:00:00"/>
    <s v="MN"/>
    <s v="US"/>
    <s v="ZR"/>
    <d v="2016-11-15T00:00:00"/>
  </r>
  <r>
    <x v="1"/>
    <x v="7"/>
    <x v="1772"/>
    <x v="33"/>
    <s v="Standard order"/>
    <x v="1665"/>
    <x v="1659"/>
    <s v="8052"/>
    <s v="BTS 80RR52"/>
    <s v="5002734"/>
    <s v="8052 BTS T35 PB SYSTIVA P200"/>
    <n v="72"/>
    <n v="0"/>
    <n v="72"/>
    <x v="7"/>
    <s v="AP82"/>
    <s v="PRO 200"/>
    <s v="333"/>
    <s v="4.0 UN"/>
    <s v="STANDARD"/>
    <s v="N"/>
    <s v="Y"/>
    <s v="N"/>
    <s v="T35"/>
    <s v="Y"/>
    <s v="N"/>
    <s v="Y"/>
    <s v="N"/>
    <s v="B026"/>
    <d v="2016-11-18T00:00:00"/>
    <s v="20"/>
    <s v="TAN"/>
    <s v="OR"/>
    <d v="2016-11-15T00:00:00"/>
    <s v="MN"/>
    <s v="US"/>
    <s v="ZR"/>
    <d v="2016-11-15T00:00:00"/>
  </r>
  <r>
    <x v="1"/>
    <x v="7"/>
    <x v="1773"/>
    <x v="31"/>
    <s v="Standard order"/>
    <x v="1666"/>
    <x v="1660"/>
    <s v="8512"/>
    <s v="BTS 8512"/>
    <s v="5002875"/>
    <s v="8512 BTS T35 PB SYSTIVA P200"/>
    <n v="96"/>
    <n v="0"/>
    <n v="96"/>
    <x v="7"/>
    <s v="FX73"/>
    <s v="PRO 200"/>
    <s v="333"/>
    <s v="4.0 UN"/>
    <s v="STANDARD"/>
    <s v="N"/>
    <s v="Y"/>
    <s v="N"/>
    <s v="T35"/>
    <s v="Y"/>
    <s v="N"/>
    <s v="Y"/>
    <s v="N"/>
    <s v="B028"/>
    <d v="2016-11-18T00:00:00"/>
    <s v="10"/>
    <s v="TAN"/>
    <s v="OR"/>
    <d v="2016-11-15T00:00:00"/>
    <s v="ND"/>
    <s v="US"/>
    <s v="ZR"/>
    <d v="2016-11-15T00:00:00"/>
  </r>
  <r>
    <x v="1"/>
    <x v="7"/>
    <x v="1774"/>
    <x v="31"/>
    <s v="Standard order"/>
    <x v="1667"/>
    <x v="1661"/>
    <s v="8233"/>
    <s v="BTS 82RR33"/>
    <s v="5002775"/>
    <s v="8233 BTS T35 PB SYSTIVA RP"/>
    <n v="72"/>
    <n v="0"/>
    <n v="72"/>
    <x v="7"/>
    <s v="DRMC"/>
    <s v="RP"/>
    <s v="333"/>
    <s v="4.0 UN"/>
    <s v="STANDARD"/>
    <s v="N"/>
    <s v="Y"/>
    <s v="N"/>
    <s v="T35"/>
    <s v="Y"/>
    <s v="N"/>
    <s v="Y"/>
    <s v="N"/>
    <s v="B028"/>
    <d v="2016-11-18T00:00:00"/>
    <s v="10"/>
    <s v="TAN"/>
    <s v="OR"/>
    <d v="2016-11-15T00:00:00"/>
    <s v="ND"/>
    <s v="US"/>
    <s v="ZR"/>
    <d v="2016-11-15T00:00:00"/>
  </r>
  <r>
    <x v="1"/>
    <x v="7"/>
    <x v="1774"/>
    <x v="31"/>
    <s v="Standard order"/>
    <x v="1667"/>
    <x v="1661"/>
    <s v="8512"/>
    <s v="BTS 8512"/>
    <s v="5002876"/>
    <s v="8512 BTS T35 PB SYSTIVA RP"/>
    <n v="72"/>
    <n v="0"/>
    <n v="72"/>
    <x v="7"/>
    <s v="FX73"/>
    <s v="RP"/>
    <s v="333"/>
    <s v="4.0 UN"/>
    <s v="STANDARD"/>
    <s v="N"/>
    <s v="Y"/>
    <s v="N"/>
    <s v="T35"/>
    <s v="Y"/>
    <s v="N"/>
    <s v="Y"/>
    <s v="N"/>
    <s v="B028"/>
    <d v="2016-11-18T00:00:00"/>
    <s v="20"/>
    <s v="TAN"/>
    <s v="OR"/>
    <d v="2016-11-15T00:00:00"/>
    <s v="ND"/>
    <s v="US"/>
    <s v="ZR"/>
    <d v="2016-11-15T00:00:00"/>
  </r>
  <r>
    <x v="1"/>
    <x v="7"/>
    <x v="1775"/>
    <x v="38"/>
    <s v="Standard order"/>
    <x v="1668"/>
    <x v="1662"/>
    <s v="8337"/>
    <s v="BTS 8337"/>
    <s v="5002795"/>
    <s v="8337 RP BetaShield"/>
    <n v="128"/>
    <n v="0"/>
    <n v="128"/>
    <x v="7"/>
    <s v="DHMC"/>
    <s v="RP"/>
    <s v="333"/>
    <s v="4.0 UN"/>
    <s v="STANDARD"/>
    <s v="N"/>
    <s v="Y"/>
    <s v="N"/>
    <s v="T35"/>
    <s v="Y"/>
    <s v="N"/>
    <s v="Y"/>
    <s v="N"/>
    <s v=""/>
    <d v="2016-11-15T00:00:00"/>
    <s v="10"/>
    <s v="TAN"/>
    <s v="OR"/>
    <d v="2016-12-29T00:00:00"/>
    <s v="MN"/>
    <s v="US"/>
    <s v="ZR"/>
    <d v="2016-11-15T00:00:00"/>
  </r>
  <r>
    <x v="1"/>
    <x v="7"/>
    <x v="1776"/>
    <x v="31"/>
    <s v="Standard order"/>
    <x v="1669"/>
    <x v="1663"/>
    <s v="8052"/>
    <s v="BTS 80RR52"/>
    <s v="5002739"/>
    <s v="8052 BTS T35 SYSTIVA RP"/>
    <n v="80"/>
    <n v="0"/>
    <n v="80"/>
    <x v="7"/>
    <s v="AP82"/>
    <s v="RP"/>
    <s v="334"/>
    <s v="4.0 UN"/>
    <s v="STANDARD"/>
    <s v="N"/>
    <s v="N"/>
    <s v="N"/>
    <s v="T35"/>
    <s v="Y"/>
    <s v="N"/>
    <s v="Y"/>
    <s v="N"/>
    <s v="B028"/>
    <d v="2016-11-18T00:00:00"/>
    <s v="30"/>
    <s v="TAN"/>
    <s v="OR"/>
    <d v="2016-11-15T00:00:00"/>
    <s v="MN"/>
    <s v="US"/>
    <s v="ZR"/>
    <d v="2016-11-15T00:00:00"/>
  </r>
  <r>
    <x v="1"/>
    <x v="7"/>
    <x v="1776"/>
    <x v="31"/>
    <s v="Standard order"/>
    <x v="1669"/>
    <x v="1663"/>
    <s v="8524"/>
    <s v="BTS 8524"/>
    <s v="5002900"/>
    <s v="8524 BTS T35 SYSTIVA RP"/>
    <n v="80"/>
    <n v="0"/>
    <n v="80"/>
    <x v="7"/>
    <s v="FWND"/>
    <s v="RP"/>
    <s v="334"/>
    <s v="4.0 UN"/>
    <s v="STANDARD"/>
    <s v="N"/>
    <s v="N"/>
    <s v="N"/>
    <s v="T35"/>
    <s v="Y"/>
    <s v="N"/>
    <s v="Y"/>
    <s v="N"/>
    <s v="B028"/>
    <d v="2016-11-18T00:00:00"/>
    <s v="20"/>
    <s v="TAN"/>
    <s v="OR"/>
    <d v="2016-11-15T00:00:00"/>
    <s v="MN"/>
    <s v="US"/>
    <s v="ZR"/>
    <d v="2016-11-15T00:00:00"/>
  </r>
  <r>
    <x v="1"/>
    <x v="7"/>
    <x v="1777"/>
    <x v="37"/>
    <s v="Standard order"/>
    <x v="1670"/>
    <x v="1664"/>
    <s v="8052"/>
    <s v="BTS 80RR52"/>
    <s v="5002735"/>
    <s v="8052 BTS T35 PB SYSTIVA RP"/>
    <n v="32"/>
    <n v="0"/>
    <n v="32"/>
    <x v="7"/>
    <s v="AP82"/>
    <s v="RP"/>
    <s v="333"/>
    <s v="4.0 UN"/>
    <s v="STANDARD"/>
    <s v="N"/>
    <s v="Y"/>
    <s v="N"/>
    <s v="T35"/>
    <s v="Y"/>
    <s v="N"/>
    <s v="Y"/>
    <s v="N"/>
    <s v="B033"/>
    <d v="2016-11-18T00:00:00"/>
    <s v="10"/>
    <s v="TAN"/>
    <s v="OR"/>
    <d v="2016-11-14T00:00:00"/>
    <s v="MN"/>
    <s v="US"/>
    <s v="ZR"/>
    <d v="2016-11-15T00:00:00"/>
  </r>
  <r>
    <x v="1"/>
    <x v="7"/>
    <x v="1778"/>
    <x v="36"/>
    <s v="Standard order"/>
    <x v="1671"/>
    <x v="1665"/>
    <s v="8500"/>
    <s v="BTS 8500"/>
    <s v="5002843"/>
    <s v="8500 BTS T20 PB SYSTIVA MP"/>
    <n v="96"/>
    <n v="0"/>
    <n v="96"/>
    <x v="7"/>
    <s v="FTND"/>
    <s v="MP"/>
    <s v="322"/>
    <s v="4.0 UN"/>
    <s v="STANDARD"/>
    <s v="N"/>
    <s v="N"/>
    <s v="N"/>
    <s v="T20"/>
    <s v="Y"/>
    <s v="N"/>
    <s v="Y"/>
    <s v="N"/>
    <s v="B027"/>
    <d v="2016-11-18T00:00:00"/>
    <s v="10"/>
    <s v="TAN"/>
    <s v="OR"/>
    <d v="2016-11-15T00:00:00"/>
    <s v="MN"/>
    <s v="US"/>
    <s v="ZR"/>
    <d v="2016-11-15T00:00:00"/>
  </r>
  <r>
    <x v="1"/>
    <x v="7"/>
    <x v="1779"/>
    <x v="36"/>
    <s v="Standard order"/>
    <x v="1672"/>
    <x v="1666"/>
    <s v="8500"/>
    <s v="BTS 8500"/>
    <s v="5002856"/>
    <s v="8500 BTS T35 PB SYSTIVA RP"/>
    <n v="96"/>
    <n v="0"/>
    <n v="96"/>
    <x v="7"/>
    <s v="FTND"/>
    <s v="RP"/>
    <s v="333"/>
    <s v="4.0 UN"/>
    <s v="STANDARD"/>
    <s v="N"/>
    <s v="Y"/>
    <s v="N"/>
    <s v="T35"/>
    <s v="Y"/>
    <s v="N"/>
    <s v="Y"/>
    <s v="N"/>
    <s v="B027"/>
    <d v="2016-11-18T00:00:00"/>
    <s v="10"/>
    <s v="TAN"/>
    <s v="OR"/>
    <d v="2016-11-15T00:00:00"/>
    <s v="MN"/>
    <s v="US"/>
    <s v="ZR"/>
    <d v="2016-11-15T00:00:00"/>
  </r>
  <r>
    <x v="1"/>
    <x v="7"/>
    <x v="1779"/>
    <x v="36"/>
    <s v="Standard order"/>
    <x v="1672"/>
    <x v="1666"/>
    <s v="8052"/>
    <s v="BTS 80RR52"/>
    <s v="5002735"/>
    <s v="8052 BTS T35 PB SYSTIVA RP"/>
    <n v="48"/>
    <n v="0"/>
    <n v="48"/>
    <x v="7"/>
    <s v="AP82"/>
    <s v="RP"/>
    <s v="333"/>
    <s v="4.0 UN"/>
    <s v="STANDARD"/>
    <s v="N"/>
    <s v="Y"/>
    <s v="N"/>
    <s v="T35"/>
    <s v="Y"/>
    <s v="N"/>
    <s v="Y"/>
    <s v="N"/>
    <s v="B027"/>
    <d v="2016-11-18T00:00:00"/>
    <s v="20"/>
    <s v="TAN"/>
    <s v="OR"/>
    <d v="2016-11-15T00:00:00"/>
    <s v="MN"/>
    <s v="US"/>
    <s v="ZR"/>
    <d v="2016-11-15T00:00:00"/>
  </r>
  <r>
    <x v="1"/>
    <x v="7"/>
    <x v="1780"/>
    <x v="33"/>
    <s v="Standard order"/>
    <x v="1673"/>
    <x v="1667"/>
    <s v="8337"/>
    <s v="BTS 8337"/>
    <s v="5002795"/>
    <s v="8337 BTS T35 PB SYSTIVA RP"/>
    <n v="72"/>
    <n v="0"/>
    <n v="72"/>
    <x v="7"/>
    <s v="DHMC"/>
    <s v="RP"/>
    <s v="333"/>
    <s v="4.0 UN"/>
    <s v="STANDARD"/>
    <s v="N"/>
    <s v="Y"/>
    <s v="N"/>
    <s v="T35"/>
    <s v="Y"/>
    <s v="N"/>
    <s v="Y"/>
    <s v="N"/>
    <s v="B026"/>
    <d v="2016-11-18T00:00:00"/>
    <s v="10"/>
    <s v="TAN"/>
    <s v="OR"/>
    <d v="2016-11-15T00:00:00"/>
    <s v="ND"/>
    <s v="US"/>
    <s v="ZR"/>
    <d v="2016-11-15T00:00:00"/>
  </r>
  <r>
    <x v="1"/>
    <x v="7"/>
    <x v="1780"/>
    <x v="33"/>
    <s v="Standard order"/>
    <x v="1673"/>
    <x v="1667"/>
    <s v="8500"/>
    <s v="BTS 8500"/>
    <s v="5002856"/>
    <s v="8500 BTS T35 PB SYSTIVA RP"/>
    <n v="96"/>
    <n v="0"/>
    <n v="96"/>
    <x v="7"/>
    <s v="FTND"/>
    <s v="RP"/>
    <s v="333"/>
    <s v="4.0 UN"/>
    <s v="STANDARD"/>
    <s v="N"/>
    <s v="Y"/>
    <s v="N"/>
    <s v="T35"/>
    <s v="Y"/>
    <s v="N"/>
    <s v="Y"/>
    <s v="N"/>
    <s v="B026"/>
    <d v="2016-11-18T00:00:00"/>
    <s v="20"/>
    <s v="TAN"/>
    <s v="OR"/>
    <d v="2016-11-15T00:00:00"/>
    <s v="ND"/>
    <s v="US"/>
    <s v="ZR"/>
    <d v="2016-11-15T00:00:00"/>
  </r>
  <r>
    <x v="1"/>
    <x v="7"/>
    <x v="1780"/>
    <x v="33"/>
    <s v="Standard order"/>
    <x v="1673"/>
    <x v="1667"/>
    <s v="8572"/>
    <s v="BTS 8572"/>
    <s v="5003215"/>
    <s v="8572 BTS T35 PB SYSTIVA RP"/>
    <n v="96"/>
    <n v="0"/>
    <n v="96"/>
    <x v="7"/>
    <s v="FENB"/>
    <s v="RP"/>
    <s v="333"/>
    <s v="4.0 UN"/>
    <s v="STANDARD"/>
    <s v="N"/>
    <s v="Y"/>
    <s v="N"/>
    <s v="T35"/>
    <s v="Y"/>
    <s v="N"/>
    <s v="Y"/>
    <s v="N"/>
    <s v="B026"/>
    <d v="2016-11-18T00:00:00"/>
    <s v="30"/>
    <s v="TAN"/>
    <s v="OR"/>
    <d v="2016-11-15T00:00:00"/>
    <s v="ND"/>
    <s v="US"/>
    <s v="ZR"/>
    <d v="2016-11-15T00:00:00"/>
  </r>
  <r>
    <x v="1"/>
    <x v="8"/>
    <x v="1781"/>
    <x v="34"/>
    <s v="Returns Standard SAP"/>
    <x v="1343"/>
    <x v="1338"/>
    <s v="541N"/>
    <s v="BTS 541N"/>
    <s v="5002601"/>
    <s v="541N P100"/>
    <n v="-8"/>
    <n v="-8"/>
    <n v="0"/>
    <x v="8"/>
    <s v="BK71"/>
    <s v="PRO 100"/>
    <s v="306"/>
    <s v="4.0 UN"/>
    <s v="STANDARD"/>
    <s v="N"/>
    <s v="N"/>
    <s v="N"/>
    <s v="N"/>
    <s v="N"/>
    <s v="N"/>
    <s v="N"/>
    <s v="N"/>
    <s v=""/>
    <m/>
    <s v="10"/>
    <s v="ZSRE"/>
    <s v="ZSRE"/>
    <d v="2016-11-30T00:00:00"/>
    <s v="CA"/>
    <s v="US"/>
    <s v="ZR"/>
    <d v="2016-11-15T00:00:00"/>
  </r>
  <r>
    <x v="1"/>
    <x v="8"/>
    <x v="1782"/>
    <x v="34"/>
    <s v="Returns Standard SAP"/>
    <x v="1374"/>
    <x v="1369"/>
    <s v="5499"/>
    <s v="BTS 5499"/>
    <s v="5002606"/>
    <s v="5499 BTS P50"/>
    <n v="-8"/>
    <n v="-8"/>
    <n v="0"/>
    <x v="8"/>
    <s v="DRMG"/>
    <s v="PRO 50"/>
    <s v="306"/>
    <s v="4.0 UN"/>
    <s v="STANDARD"/>
    <s v="N"/>
    <s v="N"/>
    <s v="N"/>
    <s v="N"/>
    <s v="N"/>
    <s v="N"/>
    <s v="N"/>
    <s v="N"/>
    <s v="B052"/>
    <m/>
    <s v="10"/>
    <s v="ZSRE"/>
    <s v="ZSRE"/>
    <d v="2016-11-23T00:00:00"/>
    <s v="CA"/>
    <s v="US"/>
    <s v="ZR"/>
    <d v="2016-11-15T00:00:00"/>
  </r>
  <r>
    <x v="1"/>
    <x v="8"/>
    <x v="1782"/>
    <x v="34"/>
    <s v="Returns Standard SAP"/>
    <x v="1374"/>
    <x v="1369"/>
    <s v="5245"/>
    <s v="BTS 52RR45"/>
    <s v="5002600"/>
    <s v="5245 BTS P50"/>
    <n v="-16"/>
    <n v="-16"/>
    <n v="0"/>
    <x v="8"/>
    <s v="4D15"/>
    <s v="PRO 50"/>
    <s v="306"/>
    <s v="4.0 UN"/>
    <s v="STANDARD"/>
    <s v="N"/>
    <s v="N"/>
    <s v="N"/>
    <s v="N"/>
    <s v="N"/>
    <s v="N"/>
    <s v="N"/>
    <s v="N"/>
    <s v="B052"/>
    <m/>
    <s v="20"/>
    <s v="ZSRE"/>
    <s v="ZSRE"/>
    <d v="2016-11-23T00:00:00"/>
    <s v="CA"/>
    <s v="US"/>
    <s v="ZR"/>
    <d v="2016-11-15T00:00:00"/>
  </r>
  <r>
    <x v="1"/>
    <x v="7"/>
    <x v="1783"/>
    <x v="33"/>
    <s v="Standard order"/>
    <x v="1674"/>
    <x v="1668"/>
    <s v="8337"/>
    <s v="BTS 8337"/>
    <s v="5002795"/>
    <s v="8337 BTS T35 PB SYSTIVA RP"/>
    <n v="48"/>
    <n v="0"/>
    <n v="48"/>
    <x v="7"/>
    <s v="DHMC"/>
    <s v="RP"/>
    <s v="333"/>
    <s v="4.0 UN"/>
    <s v="STANDARD"/>
    <s v="N"/>
    <s v="Y"/>
    <s v="N"/>
    <s v="T35"/>
    <s v="Y"/>
    <s v="N"/>
    <s v="Y"/>
    <s v="N"/>
    <s v="B026"/>
    <d v="2016-11-21T00:00:00"/>
    <s v="10"/>
    <s v="TAN"/>
    <s v="OR"/>
    <d v="2016-11-16T00:00:00"/>
    <s v="MN"/>
    <s v="US"/>
    <s v="ZR"/>
    <d v="2016-11-16T00:00:00"/>
  </r>
  <r>
    <x v="1"/>
    <x v="7"/>
    <x v="1783"/>
    <x v="33"/>
    <s v="Standard order"/>
    <x v="1674"/>
    <x v="1668"/>
    <s v="8524"/>
    <s v="BTS 8524"/>
    <s v="5002896"/>
    <s v="8524 BTS T35 PB SYSTIVA RP"/>
    <n v="48"/>
    <n v="0"/>
    <n v="48"/>
    <x v="7"/>
    <s v="FWND"/>
    <s v="RP"/>
    <s v="333"/>
    <s v="4.0 UN"/>
    <s v="STANDARD"/>
    <s v="N"/>
    <s v="Y"/>
    <s v="N"/>
    <s v="T35"/>
    <s v="Y"/>
    <s v="N"/>
    <s v="Y"/>
    <s v="N"/>
    <s v="B026"/>
    <d v="2016-11-21T00:00:00"/>
    <s v="20"/>
    <s v="TAN"/>
    <s v="OR"/>
    <d v="2016-11-16T00:00:00"/>
    <s v="MN"/>
    <s v="US"/>
    <s v="ZR"/>
    <d v="2016-11-16T00:00:00"/>
  </r>
  <r>
    <x v="1"/>
    <x v="7"/>
    <x v="1784"/>
    <x v="33"/>
    <s v="Standard order"/>
    <x v="1675"/>
    <x v="1669"/>
    <s v="8337"/>
    <s v="BTS 8337"/>
    <s v="5002795"/>
    <s v="8337 BTS T35 PB SYSTIVA RP"/>
    <n v="48"/>
    <n v="0"/>
    <n v="48"/>
    <x v="7"/>
    <s v="DHMC"/>
    <s v="RP"/>
    <s v="333"/>
    <s v="4.0 UN"/>
    <s v="STANDARD"/>
    <s v="N"/>
    <s v="Y"/>
    <s v="N"/>
    <s v="T35"/>
    <s v="Y"/>
    <s v="N"/>
    <s v="Y"/>
    <s v="N"/>
    <s v="B026"/>
    <d v="2016-11-21T00:00:00"/>
    <s v="20"/>
    <s v="TAN"/>
    <s v="OR"/>
    <d v="2016-11-16T00:00:00"/>
    <s v="MN"/>
    <s v="US"/>
    <s v="ZR"/>
    <d v="2016-11-16T00:00:00"/>
  </r>
  <r>
    <x v="1"/>
    <x v="7"/>
    <x v="1785"/>
    <x v="39"/>
    <s v="Standard order"/>
    <x v="1676"/>
    <x v="1670"/>
    <s v="8500"/>
    <s v="BTS 8500"/>
    <s v="5002856"/>
    <s v="8500 BTS T35 PB SYSTIVA RP"/>
    <n v="120"/>
    <n v="0"/>
    <n v="120"/>
    <x v="7"/>
    <s v="FTND"/>
    <s v="RP"/>
    <s v="333"/>
    <s v="4.0 UN"/>
    <s v="STANDARD"/>
    <s v="N"/>
    <s v="Y"/>
    <s v="N"/>
    <s v="T35"/>
    <s v="Y"/>
    <s v="N"/>
    <s v="Y"/>
    <s v="N"/>
    <s v="B030"/>
    <d v="2016-11-21T00:00:00"/>
    <s v="10"/>
    <s v="TAN"/>
    <s v="OR"/>
    <d v="2016-11-16T00:00:00"/>
    <s v="MN"/>
    <s v="US"/>
    <s v="ZR"/>
    <d v="2016-11-16T00:00:00"/>
  </r>
  <r>
    <x v="1"/>
    <x v="7"/>
    <x v="1786"/>
    <x v="39"/>
    <s v="Standard order"/>
    <x v="1677"/>
    <x v="1671"/>
    <s v="8337"/>
    <s v="BTS 8337"/>
    <s v="5002799"/>
    <s v="8337 BTS T35 SYSTIVA RP"/>
    <n v="144"/>
    <n v="0"/>
    <n v="144"/>
    <x v="7"/>
    <s v="DHMC"/>
    <s v="RP"/>
    <s v="334"/>
    <s v="4.0 UN"/>
    <s v="STANDARD"/>
    <s v="N"/>
    <s v="N"/>
    <s v="N"/>
    <s v="T35"/>
    <s v="Y"/>
    <s v="N"/>
    <s v="Y"/>
    <s v="N"/>
    <s v="B030"/>
    <d v="2016-11-21T00:00:00"/>
    <s v="10"/>
    <s v="TAN"/>
    <s v="OR"/>
    <d v="2016-11-16T00:00:00"/>
    <s v="MN"/>
    <s v="US"/>
    <s v="ZR"/>
    <d v="2016-11-16T00:00:00"/>
  </r>
  <r>
    <x v="1"/>
    <x v="7"/>
    <x v="1786"/>
    <x v="39"/>
    <s v="Standard order"/>
    <x v="1677"/>
    <x v="1671"/>
    <s v="8572"/>
    <s v="BTS 8572"/>
    <s v="5003219"/>
    <s v="8572 BTS T35 SYSTIVA RP"/>
    <n v="176"/>
    <n v="0"/>
    <n v="176"/>
    <x v="7"/>
    <s v="FENB"/>
    <s v="RP"/>
    <s v="334"/>
    <s v="4.0 UN"/>
    <s v="STANDARD"/>
    <s v="N"/>
    <s v="N"/>
    <s v="N"/>
    <s v="T35"/>
    <s v="Y"/>
    <s v="N"/>
    <s v="Y"/>
    <s v="N"/>
    <s v="B030"/>
    <d v="2016-11-21T00:00:00"/>
    <s v="20"/>
    <s v="TAN"/>
    <s v="OR"/>
    <d v="2016-11-16T00:00:00"/>
    <s v="MN"/>
    <s v="US"/>
    <s v="ZR"/>
    <d v="2016-11-16T00:00:00"/>
  </r>
  <r>
    <x v="1"/>
    <x v="7"/>
    <x v="1787"/>
    <x v="37"/>
    <s v="Standard order"/>
    <x v="1678"/>
    <x v="1672"/>
    <s v="8524"/>
    <s v="BTS 8524"/>
    <s v="5002895"/>
    <s v="8524 BTS T35 PB SYSTIVA P200"/>
    <n v="96"/>
    <n v="0"/>
    <n v="96"/>
    <x v="7"/>
    <s v="FWND"/>
    <s v="PRO 200"/>
    <s v="333"/>
    <s v="4.0 UN"/>
    <s v="STANDARD"/>
    <s v="N"/>
    <s v="Y"/>
    <s v="N"/>
    <s v="T35"/>
    <s v="Y"/>
    <s v="N"/>
    <s v="Y"/>
    <s v="N"/>
    <s v="B033"/>
    <d v="2016-11-21T00:00:00"/>
    <s v="10"/>
    <s v="TAN"/>
    <s v="OR"/>
    <d v="2016-11-16T00:00:00"/>
    <s v="ND"/>
    <s v="US"/>
    <s v="ZR"/>
    <d v="2016-11-16T00:00:00"/>
  </r>
  <r>
    <x v="1"/>
    <x v="7"/>
    <x v="1787"/>
    <x v="37"/>
    <s v="Standard order"/>
    <x v="1678"/>
    <x v="1672"/>
    <s v="8500"/>
    <s v="BTS 8500"/>
    <s v="5002855"/>
    <s v="8500 BTS T35 PB SYSTIVA P200"/>
    <n v="96"/>
    <n v="0"/>
    <n v="96"/>
    <x v="7"/>
    <s v="FTND"/>
    <s v="PRO 200"/>
    <s v="333"/>
    <s v="4.0 UN"/>
    <s v="STANDARD"/>
    <s v="N"/>
    <s v="Y"/>
    <s v="N"/>
    <s v="T35"/>
    <s v="Y"/>
    <s v="N"/>
    <s v="Y"/>
    <s v="N"/>
    <s v="B033"/>
    <d v="2016-11-21T00:00:00"/>
    <s v="20"/>
    <s v="TAN"/>
    <s v="OR"/>
    <d v="2016-11-16T00:00:00"/>
    <s v="ND"/>
    <s v="US"/>
    <s v="ZR"/>
    <d v="2016-11-16T00:00:00"/>
  </r>
  <r>
    <x v="1"/>
    <x v="7"/>
    <x v="1787"/>
    <x v="37"/>
    <s v="Standard order"/>
    <x v="1678"/>
    <x v="1672"/>
    <s v="8052"/>
    <s v="BTS 80RR52"/>
    <s v="5002734"/>
    <s v="8052 BTS T35 PB SYSTIVA P200"/>
    <n v="192"/>
    <n v="0"/>
    <n v="192"/>
    <x v="7"/>
    <s v="AP82"/>
    <s v="PRO 200"/>
    <s v="333"/>
    <s v="4.0 UN"/>
    <s v="STANDARD"/>
    <s v="N"/>
    <s v="Y"/>
    <s v="N"/>
    <s v="T35"/>
    <s v="Y"/>
    <s v="N"/>
    <s v="Y"/>
    <s v="N"/>
    <s v="B033"/>
    <d v="2016-11-21T00:00:00"/>
    <s v="30"/>
    <s v="TAN"/>
    <s v="OR"/>
    <d v="2016-11-16T00:00:00"/>
    <s v="ND"/>
    <s v="US"/>
    <s v="ZR"/>
    <d v="2016-11-16T00:00:00"/>
  </r>
  <r>
    <x v="1"/>
    <x v="7"/>
    <x v="1788"/>
    <x v="37"/>
    <s v="Standard order"/>
    <x v="1679"/>
    <x v="1673"/>
    <s v="8337"/>
    <s v="BTS 8337"/>
    <s v="5002795"/>
    <s v="8337 BTS T35 PB SYSTIVA RP"/>
    <n v="36"/>
    <n v="0"/>
    <n v="36"/>
    <x v="7"/>
    <s v="DHMC"/>
    <s v="RP"/>
    <s v="333"/>
    <s v="4.0 UN"/>
    <s v="STANDARD"/>
    <s v="N"/>
    <s v="Y"/>
    <s v="N"/>
    <s v="T35"/>
    <s v="Y"/>
    <s v="N"/>
    <s v="Y"/>
    <s v="N"/>
    <s v="B033"/>
    <d v="2016-11-21T00:00:00"/>
    <s v="10"/>
    <s v="TAN"/>
    <s v="OR"/>
    <d v="2016-11-16T00:00:00"/>
    <s v="MN"/>
    <s v="US"/>
    <s v="ZR"/>
    <d v="2016-11-16T00:00:00"/>
  </r>
  <r>
    <x v="1"/>
    <x v="8"/>
    <x v="1789"/>
    <x v="34"/>
    <s v="Returns Standard SAP"/>
    <x v="1379"/>
    <x v="1374"/>
    <s v="5499"/>
    <s v="BTS 5499"/>
    <s v="5002605"/>
    <s v="5499 BTS P100"/>
    <n v="-16"/>
    <n v="-16"/>
    <n v="0"/>
    <x v="8"/>
    <s v="DRMG"/>
    <s v="PRO 100"/>
    <s v="306"/>
    <s v="4.0 UN"/>
    <s v="STANDARD"/>
    <s v="N"/>
    <s v="N"/>
    <s v="N"/>
    <s v="N"/>
    <s v="N"/>
    <s v="N"/>
    <s v="N"/>
    <s v="N"/>
    <s v="B052"/>
    <m/>
    <s v="10"/>
    <s v="ZSRE"/>
    <s v="ZSRE"/>
    <d v="2016-11-30T00:00:00"/>
    <s v="CA"/>
    <s v="US"/>
    <s v="ZR"/>
    <d v="2016-11-16T00:00:00"/>
  </r>
  <r>
    <x v="1"/>
    <x v="8"/>
    <x v="1789"/>
    <x v="34"/>
    <s v="Returns Standard SAP"/>
    <x v="1379"/>
    <x v="1374"/>
    <s v="541N"/>
    <s v="BTS 541N"/>
    <s v="5002601"/>
    <s v="541N BTS P100"/>
    <n v="-4"/>
    <n v="-4"/>
    <n v="0"/>
    <x v="8"/>
    <s v="BK71"/>
    <s v="PRO 100"/>
    <s v="306"/>
    <s v="4.0 UN"/>
    <s v="STANDARD"/>
    <s v="N"/>
    <s v="N"/>
    <s v="N"/>
    <s v="N"/>
    <s v="N"/>
    <s v="N"/>
    <s v="N"/>
    <s v="N"/>
    <s v="B052"/>
    <m/>
    <s v="20"/>
    <s v="ZSRE"/>
    <s v="ZSRE"/>
    <d v="2016-11-30T00:00:00"/>
    <s v="CA"/>
    <s v="US"/>
    <s v="ZR"/>
    <d v="2016-11-16T00:00:00"/>
  </r>
  <r>
    <x v="1"/>
    <x v="8"/>
    <x v="1789"/>
    <x v="34"/>
    <s v="Returns Standard SAP"/>
    <x v="1379"/>
    <x v="1374"/>
    <s v="5245"/>
    <s v="BTS 52RR45"/>
    <s v="5002300"/>
    <s v="52RR45 P100"/>
    <n v="-4"/>
    <n v="-4"/>
    <n v="0"/>
    <x v="8"/>
    <s v="4D15"/>
    <s v="PRO 100"/>
    <s v="306"/>
    <s v="4.0 UN"/>
    <s v="STANDARD"/>
    <s v="N"/>
    <s v="N"/>
    <s v="N"/>
    <s v="N"/>
    <s v="N"/>
    <s v="N"/>
    <s v="N"/>
    <s v="N"/>
    <s v=""/>
    <m/>
    <s v="30"/>
    <s v="ZSRE"/>
    <s v="ZSRE"/>
    <d v="2016-11-30T00:00:00"/>
    <s v="CA"/>
    <s v="US"/>
    <s v="ZR"/>
    <d v="2016-11-16T00:00:00"/>
  </r>
  <r>
    <x v="1"/>
    <x v="7"/>
    <x v="1790"/>
    <x v="36"/>
    <s v="Standard order"/>
    <x v="1680"/>
    <x v="1674"/>
    <s v="8500"/>
    <s v="BTS 8500"/>
    <s v="5002856"/>
    <s v="8500 BTS T35 PB SYSTIVA RP"/>
    <n v="44"/>
    <n v="0"/>
    <n v="44"/>
    <x v="7"/>
    <s v="FTND"/>
    <s v="RP"/>
    <s v="333"/>
    <s v="4.0 UN"/>
    <s v="STANDARD"/>
    <s v="N"/>
    <s v="Y"/>
    <s v="N"/>
    <s v="T35"/>
    <s v="Y"/>
    <s v="N"/>
    <s v="Y"/>
    <s v="N"/>
    <s v="B027"/>
    <d v="2016-11-21T00:00:00"/>
    <s v="20"/>
    <s v="TAN"/>
    <s v="OR"/>
    <d v="2016-11-15T00:00:00"/>
    <s v="MN"/>
    <s v="US"/>
    <s v="ZR"/>
    <d v="2016-11-16T00:00:00"/>
  </r>
  <r>
    <x v="1"/>
    <x v="7"/>
    <x v="1791"/>
    <x v="28"/>
    <s v="Standard order"/>
    <x v="1681"/>
    <x v="1675"/>
    <s v="8363"/>
    <s v="BTS 8363"/>
    <s v="5002815"/>
    <s v="8363 BTS T35 PB SYSTIVA P200"/>
    <n v="60"/>
    <n v="0"/>
    <n v="60"/>
    <x v="7"/>
    <s v="DMMZ"/>
    <s v="PRO 200"/>
    <s v="333"/>
    <s v="4.0 UN"/>
    <s v="STANDARD"/>
    <s v="N"/>
    <s v="Y"/>
    <s v="N"/>
    <s v="T35"/>
    <s v="Y"/>
    <s v="N"/>
    <s v="Y"/>
    <s v="N"/>
    <s v="B056"/>
    <d v="2016-11-21T00:00:00"/>
    <s v="10"/>
    <s v="TAN"/>
    <s v="OR"/>
    <d v="2016-11-16T00:00:00"/>
    <s v="ND"/>
    <s v="US"/>
    <s v="ZR"/>
    <d v="2016-11-16T00:00:00"/>
  </r>
  <r>
    <x v="1"/>
    <x v="7"/>
    <x v="1792"/>
    <x v="33"/>
    <s v="Standard order"/>
    <x v="1682"/>
    <x v="1676"/>
    <s v="8500"/>
    <s v="BTS 8500"/>
    <s v="5002855"/>
    <s v="8500 BTS T35 PB SYSTIVA P200"/>
    <n v="96"/>
    <n v="0"/>
    <n v="96"/>
    <x v="7"/>
    <s v="FTND"/>
    <s v="PRO 200"/>
    <s v="333"/>
    <s v="4.0 UN"/>
    <s v="STANDARD"/>
    <s v="N"/>
    <s v="Y"/>
    <s v="N"/>
    <s v="T35"/>
    <s v="Y"/>
    <s v="N"/>
    <s v="Y"/>
    <s v="N"/>
    <s v="B026"/>
    <d v="2016-11-21T00:00:00"/>
    <s v="40"/>
    <s v="TAN"/>
    <s v="OR"/>
    <d v="2016-11-16T00:00:00"/>
    <s v="MN"/>
    <s v="US"/>
    <s v="ZR"/>
    <d v="2016-11-16T00:00:00"/>
  </r>
  <r>
    <x v="1"/>
    <x v="7"/>
    <x v="1792"/>
    <x v="33"/>
    <s v="Standard order"/>
    <x v="1682"/>
    <x v="1676"/>
    <s v="8052"/>
    <s v="BTS 80RR52"/>
    <s v="5002734"/>
    <s v="8052 BTS T35 PB SYSTIVA P200"/>
    <n v="96"/>
    <n v="0"/>
    <n v="96"/>
    <x v="7"/>
    <s v="AP82"/>
    <s v="PRO 200"/>
    <s v="333"/>
    <s v="4.0 UN"/>
    <s v="STANDARD"/>
    <s v="N"/>
    <s v="Y"/>
    <s v="N"/>
    <s v="T35"/>
    <s v="Y"/>
    <s v="N"/>
    <s v="Y"/>
    <s v="N"/>
    <s v="B026"/>
    <d v="2016-11-21T00:00:00"/>
    <s v="10"/>
    <s v="TAN"/>
    <s v="OR"/>
    <d v="2016-11-16T00:00:00"/>
    <s v="MN"/>
    <s v="US"/>
    <s v="ZR"/>
    <d v="2016-11-16T00:00:00"/>
  </r>
  <r>
    <x v="1"/>
    <x v="7"/>
    <x v="1792"/>
    <x v="33"/>
    <s v="Standard order"/>
    <x v="1682"/>
    <x v="1676"/>
    <s v="8337"/>
    <s v="BTS 8337"/>
    <s v="5002794"/>
    <s v="8337 BTS T35 PB SYSTIVA P200"/>
    <n v="24"/>
    <n v="0"/>
    <n v="24"/>
    <x v="7"/>
    <s v="DHMC"/>
    <s v="PRO 200"/>
    <s v="333"/>
    <s v="4.0 UN"/>
    <s v="STANDARD"/>
    <s v="N"/>
    <s v="Y"/>
    <s v="N"/>
    <s v="T35"/>
    <s v="Y"/>
    <s v="N"/>
    <s v="Y"/>
    <s v="N"/>
    <s v="B026"/>
    <d v="2016-11-21T00:00:00"/>
    <s v="20"/>
    <s v="TAN"/>
    <s v="OR"/>
    <d v="2016-11-16T00:00:00"/>
    <s v="MN"/>
    <s v="US"/>
    <s v="ZR"/>
    <d v="2016-11-16T00:00:00"/>
  </r>
  <r>
    <x v="1"/>
    <x v="7"/>
    <x v="1792"/>
    <x v="33"/>
    <s v="Standard order"/>
    <x v="1682"/>
    <x v="1676"/>
    <s v="8524"/>
    <s v="BTS 8524"/>
    <s v="5002895"/>
    <s v="8524 BTS T35 PB SYSTIVA P200"/>
    <n v="48"/>
    <n v="0"/>
    <n v="48"/>
    <x v="7"/>
    <s v="FWND"/>
    <s v="PRO 200"/>
    <s v="333"/>
    <s v="4.0 UN"/>
    <s v="STANDARD"/>
    <s v="N"/>
    <s v="Y"/>
    <s v="N"/>
    <s v="T35"/>
    <s v="Y"/>
    <s v="N"/>
    <s v="Y"/>
    <s v="N"/>
    <s v="B026"/>
    <d v="2016-11-21T00:00:00"/>
    <s v="30"/>
    <s v="TAN"/>
    <s v="OR"/>
    <d v="2016-11-16T00:00:00"/>
    <s v="MN"/>
    <s v="US"/>
    <s v="ZR"/>
    <d v="2016-11-16T00:00:00"/>
  </r>
  <r>
    <x v="1"/>
    <x v="7"/>
    <x v="1793"/>
    <x v="41"/>
    <s v="Standard order"/>
    <x v="1683"/>
    <x v="1677"/>
    <s v="8572"/>
    <s v="BTS 8572"/>
    <s v="5003219"/>
    <s v="8572 BTS T35 SYSTIVA RP"/>
    <n v="92"/>
    <n v="0"/>
    <n v="92"/>
    <x v="7"/>
    <s v="FENB"/>
    <s v="RP"/>
    <s v="334"/>
    <s v="4.0 UN"/>
    <s v="STANDARD"/>
    <s v="N"/>
    <s v="N"/>
    <s v="N"/>
    <s v="T35"/>
    <s v="Y"/>
    <s v="N"/>
    <s v="Y"/>
    <s v="N"/>
    <s v="B032"/>
    <d v="2016-11-21T00:00:00"/>
    <s v="10"/>
    <s v="TAN"/>
    <s v="OR"/>
    <d v="2016-11-16T00:00:00"/>
    <s v="MN"/>
    <s v="US"/>
    <s v="ZR"/>
    <d v="2016-11-16T00:00:00"/>
  </r>
  <r>
    <x v="1"/>
    <x v="7"/>
    <x v="1794"/>
    <x v="41"/>
    <s v="Standard order"/>
    <x v="1684"/>
    <x v="1678"/>
    <s v="8512"/>
    <s v="BTS 8512"/>
    <s v="5002876"/>
    <s v="8512 BTS T35 PB SYSTIVA RP"/>
    <n v="48"/>
    <n v="0"/>
    <n v="48"/>
    <x v="7"/>
    <s v="FX73"/>
    <s v="RP"/>
    <s v="333"/>
    <s v="4.0 UN"/>
    <s v="STANDARD"/>
    <s v="N"/>
    <s v="Y"/>
    <s v="N"/>
    <s v="T35"/>
    <s v="Y"/>
    <s v="N"/>
    <s v="Y"/>
    <s v="N"/>
    <s v="B032"/>
    <d v="2016-11-21T00:00:00"/>
    <s v="30"/>
    <s v="TAN"/>
    <s v="OR"/>
    <d v="2016-11-16T00:00:00"/>
    <s v="MN"/>
    <s v="US"/>
    <s v="ZR"/>
    <d v="2016-11-16T00:00:00"/>
  </r>
  <r>
    <x v="1"/>
    <x v="7"/>
    <x v="1794"/>
    <x v="41"/>
    <s v="Standard order"/>
    <x v="1684"/>
    <x v="1678"/>
    <s v="8524"/>
    <s v="BTS 8524"/>
    <s v="5002896"/>
    <s v="8524 BTS T35 PB SYSTIVA RP"/>
    <n v="48"/>
    <n v="0"/>
    <n v="48"/>
    <x v="7"/>
    <s v="FWND"/>
    <s v="RP"/>
    <s v="333"/>
    <s v="4.0 UN"/>
    <s v="STANDARD"/>
    <s v="N"/>
    <s v="Y"/>
    <s v="N"/>
    <s v="T35"/>
    <s v="Y"/>
    <s v="N"/>
    <s v="Y"/>
    <s v="N"/>
    <s v="B032"/>
    <d v="2016-11-21T00:00:00"/>
    <s v="10"/>
    <s v="TAN"/>
    <s v="OR"/>
    <d v="2016-11-16T00:00:00"/>
    <s v="MN"/>
    <s v="US"/>
    <s v="ZR"/>
    <d v="2016-11-16T00:00:00"/>
  </r>
  <r>
    <x v="1"/>
    <x v="7"/>
    <x v="1795"/>
    <x v="41"/>
    <s v="Standard order"/>
    <x v="1685"/>
    <x v="1679"/>
    <s v="8500"/>
    <s v="BTS 8500"/>
    <s v="5002860"/>
    <s v="8500 BTS T35 SYSTIVA RP"/>
    <n v="96"/>
    <n v="0"/>
    <n v="96"/>
    <x v="7"/>
    <s v="FTND"/>
    <s v="RP"/>
    <s v="334"/>
    <s v="4.0 UN"/>
    <s v="STANDARD"/>
    <s v="N"/>
    <s v="N"/>
    <s v="N"/>
    <s v="T35"/>
    <s v="Y"/>
    <s v="N"/>
    <s v="Y"/>
    <s v="N"/>
    <s v="B032"/>
    <d v="2016-11-21T00:00:00"/>
    <s v="10"/>
    <s v="TAN"/>
    <s v="OR"/>
    <d v="2016-11-16T00:00:00"/>
    <s v="MN"/>
    <s v="US"/>
    <s v="ZR"/>
    <d v="2016-11-16T00:00:00"/>
  </r>
  <r>
    <x v="1"/>
    <x v="7"/>
    <x v="1795"/>
    <x v="41"/>
    <s v="Standard order"/>
    <x v="1685"/>
    <x v="1679"/>
    <s v="8512"/>
    <s v="BTS 8512"/>
    <s v="5002880"/>
    <s v="8512 BTS T35 SYSTIVA RP"/>
    <n v="88"/>
    <n v="0"/>
    <n v="88"/>
    <x v="7"/>
    <s v="FX73"/>
    <s v="RP"/>
    <s v="334"/>
    <s v="4.0 UN"/>
    <s v="STANDARD"/>
    <s v="N"/>
    <s v="N"/>
    <s v="N"/>
    <s v="T35"/>
    <s v="Y"/>
    <s v="N"/>
    <s v="Y"/>
    <s v="N"/>
    <s v="B032"/>
    <d v="2016-11-21T00:00:00"/>
    <s v="20"/>
    <s v="TAN"/>
    <s v="OR"/>
    <d v="2016-11-16T00:00:00"/>
    <s v="MN"/>
    <s v="US"/>
    <s v="ZR"/>
    <d v="2016-11-16T00:00:00"/>
  </r>
  <r>
    <x v="1"/>
    <x v="7"/>
    <x v="1796"/>
    <x v="33"/>
    <s v="Standard order"/>
    <x v="1686"/>
    <x v="1680"/>
    <s v="8337"/>
    <s v="BTS 8337"/>
    <s v="5002795"/>
    <s v="8337 BTS T35 PB SYSTIVA RP"/>
    <n v="140"/>
    <n v="0"/>
    <n v="140"/>
    <x v="7"/>
    <s v="DHMC"/>
    <s v="RP"/>
    <s v="333"/>
    <s v="4.0 UN"/>
    <s v="STANDARD"/>
    <s v="N"/>
    <s v="Y"/>
    <s v="N"/>
    <s v="T35"/>
    <s v="Y"/>
    <s v="N"/>
    <s v="Y"/>
    <s v="N"/>
    <s v="B026"/>
    <d v="2016-11-21T00:00:00"/>
    <s v="10"/>
    <s v="TAN"/>
    <s v="OR"/>
    <d v="2016-11-16T00:00:00"/>
    <s v="MN"/>
    <s v="US"/>
    <s v="ZR"/>
    <d v="2016-11-16T00:00:00"/>
  </r>
  <r>
    <x v="1"/>
    <x v="8"/>
    <x v="1797"/>
    <x v="34"/>
    <s v="Returns Standard SAP"/>
    <x v="1357"/>
    <x v="1352"/>
    <s v="541N"/>
    <s v="BTS 541N"/>
    <s v="5002601"/>
    <s v="541N P100"/>
    <n v="-20"/>
    <n v="-20"/>
    <n v="0"/>
    <x v="8"/>
    <s v="BK71"/>
    <s v="PRO 100"/>
    <s v="306"/>
    <s v="4.0 UN"/>
    <s v="STANDARD"/>
    <s v="N"/>
    <s v="N"/>
    <s v="N"/>
    <s v="N"/>
    <s v="N"/>
    <s v="N"/>
    <s v="N"/>
    <s v="N"/>
    <s v=""/>
    <m/>
    <s v="10"/>
    <s v="ZSRE"/>
    <s v="ZSRE"/>
    <d v="2016-11-30T00:00:00"/>
    <s v="CA"/>
    <s v="US"/>
    <s v="ZR"/>
    <d v="2016-11-16T00:00:00"/>
  </r>
  <r>
    <x v="1"/>
    <x v="7"/>
    <x v="1798"/>
    <x v="41"/>
    <s v="Standard order"/>
    <x v="1687"/>
    <x v="1681"/>
    <s v="8052"/>
    <s v="BTS 80RR52"/>
    <s v="5002735"/>
    <s v="8052 BTS T35 PB SYSTIVA RP"/>
    <n v="24"/>
    <n v="0"/>
    <n v="24"/>
    <x v="7"/>
    <s v="AP82"/>
    <s v="RP"/>
    <s v="333"/>
    <s v="4.0 UN"/>
    <s v="STANDARD"/>
    <s v="N"/>
    <s v="Y"/>
    <s v="N"/>
    <s v="T35"/>
    <s v="Y"/>
    <s v="N"/>
    <s v="Y"/>
    <s v="N"/>
    <s v="B032"/>
    <d v="2016-11-21T00:00:00"/>
    <s v="10"/>
    <s v="TAN"/>
    <s v="OR"/>
    <d v="2016-11-16T00:00:00"/>
    <s v="MN"/>
    <s v="US"/>
    <s v="ZR"/>
    <d v="2016-11-16T00:00:00"/>
  </r>
  <r>
    <x v="1"/>
    <x v="7"/>
    <x v="1798"/>
    <x v="41"/>
    <s v="Standard order"/>
    <x v="1687"/>
    <x v="1681"/>
    <s v="8524"/>
    <s v="BTS 8524"/>
    <s v="5002896"/>
    <s v="8524 BTS T35 PB SYSTIVA RP"/>
    <n v="96"/>
    <n v="0"/>
    <n v="96"/>
    <x v="7"/>
    <s v="FWND"/>
    <s v="RP"/>
    <s v="333"/>
    <s v="4.0 UN"/>
    <s v="STANDARD"/>
    <s v="N"/>
    <s v="Y"/>
    <s v="N"/>
    <s v="T35"/>
    <s v="Y"/>
    <s v="N"/>
    <s v="Y"/>
    <s v="N"/>
    <s v="B032"/>
    <d v="2016-11-21T00:00:00"/>
    <s v="20"/>
    <s v="TAN"/>
    <s v="OR"/>
    <d v="2016-11-16T00:00:00"/>
    <s v="MN"/>
    <s v="US"/>
    <s v="ZR"/>
    <d v="2016-11-16T00:00:00"/>
  </r>
  <r>
    <x v="1"/>
    <x v="7"/>
    <x v="1799"/>
    <x v="41"/>
    <s v="Standard order"/>
    <x v="1688"/>
    <x v="1682"/>
    <s v="8500"/>
    <s v="BTS 8500"/>
    <s v="5002856"/>
    <s v="8500 BTS T35 PB SYSTIVA RP"/>
    <n v="160"/>
    <n v="0"/>
    <n v="160"/>
    <x v="7"/>
    <s v="FTND"/>
    <s v="RP"/>
    <s v="333"/>
    <s v="4.0 UN"/>
    <s v="STANDARD"/>
    <s v="N"/>
    <s v="Y"/>
    <s v="N"/>
    <s v="T35"/>
    <s v="Y"/>
    <s v="N"/>
    <s v="Y"/>
    <s v="N"/>
    <s v="B032"/>
    <d v="2016-11-21T00:00:00"/>
    <s v="10"/>
    <s v="TAN"/>
    <s v="OR"/>
    <d v="2016-11-16T00:00:00"/>
    <s v="ND"/>
    <s v="US"/>
    <s v="ZR"/>
    <d v="2016-11-16T00:00:00"/>
  </r>
  <r>
    <x v="1"/>
    <x v="7"/>
    <x v="1799"/>
    <x v="41"/>
    <s v="Standard order"/>
    <x v="1688"/>
    <x v="1682"/>
    <s v="8233"/>
    <s v="BTS 82RR33"/>
    <s v="5002775"/>
    <s v="8233 BTS T35 PB SYSTIVA RP"/>
    <n v="68"/>
    <n v="0"/>
    <n v="68"/>
    <x v="7"/>
    <s v="DRMC"/>
    <s v="RP"/>
    <s v="333"/>
    <s v="4.0 UN"/>
    <s v="STANDARD"/>
    <s v="N"/>
    <s v="Y"/>
    <s v="N"/>
    <s v="T35"/>
    <s v="Y"/>
    <s v="N"/>
    <s v="Y"/>
    <s v="N"/>
    <s v="B032"/>
    <d v="2016-11-21T00:00:00"/>
    <s v="20"/>
    <s v="TAN"/>
    <s v="OR"/>
    <d v="2016-11-16T00:00:00"/>
    <s v="ND"/>
    <s v="US"/>
    <s v="ZR"/>
    <d v="2016-11-16T00:00:00"/>
  </r>
  <r>
    <x v="1"/>
    <x v="7"/>
    <x v="1799"/>
    <x v="41"/>
    <s v="Standard order"/>
    <x v="1688"/>
    <x v="1682"/>
    <s v="8524"/>
    <s v="BTS 8524"/>
    <s v="5002896"/>
    <s v="8524 BTS T35 PB SYSTIVA RP"/>
    <n v="32"/>
    <n v="0"/>
    <n v="32"/>
    <x v="7"/>
    <s v="FWND"/>
    <s v="RP"/>
    <s v="333"/>
    <s v="4.0 UN"/>
    <s v="STANDARD"/>
    <s v="N"/>
    <s v="Y"/>
    <s v="N"/>
    <s v="T35"/>
    <s v="Y"/>
    <s v="N"/>
    <s v="Y"/>
    <s v="N"/>
    <s v="B032"/>
    <d v="2016-11-21T00:00:00"/>
    <s v="30"/>
    <s v="TAN"/>
    <s v="OR"/>
    <d v="2016-11-16T00:00:00"/>
    <s v="ND"/>
    <s v="US"/>
    <s v="ZR"/>
    <d v="2016-11-16T00:00:00"/>
  </r>
  <r>
    <x v="1"/>
    <x v="7"/>
    <x v="1800"/>
    <x v="28"/>
    <s v="Standard order"/>
    <x v="1689"/>
    <x v="1683"/>
    <s v="8524"/>
    <s v="BTS 8524"/>
    <s v="5002883"/>
    <s v="8524 BTS T20 PB SYSTIVA MP"/>
    <n v="108"/>
    <n v="0"/>
    <n v="108"/>
    <x v="7"/>
    <s v="FWND"/>
    <s v="MP"/>
    <s v="322"/>
    <s v="4.0 UN"/>
    <s v="STANDARD"/>
    <s v="N"/>
    <s v="N"/>
    <s v="N"/>
    <s v="T20"/>
    <s v="Y"/>
    <s v="N"/>
    <s v="Y"/>
    <s v="N"/>
    <s v="B056"/>
    <d v="2016-11-21T00:00:00"/>
    <s v="10"/>
    <s v="TAN"/>
    <s v="OR"/>
    <d v="2016-11-16T00:00:00"/>
    <s v="ND"/>
    <s v="US"/>
    <s v="ZR"/>
    <d v="2016-11-16T00:00:00"/>
  </r>
  <r>
    <x v="1"/>
    <x v="7"/>
    <x v="1801"/>
    <x v="28"/>
    <s v="Standard order"/>
    <x v="1690"/>
    <x v="1684"/>
    <s v="8500"/>
    <s v="BTS 8500"/>
    <s v="5002844"/>
    <s v="8500 BTS T20 SYSTIVA MP"/>
    <n v="96"/>
    <n v="0"/>
    <n v="96"/>
    <x v="7"/>
    <s v="FTND"/>
    <s v="MP"/>
    <s v="326"/>
    <s v="4.0 UN"/>
    <s v="STANDARD"/>
    <s v="N"/>
    <s v="N"/>
    <s v="N"/>
    <s v="T20"/>
    <s v="Y"/>
    <s v="N"/>
    <s v="Y"/>
    <s v="N"/>
    <s v="B056"/>
    <d v="2016-11-21T00:00:00"/>
    <s v="10"/>
    <s v="TAN"/>
    <s v="OR"/>
    <d v="2016-11-16T00:00:00"/>
    <s v="ND"/>
    <s v="US"/>
    <s v="ZR"/>
    <d v="2016-11-16T00:00:00"/>
  </r>
  <r>
    <x v="1"/>
    <x v="7"/>
    <x v="1801"/>
    <x v="28"/>
    <s v="Standard order"/>
    <x v="1690"/>
    <x v="1684"/>
    <s v="8524"/>
    <s v="BTS 8524"/>
    <s v="5002884"/>
    <s v="8524 BTS T20 SYSTIVA MP"/>
    <n v="96"/>
    <n v="0"/>
    <n v="96"/>
    <x v="7"/>
    <s v="FWND"/>
    <s v="MP"/>
    <s v="326"/>
    <s v="4.0 UN"/>
    <s v="STANDARD"/>
    <s v="N"/>
    <s v="N"/>
    <s v="N"/>
    <s v="T20"/>
    <s v="Y"/>
    <s v="N"/>
    <s v="Y"/>
    <s v="N"/>
    <s v="B056"/>
    <d v="2016-11-21T00:00:00"/>
    <s v="20"/>
    <s v="TAN"/>
    <s v="OR"/>
    <d v="2016-11-16T00:00:00"/>
    <s v="ND"/>
    <s v="US"/>
    <s v="ZR"/>
    <d v="2016-11-16T00:00:00"/>
  </r>
  <r>
    <x v="1"/>
    <x v="7"/>
    <x v="1801"/>
    <x v="28"/>
    <s v="Standard order"/>
    <x v="1690"/>
    <x v="1684"/>
    <s v="8500"/>
    <s v="BTS 8500"/>
    <s v="5002843"/>
    <s v="8500 BTS T20 PB SYSTIVA MP"/>
    <n v="128"/>
    <n v="0"/>
    <n v="128"/>
    <x v="7"/>
    <s v="FTND"/>
    <s v="MP"/>
    <s v="322"/>
    <s v="4.0 UN"/>
    <s v="STANDARD"/>
    <s v="N"/>
    <s v="N"/>
    <s v="N"/>
    <s v="T20"/>
    <s v="Y"/>
    <s v="N"/>
    <s v="Y"/>
    <s v="N"/>
    <s v="B056"/>
    <d v="2016-11-21T00:00:00"/>
    <s v="30"/>
    <s v="TAN"/>
    <s v="OR"/>
    <d v="2016-11-16T00:00:00"/>
    <s v="ND"/>
    <s v="US"/>
    <s v="ZR"/>
    <d v="2016-11-16T00:00:00"/>
  </r>
  <r>
    <x v="1"/>
    <x v="7"/>
    <x v="1801"/>
    <x v="28"/>
    <s v="Standard order"/>
    <x v="1690"/>
    <x v="1684"/>
    <s v="8512"/>
    <s v="BTS 8512"/>
    <s v="5002864"/>
    <s v="8512 BTS T20 SYSTIVA MP"/>
    <n v="60"/>
    <n v="0"/>
    <n v="60"/>
    <x v="7"/>
    <s v="FX73"/>
    <s v="MP"/>
    <s v="326"/>
    <s v="4.0 UN"/>
    <s v="STANDARD"/>
    <s v="N"/>
    <s v="N"/>
    <s v="N"/>
    <s v="T20"/>
    <s v="Y"/>
    <s v="N"/>
    <s v="Y"/>
    <s v="N"/>
    <s v="B056"/>
    <d v="2016-11-21T00:00:00"/>
    <s v="40"/>
    <s v="TAN"/>
    <s v="OR"/>
    <d v="2016-11-16T00:00:00"/>
    <s v="ND"/>
    <s v="US"/>
    <s v="ZR"/>
    <d v="2016-11-16T00:00:00"/>
  </r>
  <r>
    <x v="1"/>
    <x v="7"/>
    <x v="1802"/>
    <x v="39"/>
    <s v="Standard order"/>
    <x v="1691"/>
    <x v="1685"/>
    <s v="8500"/>
    <s v="BTS 8500"/>
    <s v="5002855"/>
    <s v="8500 BTS T35 PB SYSTIVA P200"/>
    <n v="132"/>
    <n v="0"/>
    <n v="132"/>
    <x v="7"/>
    <s v="FTND"/>
    <s v="PRO 200"/>
    <s v="333"/>
    <s v="4.0 UN"/>
    <s v="STANDARD"/>
    <s v="N"/>
    <s v="Y"/>
    <s v="N"/>
    <s v="T35"/>
    <s v="Y"/>
    <s v="N"/>
    <s v="Y"/>
    <s v="N"/>
    <s v="B030"/>
    <d v="2016-11-21T00:00:00"/>
    <s v="10"/>
    <s v="TAN"/>
    <s v="OR"/>
    <d v="2016-11-16T00:00:00"/>
    <s v="MN"/>
    <s v="US"/>
    <s v="ZR"/>
    <d v="2016-11-16T00:00:00"/>
  </r>
  <r>
    <x v="1"/>
    <x v="7"/>
    <x v="1802"/>
    <x v="39"/>
    <s v="Standard order"/>
    <x v="1691"/>
    <x v="1685"/>
    <s v="8524"/>
    <s v="BTS 8524"/>
    <s v="5002895"/>
    <s v="8524 BTS T35 PB SYSTIVA P200"/>
    <n v="288"/>
    <n v="0"/>
    <n v="288"/>
    <x v="7"/>
    <s v="FWND"/>
    <s v="PRO 200"/>
    <s v="333"/>
    <s v="4.0 UN"/>
    <s v="STANDARD"/>
    <s v="N"/>
    <s v="Y"/>
    <s v="N"/>
    <s v="T35"/>
    <s v="Y"/>
    <s v="N"/>
    <s v="Y"/>
    <s v="N"/>
    <s v="B030"/>
    <d v="2016-11-21T00:00:00"/>
    <s v="20"/>
    <s v="TAN"/>
    <s v="OR"/>
    <d v="2016-11-16T00:00:00"/>
    <s v="MN"/>
    <s v="US"/>
    <s v="ZR"/>
    <d v="2016-11-16T00:00:00"/>
  </r>
  <r>
    <x v="1"/>
    <x v="7"/>
    <x v="1803"/>
    <x v="37"/>
    <s v="Standard order"/>
    <x v="1692"/>
    <x v="1686"/>
    <s v="8052"/>
    <s v="BTS 80RR52"/>
    <s v="5002735"/>
    <s v="8052 BTS T35 PB SYSTIVA RP"/>
    <n v="56"/>
    <n v="0"/>
    <n v="56"/>
    <x v="7"/>
    <s v="AP82"/>
    <s v="RP"/>
    <s v="333"/>
    <s v="4.0 UN"/>
    <s v="STANDARD"/>
    <s v="N"/>
    <s v="Y"/>
    <s v="N"/>
    <s v="T35"/>
    <s v="Y"/>
    <s v="N"/>
    <s v="Y"/>
    <s v="N"/>
    <s v="B033"/>
    <d v="2016-11-21T00:00:00"/>
    <s v="10"/>
    <s v="TAN"/>
    <s v="OR"/>
    <d v="2016-11-16T00:00:00"/>
    <s v="MN"/>
    <s v="US"/>
    <s v="ZR"/>
    <d v="2016-11-16T00:00:00"/>
  </r>
  <r>
    <x v="1"/>
    <x v="7"/>
    <x v="1803"/>
    <x v="37"/>
    <s v="Standard order"/>
    <x v="1692"/>
    <x v="1686"/>
    <s v="8524"/>
    <s v="BTS 8524"/>
    <s v="5002896"/>
    <s v="8524 BTS T35 PB SYSTIVA RP"/>
    <n v="96"/>
    <n v="0"/>
    <n v="96"/>
    <x v="7"/>
    <s v="FWND"/>
    <s v="RP"/>
    <s v="333"/>
    <s v="4.0 UN"/>
    <s v="STANDARD"/>
    <s v="N"/>
    <s v="Y"/>
    <s v="N"/>
    <s v="T35"/>
    <s v="Y"/>
    <s v="N"/>
    <s v="Y"/>
    <s v="N"/>
    <s v="B033"/>
    <d v="2016-11-21T00:00:00"/>
    <s v="20"/>
    <s v="TAN"/>
    <s v="OR"/>
    <d v="2016-11-16T00:00:00"/>
    <s v="MN"/>
    <s v="US"/>
    <s v="ZR"/>
    <d v="2016-11-16T00:00:00"/>
  </r>
  <r>
    <x v="1"/>
    <x v="7"/>
    <x v="1804"/>
    <x v="41"/>
    <s v="Standard order"/>
    <x v="1693"/>
    <x v="1687"/>
    <s v="8512"/>
    <s v="BTS 8512"/>
    <s v="5002876"/>
    <s v="8512 BTS T35 PB SYSTIVA RP"/>
    <n v="200"/>
    <n v="0"/>
    <n v="200"/>
    <x v="7"/>
    <s v="FX73"/>
    <s v="RP"/>
    <s v="333"/>
    <s v="4.0 UN"/>
    <s v="STANDARD"/>
    <s v="N"/>
    <s v="Y"/>
    <s v="N"/>
    <s v="T35"/>
    <s v="Y"/>
    <s v="N"/>
    <s v="Y"/>
    <s v="N"/>
    <s v="B032"/>
    <d v="2016-11-21T00:00:00"/>
    <s v="10"/>
    <s v="TAN"/>
    <s v="OR"/>
    <d v="2016-11-16T00:00:00"/>
    <s v="MN"/>
    <s v="US"/>
    <s v="ZR"/>
    <d v="2016-11-16T00:00:00"/>
  </r>
  <r>
    <x v="1"/>
    <x v="7"/>
    <x v="1804"/>
    <x v="41"/>
    <s v="Standard order"/>
    <x v="1693"/>
    <x v="1687"/>
    <s v="83CN"/>
    <s v="BTS 83CN"/>
    <s v="5002836"/>
    <s v="83CN BTS T35 PB SYSTIVA RP"/>
    <n v="200"/>
    <n v="0"/>
    <n v="200"/>
    <x v="7"/>
    <s v="EE73"/>
    <s v="RP"/>
    <s v="333"/>
    <s v="4.0 UN"/>
    <s v="STANDARD"/>
    <s v="N"/>
    <s v="Y"/>
    <s v="N"/>
    <s v="T35"/>
    <s v="Y"/>
    <s v="N"/>
    <s v="Y"/>
    <s v="N"/>
    <s v="B032"/>
    <d v="2016-11-21T00:00:00"/>
    <s v="20"/>
    <s v="TAN"/>
    <s v="OR"/>
    <d v="2016-11-16T00:00:00"/>
    <s v="MN"/>
    <s v="US"/>
    <s v="ZR"/>
    <d v="2016-11-16T00:00:00"/>
  </r>
  <r>
    <x v="1"/>
    <x v="7"/>
    <x v="1804"/>
    <x v="41"/>
    <s v="Standard order"/>
    <x v="1693"/>
    <x v="1687"/>
    <s v="8052"/>
    <s v="BTS 80RR52"/>
    <s v="5002735"/>
    <s v="8052 BTS T35 PB SYSTIVA RP"/>
    <n v="200"/>
    <n v="0"/>
    <n v="200"/>
    <x v="7"/>
    <s v="AP82"/>
    <s v="RP"/>
    <s v="333"/>
    <s v="4.0 UN"/>
    <s v="STANDARD"/>
    <s v="N"/>
    <s v="Y"/>
    <s v="N"/>
    <s v="T35"/>
    <s v="Y"/>
    <s v="N"/>
    <s v="Y"/>
    <s v="N"/>
    <s v="B032"/>
    <d v="2016-11-21T00:00:00"/>
    <s v="30"/>
    <s v="TAN"/>
    <s v="OR"/>
    <d v="2016-11-16T00:00:00"/>
    <s v="MN"/>
    <s v="US"/>
    <s v="ZR"/>
    <d v="2016-11-16T00:00:00"/>
  </r>
  <r>
    <x v="1"/>
    <x v="7"/>
    <x v="1804"/>
    <x v="41"/>
    <s v="Standard order"/>
    <x v="1693"/>
    <x v="1687"/>
    <s v="8500"/>
    <s v="BTS 8500"/>
    <s v="5002856"/>
    <s v="8500 BTS T35 PB SYSTIVA RP"/>
    <n v="100"/>
    <n v="0"/>
    <n v="100"/>
    <x v="7"/>
    <s v="FTND"/>
    <s v="RP"/>
    <s v="333"/>
    <s v="4.0 UN"/>
    <s v="STANDARD"/>
    <s v="N"/>
    <s v="Y"/>
    <s v="N"/>
    <s v="T35"/>
    <s v="Y"/>
    <s v="N"/>
    <s v="Y"/>
    <s v="N"/>
    <s v="B032"/>
    <d v="2016-11-21T00:00:00"/>
    <s v="40"/>
    <s v="TAN"/>
    <s v="OR"/>
    <d v="2016-11-16T00:00:00"/>
    <s v="MN"/>
    <s v="US"/>
    <s v="ZR"/>
    <d v="2016-11-16T00:00:00"/>
  </r>
  <r>
    <x v="1"/>
    <x v="7"/>
    <x v="1804"/>
    <x v="41"/>
    <s v="Standard order"/>
    <x v="1693"/>
    <x v="1687"/>
    <s v="8572"/>
    <s v="BTS 8572"/>
    <s v="5003215"/>
    <s v="8572 BTS T35 PB SYSTIVA RP"/>
    <n v="100"/>
    <n v="0"/>
    <n v="100"/>
    <x v="7"/>
    <s v="FENB"/>
    <s v="RP"/>
    <s v="333"/>
    <s v="4.0 UN"/>
    <s v="STANDARD"/>
    <s v="N"/>
    <s v="Y"/>
    <s v="N"/>
    <s v="T35"/>
    <s v="Y"/>
    <s v="N"/>
    <s v="Y"/>
    <s v="N"/>
    <s v="B032"/>
    <d v="2016-11-21T00:00:00"/>
    <s v="50"/>
    <s v="TAN"/>
    <s v="OR"/>
    <d v="2016-11-16T00:00:00"/>
    <s v="MN"/>
    <s v="US"/>
    <s v="ZR"/>
    <d v="2016-11-16T00:00:00"/>
  </r>
  <r>
    <x v="1"/>
    <x v="7"/>
    <x v="1805"/>
    <x v="39"/>
    <s v="Standard order"/>
    <x v="1694"/>
    <x v="1688"/>
    <s v="8500"/>
    <s v="BTS 8500"/>
    <s v="5002855"/>
    <s v="8500 BTS T35 PB SYSTIVA P200"/>
    <n v="132"/>
    <n v="0"/>
    <n v="132"/>
    <x v="7"/>
    <s v="FTND"/>
    <s v="PRO 200"/>
    <s v="333"/>
    <s v="4.0 UN"/>
    <s v="STANDARD"/>
    <s v="N"/>
    <s v="Y"/>
    <s v="N"/>
    <s v="T35"/>
    <s v="Y"/>
    <s v="N"/>
    <s v="Y"/>
    <s v="N"/>
    <s v="B030"/>
    <d v="2016-11-21T00:00:00"/>
    <s v="10"/>
    <s v="TAN"/>
    <s v="OR"/>
    <d v="2016-11-16T00:00:00"/>
    <s v="MN"/>
    <s v="US"/>
    <s v="ZR"/>
    <d v="2016-11-16T00:00:00"/>
  </r>
  <r>
    <x v="1"/>
    <x v="7"/>
    <x v="1806"/>
    <x v="36"/>
    <s v="Standard order"/>
    <x v="1695"/>
    <x v="1689"/>
    <s v="8500"/>
    <s v="BTS 8500"/>
    <s v="5002860"/>
    <s v="8500 BTS T35 SYSTIVA RP"/>
    <n v="100"/>
    <n v="0"/>
    <n v="100"/>
    <x v="7"/>
    <s v="FTND"/>
    <s v="RP"/>
    <s v="334"/>
    <s v="4.0 UN"/>
    <s v="STANDARD"/>
    <s v="N"/>
    <s v="N"/>
    <s v="N"/>
    <s v="T35"/>
    <s v="Y"/>
    <s v="N"/>
    <s v="Y"/>
    <s v="N"/>
    <s v="B027"/>
    <d v="2016-11-21T00:00:00"/>
    <s v="10"/>
    <s v="TAN"/>
    <s v="OR"/>
    <d v="2016-11-16T00:00:00"/>
    <s v="MN"/>
    <s v="US"/>
    <s v="ZR"/>
    <d v="2016-11-16T00:00:00"/>
  </r>
  <r>
    <x v="1"/>
    <x v="7"/>
    <x v="1806"/>
    <x v="36"/>
    <s v="Standard order"/>
    <x v="1695"/>
    <x v="1689"/>
    <s v="8052"/>
    <s v="BTS 80RR52"/>
    <s v="5002739"/>
    <s v="8052 BTS T35 SYSTIVA RP"/>
    <n v="64"/>
    <n v="0"/>
    <n v="64"/>
    <x v="7"/>
    <s v="AP82"/>
    <s v="RP"/>
    <s v="334"/>
    <s v="4.0 UN"/>
    <s v="STANDARD"/>
    <s v="N"/>
    <s v="N"/>
    <s v="N"/>
    <s v="T35"/>
    <s v="Y"/>
    <s v="N"/>
    <s v="Y"/>
    <s v="N"/>
    <s v="B027"/>
    <d v="2016-11-21T00:00:00"/>
    <s v="20"/>
    <s v="TAN"/>
    <s v="OR"/>
    <d v="2016-11-16T00:00:00"/>
    <s v="MN"/>
    <s v="US"/>
    <s v="ZR"/>
    <d v="2016-11-16T00:00:00"/>
  </r>
  <r>
    <x v="1"/>
    <x v="7"/>
    <x v="1807"/>
    <x v="33"/>
    <s v="Standard order"/>
    <x v="1696"/>
    <x v="1690"/>
    <s v="8500"/>
    <s v="BTS 8500"/>
    <s v="5002856"/>
    <s v="8500 BTS T35 PB SYSTIVA RP"/>
    <n v="28"/>
    <n v="0"/>
    <n v="28"/>
    <x v="7"/>
    <s v="FTND"/>
    <s v="RP"/>
    <s v="333"/>
    <s v="4.0 UN"/>
    <s v="STANDARD"/>
    <s v="N"/>
    <s v="Y"/>
    <s v="N"/>
    <s v="T35"/>
    <s v="Y"/>
    <s v="N"/>
    <s v="Y"/>
    <s v="N"/>
    <s v="B026"/>
    <d v="2016-11-21T00:00:00"/>
    <s v="10"/>
    <s v="TAN"/>
    <s v="OR"/>
    <d v="2016-11-16T00:00:00"/>
    <s v="MN"/>
    <s v="US"/>
    <s v="ZR"/>
    <d v="2016-11-16T00:00:00"/>
  </r>
  <r>
    <x v="1"/>
    <x v="7"/>
    <x v="1807"/>
    <x v="33"/>
    <s v="Standard order"/>
    <x v="1696"/>
    <x v="1690"/>
    <s v="8572"/>
    <s v="BTS 8572"/>
    <s v="5003215"/>
    <s v="8572 BTS T35 PB SYSTIVA RP"/>
    <n v="36"/>
    <n v="0"/>
    <n v="36"/>
    <x v="7"/>
    <s v="FENB"/>
    <s v="RP"/>
    <s v="333"/>
    <s v="4.0 UN"/>
    <s v="STANDARD"/>
    <s v="N"/>
    <s v="Y"/>
    <s v="N"/>
    <s v="T35"/>
    <s v="Y"/>
    <s v="N"/>
    <s v="Y"/>
    <s v="N"/>
    <s v="B026"/>
    <d v="2016-11-21T00:00:00"/>
    <s v="20"/>
    <s v="TAN"/>
    <s v="OR"/>
    <d v="2016-11-16T00:00:00"/>
    <s v="MN"/>
    <s v="US"/>
    <s v="ZR"/>
    <d v="2016-11-16T00:00:00"/>
  </r>
  <r>
    <x v="1"/>
    <x v="7"/>
    <x v="1808"/>
    <x v="39"/>
    <s v="Standard order"/>
    <x v="1697"/>
    <x v="1691"/>
    <s v="8500"/>
    <s v="BTS 8500"/>
    <s v="5002856"/>
    <s v="8500 BTS T35 PB SYSTIVA RP"/>
    <n v="192"/>
    <n v="0"/>
    <n v="192"/>
    <x v="7"/>
    <s v="FTND"/>
    <s v="RP"/>
    <s v="333"/>
    <s v="4.0 UN"/>
    <s v="STANDARD"/>
    <s v="N"/>
    <s v="Y"/>
    <s v="N"/>
    <s v="T35"/>
    <s v="Y"/>
    <s v="N"/>
    <s v="Y"/>
    <s v="N"/>
    <s v="B030"/>
    <d v="2016-11-21T00:00:00"/>
    <s v="10"/>
    <s v="TAN"/>
    <s v="OR"/>
    <d v="2016-11-16T00:00:00"/>
    <s v="MN"/>
    <s v="US"/>
    <s v="ZR"/>
    <d v="2016-11-16T00:00:00"/>
  </r>
  <r>
    <x v="1"/>
    <x v="7"/>
    <x v="1809"/>
    <x v="39"/>
    <s v="Standard order"/>
    <x v="1698"/>
    <x v="1692"/>
    <s v="8500"/>
    <s v="BTS 8500"/>
    <s v="5002856"/>
    <s v="8500 BTS T35 PB SYSTIVA RP"/>
    <n v="92"/>
    <n v="0"/>
    <n v="92"/>
    <x v="7"/>
    <s v="FTND"/>
    <s v="RP"/>
    <s v="333"/>
    <s v="4.0 UN"/>
    <s v="STANDARD"/>
    <s v="N"/>
    <s v="Y"/>
    <s v="N"/>
    <s v="T35"/>
    <s v="Y"/>
    <s v="N"/>
    <s v="Y"/>
    <s v="N"/>
    <s v="B030"/>
    <d v="2016-11-21T00:00:00"/>
    <s v="10"/>
    <s v="TAN"/>
    <s v="OR"/>
    <d v="2016-11-16T00:00:00"/>
    <s v="MN"/>
    <s v="US"/>
    <s v="ZR"/>
    <d v="2016-11-16T00:00:00"/>
  </r>
  <r>
    <x v="1"/>
    <x v="7"/>
    <x v="1809"/>
    <x v="39"/>
    <s v="Standard order"/>
    <x v="1698"/>
    <x v="1692"/>
    <s v="8572"/>
    <s v="BTS 8572"/>
    <s v="5003215"/>
    <s v="8572 BTS T35 PB SYSTIVA RP"/>
    <n v="92"/>
    <n v="0"/>
    <n v="92"/>
    <x v="7"/>
    <s v="FENB"/>
    <s v="RP"/>
    <s v="333"/>
    <s v="4.0 UN"/>
    <s v="STANDARD"/>
    <s v="N"/>
    <s v="Y"/>
    <s v="N"/>
    <s v="T35"/>
    <s v="Y"/>
    <s v="N"/>
    <s v="Y"/>
    <s v="N"/>
    <s v="B030"/>
    <d v="2016-11-21T00:00:00"/>
    <s v="20"/>
    <s v="TAN"/>
    <s v="OR"/>
    <d v="2016-11-16T00:00:00"/>
    <s v="MN"/>
    <s v="US"/>
    <s v="ZR"/>
    <d v="2016-11-16T00:00:00"/>
  </r>
  <r>
    <x v="1"/>
    <x v="7"/>
    <x v="1810"/>
    <x v="37"/>
    <s v="Standard order"/>
    <x v="1699"/>
    <x v="1693"/>
    <s v="8512"/>
    <s v="BTS 8512"/>
    <s v="5002880"/>
    <s v="8512 BTS T35 SYSTIVA RP"/>
    <n v="44"/>
    <n v="0"/>
    <n v="44"/>
    <x v="7"/>
    <s v="FX73"/>
    <s v="RP"/>
    <s v="334"/>
    <s v="4.0 UN"/>
    <s v="STANDARD"/>
    <s v="N"/>
    <s v="N"/>
    <s v="N"/>
    <s v="T35"/>
    <s v="Y"/>
    <s v="N"/>
    <s v="Y"/>
    <s v="N"/>
    <s v="B033"/>
    <d v="2016-11-21T00:00:00"/>
    <s v="10"/>
    <s v="TAN"/>
    <s v="OR"/>
    <d v="2016-11-16T00:00:00"/>
    <s v="ND"/>
    <s v="US"/>
    <s v="ZR"/>
    <d v="2016-11-16T00:00:00"/>
  </r>
  <r>
    <x v="1"/>
    <x v="7"/>
    <x v="1811"/>
    <x v="41"/>
    <s v="Standard order"/>
    <x v="1700"/>
    <x v="1694"/>
    <s v="8052"/>
    <s v="BTS 80RR52"/>
    <s v="5002735"/>
    <s v="8052 BTS T35 PB SYSTIVA RP"/>
    <n v="144"/>
    <n v="0"/>
    <n v="144"/>
    <x v="7"/>
    <s v="AP82"/>
    <s v="RP"/>
    <s v="333"/>
    <s v="4.0 UN"/>
    <s v="STANDARD"/>
    <s v="N"/>
    <s v="Y"/>
    <s v="N"/>
    <s v="T35"/>
    <s v="Y"/>
    <s v="N"/>
    <s v="Y"/>
    <s v="N"/>
    <s v="B032"/>
    <d v="2016-11-21T00:00:00"/>
    <s v="10"/>
    <s v="TAN"/>
    <s v="OR"/>
    <d v="2016-11-16T00:00:00"/>
    <s v="MN"/>
    <s v="US"/>
    <s v="ZR"/>
    <d v="2016-11-16T00:00:00"/>
  </r>
  <r>
    <x v="1"/>
    <x v="7"/>
    <x v="1811"/>
    <x v="41"/>
    <s v="Standard order"/>
    <x v="1700"/>
    <x v="1694"/>
    <s v="8500"/>
    <s v="BTS 8500"/>
    <s v="5002856"/>
    <s v="8500 BTS T35 PB SYSTIVA RP"/>
    <n v="108"/>
    <n v="0"/>
    <n v="108"/>
    <x v="7"/>
    <s v="FTND"/>
    <s v="RP"/>
    <s v="333"/>
    <s v="4.0 UN"/>
    <s v="STANDARD"/>
    <s v="N"/>
    <s v="Y"/>
    <s v="N"/>
    <s v="T35"/>
    <s v="Y"/>
    <s v="N"/>
    <s v="Y"/>
    <s v="N"/>
    <s v="B032"/>
    <d v="2016-11-21T00:00:00"/>
    <s v="20"/>
    <s v="TAN"/>
    <s v="OR"/>
    <d v="2016-11-16T00:00:00"/>
    <s v="MN"/>
    <s v="US"/>
    <s v="ZR"/>
    <d v="2016-11-16T00:00:00"/>
  </r>
  <r>
    <x v="1"/>
    <x v="7"/>
    <x v="1811"/>
    <x v="41"/>
    <s v="Standard order"/>
    <x v="1700"/>
    <x v="1694"/>
    <s v="8524"/>
    <s v="BTS 8524"/>
    <s v="5002896"/>
    <s v="8524 BTS T35 PB SYSTIVA RP"/>
    <n v="144"/>
    <n v="0"/>
    <n v="144"/>
    <x v="7"/>
    <s v="FWND"/>
    <s v="RP"/>
    <s v="333"/>
    <s v="4.0 UN"/>
    <s v="STANDARD"/>
    <s v="N"/>
    <s v="Y"/>
    <s v="N"/>
    <s v="T35"/>
    <s v="Y"/>
    <s v="N"/>
    <s v="Y"/>
    <s v="N"/>
    <s v="B032"/>
    <d v="2016-11-21T00:00:00"/>
    <s v="30"/>
    <s v="TAN"/>
    <s v="OR"/>
    <d v="2016-11-16T00:00:00"/>
    <s v="MN"/>
    <s v="US"/>
    <s v="ZR"/>
    <d v="2016-11-16T00:00:00"/>
  </r>
  <r>
    <x v="1"/>
    <x v="7"/>
    <x v="1811"/>
    <x v="41"/>
    <s v="Standard order"/>
    <x v="1700"/>
    <x v="1694"/>
    <s v="8572"/>
    <s v="BTS 8572"/>
    <s v="5003215"/>
    <s v="8572 BTS T35 PB SYSTIVA RP"/>
    <n v="120"/>
    <n v="0"/>
    <n v="120"/>
    <x v="7"/>
    <s v="FENB"/>
    <s v="RP"/>
    <s v="333"/>
    <s v="4.0 UN"/>
    <s v="STANDARD"/>
    <s v="N"/>
    <s v="Y"/>
    <s v="N"/>
    <s v="T35"/>
    <s v="Y"/>
    <s v="N"/>
    <s v="Y"/>
    <s v="N"/>
    <s v="B032"/>
    <d v="2016-11-21T00:00:00"/>
    <s v="40"/>
    <s v="TAN"/>
    <s v="OR"/>
    <d v="2016-11-16T00:00:00"/>
    <s v="MN"/>
    <s v="US"/>
    <s v="ZR"/>
    <d v="2016-11-16T00:00:00"/>
  </r>
  <r>
    <x v="1"/>
    <x v="7"/>
    <x v="1812"/>
    <x v="41"/>
    <s v="Standard order"/>
    <x v="1701"/>
    <x v="1695"/>
    <s v="8512"/>
    <s v="BTS 8512"/>
    <s v="5002876"/>
    <s v="8512 BTS T35 PB SYSTIVA RP"/>
    <n v="144"/>
    <n v="0"/>
    <n v="144"/>
    <x v="7"/>
    <s v="FX73"/>
    <s v="RP"/>
    <s v="333"/>
    <s v="4.0 UN"/>
    <s v="STANDARD"/>
    <s v="N"/>
    <s v="Y"/>
    <s v="N"/>
    <s v="T35"/>
    <s v="Y"/>
    <s v="N"/>
    <s v="Y"/>
    <s v="N"/>
    <s v="B032"/>
    <d v="2016-11-21T00:00:00"/>
    <s v="10"/>
    <s v="TAN"/>
    <s v="OR"/>
    <d v="2016-11-16T00:00:00"/>
    <s v="MN"/>
    <s v="US"/>
    <s v="ZR"/>
    <d v="2016-11-16T00:00:00"/>
  </r>
  <r>
    <x v="1"/>
    <x v="7"/>
    <x v="1812"/>
    <x v="41"/>
    <s v="Standard order"/>
    <x v="1701"/>
    <x v="1695"/>
    <s v="83CN"/>
    <s v="BTS 83CN"/>
    <s v="5002836"/>
    <s v="83CN BTS T35 PB SYSTIVA RP"/>
    <n v="300"/>
    <n v="0"/>
    <n v="300"/>
    <x v="7"/>
    <s v="EE73"/>
    <s v="RP"/>
    <s v="333"/>
    <s v="4.0 UN"/>
    <s v="STANDARD"/>
    <s v="N"/>
    <s v="Y"/>
    <s v="N"/>
    <s v="T35"/>
    <s v="Y"/>
    <s v="N"/>
    <s v="Y"/>
    <s v="N"/>
    <s v="B032"/>
    <d v="2016-11-21T00:00:00"/>
    <s v="20"/>
    <s v="TAN"/>
    <s v="OR"/>
    <d v="2016-11-16T00:00:00"/>
    <s v="MN"/>
    <s v="US"/>
    <s v="ZR"/>
    <d v="2016-11-16T00:00:00"/>
  </r>
  <r>
    <x v="1"/>
    <x v="7"/>
    <x v="1812"/>
    <x v="41"/>
    <s v="Standard order"/>
    <x v="1701"/>
    <x v="1695"/>
    <s v="8524"/>
    <s v="BTS 8524"/>
    <s v="5002896"/>
    <s v="8524 BTS T35 PB SYSTIVA RP"/>
    <n v="144"/>
    <n v="0"/>
    <n v="144"/>
    <x v="7"/>
    <s v="FWND"/>
    <s v="RP"/>
    <s v="333"/>
    <s v="4.0 UN"/>
    <s v="STANDARD"/>
    <s v="N"/>
    <s v="Y"/>
    <s v="N"/>
    <s v="T35"/>
    <s v="Y"/>
    <s v="N"/>
    <s v="Y"/>
    <s v="N"/>
    <s v="B032"/>
    <d v="2016-11-21T00:00:00"/>
    <s v="30"/>
    <s v="TAN"/>
    <s v="OR"/>
    <d v="2016-11-16T00:00:00"/>
    <s v="MN"/>
    <s v="US"/>
    <s v="ZR"/>
    <d v="2016-11-16T00:00:00"/>
  </r>
  <r>
    <x v="1"/>
    <x v="7"/>
    <x v="1812"/>
    <x v="41"/>
    <s v="Standard order"/>
    <x v="1701"/>
    <x v="1695"/>
    <s v="8052"/>
    <s v="BTS 80RR52"/>
    <s v="5002735"/>
    <s v="8052 BTS T35 PB SYSTIVA RP"/>
    <n v="264"/>
    <n v="0"/>
    <n v="264"/>
    <x v="7"/>
    <s v="AP82"/>
    <s v="RP"/>
    <s v="333"/>
    <s v="4.0 UN"/>
    <s v="STANDARD"/>
    <s v="N"/>
    <s v="Y"/>
    <s v="N"/>
    <s v="T35"/>
    <s v="Y"/>
    <s v="N"/>
    <s v="Y"/>
    <s v="N"/>
    <s v="B032"/>
    <d v="2016-11-21T00:00:00"/>
    <s v="40"/>
    <s v="TAN"/>
    <s v="OR"/>
    <d v="2016-11-16T00:00:00"/>
    <s v="MN"/>
    <s v="US"/>
    <s v="ZR"/>
    <d v="2016-11-16T00:00:00"/>
  </r>
  <r>
    <x v="1"/>
    <x v="7"/>
    <x v="1813"/>
    <x v="41"/>
    <s v="Standard order"/>
    <x v="1702"/>
    <x v="1696"/>
    <s v="8500"/>
    <s v="BTS 8500"/>
    <s v="5002856"/>
    <s v="8500 BTS T35 PB SYSTIVA RP"/>
    <n v="12"/>
    <n v="0"/>
    <n v="12"/>
    <x v="7"/>
    <s v="FTND"/>
    <s v="RP"/>
    <s v="333"/>
    <s v="4.0 UN"/>
    <s v="STANDARD"/>
    <s v="N"/>
    <s v="Y"/>
    <s v="N"/>
    <s v="T35"/>
    <s v="Y"/>
    <s v="N"/>
    <s v="Y"/>
    <s v="N"/>
    <s v="B032"/>
    <d v="2016-11-21T00:00:00"/>
    <s v="20"/>
    <s v="TAN"/>
    <s v="OR"/>
    <d v="2016-11-16T00:00:00"/>
    <s v="ND"/>
    <s v="US"/>
    <s v="ZR"/>
    <d v="2016-11-16T00:00:00"/>
  </r>
  <r>
    <x v="1"/>
    <x v="7"/>
    <x v="1813"/>
    <x v="41"/>
    <s v="Standard order"/>
    <x v="1702"/>
    <x v="1696"/>
    <s v="8524"/>
    <s v="BTS 8524"/>
    <s v="5002896"/>
    <s v="8524 BTS T35 PB SYSTIVA RP"/>
    <n v="60"/>
    <n v="0"/>
    <n v="60"/>
    <x v="7"/>
    <s v="FWND"/>
    <s v="RP"/>
    <s v="333"/>
    <s v="4.0 UN"/>
    <s v="STANDARD"/>
    <s v="N"/>
    <s v="Y"/>
    <s v="N"/>
    <s v="T35"/>
    <s v="Y"/>
    <s v="N"/>
    <s v="Y"/>
    <s v="N"/>
    <s v="B032"/>
    <d v="2016-11-21T00:00:00"/>
    <s v="40"/>
    <s v="TAN"/>
    <s v="OR"/>
    <d v="2016-11-16T00:00:00"/>
    <s v="ND"/>
    <s v="US"/>
    <s v="ZR"/>
    <d v="2016-11-16T00:00:00"/>
  </r>
  <r>
    <x v="1"/>
    <x v="7"/>
    <x v="1814"/>
    <x v="36"/>
    <s v="Standard order"/>
    <x v="1703"/>
    <x v="1697"/>
    <s v="8524"/>
    <s v="BTS 8524"/>
    <s v="5002896"/>
    <s v="8524 BTS T35 PB SYSTIVA RP"/>
    <n v="60"/>
    <n v="0"/>
    <n v="60"/>
    <x v="7"/>
    <s v="FWND"/>
    <s v="RP"/>
    <s v="333"/>
    <s v="4.0 UN"/>
    <s v="STANDARD"/>
    <s v="N"/>
    <s v="Y"/>
    <s v="N"/>
    <s v="T35"/>
    <s v="Y"/>
    <s v="N"/>
    <s v="Y"/>
    <s v="N"/>
    <s v="B027"/>
    <d v="2016-11-22T00:00:00"/>
    <s v="20"/>
    <s v="TAN"/>
    <s v="OR"/>
    <d v="2016-11-17T00:00:00"/>
    <s v="MN"/>
    <s v="US"/>
    <s v="ZR"/>
    <d v="2016-11-17T00:00:00"/>
  </r>
  <r>
    <x v="1"/>
    <x v="7"/>
    <x v="1815"/>
    <x v="36"/>
    <s v="Standard order"/>
    <x v="1704"/>
    <x v="1698"/>
    <s v="8052"/>
    <s v="BTS 80RR52"/>
    <s v="5002735"/>
    <s v="8052 BTS T35 PB SYSTIVA RP"/>
    <n v="96"/>
    <n v="0"/>
    <n v="96"/>
    <x v="7"/>
    <s v="AP82"/>
    <s v="RP"/>
    <s v="333"/>
    <s v="4.0 UN"/>
    <s v="STANDARD"/>
    <s v="N"/>
    <s v="Y"/>
    <s v="N"/>
    <s v="T35"/>
    <s v="Y"/>
    <s v="N"/>
    <s v="Y"/>
    <s v="N"/>
    <s v="B027"/>
    <d v="2016-11-22T00:00:00"/>
    <s v="10"/>
    <s v="TAN"/>
    <s v="OR"/>
    <d v="2016-11-17T00:00:00"/>
    <s v="MN"/>
    <s v="US"/>
    <s v="ZR"/>
    <d v="2016-11-17T00:00:00"/>
  </r>
  <r>
    <x v="1"/>
    <x v="7"/>
    <x v="1816"/>
    <x v="33"/>
    <s v="Standard order"/>
    <x v="1705"/>
    <x v="1699"/>
    <s v="8337"/>
    <s v="BTS 8337"/>
    <s v="5002795"/>
    <s v="8337 BTS T35 PB SYSTIVA RP"/>
    <n v="76"/>
    <n v="0"/>
    <n v="76"/>
    <x v="7"/>
    <s v="DHMC"/>
    <s v="RP"/>
    <s v="333"/>
    <s v="4.0 UN"/>
    <s v="STANDARD"/>
    <s v="N"/>
    <s v="Y"/>
    <s v="N"/>
    <s v="T35"/>
    <s v="Y"/>
    <s v="N"/>
    <s v="Y"/>
    <s v="N"/>
    <s v="B026"/>
    <d v="2016-11-22T00:00:00"/>
    <s v="10"/>
    <s v="TAN"/>
    <s v="OR"/>
    <d v="2016-11-17T00:00:00"/>
    <s v="ND"/>
    <s v="US"/>
    <s v="ZR"/>
    <d v="2016-11-17T00:00:00"/>
  </r>
  <r>
    <x v="1"/>
    <x v="7"/>
    <x v="1816"/>
    <x v="33"/>
    <s v="Standard order"/>
    <x v="1705"/>
    <x v="1699"/>
    <s v="8500"/>
    <s v="BTS 8500"/>
    <s v="5002856"/>
    <s v="8500 BTS T35 PB SYSTIVA RP"/>
    <n v="96"/>
    <n v="0"/>
    <n v="96"/>
    <x v="7"/>
    <s v="FTND"/>
    <s v="RP"/>
    <s v="333"/>
    <s v="4.0 UN"/>
    <s v="STANDARD"/>
    <s v="N"/>
    <s v="Y"/>
    <s v="N"/>
    <s v="T35"/>
    <s v="Y"/>
    <s v="N"/>
    <s v="Y"/>
    <s v="N"/>
    <s v="B026"/>
    <d v="2016-11-22T00:00:00"/>
    <s v="20"/>
    <s v="TAN"/>
    <s v="OR"/>
    <d v="2016-11-17T00:00:00"/>
    <s v="ND"/>
    <s v="US"/>
    <s v="ZR"/>
    <d v="2016-11-17T00:00:00"/>
  </r>
  <r>
    <x v="1"/>
    <x v="7"/>
    <x v="1817"/>
    <x v="37"/>
    <s v="Standard order"/>
    <x v="1706"/>
    <x v="1700"/>
    <s v="8500"/>
    <s v="BTS 8500"/>
    <s v="5002856"/>
    <s v="8500 BTS T35 PB SYSTIVA RP"/>
    <n v="48"/>
    <n v="0"/>
    <n v="48"/>
    <x v="7"/>
    <s v="FTND"/>
    <s v="RP"/>
    <s v="333"/>
    <s v="4.0 UN"/>
    <s v="STANDARD"/>
    <s v="N"/>
    <s v="Y"/>
    <s v="N"/>
    <s v="T35"/>
    <s v="Y"/>
    <s v="N"/>
    <s v="Y"/>
    <s v="N"/>
    <s v="B033"/>
    <d v="2016-11-22T00:00:00"/>
    <s v="10"/>
    <s v="TAN"/>
    <s v="OR"/>
    <d v="2016-11-17T00:00:00"/>
    <s v="MN"/>
    <s v="US"/>
    <s v="ZR"/>
    <d v="2016-11-17T00:00:00"/>
  </r>
  <r>
    <x v="1"/>
    <x v="7"/>
    <x v="1817"/>
    <x v="37"/>
    <s v="Standard order"/>
    <x v="1706"/>
    <x v="1700"/>
    <s v="8524"/>
    <s v="BTS 8524"/>
    <s v="5002900"/>
    <s v="8524 BTS T35 SYSTIVA RP"/>
    <n v="48"/>
    <n v="0"/>
    <n v="48"/>
    <x v="7"/>
    <s v="FWND"/>
    <s v="RP"/>
    <s v="334"/>
    <s v="4.0 UN"/>
    <s v="STANDARD"/>
    <s v="N"/>
    <s v="N"/>
    <s v="N"/>
    <s v="T35"/>
    <s v="Y"/>
    <s v="N"/>
    <s v="Y"/>
    <s v="N"/>
    <s v="B033"/>
    <d v="2016-11-22T00:00:00"/>
    <s v="20"/>
    <s v="TAN"/>
    <s v="OR"/>
    <d v="2016-11-17T00:00:00"/>
    <s v="MN"/>
    <s v="US"/>
    <s v="ZR"/>
    <d v="2016-11-17T00:00:00"/>
  </r>
  <r>
    <x v="1"/>
    <x v="7"/>
    <x v="1818"/>
    <x v="37"/>
    <s v="Standard order"/>
    <x v="1707"/>
    <x v="1701"/>
    <s v="8524"/>
    <s v="BTS 8524"/>
    <s v="5002900"/>
    <s v="8524 BTS T35 SYSTIVA RP"/>
    <n v="96"/>
    <n v="0"/>
    <n v="96"/>
    <x v="7"/>
    <s v="FWND"/>
    <s v="RP"/>
    <s v="334"/>
    <s v="4.0 UN"/>
    <s v="STANDARD"/>
    <s v="N"/>
    <s v="N"/>
    <s v="N"/>
    <s v="T35"/>
    <s v="Y"/>
    <s v="N"/>
    <s v="Y"/>
    <s v="N"/>
    <s v="B033"/>
    <d v="2016-11-22T00:00:00"/>
    <s v="10"/>
    <s v="TAN"/>
    <s v="OR"/>
    <d v="2016-11-17T00:00:00"/>
    <s v="ND"/>
    <s v="US"/>
    <s v="ZR"/>
    <d v="2016-11-17T00:00:00"/>
  </r>
  <r>
    <x v="1"/>
    <x v="7"/>
    <x v="1819"/>
    <x v="37"/>
    <s v="Standard order"/>
    <x v="1708"/>
    <x v="1702"/>
    <s v="8524"/>
    <s v="BTS 8524"/>
    <s v="5002896"/>
    <s v="8524 BTS T35 PB SYSTIVA RP"/>
    <n v="28"/>
    <n v="0"/>
    <n v="28"/>
    <x v="7"/>
    <s v="FWND"/>
    <s v="RP"/>
    <s v="333"/>
    <s v="4.0 UN"/>
    <s v="STANDARD"/>
    <s v="N"/>
    <s v="Y"/>
    <s v="N"/>
    <s v="T35"/>
    <s v="Y"/>
    <s v="N"/>
    <s v="Y"/>
    <s v="N"/>
    <s v="B033"/>
    <d v="2016-11-22T00:00:00"/>
    <s v="10"/>
    <s v="TAN"/>
    <s v="OR"/>
    <d v="2016-11-17T00:00:00"/>
    <s v="ND"/>
    <s v="US"/>
    <s v="ZR"/>
    <d v="2016-11-17T00:00:00"/>
  </r>
  <r>
    <x v="1"/>
    <x v="7"/>
    <x v="1819"/>
    <x v="37"/>
    <s v="Standard order"/>
    <x v="1708"/>
    <x v="1702"/>
    <s v="8500"/>
    <s v="BTS 8500"/>
    <s v="5002856"/>
    <s v="8500 BTS T35 PB SYSTIVA RP"/>
    <n v="28"/>
    <n v="0"/>
    <n v="28"/>
    <x v="7"/>
    <s v="FTND"/>
    <s v="RP"/>
    <s v="333"/>
    <s v="4.0 UN"/>
    <s v="STANDARD"/>
    <s v="N"/>
    <s v="Y"/>
    <s v="N"/>
    <s v="T35"/>
    <s v="Y"/>
    <s v="N"/>
    <s v="Y"/>
    <s v="N"/>
    <s v="B033"/>
    <d v="2016-11-22T00:00:00"/>
    <s v="20"/>
    <s v="TAN"/>
    <s v="OR"/>
    <d v="2016-11-17T00:00:00"/>
    <s v="ND"/>
    <s v="US"/>
    <s v="ZR"/>
    <d v="2016-11-17T00:00:00"/>
  </r>
  <r>
    <x v="1"/>
    <x v="7"/>
    <x v="1820"/>
    <x v="39"/>
    <s v="Standard order"/>
    <x v="1709"/>
    <x v="1703"/>
    <s v="8524"/>
    <s v="BTS 8524"/>
    <s v="5002896"/>
    <s v="8524 BTS T35 PB SYSTIVA RP"/>
    <n v="84"/>
    <n v="0"/>
    <n v="84"/>
    <x v="7"/>
    <s v="FWND"/>
    <s v="RP"/>
    <s v="333"/>
    <s v="4.0 UN"/>
    <s v="STANDARD"/>
    <s v="N"/>
    <s v="Y"/>
    <s v="N"/>
    <s v="T35"/>
    <s v="Y"/>
    <s v="N"/>
    <s v="Y"/>
    <s v="N"/>
    <s v="B030"/>
    <d v="2016-11-23T00:00:00"/>
    <s v="10"/>
    <s v="TAN"/>
    <s v="OR"/>
    <d v="2016-11-18T00:00:00"/>
    <s v="MN"/>
    <s v="US"/>
    <s v="ZR"/>
    <d v="2016-11-18T00:00:00"/>
  </r>
  <r>
    <x v="1"/>
    <x v="7"/>
    <x v="1821"/>
    <x v="39"/>
    <s v="Standard order"/>
    <x v="1710"/>
    <x v="1704"/>
    <s v="8052"/>
    <s v="BTS 80RR52"/>
    <s v="5002735"/>
    <s v="8052 BTS T35 PB SYSTIVA RP"/>
    <n v="48"/>
    <n v="0"/>
    <n v="48"/>
    <x v="7"/>
    <s v="AP82"/>
    <s v="RP"/>
    <s v="333"/>
    <s v="4.0 UN"/>
    <s v="STANDARD"/>
    <s v="N"/>
    <s v="Y"/>
    <s v="N"/>
    <s v="T35"/>
    <s v="Y"/>
    <s v="N"/>
    <s v="Y"/>
    <s v="N"/>
    <s v="B030"/>
    <d v="2016-11-23T00:00:00"/>
    <s v="10"/>
    <s v="TAN"/>
    <s v="OR"/>
    <d v="2016-11-18T00:00:00"/>
    <s v="MN"/>
    <s v="US"/>
    <s v="ZR"/>
    <d v="2016-11-18T00:00:00"/>
  </r>
  <r>
    <x v="1"/>
    <x v="7"/>
    <x v="1821"/>
    <x v="39"/>
    <s v="Standard order"/>
    <x v="1710"/>
    <x v="1704"/>
    <s v="8524"/>
    <s v="BTS 8524"/>
    <s v="5002896"/>
    <s v="8524 BTS T35 PB SYSTIVA RP"/>
    <n v="48"/>
    <n v="0"/>
    <n v="48"/>
    <x v="7"/>
    <s v="FWND"/>
    <s v="RP"/>
    <s v="333"/>
    <s v="4.0 UN"/>
    <s v="STANDARD"/>
    <s v="N"/>
    <s v="Y"/>
    <s v="N"/>
    <s v="T35"/>
    <s v="Y"/>
    <s v="N"/>
    <s v="Y"/>
    <s v="N"/>
    <s v="B030"/>
    <d v="2016-11-23T00:00:00"/>
    <s v="20"/>
    <s v="TAN"/>
    <s v="OR"/>
    <d v="2016-11-18T00:00:00"/>
    <s v="MN"/>
    <s v="US"/>
    <s v="ZR"/>
    <d v="2016-11-18T00:00:00"/>
  </r>
  <r>
    <x v="1"/>
    <x v="7"/>
    <x v="1821"/>
    <x v="39"/>
    <s v="Standard order"/>
    <x v="1710"/>
    <x v="1704"/>
    <s v="8500"/>
    <s v="BTS 8500"/>
    <s v="5002856"/>
    <s v="8500 RP BetaShield"/>
    <n v="48"/>
    <n v="0"/>
    <n v="48"/>
    <x v="7"/>
    <s v="FTND"/>
    <s v="RP"/>
    <s v="333"/>
    <s v="4.0 UN"/>
    <s v="STANDARD"/>
    <s v="N"/>
    <s v="Y"/>
    <s v="N"/>
    <s v="T35"/>
    <s v="Y"/>
    <s v="N"/>
    <s v="Y"/>
    <s v="N"/>
    <s v=""/>
    <d v="2016-11-23T00:00:00"/>
    <s v="40"/>
    <s v="TAN"/>
    <s v="OR"/>
    <d v="2016-11-18T00:00:00"/>
    <s v="MN"/>
    <s v="US"/>
    <s v="ZR"/>
    <d v="2016-11-18T00:00:00"/>
  </r>
  <r>
    <x v="1"/>
    <x v="7"/>
    <x v="1822"/>
    <x v="33"/>
    <s v="Standard order"/>
    <x v="1711"/>
    <x v="1705"/>
    <s v="8052"/>
    <s v="BTS 80RR52"/>
    <s v="5002735"/>
    <s v="8052 BTS T35 PB SYSTIVA RP"/>
    <n v="24"/>
    <n v="0"/>
    <n v="24"/>
    <x v="7"/>
    <s v="AP82"/>
    <s v="RP"/>
    <s v="333"/>
    <s v="4.0 UN"/>
    <s v="STANDARD"/>
    <s v="N"/>
    <s v="Y"/>
    <s v="N"/>
    <s v="T35"/>
    <s v="Y"/>
    <s v="N"/>
    <s v="Y"/>
    <s v="N"/>
    <s v="B026"/>
    <d v="2016-11-23T00:00:00"/>
    <s v="10"/>
    <s v="TAN"/>
    <s v="OR"/>
    <d v="2016-11-18T00:00:00"/>
    <s v="MN"/>
    <s v="US"/>
    <s v="ZR"/>
    <d v="2016-11-18T00:00:00"/>
  </r>
  <r>
    <x v="1"/>
    <x v="7"/>
    <x v="1822"/>
    <x v="33"/>
    <s v="Standard order"/>
    <x v="1711"/>
    <x v="1705"/>
    <s v="8337"/>
    <s v="BTS 8337"/>
    <s v="5002795"/>
    <s v="8337 BTS T35 PB SYSTIVA RP"/>
    <n v="48"/>
    <n v="0"/>
    <n v="48"/>
    <x v="7"/>
    <s v="DHMC"/>
    <s v="RP"/>
    <s v="333"/>
    <s v="4.0 UN"/>
    <s v="STANDARD"/>
    <s v="N"/>
    <s v="Y"/>
    <s v="N"/>
    <s v="T35"/>
    <s v="Y"/>
    <s v="N"/>
    <s v="Y"/>
    <s v="N"/>
    <s v="B026"/>
    <d v="2016-11-23T00:00:00"/>
    <s v="20"/>
    <s v="TAN"/>
    <s v="OR"/>
    <d v="2016-11-18T00:00:00"/>
    <s v="MN"/>
    <s v="US"/>
    <s v="ZR"/>
    <d v="2016-11-18T00:00:00"/>
  </r>
  <r>
    <x v="1"/>
    <x v="7"/>
    <x v="1822"/>
    <x v="33"/>
    <s v="Standard order"/>
    <x v="1711"/>
    <x v="1705"/>
    <s v="8500"/>
    <s v="BTS 8500"/>
    <s v="5002856"/>
    <s v="8500 BTS T35 PB SYSTIVA RP"/>
    <n v="24"/>
    <n v="0"/>
    <n v="24"/>
    <x v="7"/>
    <s v="FTND"/>
    <s v="RP"/>
    <s v="333"/>
    <s v="4.0 UN"/>
    <s v="STANDARD"/>
    <s v="N"/>
    <s v="Y"/>
    <s v="N"/>
    <s v="T35"/>
    <s v="Y"/>
    <s v="N"/>
    <s v="Y"/>
    <s v="N"/>
    <s v="B026"/>
    <d v="2016-11-23T00:00:00"/>
    <s v="30"/>
    <s v="TAN"/>
    <s v="OR"/>
    <d v="2016-11-18T00:00:00"/>
    <s v="MN"/>
    <s v="US"/>
    <s v="ZR"/>
    <d v="2016-11-18T00:00:00"/>
  </r>
  <r>
    <x v="1"/>
    <x v="7"/>
    <x v="1823"/>
    <x v="33"/>
    <s v="Standard order"/>
    <x v="1712"/>
    <x v="1706"/>
    <s v="8337"/>
    <s v="BTS 8337"/>
    <s v="5002795"/>
    <s v="8337 BTS T35 PB SYSTIVA RP"/>
    <n v="68"/>
    <n v="0"/>
    <n v="68"/>
    <x v="7"/>
    <s v="DHMC"/>
    <s v="RP"/>
    <s v="333"/>
    <s v="4.0 UN"/>
    <s v="STANDARD"/>
    <s v="N"/>
    <s v="Y"/>
    <s v="N"/>
    <s v="T35"/>
    <s v="Y"/>
    <s v="N"/>
    <s v="Y"/>
    <s v="N"/>
    <s v="B026"/>
    <d v="2016-11-23T00:00:00"/>
    <s v="10"/>
    <s v="TAN"/>
    <s v="OR"/>
    <d v="2016-11-18T00:00:00"/>
    <s v="MN"/>
    <s v="US"/>
    <s v="ZR"/>
    <d v="2016-11-18T00:00:00"/>
  </r>
  <r>
    <x v="1"/>
    <x v="7"/>
    <x v="1823"/>
    <x v="33"/>
    <s v="Standard order"/>
    <x v="1712"/>
    <x v="1706"/>
    <s v="8524"/>
    <s v="BTS 8524"/>
    <s v="5002896"/>
    <s v="8524 BTS T35 PB SYSTIVA RP"/>
    <n v="64"/>
    <n v="0"/>
    <n v="64"/>
    <x v="7"/>
    <s v="FWND"/>
    <s v="RP"/>
    <s v="333"/>
    <s v="4.0 UN"/>
    <s v="STANDARD"/>
    <s v="N"/>
    <s v="Y"/>
    <s v="N"/>
    <s v="T35"/>
    <s v="Y"/>
    <s v="N"/>
    <s v="Y"/>
    <s v="N"/>
    <s v="B026"/>
    <d v="2016-11-23T00:00:00"/>
    <s v="20"/>
    <s v="TAN"/>
    <s v="OR"/>
    <d v="2016-11-18T00:00:00"/>
    <s v="MN"/>
    <s v="US"/>
    <s v="ZR"/>
    <d v="2016-11-18T00:00:00"/>
  </r>
  <r>
    <x v="1"/>
    <x v="7"/>
    <x v="1824"/>
    <x v="33"/>
    <s v="Standard order"/>
    <x v="1713"/>
    <x v="1707"/>
    <s v="8337"/>
    <s v="BTS 8337"/>
    <s v="5002795"/>
    <s v="8337 BTS T35 PB SYSTIVA RP"/>
    <n v="136"/>
    <n v="0"/>
    <n v="136"/>
    <x v="7"/>
    <s v="DHMC"/>
    <s v="RP"/>
    <s v="333"/>
    <s v="4.0 UN"/>
    <s v="STANDARD"/>
    <s v="N"/>
    <s v="Y"/>
    <s v="N"/>
    <s v="T35"/>
    <s v="Y"/>
    <s v="N"/>
    <s v="Y"/>
    <s v="N"/>
    <s v="B026"/>
    <d v="2016-11-23T00:00:00"/>
    <s v="10"/>
    <s v="TAN"/>
    <s v="OR"/>
    <d v="2016-11-18T00:00:00"/>
    <s v="MN"/>
    <s v="US"/>
    <s v="ZR"/>
    <d v="2016-11-18T00:00:00"/>
  </r>
  <r>
    <x v="1"/>
    <x v="7"/>
    <x v="1824"/>
    <x v="33"/>
    <s v="Standard order"/>
    <x v="1713"/>
    <x v="1707"/>
    <s v="8524"/>
    <s v="BTS 8524"/>
    <s v="5002896"/>
    <s v="8524 BTS T35 PB SYSTIVA RP"/>
    <n v="40"/>
    <n v="0"/>
    <n v="40"/>
    <x v="7"/>
    <s v="FWND"/>
    <s v="RP"/>
    <s v="333"/>
    <s v="4.0 UN"/>
    <s v="STANDARD"/>
    <s v="N"/>
    <s v="Y"/>
    <s v="N"/>
    <s v="T35"/>
    <s v="Y"/>
    <s v="N"/>
    <s v="Y"/>
    <s v="N"/>
    <s v="B026"/>
    <d v="2016-11-23T00:00:00"/>
    <s v="20"/>
    <s v="TAN"/>
    <s v="OR"/>
    <d v="2016-11-18T00:00:00"/>
    <s v="MN"/>
    <s v="US"/>
    <s v="ZR"/>
    <d v="2016-11-18T00:00:00"/>
  </r>
  <r>
    <x v="1"/>
    <x v="7"/>
    <x v="1825"/>
    <x v="39"/>
    <s v="Standard order"/>
    <x v="1714"/>
    <x v="1708"/>
    <s v="8052"/>
    <s v="BTS 80RR52"/>
    <s v="5002739"/>
    <s v="8052 BTS T35 SYSTIVA RP"/>
    <n v="72"/>
    <n v="0"/>
    <n v="72"/>
    <x v="7"/>
    <s v="AP82"/>
    <s v="RP"/>
    <s v="334"/>
    <s v="4.0 UN"/>
    <s v="STANDARD"/>
    <s v="N"/>
    <s v="N"/>
    <s v="N"/>
    <s v="T35"/>
    <s v="Y"/>
    <s v="N"/>
    <s v="Y"/>
    <s v="N"/>
    <s v="B030"/>
    <d v="2016-11-23T00:00:00"/>
    <s v="10"/>
    <s v="TAN"/>
    <s v="OR"/>
    <d v="2016-11-18T00:00:00"/>
    <s v="MN"/>
    <s v="US"/>
    <s v="ZR"/>
    <d v="2016-11-18T00:00:00"/>
  </r>
  <r>
    <x v="1"/>
    <x v="7"/>
    <x v="1825"/>
    <x v="39"/>
    <s v="Standard order"/>
    <x v="1714"/>
    <x v="1708"/>
    <s v="8524"/>
    <s v="BTS 8524"/>
    <s v="5002900"/>
    <s v="8524 BTS T35 SYSTIVA RP"/>
    <n v="52"/>
    <n v="0"/>
    <n v="52"/>
    <x v="7"/>
    <s v="FWND"/>
    <s v="RP"/>
    <s v="334"/>
    <s v="4.0 UN"/>
    <s v="STANDARD"/>
    <s v="N"/>
    <s v="N"/>
    <s v="N"/>
    <s v="T35"/>
    <s v="Y"/>
    <s v="N"/>
    <s v="Y"/>
    <s v="N"/>
    <s v="B030"/>
    <d v="2016-11-23T00:00:00"/>
    <s v="20"/>
    <s v="TAN"/>
    <s v="OR"/>
    <d v="2016-11-18T00:00:00"/>
    <s v="MN"/>
    <s v="US"/>
    <s v="ZR"/>
    <d v="2016-11-18T00:00:00"/>
  </r>
  <r>
    <x v="1"/>
    <x v="7"/>
    <x v="1826"/>
    <x v="36"/>
    <s v="Standard order"/>
    <x v="1715"/>
    <x v="1709"/>
    <s v="8500"/>
    <s v="BTS 8500"/>
    <s v="5002856"/>
    <s v="8500 BTS T35 PB SYSTIVA RP"/>
    <n v="32"/>
    <n v="0"/>
    <n v="32"/>
    <x v="7"/>
    <s v="FTND"/>
    <s v="RP"/>
    <s v="333"/>
    <s v="4.0 UN"/>
    <s v="STANDARD"/>
    <s v="N"/>
    <s v="Y"/>
    <s v="N"/>
    <s v="T35"/>
    <s v="Y"/>
    <s v="N"/>
    <s v="Y"/>
    <s v="N"/>
    <s v="B027"/>
    <d v="2016-11-23T00:00:00"/>
    <s v="10"/>
    <s v="TAN"/>
    <s v="OR"/>
    <d v="2016-11-18T00:00:00"/>
    <s v="MN"/>
    <s v="US"/>
    <s v="ZR"/>
    <d v="2016-11-18T00:00:00"/>
  </r>
  <r>
    <x v="1"/>
    <x v="7"/>
    <x v="1827"/>
    <x v="36"/>
    <s v="Standard order"/>
    <x v="1716"/>
    <x v="1710"/>
    <s v="8052"/>
    <s v="BTS 80RR52"/>
    <s v="5002734"/>
    <s v="8052 BTS T35 PB SYSTIVA P200"/>
    <n v="20"/>
    <n v="0"/>
    <n v="20"/>
    <x v="7"/>
    <s v="AP82"/>
    <s v="PRO 200"/>
    <s v="333"/>
    <s v="4.0 UN"/>
    <s v="STANDARD"/>
    <s v="N"/>
    <s v="Y"/>
    <s v="N"/>
    <s v="T35"/>
    <s v="Y"/>
    <s v="N"/>
    <s v="Y"/>
    <s v="N"/>
    <s v="B027"/>
    <d v="2016-11-23T00:00:00"/>
    <s v="10"/>
    <s v="TAN"/>
    <s v="OR"/>
    <d v="2016-11-18T00:00:00"/>
    <s v="MN"/>
    <s v="US"/>
    <s v="ZR"/>
    <d v="2016-11-18T00:00:00"/>
  </r>
  <r>
    <x v="1"/>
    <x v="7"/>
    <x v="1828"/>
    <x v="36"/>
    <s v="Standard order"/>
    <x v="1717"/>
    <x v="1711"/>
    <s v="8500"/>
    <s v="BTS 8500"/>
    <s v="5002855"/>
    <s v="8500 BTS T35 PB SYSTIVA P200"/>
    <n v="48"/>
    <n v="0"/>
    <n v="48"/>
    <x v="7"/>
    <s v="FTND"/>
    <s v="PRO 200"/>
    <s v="333"/>
    <s v="4.0 UN"/>
    <s v="STANDARD"/>
    <s v="N"/>
    <s v="Y"/>
    <s v="N"/>
    <s v="T35"/>
    <s v="Y"/>
    <s v="N"/>
    <s v="Y"/>
    <s v="N"/>
    <s v="B027"/>
    <d v="2016-11-23T00:00:00"/>
    <s v="30"/>
    <s v="TAN"/>
    <s v="OR"/>
    <d v="2016-11-18T00:00:00"/>
    <s v="MN"/>
    <s v="US"/>
    <s v="ZR"/>
    <d v="2016-11-18T00:00:00"/>
  </r>
  <r>
    <x v="1"/>
    <x v="7"/>
    <x v="1828"/>
    <x v="36"/>
    <s v="Standard order"/>
    <x v="1717"/>
    <x v="1711"/>
    <s v="8052"/>
    <s v="BTS 80RR52"/>
    <s v="5002734"/>
    <s v="8052 BTS T35 PB SYSTIVA P200"/>
    <n v="48"/>
    <n v="0"/>
    <n v="48"/>
    <x v="7"/>
    <s v="AP82"/>
    <s v="PRO 200"/>
    <s v="333"/>
    <s v="4.0 UN"/>
    <s v="STANDARD"/>
    <s v="N"/>
    <s v="Y"/>
    <s v="N"/>
    <s v="T35"/>
    <s v="Y"/>
    <s v="N"/>
    <s v="Y"/>
    <s v="N"/>
    <s v="B027"/>
    <d v="2016-11-23T00:00:00"/>
    <s v="10"/>
    <s v="TAN"/>
    <s v="OR"/>
    <d v="2016-11-18T00:00:00"/>
    <s v="MN"/>
    <s v="US"/>
    <s v="ZR"/>
    <d v="2016-11-18T00:00:00"/>
  </r>
  <r>
    <x v="1"/>
    <x v="7"/>
    <x v="1829"/>
    <x v="37"/>
    <s v="Standard order"/>
    <x v="1718"/>
    <x v="1712"/>
    <s v="8500"/>
    <s v="BTS 8500"/>
    <s v="5002856"/>
    <s v="8500 BTS T35 PB SYSTIVA RP"/>
    <n v="88"/>
    <n v="0"/>
    <n v="88"/>
    <x v="7"/>
    <s v="FTND"/>
    <s v="RP"/>
    <s v="333"/>
    <s v="4.0 UN"/>
    <s v="STANDARD"/>
    <s v="N"/>
    <s v="Y"/>
    <s v="N"/>
    <s v="T35"/>
    <s v="Y"/>
    <s v="N"/>
    <s v="Y"/>
    <s v="N"/>
    <s v="B033"/>
    <d v="2016-11-23T00:00:00"/>
    <s v="10"/>
    <s v="TAN"/>
    <s v="OR"/>
    <d v="2016-11-18T00:00:00"/>
    <s v="MN"/>
    <s v="US"/>
    <s v="ZR"/>
    <d v="2016-11-18T00:00:00"/>
  </r>
  <r>
    <x v="1"/>
    <x v="7"/>
    <x v="1829"/>
    <x v="37"/>
    <s v="Standard order"/>
    <x v="1718"/>
    <x v="1712"/>
    <s v="8524"/>
    <s v="BTS 8524"/>
    <s v="5002896"/>
    <s v="8524 BTS T35 PB SYSTIVA RP"/>
    <n v="44"/>
    <n v="0"/>
    <n v="44"/>
    <x v="7"/>
    <s v="FWND"/>
    <s v="RP"/>
    <s v="333"/>
    <s v="4.0 UN"/>
    <s v="STANDARD"/>
    <s v="N"/>
    <s v="Y"/>
    <s v="N"/>
    <s v="T35"/>
    <s v="Y"/>
    <s v="N"/>
    <s v="Y"/>
    <s v="N"/>
    <s v="B033"/>
    <d v="2016-11-23T00:00:00"/>
    <s v="20"/>
    <s v="TAN"/>
    <s v="OR"/>
    <d v="2016-11-18T00:00:00"/>
    <s v="MN"/>
    <s v="US"/>
    <s v="ZR"/>
    <d v="2016-11-18T00:00:00"/>
  </r>
  <r>
    <x v="1"/>
    <x v="7"/>
    <x v="1830"/>
    <x v="36"/>
    <s v="Standard order"/>
    <x v="1719"/>
    <x v="1713"/>
    <s v="8572"/>
    <s v="BTS 8572"/>
    <s v="5003215"/>
    <s v="8572 BTS T35 PB SYSTIVA RP"/>
    <n v="60"/>
    <n v="0"/>
    <n v="60"/>
    <x v="7"/>
    <s v="FENB"/>
    <s v="RP"/>
    <s v="333"/>
    <s v="4.0 UN"/>
    <s v="STANDARD"/>
    <s v="N"/>
    <s v="Y"/>
    <s v="N"/>
    <s v="T35"/>
    <s v="Y"/>
    <s v="N"/>
    <s v="Y"/>
    <s v="N"/>
    <s v="B027"/>
    <d v="2016-11-23T00:00:00"/>
    <s v="10"/>
    <s v="TAN"/>
    <s v="OR"/>
    <d v="2016-11-18T00:00:00"/>
    <s v="MN"/>
    <s v="US"/>
    <s v="ZR"/>
    <d v="2016-11-18T00:00:00"/>
  </r>
  <r>
    <x v="1"/>
    <x v="7"/>
    <x v="1830"/>
    <x v="36"/>
    <s v="Standard order"/>
    <x v="1719"/>
    <x v="1713"/>
    <s v="8500"/>
    <s v="BTS 8500"/>
    <s v="5002856"/>
    <s v="8500 BTS T35 PB SYSTIVA RP"/>
    <n v="116"/>
    <n v="0"/>
    <n v="116"/>
    <x v="7"/>
    <s v="FTND"/>
    <s v="RP"/>
    <s v="333"/>
    <s v="4.0 UN"/>
    <s v="STANDARD"/>
    <s v="N"/>
    <s v="Y"/>
    <s v="N"/>
    <s v="T35"/>
    <s v="Y"/>
    <s v="N"/>
    <s v="Y"/>
    <s v="N"/>
    <s v="B027"/>
    <d v="2016-11-23T00:00:00"/>
    <s v="20"/>
    <s v="TAN"/>
    <s v="OR"/>
    <d v="2016-11-18T00:00:00"/>
    <s v="MN"/>
    <s v="US"/>
    <s v="ZR"/>
    <d v="2016-11-18T00:00:00"/>
  </r>
  <r>
    <x v="1"/>
    <x v="7"/>
    <x v="1831"/>
    <x v="28"/>
    <s v="Standard order"/>
    <x v="1334"/>
    <x v="1332"/>
    <s v="8052"/>
    <s v="BTS 80RR52"/>
    <s v="5002735"/>
    <s v="8052 BTS T35 PB SYSTIVA RP"/>
    <n v="192"/>
    <n v="0"/>
    <n v="192"/>
    <x v="7"/>
    <s v="AP82"/>
    <s v="RP"/>
    <s v="333"/>
    <s v="4.0 UN"/>
    <s v="STANDARD"/>
    <s v="N"/>
    <s v="Y"/>
    <s v="N"/>
    <s v="T35"/>
    <s v="Y"/>
    <s v="N"/>
    <s v="Y"/>
    <s v="N"/>
    <s v="B056"/>
    <d v="2016-11-23T00:00:00"/>
    <s v="10"/>
    <s v="TAN"/>
    <s v="OR"/>
    <d v="2016-11-18T00:00:00"/>
    <s v="ND"/>
    <s v="US"/>
    <s v="ZR"/>
    <d v="2016-11-18T00:00:00"/>
  </r>
  <r>
    <x v="1"/>
    <x v="7"/>
    <x v="1831"/>
    <x v="28"/>
    <s v="Standard order"/>
    <x v="1334"/>
    <x v="1332"/>
    <s v="8512"/>
    <s v="BTS 8512"/>
    <s v="5002876"/>
    <s v="8512 BTS T35 PB SYSTIVA RP"/>
    <n v="192"/>
    <n v="0"/>
    <n v="192"/>
    <x v="7"/>
    <s v="FX73"/>
    <s v="RP"/>
    <s v="333"/>
    <s v="4.0 UN"/>
    <s v="STANDARD"/>
    <s v="N"/>
    <s v="Y"/>
    <s v="N"/>
    <s v="T35"/>
    <s v="Y"/>
    <s v="N"/>
    <s v="Y"/>
    <s v="N"/>
    <s v="B056"/>
    <d v="2016-11-23T00:00:00"/>
    <s v="20"/>
    <s v="TAN"/>
    <s v="OR"/>
    <d v="2016-11-18T00:00:00"/>
    <s v="ND"/>
    <s v="US"/>
    <s v="ZR"/>
    <d v="2016-11-18T00:00:00"/>
  </r>
  <r>
    <x v="1"/>
    <x v="7"/>
    <x v="1831"/>
    <x v="28"/>
    <s v="Standard order"/>
    <x v="1334"/>
    <x v="1332"/>
    <s v="8572"/>
    <s v="BTS 8572"/>
    <s v="5003215"/>
    <s v="8572 BTS T35 PB SYSTIVA RP"/>
    <n v="96"/>
    <n v="0"/>
    <n v="96"/>
    <x v="7"/>
    <s v="FENB"/>
    <s v="RP"/>
    <s v="333"/>
    <s v="4.0 UN"/>
    <s v="STANDARD"/>
    <s v="N"/>
    <s v="Y"/>
    <s v="N"/>
    <s v="T35"/>
    <s v="Y"/>
    <s v="N"/>
    <s v="Y"/>
    <s v="N"/>
    <s v="B056"/>
    <d v="2016-11-23T00:00:00"/>
    <s v="30"/>
    <s v="TAN"/>
    <s v="OR"/>
    <d v="2016-11-18T00:00:00"/>
    <s v="ND"/>
    <s v="US"/>
    <s v="ZR"/>
    <d v="2016-11-18T00:00:00"/>
  </r>
  <r>
    <x v="1"/>
    <x v="7"/>
    <x v="1831"/>
    <x v="28"/>
    <s v="Standard order"/>
    <x v="1334"/>
    <x v="1332"/>
    <s v="8500"/>
    <s v="BTS 8500"/>
    <s v="5002856"/>
    <s v="8500 BTS T35 PB SYSTIVA RP"/>
    <n v="192"/>
    <n v="0"/>
    <n v="192"/>
    <x v="7"/>
    <s v="FTND"/>
    <s v="RP"/>
    <s v="333"/>
    <s v="4.0 UN"/>
    <s v="STANDARD"/>
    <s v="N"/>
    <s v="Y"/>
    <s v="N"/>
    <s v="T35"/>
    <s v="Y"/>
    <s v="N"/>
    <s v="Y"/>
    <s v="N"/>
    <s v="B056"/>
    <d v="2016-11-23T00:00:00"/>
    <s v="40"/>
    <s v="TAN"/>
    <s v="OR"/>
    <d v="2016-11-18T00:00:00"/>
    <s v="ND"/>
    <s v="US"/>
    <s v="ZR"/>
    <d v="2016-11-18T00:00:00"/>
  </r>
  <r>
    <x v="1"/>
    <x v="7"/>
    <x v="1832"/>
    <x v="39"/>
    <s v="Standard order"/>
    <x v="1720"/>
    <x v="1714"/>
    <s v="8337"/>
    <s v="BTS 8337"/>
    <s v="5002794"/>
    <s v="8337 BTS T35 PB SYSTIVA P200"/>
    <n v="24"/>
    <n v="0"/>
    <n v="24"/>
    <x v="7"/>
    <s v="DHMC"/>
    <s v="PRO 200"/>
    <s v="333"/>
    <s v="4.0 UN"/>
    <s v="STANDARD"/>
    <s v="N"/>
    <s v="Y"/>
    <s v="N"/>
    <s v="T35"/>
    <s v="Y"/>
    <s v="N"/>
    <s v="Y"/>
    <s v="N"/>
    <s v="B030"/>
    <d v="2016-11-23T00:00:00"/>
    <s v="10"/>
    <s v="TAN"/>
    <s v="OR"/>
    <d v="2016-11-18T00:00:00"/>
    <s v="MN"/>
    <s v="US"/>
    <s v="ZR"/>
    <d v="2016-11-18T00:00:00"/>
  </r>
  <r>
    <x v="1"/>
    <x v="7"/>
    <x v="1832"/>
    <x v="39"/>
    <s v="Standard order"/>
    <x v="1720"/>
    <x v="1714"/>
    <s v="8572"/>
    <s v="BTS 8572"/>
    <s v="5003214"/>
    <s v="8572 BTS T35 PB SYSTIVA P200"/>
    <n v="56"/>
    <n v="0"/>
    <n v="56"/>
    <x v="7"/>
    <s v="FENB"/>
    <s v="PRO 200"/>
    <s v="333"/>
    <s v="4.0 UN"/>
    <s v="STANDARD"/>
    <s v="N"/>
    <s v="Y"/>
    <s v="N"/>
    <s v="T35"/>
    <s v="Y"/>
    <s v="N"/>
    <s v="Y"/>
    <s v="N"/>
    <s v="B030"/>
    <d v="2016-11-23T00:00:00"/>
    <s v="20"/>
    <s v="TAN"/>
    <s v="OR"/>
    <d v="2016-11-18T00:00:00"/>
    <s v="MN"/>
    <s v="US"/>
    <s v="ZR"/>
    <d v="2016-11-18T00:00:00"/>
  </r>
  <r>
    <x v="1"/>
    <x v="7"/>
    <x v="1833"/>
    <x v="39"/>
    <s v="Standard order"/>
    <x v="1721"/>
    <x v="1715"/>
    <s v="8524"/>
    <s v="BTS 8524"/>
    <s v="5002900"/>
    <s v="8524 BTS T35 SYSTIVA RP"/>
    <n v="96"/>
    <n v="0"/>
    <n v="96"/>
    <x v="7"/>
    <s v="FWND"/>
    <s v="RP"/>
    <s v="334"/>
    <s v="4.0 UN"/>
    <s v="STANDARD"/>
    <s v="N"/>
    <s v="N"/>
    <s v="N"/>
    <s v="T35"/>
    <s v="Y"/>
    <s v="N"/>
    <s v="Y"/>
    <s v="N"/>
    <s v="B030"/>
    <d v="2016-11-23T00:00:00"/>
    <s v="10"/>
    <s v="TAN"/>
    <s v="OR"/>
    <d v="2016-11-18T00:00:00"/>
    <s v="MN"/>
    <s v="US"/>
    <s v="ZR"/>
    <d v="2016-11-18T00:00:00"/>
  </r>
  <r>
    <x v="1"/>
    <x v="7"/>
    <x v="1834"/>
    <x v="39"/>
    <s v="Standard order"/>
    <x v="1722"/>
    <x v="1716"/>
    <s v="8524"/>
    <s v="BTS 8524"/>
    <s v="5002900"/>
    <s v="8524 BTS T35 SYSTIVA RP"/>
    <n v="96"/>
    <n v="0"/>
    <n v="96"/>
    <x v="7"/>
    <s v="FWND"/>
    <s v="RP"/>
    <s v="334"/>
    <s v="4.0 UN"/>
    <s v="STANDARD"/>
    <s v="N"/>
    <s v="N"/>
    <s v="N"/>
    <s v="T35"/>
    <s v="Y"/>
    <s v="N"/>
    <s v="Y"/>
    <s v="N"/>
    <s v="B030"/>
    <d v="2016-11-23T00:00:00"/>
    <s v="10"/>
    <s v="TAN"/>
    <s v="OR"/>
    <d v="2016-11-18T00:00:00"/>
    <s v="MN"/>
    <s v="US"/>
    <s v="ZR"/>
    <d v="2016-11-18T00:00:00"/>
  </r>
  <r>
    <x v="1"/>
    <x v="7"/>
    <x v="1835"/>
    <x v="39"/>
    <s v="Standard order"/>
    <x v="1723"/>
    <x v="1717"/>
    <s v="8524"/>
    <s v="BTS 8524"/>
    <s v="5002883"/>
    <s v="8524 BTS T20 PB SYSTIVA MP"/>
    <n v="120"/>
    <n v="0"/>
    <n v="120"/>
    <x v="7"/>
    <s v="FWND"/>
    <s v="MP"/>
    <s v="322"/>
    <s v="4.0 UN"/>
    <s v="STANDARD"/>
    <s v="N"/>
    <s v="N"/>
    <s v="N"/>
    <s v="T20"/>
    <s v="Y"/>
    <s v="N"/>
    <s v="Y"/>
    <s v="N"/>
    <s v="B030"/>
    <d v="2016-11-23T00:00:00"/>
    <s v="10"/>
    <s v="TAN"/>
    <s v="OR"/>
    <d v="2016-11-18T00:00:00"/>
    <s v="MN"/>
    <s v="US"/>
    <s v="ZR"/>
    <d v="2016-11-18T00:00:00"/>
  </r>
  <r>
    <x v="1"/>
    <x v="7"/>
    <x v="1835"/>
    <x v="39"/>
    <s v="Standard order"/>
    <x v="1723"/>
    <x v="1717"/>
    <s v="8572"/>
    <s v="BTS 8572"/>
    <s v="5003202"/>
    <s v="8572 BTS T20 PB SYSTIVA MP"/>
    <n v="96"/>
    <n v="0"/>
    <n v="96"/>
    <x v="7"/>
    <s v="FENB"/>
    <s v="MP"/>
    <s v="322"/>
    <s v="4.0 UN"/>
    <s v="STANDARD"/>
    <s v="N"/>
    <s v="N"/>
    <s v="N"/>
    <s v="T20"/>
    <s v="Y"/>
    <s v="N"/>
    <s v="Y"/>
    <s v="N"/>
    <s v="B030"/>
    <d v="2016-11-23T00:00:00"/>
    <s v="20"/>
    <s v="TAN"/>
    <s v="OR"/>
    <d v="2016-11-18T00:00:00"/>
    <s v="MN"/>
    <s v="US"/>
    <s v="ZR"/>
    <d v="2016-11-18T00:00:00"/>
  </r>
  <r>
    <x v="1"/>
    <x v="7"/>
    <x v="1836"/>
    <x v="33"/>
    <s v="Standard order"/>
    <x v="1724"/>
    <x v="1718"/>
    <s v="8233"/>
    <s v="BTS 82RR33"/>
    <s v="5002775"/>
    <s v="8233 BTS T35 PB SYSTIVA RP"/>
    <n v="72"/>
    <n v="0"/>
    <n v="72"/>
    <x v="7"/>
    <s v="DRMC"/>
    <s v="RP"/>
    <s v="333"/>
    <s v="4.0 UN"/>
    <s v="STANDARD"/>
    <s v="N"/>
    <s v="Y"/>
    <s v="N"/>
    <s v="T35"/>
    <s v="Y"/>
    <s v="N"/>
    <s v="Y"/>
    <s v="N"/>
    <s v="B026"/>
    <d v="2016-11-23T00:00:00"/>
    <s v="10"/>
    <s v="TAN"/>
    <s v="OR"/>
    <d v="2016-11-18T00:00:00"/>
    <s v="MN"/>
    <s v="US"/>
    <s v="ZR"/>
    <d v="2016-11-18T00:00:00"/>
  </r>
  <r>
    <x v="1"/>
    <x v="7"/>
    <x v="1836"/>
    <x v="33"/>
    <s v="Standard order"/>
    <x v="1724"/>
    <x v="1718"/>
    <s v="8337"/>
    <s v="BTS 8337"/>
    <s v="5002795"/>
    <s v="8337 BTS T35 PB SYSTIVA RP"/>
    <n v="48"/>
    <n v="0"/>
    <n v="48"/>
    <x v="7"/>
    <s v="DHMC"/>
    <s v="RP"/>
    <s v="333"/>
    <s v="4.0 UN"/>
    <s v="STANDARD"/>
    <s v="N"/>
    <s v="Y"/>
    <s v="N"/>
    <s v="T35"/>
    <s v="Y"/>
    <s v="N"/>
    <s v="Y"/>
    <s v="N"/>
    <s v="B026"/>
    <d v="2016-11-23T00:00:00"/>
    <s v="20"/>
    <s v="TAN"/>
    <s v="OR"/>
    <d v="2016-11-18T00:00:00"/>
    <s v="MN"/>
    <s v="US"/>
    <s v="ZR"/>
    <d v="2016-11-18T00:00:00"/>
  </r>
  <r>
    <x v="1"/>
    <x v="7"/>
    <x v="1836"/>
    <x v="33"/>
    <s v="Standard order"/>
    <x v="1724"/>
    <x v="1718"/>
    <s v="8500"/>
    <s v="BTS 8500"/>
    <s v="5002856"/>
    <s v="8500 BTS T35 PB SYSTIVA RP"/>
    <n v="48"/>
    <n v="0"/>
    <n v="48"/>
    <x v="7"/>
    <s v="FTND"/>
    <s v="RP"/>
    <s v="333"/>
    <s v="4.0 UN"/>
    <s v="STANDARD"/>
    <s v="N"/>
    <s v="Y"/>
    <s v="N"/>
    <s v="T35"/>
    <s v="Y"/>
    <s v="N"/>
    <s v="Y"/>
    <s v="N"/>
    <s v="B026"/>
    <d v="2016-11-23T00:00:00"/>
    <s v="30"/>
    <s v="TAN"/>
    <s v="OR"/>
    <d v="2016-11-18T00:00:00"/>
    <s v="MN"/>
    <s v="US"/>
    <s v="ZR"/>
    <d v="2016-11-18T00:00:00"/>
  </r>
  <r>
    <x v="1"/>
    <x v="7"/>
    <x v="1836"/>
    <x v="33"/>
    <s v="Standard order"/>
    <x v="1724"/>
    <x v="1718"/>
    <s v="8572"/>
    <s v="BTS 8572"/>
    <s v="5003215"/>
    <s v="8572 BTS T35 PB SYSTIVA RP"/>
    <n v="24"/>
    <n v="0"/>
    <n v="24"/>
    <x v="7"/>
    <s v="FENB"/>
    <s v="RP"/>
    <s v="333"/>
    <s v="4.0 UN"/>
    <s v="STANDARD"/>
    <s v="N"/>
    <s v="Y"/>
    <s v="N"/>
    <s v="T35"/>
    <s v="Y"/>
    <s v="N"/>
    <s v="Y"/>
    <s v="N"/>
    <s v="B026"/>
    <d v="2016-11-23T00:00:00"/>
    <s v="40"/>
    <s v="TAN"/>
    <s v="OR"/>
    <d v="2016-11-18T00:00:00"/>
    <s v="MN"/>
    <s v="US"/>
    <s v="ZR"/>
    <d v="2016-11-18T00:00:00"/>
  </r>
  <r>
    <x v="1"/>
    <x v="7"/>
    <x v="1837"/>
    <x v="31"/>
    <s v="Standard order"/>
    <x v="1725"/>
    <x v="1719"/>
    <s v="8572"/>
    <s v="BTS 8572"/>
    <s v="5003202"/>
    <s v="8572 BTS T20 PB SYSTIVA MP"/>
    <n v="48"/>
    <n v="0"/>
    <n v="48"/>
    <x v="7"/>
    <s v="FENB"/>
    <s v="MP"/>
    <s v="322"/>
    <s v="4.0 UN"/>
    <s v="STANDARD"/>
    <s v="N"/>
    <s v="N"/>
    <s v="N"/>
    <s v="T20"/>
    <s v="Y"/>
    <s v="N"/>
    <s v="Y"/>
    <s v="N"/>
    <s v="B028"/>
    <d v="2016-11-23T00:00:00"/>
    <s v="10"/>
    <s v="TAN"/>
    <s v="OR"/>
    <d v="2016-11-18T00:00:00"/>
    <s v="ND"/>
    <s v="US"/>
    <s v="ZR"/>
    <d v="2016-11-18T00:00:00"/>
  </r>
  <r>
    <x v="1"/>
    <x v="7"/>
    <x v="1838"/>
    <x v="39"/>
    <s v="Standard order"/>
    <x v="1726"/>
    <x v="1720"/>
    <s v="8052"/>
    <s v="BTS 80RR52"/>
    <s v="5002739"/>
    <s v="8052 BTS T35 SYSTIVA RP"/>
    <n v="36"/>
    <n v="0"/>
    <n v="36"/>
    <x v="7"/>
    <s v="AP82"/>
    <s v="RP"/>
    <s v="334"/>
    <s v="4.0 UN"/>
    <s v="STANDARD"/>
    <s v="N"/>
    <s v="N"/>
    <s v="N"/>
    <s v="T35"/>
    <s v="Y"/>
    <s v="N"/>
    <s v="Y"/>
    <s v="N"/>
    <s v="B030"/>
    <d v="2016-11-23T00:00:00"/>
    <s v="10"/>
    <s v="TAN"/>
    <s v="OR"/>
    <d v="2016-11-18T00:00:00"/>
    <s v="MN"/>
    <s v="US"/>
    <s v="ZR"/>
    <d v="2016-11-18T00:00:00"/>
  </r>
  <r>
    <x v="1"/>
    <x v="7"/>
    <x v="1838"/>
    <x v="39"/>
    <s v="Standard order"/>
    <x v="1726"/>
    <x v="1720"/>
    <s v="8337"/>
    <s v="BTS 8337"/>
    <s v="5002799"/>
    <s v="8337 BTS T35 SYSTIVA RP"/>
    <n v="36"/>
    <n v="0"/>
    <n v="36"/>
    <x v="7"/>
    <s v="DHMC"/>
    <s v="RP"/>
    <s v="334"/>
    <s v="4.0 UN"/>
    <s v="STANDARD"/>
    <s v="N"/>
    <s v="N"/>
    <s v="N"/>
    <s v="T35"/>
    <s v="Y"/>
    <s v="N"/>
    <s v="Y"/>
    <s v="N"/>
    <s v="B030"/>
    <d v="2016-11-23T00:00:00"/>
    <s v="20"/>
    <s v="TAN"/>
    <s v="OR"/>
    <d v="2016-11-18T00:00:00"/>
    <s v="MN"/>
    <s v="US"/>
    <s v="ZR"/>
    <d v="2016-11-18T00:00:00"/>
  </r>
  <r>
    <x v="1"/>
    <x v="7"/>
    <x v="1838"/>
    <x v="39"/>
    <s v="Standard order"/>
    <x v="1726"/>
    <x v="1720"/>
    <s v="8500"/>
    <s v="BTS 8500"/>
    <s v="5002860"/>
    <s v="8500 BTS T35 SYSTIVA RP"/>
    <n v="36"/>
    <n v="0"/>
    <n v="36"/>
    <x v="7"/>
    <s v="FTND"/>
    <s v="RP"/>
    <s v="334"/>
    <s v="4.0 UN"/>
    <s v="STANDARD"/>
    <s v="N"/>
    <s v="N"/>
    <s v="N"/>
    <s v="T35"/>
    <s v="Y"/>
    <s v="N"/>
    <s v="Y"/>
    <s v="N"/>
    <s v="B030"/>
    <d v="2016-11-23T00:00:00"/>
    <s v="30"/>
    <s v="TAN"/>
    <s v="OR"/>
    <d v="2016-11-18T00:00:00"/>
    <s v="MN"/>
    <s v="US"/>
    <s v="ZR"/>
    <d v="2016-11-18T00:00:00"/>
  </r>
  <r>
    <x v="1"/>
    <x v="7"/>
    <x v="1839"/>
    <x v="33"/>
    <s v="Standard order"/>
    <x v="1727"/>
    <x v="1721"/>
    <s v="8524"/>
    <s v="BTS 8524"/>
    <s v="5002896"/>
    <s v="8524 BTS T35 PB SYSTIVA RP"/>
    <n v="40"/>
    <n v="0"/>
    <n v="40"/>
    <x v="7"/>
    <s v="FWND"/>
    <s v="RP"/>
    <s v="333"/>
    <s v="4.0 UN"/>
    <s v="STANDARD"/>
    <s v="N"/>
    <s v="Y"/>
    <s v="N"/>
    <s v="T35"/>
    <s v="Y"/>
    <s v="N"/>
    <s v="Y"/>
    <s v="N"/>
    <s v="B026"/>
    <d v="2016-11-23T00:00:00"/>
    <s v="10"/>
    <s v="TAN"/>
    <s v="OR"/>
    <d v="2016-11-18T00:00:00"/>
    <s v="MN"/>
    <s v="US"/>
    <s v="ZR"/>
    <d v="2016-11-18T00:00:00"/>
  </r>
  <r>
    <x v="1"/>
    <x v="7"/>
    <x v="1840"/>
    <x v="36"/>
    <s v="Standard order"/>
    <x v="1728"/>
    <x v="1722"/>
    <s v="8052"/>
    <s v="BTS 80RR52"/>
    <s v="5002738"/>
    <s v="8052 BTS T35 SYSTIVA P200"/>
    <n v="56"/>
    <n v="0"/>
    <n v="56"/>
    <x v="7"/>
    <s v="AP82"/>
    <s v="PRO 200"/>
    <s v="334"/>
    <s v="4.0 UN"/>
    <s v="STANDARD"/>
    <s v="N"/>
    <s v="N"/>
    <s v="N"/>
    <s v="T35"/>
    <s v="Y"/>
    <s v="N"/>
    <s v="Y"/>
    <s v="N"/>
    <s v="B027"/>
    <d v="2016-11-23T00:00:00"/>
    <s v="30"/>
    <s v="TAN"/>
    <s v="OR"/>
    <d v="2016-11-18T00:00:00"/>
    <s v="MN"/>
    <s v="US"/>
    <s v="ZR"/>
    <d v="2016-11-18T00:00:00"/>
  </r>
  <r>
    <x v="1"/>
    <x v="7"/>
    <x v="1840"/>
    <x v="36"/>
    <s v="Standard order"/>
    <x v="1728"/>
    <x v="1722"/>
    <s v="8500"/>
    <s v="BTS 8500"/>
    <s v="5002859"/>
    <s v="8500 BTS T35 SYSTIVA P200"/>
    <n v="56"/>
    <n v="0"/>
    <n v="56"/>
    <x v="7"/>
    <s v="FTND"/>
    <s v="PRO 200"/>
    <s v="334"/>
    <s v="4.0 UN"/>
    <s v="STANDARD"/>
    <s v="N"/>
    <s v="N"/>
    <s v="N"/>
    <s v="T35"/>
    <s v="Y"/>
    <s v="N"/>
    <s v="Y"/>
    <s v="N"/>
    <s v="B027"/>
    <d v="2016-11-23T00:00:00"/>
    <s v="10"/>
    <s v="TAN"/>
    <s v="OR"/>
    <d v="2016-11-18T00:00:00"/>
    <s v="MN"/>
    <s v="US"/>
    <s v="ZR"/>
    <d v="2016-11-18T00:00:00"/>
  </r>
  <r>
    <x v="1"/>
    <x v="7"/>
    <x v="1841"/>
    <x v="41"/>
    <s v="Standard order"/>
    <x v="1729"/>
    <x v="1723"/>
    <s v="8512"/>
    <s v="BTS 8512"/>
    <s v="5002880"/>
    <s v="8512 BTS T35 SYSTIVA RP"/>
    <n v="72"/>
    <n v="0"/>
    <n v="72"/>
    <x v="7"/>
    <s v="FX73"/>
    <s v="RP"/>
    <s v="334"/>
    <s v="4.0 UN"/>
    <s v="STANDARD"/>
    <s v="N"/>
    <s v="N"/>
    <s v="N"/>
    <s v="T35"/>
    <s v="Y"/>
    <s v="N"/>
    <s v="Y"/>
    <s v="N"/>
    <s v="B032"/>
    <d v="2016-11-23T00:00:00"/>
    <s v="10"/>
    <s v="TAN"/>
    <s v="OR"/>
    <d v="2016-11-18T00:00:00"/>
    <s v="MN"/>
    <s v="US"/>
    <s v="ZR"/>
    <d v="2016-11-19T00:00:00"/>
  </r>
  <r>
    <x v="1"/>
    <x v="7"/>
    <x v="1841"/>
    <x v="41"/>
    <s v="Standard order"/>
    <x v="1729"/>
    <x v="1723"/>
    <s v="8572"/>
    <s v="BTS 8572"/>
    <s v="5003219"/>
    <s v="8572 BTS T35 SYSTIVA RP"/>
    <n v="52"/>
    <n v="0"/>
    <n v="52"/>
    <x v="7"/>
    <s v="FENB"/>
    <s v="RP"/>
    <s v="334"/>
    <s v="4.0 UN"/>
    <s v="STANDARD"/>
    <s v="N"/>
    <s v="N"/>
    <s v="N"/>
    <s v="T35"/>
    <s v="Y"/>
    <s v="N"/>
    <s v="Y"/>
    <s v="N"/>
    <s v="B032"/>
    <d v="2016-11-23T00:00:00"/>
    <s v="20"/>
    <s v="TAN"/>
    <s v="OR"/>
    <d v="2016-11-18T00:00:00"/>
    <s v="MN"/>
    <s v="US"/>
    <s v="ZR"/>
    <d v="2016-11-19T00:00:00"/>
  </r>
  <r>
    <x v="1"/>
    <x v="7"/>
    <x v="1842"/>
    <x v="41"/>
    <s v="Standard order"/>
    <x v="1730"/>
    <x v="1724"/>
    <s v="83CN"/>
    <s v="BTS 83CN"/>
    <s v="5002836"/>
    <s v="83CN BTS T35 PB SYSTIVA RP"/>
    <n v="88"/>
    <n v="0"/>
    <n v="88"/>
    <x v="7"/>
    <s v="EE73"/>
    <s v="RP"/>
    <s v="333"/>
    <s v="4.0 UN"/>
    <s v="STANDARD"/>
    <s v="N"/>
    <s v="Y"/>
    <s v="N"/>
    <s v="T35"/>
    <s v="Y"/>
    <s v="N"/>
    <s v="Y"/>
    <s v="N"/>
    <s v="B032"/>
    <d v="2016-11-23T00:00:00"/>
    <s v="20"/>
    <s v="TAN"/>
    <s v="OR"/>
    <d v="2016-11-19T00:00:00"/>
    <s v="ND"/>
    <s v="US"/>
    <s v="ZR"/>
    <d v="2016-11-19T00:00:00"/>
  </r>
  <r>
    <x v="1"/>
    <x v="7"/>
    <x v="1842"/>
    <x v="41"/>
    <s v="Standard order"/>
    <x v="1730"/>
    <x v="1724"/>
    <s v="8500"/>
    <s v="BTS 8500"/>
    <s v="5002856"/>
    <s v="8500 BTS T35 PB SYSTIVA RP"/>
    <n v="76"/>
    <n v="0"/>
    <n v="76"/>
    <x v="7"/>
    <s v="FTND"/>
    <s v="RP"/>
    <s v="333"/>
    <s v="4.0 UN"/>
    <s v="STANDARD"/>
    <s v="N"/>
    <s v="Y"/>
    <s v="N"/>
    <s v="T35"/>
    <s v="Y"/>
    <s v="N"/>
    <s v="Y"/>
    <s v="N"/>
    <s v="B032"/>
    <d v="2016-11-23T00:00:00"/>
    <s v="30"/>
    <s v="TAN"/>
    <s v="OR"/>
    <d v="2016-11-19T00:00:00"/>
    <s v="ND"/>
    <s v="US"/>
    <s v="ZR"/>
    <d v="2016-11-19T00:00:00"/>
  </r>
  <r>
    <x v="1"/>
    <x v="7"/>
    <x v="1842"/>
    <x v="41"/>
    <s v="Standard order"/>
    <x v="1730"/>
    <x v="1724"/>
    <s v="8524"/>
    <s v="BTS 8524"/>
    <s v="5002896"/>
    <s v="8524 BTS T35 PB SYSTIVA RP"/>
    <n v="80"/>
    <n v="0"/>
    <n v="80"/>
    <x v="7"/>
    <s v="FWND"/>
    <s v="RP"/>
    <s v="333"/>
    <s v="4.0 UN"/>
    <s v="STANDARD"/>
    <s v="N"/>
    <s v="Y"/>
    <s v="N"/>
    <s v="T35"/>
    <s v="Y"/>
    <s v="N"/>
    <s v="Y"/>
    <s v="N"/>
    <s v="B032"/>
    <d v="2016-11-23T00:00:00"/>
    <s v="40"/>
    <s v="TAN"/>
    <s v="OR"/>
    <d v="2016-11-19T00:00:00"/>
    <s v="ND"/>
    <s v="US"/>
    <s v="ZR"/>
    <d v="2016-11-19T00:00:00"/>
  </r>
  <r>
    <x v="1"/>
    <x v="7"/>
    <x v="1842"/>
    <x v="41"/>
    <s v="Standard order"/>
    <x v="1730"/>
    <x v="1724"/>
    <s v="8052"/>
    <s v="BTS 80RR52"/>
    <s v="5002735"/>
    <s v="8052 BTS T35 PB SYSTIVA RP"/>
    <n v="60"/>
    <n v="0"/>
    <n v="60"/>
    <x v="7"/>
    <s v="AP82"/>
    <s v="RP"/>
    <s v="333"/>
    <s v="4.0 UN"/>
    <s v="STANDARD"/>
    <s v="N"/>
    <s v="Y"/>
    <s v="N"/>
    <s v="T35"/>
    <s v="Y"/>
    <s v="N"/>
    <s v="Y"/>
    <s v="N"/>
    <s v="B032"/>
    <d v="2016-11-23T00:00:00"/>
    <s v="10"/>
    <s v="TAN"/>
    <s v="OR"/>
    <d v="2016-11-19T00:00:00"/>
    <s v="ND"/>
    <s v="US"/>
    <s v="ZR"/>
    <d v="2016-11-19T00:00:00"/>
  </r>
  <r>
    <x v="1"/>
    <x v="7"/>
    <x v="1843"/>
    <x v="41"/>
    <s v="Standard order"/>
    <x v="1731"/>
    <x v="1725"/>
    <s v="8052"/>
    <s v="BTS 80RR52"/>
    <s v="5002739"/>
    <s v="8052 BTS T35 SYSTIVA RP"/>
    <n v="100"/>
    <n v="0"/>
    <n v="100"/>
    <x v="7"/>
    <s v="AP82"/>
    <s v="RP"/>
    <s v="334"/>
    <s v="4.0 UN"/>
    <s v="STANDARD"/>
    <s v="N"/>
    <s v="N"/>
    <s v="N"/>
    <s v="T35"/>
    <s v="Y"/>
    <s v="N"/>
    <s v="Y"/>
    <s v="N"/>
    <s v="B032"/>
    <d v="2016-11-23T00:00:00"/>
    <s v="10"/>
    <s v="TAN"/>
    <s v="OR"/>
    <d v="2016-11-18T00:00:00"/>
    <s v="MN"/>
    <s v="US"/>
    <s v="ZR"/>
    <d v="2016-11-19T00:00:00"/>
  </r>
  <r>
    <x v="1"/>
    <x v="7"/>
    <x v="1843"/>
    <x v="41"/>
    <s v="Standard order"/>
    <x v="1731"/>
    <x v="1725"/>
    <s v="8500"/>
    <s v="BTS 8500"/>
    <s v="5002860"/>
    <s v="8500 BTS T35 SYSTIVA RP"/>
    <n v="100"/>
    <n v="0"/>
    <n v="100"/>
    <x v="7"/>
    <s v="FTND"/>
    <s v="RP"/>
    <s v="334"/>
    <s v="4.0 UN"/>
    <s v="STANDARD"/>
    <s v="N"/>
    <s v="N"/>
    <s v="N"/>
    <s v="T35"/>
    <s v="Y"/>
    <s v="N"/>
    <s v="Y"/>
    <s v="N"/>
    <s v="B032"/>
    <d v="2016-11-23T00:00:00"/>
    <s v="20"/>
    <s v="TAN"/>
    <s v="OR"/>
    <d v="2016-11-18T00:00:00"/>
    <s v="MN"/>
    <s v="US"/>
    <s v="ZR"/>
    <d v="2016-11-19T00:00:00"/>
  </r>
  <r>
    <x v="1"/>
    <x v="7"/>
    <x v="1843"/>
    <x v="41"/>
    <s v="Standard order"/>
    <x v="1731"/>
    <x v="1725"/>
    <s v="8572"/>
    <s v="BTS 8572"/>
    <s v="5003219"/>
    <s v="8572 BTS T35 SYSTIVA RP"/>
    <n v="100"/>
    <n v="0"/>
    <n v="100"/>
    <x v="7"/>
    <s v="FENB"/>
    <s v="RP"/>
    <s v="334"/>
    <s v="4.0 UN"/>
    <s v="STANDARD"/>
    <s v="N"/>
    <s v="N"/>
    <s v="N"/>
    <s v="T35"/>
    <s v="Y"/>
    <s v="N"/>
    <s v="Y"/>
    <s v="N"/>
    <s v="B032"/>
    <d v="2016-11-23T00:00:00"/>
    <s v="30"/>
    <s v="TAN"/>
    <s v="OR"/>
    <d v="2016-11-18T00:00:00"/>
    <s v="MN"/>
    <s v="US"/>
    <s v="ZR"/>
    <d v="2016-11-19T00:00:00"/>
  </r>
  <r>
    <x v="1"/>
    <x v="7"/>
    <x v="1844"/>
    <x v="37"/>
    <s v="Standard order"/>
    <x v="1732"/>
    <x v="1726"/>
    <s v="8052"/>
    <s v="BTS 80RR52"/>
    <s v="5002735"/>
    <s v="8052 BTS T35 PB SYSTIVA RP"/>
    <n v="160"/>
    <n v="0"/>
    <n v="160"/>
    <x v="7"/>
    <s v="AP82"/>
    <s v="RP"/>
    <s v="333"/>
    <s v="4.0 UN"/>
    <s v="STANDARD"/>
    <s v="N"/>
    <s v="Y"/>
    <s v="N"/>
    <s v="T35"/>
    <s v="Y"/>
    <s v="N"/>
    <s v="Y"/>
    <s v="N"/>
    <s v="B033"/>
    <d v="2016-11-23T00:00:00"/>
    <s v="10"/>
    <s v="TAN"/>
    <s v="OR"/>
    <d v="2016-11-19T00:00:00"/>
    <s v="ND"/>
    <s v="US"/>
    <s v="ZR"/>
    <d v="2016-11-19T00:00:00"/>
  </r>
  <r>
    <x v="1"/>
    <x v="7"/>
    <x v="1844"/>
    <x v="37"/>
    <s v="Standard order"/>
    <x v="1732"/>
    <x v="1726"/>
    <s v="8500"/>
    <s v="BTS 8500"/>
    <s v="5002856"/>
    <s v="8500 BTS T35 PB SYSTIVA RP"/>
    <n v="160"/>
    <n v="0"/>
    <n v="160"/>
    <x v="7"/>
    <s v="FTND"/>
    <s v="RP"/>
    <s v="333"/>
    <s v="4.0 UN"/>
    <s v="STANDARD"/>
    <s v="N"/>
    <s v="Y"/>
    <s v="N"/>
    <s v="T35"/>
    <s v="Y"/>
    <s v="N"/>
    <s v="Y"/>
    <s v="N"/>
    <s v="B033"/>
    <d v="2016-11-23T00:00:00"/>
    <s v="20"/>
    <s v="TAN"/>
    <s v="OR"/>
    <d v="2016-11-19T00:00:00"/>
    <s v="ND"/>
    <s v="US"/>
    <s v="ZR"/>
    <d v="2016-11-19T00:00:00"/>
  </r>
  <r>
    <x v="1"/>
    <x v="7"/>
    <x v="1845"/>
    <x v="37"/>
    <s v="Standard order"/>
    <x v="1733"/>
    <x v="1727"/>
    <s v="8572"/>
    <s v="BTS 8572"/>
    <s v="5003215"/>
    <s v="8572 BTS T35 PB SYSTIVA RP"/>
    <n v="96"/>
    <n v="0"/>
    <n v="96"/>
    <x v="7"/>
    <s v="FENB"/>
    <s v="RP"/>
    <s v="333"/>
    <s v="4.0 UN"/>
    <s v="STANDARD"/>
    <s v="N"/>
    <s v="Y"/>
    <s v="N"/>
    <s v="T35"/>
    <s v="Y"/>
    <s v="N"/>
    <s v="Y"/>
    <s v="N"/>
    <s v="B033"/>
    <d v="2016-11-23T00:00:00"/>
    <s v="10"/>
    <s v="TAN"/>
    <s v="OR"/>
    <d v="2016-11-19T00:00:00"/>
    <s v="ND"/>
    <s v="US"/>
    <s v="ZR"/>
    <d v="2016-11-19T00:00:00"/>
  </r>
  <r>
    <x v="1"/>
    <x v="7"/>
    <x v="1846"/>
    <x v="41"/>
    <s v="Standard order"/>
    <x v="1734"/>
    <x v="1728"/>
    <s v="8052"/>
    <s v="BTS 80RR52"/>
    <s v="5002735"/>
    <s v="8052 BTS T35 PB SYSTIVA RP"/>
    <n v="300"/>
    <n v="0"/>
    <n v="300"/>
    <x v="7"/>
    <s v="AP82"/>
    <s v="RP"/>
    <s v="333"/>
    <s v="4.0 UN"/>
    <s v="STANDARD"/>
    <s v="N"/>
    <s v="Y"/>
    <s v="N"/>
    <s v="T35"/>
    <s v="Y"/>
    <s v="N"/>
    <s v="Y"/>
    <s v="N"/>
    <s v="B032"/>
    <d v="2016-11-23T00:00:00"/>
    <s v="10"/>
    <s v="TAN"/>
    <s v="OR"/>
    <d v="2016-11-18T00:00:00"/>
    <s v="MN"/>
    <s v="US"/>
    <s v="ZR"/>
    <d v="2016-11-19T00:00:00"/>
  </r>
  <r>
    <x v="1"/>
    <x v="7"/>
    <x v="1846"/>
    <x v="41"/>
    <s v="Standard order"/>
    <x v="1734"/>
    <x v="1728"/>
    <s v="8512"/>
    <s v="BTS 8512"/>
    <s v="5002876"/>
    <s v="8512 BTS T35 PB SYSTIVA RP"/>
    <n v="100"/>
    <n v="0"/>
    <n v="100"/>
    <x v="7"/>
    <s v="FX73"/>
    <s v="RP"/>
    <s v="333"/>
    <s v="4.0 UN"/>
    <s v="STANDARD"/>
    <s v="N"/>
    <s v="Y"/>
    <s v="N"/>
    <s v="T35"/>
    <s v="Y"/>
    <s v="N"/>
    <s v="Y"/>
    <s v="N"/>
    <s v="B032"/>
    <d v="2016-11-23T00:00:00"/>
    <s v="20"/>
    <s v="TAN"/>
    <s v="OR"/>
    <d v="2016-11-18T00:00:00"/>
    <s v="MN"/>
    <s v="US"/>
    <s v="ZR"/>
    <d v="2016-11-19T00:00:00"/>
  </r>
  <r>
    <x v="1"/>
    <x v="7"/>
    <x v="1846"/>
    <x v="41"/>
    <s v="Standard order"/>
    <x v="1734"/>
    <x v="1728"/>
    <s v="8572"/>
    <s v="BTS 8572"/>
    <s v="5003215"/>
    <s v="8572 BTS T35 PB SYSTIVA RP"/>
    <n v="100"/>
    <n v="0"/>
    <n v="100"/>
    <x v="7"/>
    <s v="FENB"/>
    <s v="RP"/>
    <s v="333"/>
    <s v="4.0 UN"/>
    <s v="STANDARD"/>
    <s v="N"/>
    <s v="Y"/>
    <s v="N"/>
    <s v="T35"/>
    <s v="Y"/>
    <s v="N"/>
    <s v="Y"/>
    <s v="N"/>
    <s v="B032"/>
    <d v="2016-11-23T00:00:00"/>
    <s v="30"/>
    <s v="TAN"/>
    <s v="OR"/>
    <d v="2016-11-18T00:00:00"/>
    <s v="MN"/>
    <s v="US"/>
    <s v="ZR"/>
    <d v="2016-11-19T00:00:00"/>
  </r>
  <r>
    <x v="1"/>
    <x v="7"/>
    <x v="1847"/>
    <x v="41"/>
    <s v="Standard order"/>
    <x v="1735"/>
    <x v="1729"/>
    <s v="8500"/>
    <s v="BTS 8500"/>
    <s v="5002856"/>
    <s v="8500 BTS T35 PB SYSTIVA RP"/>
    <n v="96"/>
    <n v="0"/>
    <n v="96"/>
    <x v="7"/>
    <s v="FTND"/>
    <s v="RP"/>
    <s v="333"/>
    <s v="4.0 UN"/>
    <s v="STANDARD"/>
    <s v="N"/>
    <s v="Y"/>
    <s v="N"/>
    <s v="T35"/>
    <s v="Y"/>
    <s v="N"/>
    <s v="Y"/>
    <s v="N"/>
    <s v="B032"/>
    <d v="2016-11-23T00:00:00"/>
    <s v="10"/>
    <s v="TAN"/>
    <s v="OR"/>
    <d v="2016-11-19T00:00:00"/>
    <s v="ND"/>
    <s v="US"/>
    <s v="ZR"/>
    <d v="2016-11-19T00:00:00"/>
  </r>
  <r>
    <x v="1"/>
    <x v="7"/>
    <x v="1847"/>
    <x v="41"/>
    <s v="Standard order"/>
    <x v="1735"/>
    <x v="1729"/>
    <s v="8524"/>
    <s v="BTS 8524"/>
    <s v="5002896"/>
    <s v="8524 BTS T35 PB SYSTIVA RP"/>
    <n v="96"/>
    <n v="0"/>
    <n v="96"/>
    <x v="7"/>
    <s v="FWND"/>
    <s v="RP"/>
    <s v="333"/>
    <s v="4.0 UN"/>
    <s v="STANDARD"/>
    <s v="N"/>
    <s v="Y"/>
    <s v="N"/>
    <s v="T35"/>
    <s v="Y"/>
    <s v="N"/>
    <s v="Y"/>
    <s v="N"/>
    <s v="B032"/>
    <d v="2016-11-23T00:00:00"/>
    <s v="20"/>
    <s v="TAN"/>
    <s v="OR"/>
    <d v="2016-11-19T00:00:00"/>
    <s v="ND"/>
    <s v="US"/>
    <s v="ZR"/>
    <d v="2016-11-19T00:00:00"/>
  </r>
  <r>
    <x v="1"/>
    <x v="7"/>
    <x v="1848"/>
    <x v="37"/>
    <s v="Standard order"/>
    <x v="1736"/>
    <x v="1730"/>
    <s v="8572"/>
    <s v="BTS 8572"/>
    <s v="5003215"/>
    <s v="8572 BTS T35 PB SYSTIVA RP"/>
    <n v="48"/>
    <n v="0"/>
    <n v="48"/>
    <x v="7"/>
    <s v="FENB"/>
    <s v="RP"/>
    <s v="333"/>
    <s v="4.0 UN"/>
    <s v="STANDARD"/>
    <s v="N"/>
    <s v="Y"/>
    <s v="N"/>
    <s v="T35"/>
    <s v="Y"/>
    <s v="N"/>
    <s v="Y"/>
    <s v="N"/>
    <s v="B033"/>
    <d v="2016-11-23T00:00:00"/>
    <s v="30"/>
    <s v="TAN"/>
    <s v="OR"/>
    <d v="2016-11-19T00:00:00"/>
    <s v="ND"/>
    <s v="US"/>
    <s v="ZR"/>
    <d v="2016-11-19T00:00:00"/>
  </r>
  <r>
    <x v="1"/>
    <x v="7"/>
    <x v="1848"/>
    <x v="37"/>
    <s v="Standard order"/>
    <x v="1736"/>
    <x v="1730"/>
    <s v="8524"/>
    <s v="BTS 8524"/>
    <s v="5002896"/>
    <s v="8524 BTS T35 PB SYSTIVA RP"/>
    <n v="96"/>
    <n v="0"/>
    <n v="96"/>
    <x v="7"/>
    <s v="FWND"/>
    <s v="RP"/>
    <s v="333"/>
    <s v="4.0 UN"/>
    <s v="STANDARD"/>
    <s v="N"/>
    <s v="Y"/>
    <s v="N"/>
    <s v="T35"/>
    <s v="Y"/>
    <s v="N"/>
    <s v="Y"/>
    <s v="N"/>
    <s v="B033"/>
    <d v="2016-11-23T00:00:00"/>
    <s v="10"/>
    <s v="TAN"/>
    <s v="OR"/>
    <d v="2016-11-19T00:00:00"/>
    <s v="ND"/>
    <s v="US"/>
    <s v="ZR"/>
    <d v="2016-11-19T00:00:00"/>
  </r>
  <r>
    <x v="1"/>
    <x v="7"/>
    <x v="1848"/>
    <x v="37"/>
    <s v="Standard order"/>
    <x v="1736"/>
    <x v="1730"/>
    <s v="8500"/>
    <s v="BTS 8500"/>
    <s v="5002856"/>
    <s v="8500 BTS T35 PB SYSTIVA RP"/>
    <n v="48"/>
    <n v="0"/>
    <n v="48"/>
    <x v="7"/>
    <s v="FTND"/>
    <s v="RP"/>
    <s v="333"/>
    <s v="4.0 UN"/>
    <s v="STANDARD"/>
    <s v="N"/>
    <s v="Y"/>
    <s v="N"/>
    <s v="T35"/>
    <s v="Y"/>
    <s v="N"/>
    <s v="Y"/>
    <s v="N"/>
    <s v="B033"/>
    <d v="2016-11-23T00:00:00"/>
    <s v="20"/>
    <s v="TAN"/>
    <s v="OR"/>
    <d v="2016-11-19T00:00:00"/>
    <s v="ND"/>
    <s v="US"/>
    <s v="ZR"/>
    <d v="2016-11-19T00:00:00"/>
  </r>
  <r>
    <x v="1"/>
    <x v="7"/>
    <x v="1849"/>
    <x v="37"/>
    <s v="Standard order"/>
    <x v="1737"/>
    <x v="1731"/>
    <s v="8500"/>
    <s v="BTS 8500"/>
    <s v="5002860"/>
    <s v="8500 BTS T35 SYSTIVA RP"/>
    <n v="44"/>
    <n v="0"/>
    <n v="44"/>
    <x v="7"/>
    <s v="FTND"/>
    <s v="RP"/>
    <s v="334"/>
    <s v="4.0 UN"/>
    <s v="STANDARD"/>
    <s v="N"/>
    <s v="N"/>
    <s v="N"/>
    <s v="T35"/>
    <s v="Y"/>
    <s v="N"/>
    <s v="Y"/>
    <s v="N"/>
    <s v="B033"/>
    <d v="2016-11-23T00:00:00"/>
    <s v="40"/>
    <s v="TAN"/>
    <s v="OR"/>
    <d v="2016-11-20T00:00:00"/>
    <s v="MN"/>
    <s v="US"/>
    <s v="ZR"/>
    <d v="2016-11-20T00:00:00"/>
  </r>
  <r>
    <x v="1"/>
    <x v="7"/>
    <x v="1849"/>
    <x v="37"/>
    <s v="Standard order"/>
    <x v="1737"/>
    <x v="1731"/>
    <s v="8052"/>
    <s v="BTS 80RR52"/>
    <s v="5002739"/>
    <s v="8052 BTS T35 SYSTIVA RP"/>
    <n v="44"/>
    <n v="0"/>
    <n v="44"/>
    <x v="7"/>
    <s v="AP82"/>
    <s v="RP"/>
    <s v="334"/>
    <s v="4.0 UN"/>
    <s v="STANDARD"/>
    <s v="N"/>
    <s v="N"/>
    <s v="N"/>
    <s v="T35"/>
    <s v="Y"/>
    <s v="N"/>
    <s v="Y"/>
    <s v="N"/>
    <s v="B033"/>
    <d v="2016-11-23T00:00:00"/>
    <s v="10"/>
    <s v="TAN"/>
    <s v="OR"/>
    <d v="2016-11-20T00:00:00"/>
    <s v="MN"/>
    <s v="US"/>
    <s v="ZR"/>
    <d v="2016-11-20T00:00:00"/>
  </r>
  <r>
    <x v="1"/>
    <x v="7"/>
    <x v="1849"/>
    <x v="37"/>
    <s v="Standard order"/>
    <x v="1737"/>
    <x v="1731"/>
    <s v="8524"/>
    <s v="BTS 8524"/>
    <s v="5002900"/>
    <s v="8524 BTS T35 SYSTIVA RP"/>
    <n v="44"/>
    <n v="0"/>
    <n v="44"/>
    <x v="7"/>
    <s v="FWND"/>
    <s v="RP"/>
    <s v="334"/>
    <s v="4.0 UN"/>
    <s v="STANDARD"/>
    <s v="N"/>
    <s v="N"/>
    <s v="N"/>
    <s v="T35"/>
    <s v="Y"/>
    <s v="N"/>
    <s v="Y"/>
    <s v="N"/>
    <s v="B033"/>
    <d v="2016-11-23T00:00:00"/>
    <s v="20"/>
    <s v="TAN"/>
    <s v="OR"/>
    <d v="2016-11-20T00:00:00"/>
    <s v="MN"/>
    <s v="US"/>
    <s v="ZR"/>
    <d v="2016-11-20T00:00:00"/>
  </r>
  <r>
    <x v="1"/>
    <x v="7"/>
    <x v="1850"/>
    <x v="28"/>
    <s v="Standard order"/>
    <x v="1738"/>
    <x v="1732"/>
    <s v="8572"/>
    <s v="BTS 8572"/>
    <s v="5003214"/>
    <s v="8572 BTS T35 PB SYSTIVA P200"/>
    <n v="180"/>
    <n v="0"/>
    <n v="180"/>
    <x v="7"/>
    <s v="FENB"/>
    <s v="PRO 200"/>
    <s v="333"/>
    <s v="4.0 UN"/>
    <s v="STANDARD"/>
    <s v="N"/>
    <s v="Y"/>
    <s v="N"/>
    <s v="T35"/>
    <s v="Y"/>
    <s v="N"/>
    <s v="Y"/>
    <s v="N"/>
    <s v="B056"/>
    <d v="2016-11-25T00:00:00"/>
    <s v="10"/>
    <s v="TAN"/>
    <s v="OR"/>
    <d v="2016-11-21T00:00:00"/>
    <s v="ND"/>
    <s v="US"/>
    <s v="ZR"/>
    <d v="2016-11-21T00:00:00"/>
  </r>
  <r>
    <x v="1"/>
    <x v="7"/>
    <x v="1851"/>
    <x v="36"/>
    <s v="Standard order"/>
    <x v="1739"/>
    <x v="1733"/>
    <s v="8052"/>
    <s v="BTS 80RR52"/>
    <s v="5002735"/>
    <s v="8052 BTS T35 PB SYSTIVA RP"/>
    <n v="132"/>
    <n v="0"/>
    <n v="132"/>
    <x v="7"/>
    <s v="AP82"/>
    <s v="RP"/>
    <s v="333"/>
    <s v="4.0 UN"/>
    <s v="STANDARD"/>
    <s v="N"/>
    <s v="Y"/>
    <s v="N"/>
    <s v="T35"/>
    <s v="Y"/>
    <s v="N"/>
    <s v="Y"/>
    <s v="N"/>
    <s v="B027"/>
    <d v="2016-11-25T00:00:00"/>
    <s v="10"/>
    <s v="TAN"/>
    <s v="OR"/>
    <d v="2016-11-21T00:00:00"/>
    <s v="MN"/>
    <s v="US"/>
    <s v="ZR"/>
    <d v="2016-11-21T00:00:00"/>
  </r>
  <r>
    <x v="1"/>
    <x v="7"/>
    <x v="1851"/>
    <x v="36"/>
    <s v="Standard order"/>
    <x v="1739"/>
    <x v="1733"/>
    <s v="8337"/>
    <s v="BTS 8337"/>
    <s v="5002795"/>
    <s v="8337 BTS T35 PB SYSTIVA RP"/>
    <n v="36"/>
    <n v="0"/>
    <n v="36"/>
    <x v="7"/>
    <s v="DHMC"/>
    <s v="RP"/>
    <s v="333"/>
    <s v="4.0 UN"/>
    <s v="STANDARD"/>
    <s v="N"/>
    <s v="Y"/>
    <s v="N"/>
    <s v="T35"/>
    <s v="Y"/>
    <s v="N"/>
    <s v="Y"/>
    <s v="N"/>
    <s v="B027"/>
    <d v="2016-11-25T00:00:00"/>
    <s v="20"/>
    <s v="TAN"/>
    <s v="OR"/>
    <d v="2016-11-21T00:00:00"/>
    <s v="MN"/>
    <s v="US"/>
    <s v="ZR"/>
    <d v="2016-11-21T00:00:00"/>
  </r>
  <r>
    <x v="1"/>
    <x v="7"/>
    <x v="1852"/>
    <x v="36"/>
    <s v="Standard order"/>
    <x v="1740"/>
    <x v="1734"/>
    <s v="83CN"/>
    <s v="BTS 83CN"/>
    <s v="5002836"/>
    <s v="83CN BTS T35 PB SYSTIVA RP"/>
    <n v="20"/>
    <n v="0"/>
    <n v="20"/>
    <x v="7"/>
    <s v="EE73"/>
    <s v="RP"/>
    <s v="333"/>
    <s v="4.0 UN"/>
    <s v="STANDARD"/>
    <s v="N"/>
    <s v="Y"/>
    <s v="N"/>
    <s v="T35"/>
    <s v="Y"/>
    <s v="N"/>
    <s v="Y"/>
    <s v="N"/>
    <s v="B027"/>
    <d v="2016-11-25T00:00:00"/>
    <s v="10"/>
    <s v="TAN"/>
    <s v="OR"/>
    <d v="2016-11-21T00:00:00"/>
    <s v="MN"/>
    <s v="US"/>
    <s v="ZR"/>
    <d v="2016-11-21T00:00:00"/>
  </r>
  <r>
    <x v="1"/>
    <x v="7"/>
    <x v="1852"/>
    <x v="36"/>
    <s v="Standard order"/>
    <x v="1740"/>
    <x v="1734"/>
    <s v="8052"/>
    <s v="BTS 80RR52"/>
    <s v="5002735"/>
    <s v="8052 BTS T35 PB SYSTIVA RP"/>
    <n v="28"/>
    <n v="0"/>
    <n v="28"/>
    <x v="7"/>
    <s v="AP82"/>
    <s v="RP"/>
    <s v="333"/>
    <s v="4.0 UN"/>
    <s v="STANDARD"/>
    <s v="N"/>
    <s v="Y"/>
    <s v="N"/>
    <s v="T35"/>
    <s v="Y"/>
    <s v="N"/>
    <s v="Y"/>
    <s v="N"/>
    <s v="B027"/>
    <d v="2016-11-25T00:00:00"/>
    <s v="20"/>
    <s v="TAN"/>
    <s v="OR"/>
    <d v="2016-11-21T00:00:00"/>
    <s v="MN"/>
    <s v="US"/>
    <s v="ZR"/>
    <d v="2016-11-21T00:00:00"/>
  </r>
  <r>
    <x v="1"/>
    <x v="7"/>
    <x v="1852"/>
    <x v="36"/>
    <s v="Standard order"/>
    <x v="1740"/>
    <x v="1734"/>
    <s v="8337"/>
    <s v="BTS 8337"/>
    <s v="5002795"/>
    <s v="8337 BTS T35 PB SYSTIVA RP"/>
    <n v="28"/>
    <n v="0"/>
    <n v="28"/>
    <x v="7"/>
    <s v="DHMC"/>
    <s v="RP"/>
    <s v="333"/>
    <s v="4.0 UN"/>
    <s v="STANDARD"/>
    <s v="N"/>
    <s v="Y"/>
    <s v="N"/>
    <s v="T35"/>
    <s v="Y"/>
    <s v="N"/>
    <s v="Y"/>
    <s v="N"/>
    <s v="B027"/>
    <d v="2016-11-25T00:00:00"/>
    <s v="30"/>
    <s v="TAN"/>
    <s v="OR"/>
    <d v="2016-11-21T00:00:00"/>
    <s v="MN"/>
    <s v="US"/>
    <s v="ZR"/>
    <d v="2016-11-21T00:00:00"/>
  </r>
  <r>
    <x v="1"/>
    <x v="7"/>
    <x v="1853"/>
    <x v="41"/>
    <s v="Standard order"/>
    <x v="1741"/>
    <x v="1735"/>
    <s v="8052"/>
    <s v="BTS 80RR52"/>
    <s v="5002735"/>
    <s v="8052 BTS T35 PB SYSTIVA RP"/>
    <n v="52"/>
    <n v="0"/>
    <n v="52"/>
    <x v="7"/>
    <s v="AP82"/>
    <s v="RP"/>
    <s v="333"/>
    <s v="4.0 UN"/>
    <s v="STANDARD"/>
    <s v="N"/>
    <s v="Y"/>
    <s v="N"/>
    <s v="T35"/>
    <s v="Y"/>
    <s v="N"/>
    <s v="Y"/>
    <s v="N"/>
    <s v="B032"/>
    <d v="2016-11-25T00:00:00"/>
    <s v="10"/>
    <s v="TAN"/>
    <s v="OR"/>
    <d v="2016-11-21T00:00:00"/>
    <s v="MN"/>
    <s v="US"/>
    <s v="ZR"/>
    <d v="2016-11-21T00:00:00"/>
  </r>
  <r>
    <x v="1"/>
    <x v="7"/>
    <x v="1853"/>
    <x v="41"/>
    <s v="Standard order"/>
    <x v="1741"/>
    <x v="1735"/>
    <s v="8572"/>
    <s v="BTS 8572"/>
    <s v="5003215"/>
    <s v="8572 BTS T35 PB SYSTIVA RP"/>
    <n v="52"/>
    <n v="0"/>
    <n v="52"/>
    <x v="7"/>
    <s v="FENB"/>
    <s v="RP"/>
    <s v="333"/>
    <s v="4.0 UN"/>
    <s v="STANDARD"/>
    <s v="N"/>
    <s v="Y"/>
    <s v="N"/>
    <s v="T35"/>
    <s v="Y"/>
    <s v="N"/>
    <s v="Y"/>
    <s v="N"/>
    <s v="B032"/>
    <d v="2016-11-25T00:00:00"/>
    <s v="20"/>
    <s v="TAN"/>
    <s v="OR"/>
    <d v="2016-11-21T00:00:00"/>
    <s v="MN"/>
    <s v="US"/>
    <s v="ZR"/>
    <d v="2016-11-21T00:00:00"/>
  </r>
  <r>
    <x v="1"/>
    <x v="7"/>
    <x v="1853"/>
    <x v="41"/>
    <s v="Standard order"/>
    <x v="1741"/>
    <x v="1735"/>
    <s v="8500"/>
    <s v="BTS 8500"/>
    <s v="5002856"/>
    <s v="8500 BTS T35 PB SYSTIVA RP"/>
    <n v="52"/>
    <n v="0"/>
    <n v="52"/>
    <x v="7"/>
    <s v="FTND"/>
    <s v="RP"/>
    <s v="333"/>
    <s v="4.0 UN"/>
    <s v="STANDARD"/>
    <s v="N"/>
    <s v="Y"/>
    <s v="N"/>
    <s v="T35"/>
    <s v="Y"/>
    <s v="N"/>
    <s v="Y"/>
    <s v="N"/>
    <s v="B032"/>
    <d v="2016-11-25T00:00:00"/>
    <s v="30"/>
    <s v="TAN"/>
    <s v="OR"/>
    <d v="2016-11-21T00:00:00"/>
    <s v="MN"/>
    <s v="US"/>
    <s v="ZR"/>
    <d v="2016-11-21T00:00:00"/>
  </r>
  <r>
    <x v="1"/>
    <x v="7"/>
    <x v="1854"/>
    <x v="37"/>
    <s v="Standard order"/>
    <x v="1742"/>
    <x v="1736"/>
    <s v="8500"/>
    <s v="BTS 8500"/>
    <s v="5002856"/>
    <s v="8500 BTS T35 PB SYSTIVA RP"/>
    <n v="96"/>
    <n v="0"/>
    <n v="96"/>
    <x v="7"/>
    <s v="FTND"/>
    <s v="RP"/>
    <s v="333"/>
    <s v="4.0 UN"/>
    <s v="STANDARD"/>
    <s v="N"/>
    <s v="Y"/>
    <s v="N"/>
    <s v="T35"/>
    <s v="Y"/>
    <s v="N"/>
    <s v="Y"/>
    <s v="N"/>
    <s v="B033"/>
    <d v="2016-11-25T00:00:00"/>
    <s v="10"/>
    <s v="TAN"/>
    <s v="OR"/>
    <d v="2016-11-21T00:00:00"/>
    <s v="MN"/>
    <s v="US"/>
    <s v="ZR"/>
    <d v="2016-11-21T00:00:00"/>
  </r>
  <r>
    <x v="1"/>
    <x v="7"/>
    <x v="1854"/>
    <x v="37"/>
    <s v="Standard order"/>
    <x v="1742"/>
    <x v="1736"/>
    <s v="8572"/>
    <s v="BTS 8572"/>
    <s v="5003215"/>
    <s v="8572 BTS T35 PB SYSTIVA RP"/>
    <n v="24"/>
    <n v="0"/>
    <n v="24"/>
    <x v="7"/>
    <s v="FENB"/>
    <s v="RP"/>
    <s v="333"/>
    <s v="4.0 UN"/>
    <s v="STANDARD"/>
    <s v="N"/>
    <s v="Y"/>
    <s v="N"/>
    <s v="T35"/>
    <s v="Y"/>
    <s v="N"/>
    <s v="Y"/>
    <s v="N"/>
    <s v="B033"/>
    <d v="2016-11-25T00:00:00"/>
    <s v="20"/>
    <s v="TAN"/>
    <s v="OR"/>
    <d v="2016-11-21T00:00:00"/>
    <s v="MN"/>
    <s v="US"/>
    <s v="ZR"/>
    <d v="2016-11-21T00:00:00"/>
  </r>
  <r>
    <x v="1"/>
    <x v="7"/>
    <x v="1855"/>
    <x v="36"/>
    <s v="Standard order"/>
    <x v="1743"/>
    <x v="1737"/>
    <s v="8500"/>
    <s v="BTS 8500"/>
    <s v="5002856"/>
    <s v="8500 BTS T35 PB SYSTIVA RP"/>
    <n v="60"/>
    <n v="0"/>
    <n v="60"/>
    <x v="7"/>
    <s v="FTND"/>
    <s v="RP"/>
    <s v="333"/>
    <s v="4.0 UN"/>
    <s v="STANDARD"/>
    <s v="N"/>
    <s v="Y"/>
    <s v="N"/>
    <s v="T35"/>
    <s v="Y"/>
    <s v="N"/>
    <s v="Y"/>
    <s v="N"/>
    <s v="B027"/>
    <d v="2016-11-25T00:00:00"/>
    <s v="10"/>
    <s v="TAN"/>
    <s v="OR"/>
    <d v="2016-11-21T00:00:00"/>
    <s v="MN"/>
    <s v="US"/>
    <s v="ZR"/>
    <d v="2016-11-21T00:00:00"/>
  </r>
  <r>
    <x v="1"/>
    <x v="7"/>
    <x v="1855"/>
    <x v="36"/>
    <s v="Standard order"/>
    <x v="1743"/>
    <x v="1737"/>
    <s v="8572"/>
    <s v="BTS 8572"/>
    <s v="5003215"/>
    <s v="8572 BTS T35 PB SYSTIVA RP"/>
    <n v="32"/>
    <n v="0"/>
    <n v="32"/>
    <x v="7"/>
    <s v="FENB"/>
    <s v="RP"/>
    <s v="333"/>
    <s v="4.0 UN"/>
    <s v="STANDARD"/>
    <s v="N"/>
    <s v="Y"/>
    <s v="N"/>
    <s v="T35"/>
    <s v="Y"/>
    <s v="N"/>
    <s v="Y"/>
    <s v="N"/>
    <s v="B027"/>
    <d v="2016-11-25T00:00:00"/>
    <s v="20"/>
    <s v="TAN"/>
    <s v="OR"/>
    <d v="2016-11-21T00:00:00"/>
    <s v="MN"/>
    <s v="US"/>
    <s v="ZR"/>
    <d v="2016-11-21T00:00:00"/>
  </r>
  <r>
    <x v="1"/>
    <x v="7"/>
    <x v="1856"/>
    <x v="36"/>
    <s v="Standard order"/>
    <x v="1744"/>
    <x v="1738"/>
    <s v="8052"/>
    <s v="BTS 80RR52"/>
    <s v="5002735"/>
    <s v="8052 BTS T35 PB SYSTIVA RP"/>
    <n v="44"/>
    <n v="0"/>
    <n v="44"/>
    <x v="7"/>
    <s v="AP82"/>
    <s v="RP"/>
    <s v="333"/>
    <s v="4.0 UN"/>
    <s v="STANDARD"/>
    <s v="N"/>
    <s v="Y"/>
    <s v="N"/>
    <s v="T35"/>
    <s v="Y"/>
    <s v="N"/>
    <s v="Y"/>
    <s v="N"/>
    <s v="B027"/>
    <d v="2016-11-25T00:00:00"/>
    <s v="10"/>
    <s v="TAN"/>
    <s v="OR"/>
    <d v="2016-11-21T00:00:00"/>
    <s v="MN"/>
    <s v="US"/>
    <s v="ZR"/>
    <d v="2016-11-21T00:00:00"/>
  </r>
  <r>
    <x v="1"/>
    <x v="7"/>
    <x v="1856"/>
    <x v="36"/>
    <s v="Standard order"/>
    <x v="1744"/>
    <x v="1738"/>
    <s v="8500"/>
    <s v="BTS 8500"/>
    <s v="5002856"/>
    <s v="8500 BTS T35 PB SYSTIVA RP"/>
    <n v="16"/>
    <n v="0"/>
    <n v="16"/>
    <x v="7"/>
    <s v="FTND"/>
    <s v="RP"/>
    <s v="333"/>
    <s v="4.0 UN"/>
    <s v="STANDARD"/>
    <s v="N"/>
    <s v="Y"/>
    <s v="N"/>
    <s v="T35"/>
    <s v="Y"/>
    <s v="N"/>
    <s v="Y"/>
    <s v="N"/>
    <s v="B027"/>
    <d v="2016-11-25T00:00:00"/>
    <s v="20"/>
    <s v="TAN"/>
    <s v="OR"/>
    <d v="2016-11-21T00:00:00"/>
    <s v="MN"/>
    <s v="US"/>
    <s v="ZR"/>
    <d v="2016-11-21T00:00:00"/>
  </r>
  <r>
    <x v="1"/>
    <x v="7"/>
    <x v="1857"/>
    <x v="28"/>
    <s v="Standard order"/>
    <x v="1745"/>
    <x v="1739"/>
    <s v="8052"/>
    <s v="BTS 80RR52"/>
    <s v="5002734"/>
    <s v="8052 BTS T35 PB SYSTIVA P200"/>
    <n v="100"/>
    <n v="0"/>
    <n v="100"/>
    <x v="7"/>
    <s v="AP82"/>
    <s v="PRO 200"/>
    <s v="333"/>
    <s v="4.0 UN"/>
    <s v="STANDARD"/>
    <s v="N"/>
    <s v="Y"/>
    <s v="N"/>
    <s v="T35"/>
    <s v="Y"/>
    <s v="N"/>
    <s v="Y"/>
    <s v="N"/>
    <s v="B056"/>
    <d v="2016-11-25T00:00:00"/>
    <s v="10"/>
    <s v="TAN"/>
    <s v="OR"/>
    <d v="2016-11-21T00:00:00"/>
    <s v="ND"/>
    <s v="US"/>
    <s v="ZR"/>
    <d v="2016-11-21T00:00:00"/>
  </r>
  <r>
    <x v="1"/>
    <x v="7"/>
    <x v="1857"/>
    <x v="28"/>
    <s v="Standard order"/>
    <x v="1745"/>
    <x v="1739"/>
    <s v="8572"/>
    <s v="BTS 8572"/>
    <s v="5003214"/>
    <s v="8572 BTS T35 PB SYSTIVA P200"/>
    <n v="100"/>
    <n v="0"/>
    <n v="100"/>
    <x v="7"/>
    <s v="FENB"/>
    <s v="PRO 200"/>
    <s v="333"/>
    <s v="4.0 UN"/>
    <s v="STANDARD"/>
    <s v="N"/>
    <s v="Y"/>
    <s v="N"/>
    <s v="T35"/>
    <s v="Y"/>
    <s v="N"/>
    <s v="Y"/>
    <s v="N"/>
    <s v="B056"/>
    <d v="2016-11-25T00:00:00"/>
    <s v="20"/>
    <s v="TAN"/>
    <s v="OR"/>
    <d v="2016-11-21T00:00:00"/>
    <s v="ND"/>
    <s v="US"/>
    <s v="ZR"/>
    <d v="2016-11-21T00:00:00"/>
  </r>
  <r>
    <x v="1"/>
    <x v="7"/>
    <x v="1857"/>
    <x v="28"/>
    <s v="Standard order"/>
    <x v="1745"/>
    <x v="1739"/>
    <s v="8512"/>
    <s v="BTS 8512"/>
    <s v="5002875"/>
    <s v="8512 BTS T35 PB SYSTIVA P200"/>
    <n v="100"/>
    <n v="0"/>
    <n v="100"/>
    <x v="7"/>
    <s v="FX73"/>
    <s v="PRO 200"/>
    <s v="333"/>
    <s v="4.0 UN"/>
    <s v="STANDARD"/>
    <s v="N"/>
    <s v="Y"/>
    <s v="N"/>
    <s v="T35"/>
    <s v="Y"/>
    <s v="N"/>
    <s v="Y"/>
    <s v="N"/>
    <s v="B056"/>
    <d v="2016-11-25T00:00:00"/>
    <s v="30"/>
    <s v="TAN"/>
    <s v="OR"/>
    <d v="2016-11-21T00:00:00"/>
    <s v="ND"/>
    <s v="US"/>
    <s v="ZR"/>
    <d v="2016-11-21T00:00:00"/>
  </r>
  <r>
    <x v="1"/>
    <x v="7"/>
    <x v="1858"/>
    <x v="36"/>
    <s v="Standard order"/>
    <x v="1746"/>
    <x v="1740"/>
    <s v="8052"/>
    <s v="BTS 80RR52"/>
    <s v="5002735"/>
    <s v="8052 BTS T35 PB SYSTIVA RP"/>
    <n v="200"/>
    <n v="0"/>
    <n v="200"/>
    <x v="7"/>
    <s v="AP82"/>
    <s v="RP"/>
    <s v="333"/>
    <s v="4.0 UN"/>
    <s v="STANDARD"/>
    <s v="N"/>
    <s v="Y"/>
    <s v="N"/>
    <s v="T35"/>
    <s v="Y"/>
    <s v="N"/>
    <s v="Y"/>
    <s v="N"/>
    <s v="B027"/>
    <d v="2016-11-25T00:00:00"/>
    <s v="10"/>
    <s v="TAN"/>
    <s v="OR"/>
    <d v="2016-11-21T00:00:00"/>
    <s v="MN"/>
    <s v="US"/>
    <s v="ZR"/>
    <d v="2016-11-21T00:00:00"/>
  </r>
  <r>
    <x v="1"/>
    <x v="7"/>
    <x v="1859"/>
    <x v="38"/>
    <s v="Standard order"/>
    <x v="1747"/>
    <x v="1741"/>
    <s v="8524"/>
    <s v="BTS 8524"/>
    <s v="5002896"/>
    <s v="8524 BTS T35 PB SYSTIVA RP"/>
    <n v="24"/>
    <n v="0"/>
    <n v="24"/>
    <x v="7"/>
    <s v="FWND"/>
    <s v="RP"/>
    <s v="333"/>
    <s v="4.0 UN"/>
    <s v="STANDARD"/>
    <s v="N"/>
    <s v="Y"/>
    <s v="N"/>
    <s v="T35"/>
    <s v="Y"/>
    <s v="N"/>
    <s v="Y"/>
    <s v="N"/>
    <s v="B031"/>
    <d v="2016-11-25T00:00:00"/>
    <s v="10"/>
    <s v="TAN"/>
    <s v="OR"/>
    <d v="2016-11-21T00:00:00"/>
    <s v="MN"/>
    <s v="US"/>
    <s v="ZR"/>
    <d v="2016-11-21T00:00:00"/>
  </r>
  <r>
    <x v="1"/>
    <x v="7"/>
    <x v="1859"/>
    <x v="38"/>
    <s v="Standard order"/>
    <x v="1747"/>
    <x v="1741"/>
    <s v="8512"/>
    <s v="BTS 8512"/>
    <s v="5002876"/>
    <s v="8512 BTS T35 PB SYSTIVA RP"/>
    <n v="24"/>
    <n v="0"/>
    <n v="24"/>
    <x v="7"/>
    <s v="FX73"/>
    <s v="RP"/>
    <s v="333"/>
    <s v="4.0 UN"/>
    <s v="STANDARD"/>
    <s v="N"/>
    <s v="Y"/>
    <s v="N"/>
    <s v="T35"/>
    <s v="Y"/>
    <s v="N"/>
    <s v="Y"/>
    <s v="N"/>
    <s v="B031"/>
    <d v="2016-11-25T00:00:00"/>
    <s v="20"/>
    <s v="TAN"/>
    <s v="OR"/>
    <d v="2016-11-21T00:00:00"/>
    <s v="MN"/>
    <s v="US"/>
    <s v="ZR"/>
    <d v="2016-11-21T00:00:00"/>
  </r>
  <r>
    <x v="1"/>
    <x v="7"/>
    <x v="1859"/>
    <x v="38"/>
    <s v="Standard order"/>
    <x v="1747"/>
    <x v="1741"/>
    <s v="8337"/>
    <s v="BTS 8337"/>
    <s v="5002795"/>
    <s v="8337 BTS T35 PB SYSTIVA RP"/>
    <n v="12"/>
    <n v="0"/>
    <n v="12"/>
    <x v="7"/>
    <s v="DHMC"/>
    <s v="RP"/>
    <s v="333"/>
    <s v="4.0 UN"/>
    <s v="STANDARD"/>
    <s v="N"/>
    <s v="Y"/>
    <s v="N"/>
    <s v="T35"/>
    <s v="Y"/>
    <s v="N"/>
    <s v="Y"/>
    <s v="N"/>
    <s v="B031"/>
    <d v="2016-11-25T00:00:00"/>
    <s v="30"/>
    <s v="TAN"/>
    <s v="OR"/>
    <d v="2016-11-21T00:00:00"/>
    <s v="MN"/>
    <s v="US"/>
    <s v="ZR"/>
    <d v="2016-11-21T00:00:00"/>
  </r>
  <r>
    <x v="1"/>
    <x v="7"/>
    <x v="1860"/>
    <x v="36"/>
    <s v="Standard order"/>
    <x v="1748"/>
    <x v="1742"/>
    <s v="8500"/>
    <s v="BTS 8500"/>
    <s v="5002859"/>
    <s v="8500 BTS T35 SYSTIVA P200"/>
    <n v="120"/>
    <n v="0"/>
    <n v="120"/>
    <x v="7"/>
    <s v="FTND"/>
    <s v="PRO 200"/>
    <s v="334"/>
    <s v="4.0 UN"/>
    <s v="STANDARD"/>
    <s v="N"/>
    <s v="N"/>
    <s v="N"/>
    <s v="T35"/>
    <s v="Y"/>
    <s v="N"/>
    <s v="Y"/>
    <s v="N"/>
    <s v="B027"/>
    <d v="2016-11-25T00:00:00"/>
    <s v="10"/>
    <s v="TAN"/>
    <s v="OR"/>
    <d v="2016-11-21T00:00:00"/>
    <s v="MN"/>
    <s v="US"/>
    <s v="ZR"/>
    <d v="2016-11-21T00:00:00"/>
  </r>
  <r>
    <x v="1"/>
    <x v="7"/>
    <x v="1861"/>
    <x v="37"/>
    <s v="Standard order"/>
    <x v="1749"/>
    <x v="1743"/>
    <s v="8500"/>
    <s v="BTS 8500"/>
    <s v="5002856"/>
    <s v="8500 BTS T35 PB SYSTIVA RP"/>
    <n v="288"/>
    <n v="0"/>
    <n v="288"/>
    <x v="7"/>
    <s v="FTND"/>
    <s v="RP"/>
    <s v="333"/>
    <s v="4.0 UN"/>
    <s v="STANDARD"/>
    <s v="N"/>
    <s v="Y"/>
    <s v="N"/>
    <s v="T35"/>
    <s v="Y"/>
    <s v="N"/>
    <s v="Y"/>
    <s v="N"/>
    <s v="B033"/>
    <d v="2016-11-25T00:00:00"/>
    <s v="10"/>
    <s v="TAN"/>
    <s v="OR"/>
    <d v="2016-11-21T00:00:00"/>
    <s v="MN"/>
    <s v="US"/>
    <s v="ZR"/>
    <d v="2016-11-21T00:00:00"/>
  </r>
  <r>
    <x v="1"/>
    <x v="7"/>
    <x v="1861"/>
    <x v="37"/>
    <s v="Standard order"/>
    <x v="1749"/>
    <x v="1743"/>
    <s v="8524"/>
    <s v="BTS 8524"/>
    <s v="5002896"/>
    <s v="8524 BTS T35 PB SYSTIVA RP"/>
    <n v="192"/>
    <n v="0"/>
    <n v="192"/>
    <x v="7"/>
    <s v="FWND"/>
    <s v="RP"/>
    <s v="333"/>
    <s v="4.0 UN"/>
    <s v="STANDARD"/>
    <s v="N"/>
    <s v="Y"/>
    <s v="N"/>
    <s v="T35"/>
    <s v="Y"/>
    <s v="N"/>
    <s v="Y"/>
    <s v="N"/>
    <s v="B033"/>
    <d v="2016-11-25T00:00:00"/>
    <s v="20"/>
    <s v="TAN"/>
    <s v="OR"/>
    <d v="2016-11-21T00:00:00"/>
    <s v="MN"/>
    <s v="US"/>
    <s v="ZR"/>
    <d v="2016-11-21T00:00:00"/>
  </r>
  <r>
    <x v="1"/>
    <x v="7"/>
    <x v="1861"/>
    <x v="37"/>
    <s v="Standard order"/>
    <x v="1749"/>
    <x v="1743"/>
    <s v="8512"/>
    <s v="BTS 8512"/>
    <s v="5002876"/>
    <s v="8512 BTS T35 PB SYSTIVA RP"/>
    <n v="192"/>
    <n v="0"/>
    <n v="192"/>
    <x v="7"/>
    <s v="FX73"/>
    <s v="RP"/>
    <s v="333"/>
    <s v="4.0 UN"/>
    <s v="STANDARD"/>
    <s v="N"/>
    <s v="Y"/>
    <s v="N"/>
    <s v="T35"/>
    <s v="Y"/>
    <s v="N"/>
    <s v="Y"/>
    <s v="N"/>
    <s v="B033"/>
    <d v="2016-11-25T00:00:00"/>
    <s v="30"/>
    <s v="TAN"/>
    <s v="OR"/>
    <d v="2016-11-21T00:00:00"/>
    <s v="MN"/>
    <s v="US"/>
    <s v="ZR"/>
    <d v="2016-11-21T00:00:00"/>
  </r>
  <r>
    <x v="1"/>
    <x v="7"/>
    <x v="1861"/>
    <x v="37"/>
    <s v="Standard order"/>
    <x v="1749"/>
    <x v="1743"/>
    <s v="8052"/>
    <s v="BTS 80RR52"/>
    <s v="5002735"/>
    <s v="8052 BTS T35 PB SYSTIVA RP"/>
    <n v="192"/>
    <n v="0"/>
    <n v="192"/>
    <x v="7"/>
    <s v="AP82"/>
    <s v="RP"/>
    <s v="333"/>
    <s v="4.0 UN"/>
    <s v="STANDARD"/>
    <s v="N"/>
    <s v="Y"/>
    <s v="N"/>
    <s v="T35"/>
    <s v="Y"/>
    <s v="N"/>
    <s v="Y"/>
    <s v="N"/>
    <s v="B033"/>
    <d v="2016-11-25T00:00:00"/>
    <s v="40"/>
    <s v="TAN"/>
    <s v="OR"/>
    <d v="2016-11-21T00:00:00"/>
    <s v="MN"/>
    <s v="US"/>
    <s v="ZR"/>
    <d v="2016-11-21T00:00:00"/>
  </r>
  <r>
    <x v="1"/>
    <x v="7"/>
    <x v="1862"/>
    <x v="28"/>
    <s v="Standard order"/>
    <x v="1750"/>
    <x v="1744"/>
    <s v="8500"/>
    <s v="BTS 8500"/>
    <s v="5002856"/>
    <s v="8500 BTS T35 PB SYSTIVA RP"/>
    <n v="72"/>
    <n v="0"/>
    <n v="72"/>
    <x v="7"/>
    <s v="FTND"/>
    <s v="RP"/>
    <s v="333"/>
    <s v="4.0 UN"/>
    <s v="STANDARD"/>
    <s v="N"/>
    <s v="Y"/>
    <s v="N"/>
    <s v="T35"/>
    <s v="Y"/>
    <s v="N"/>
    <s v="Y"/>
    <s v="N"/>
    <s v="B056"/>
    <d v="2016-11-25T00:00:00"/>
    <s v="10"/>
    <s v="TAN"/>
    <s v="OR"/>
    <d v="2016-11-21T00:00:00"/>
    <s v="ND"/>
    <s v="US"/>
    <s v="ZR"/>
    <d v="2016-11-21T00:00:00"/>
  </r>
  <r>
    <x v="1"/>
    <x v="7"/>
    <x v="1862"/>
    <x v="28"/>
    <s v="Standard order"/>
    <x v="1750"/>
    <x v="1744"/>
    <s v="8512"/>
    <s v="BTS 8512"/>
    <s v="5002876"/>
    <s v="8512 BTS T35 PB SYSTIVA RP"/>
    <n v="72"/>
    <n v="0"/>
    <n v="72"/>
    <x v="7"/>
    <s v="FX73"/>
    <s v="RP"/>
    <s v="333"/>
    <s v="4.0 UN"/>
    <s v="STANDARD"/>
    <s v="N"/>
    <s v="Y"/>
    <s v="N"/>
    <s v="T35"/>
    <s v="Y"/>
    <s v="N"/>
    <s v="Y"/>
    <s v="N"/>
    <s v="B056"/>
    <d v="2016-11-25T00:00:00"/>
    <s v="20"/>
    <s v="TAN"/>
    <s v="OR"/>
    <d v="2016-11-21T00:00:00"/>
    <s v="ND"/>
    <s v="US"/>
    <s v="ZR"/>
    <d v="2016-11-21T00:00:00"/>
  </r>
  <r>
    <x v="1"/>
    <x v="7"/>
    <x v="1863"/>
    <x v="37"/>
    <s v="Standard order"/>
    <x v="1751"/>
    <x v="1745"/>
    <s v="8572"/>
    <s v="BTS 8572"/>
    <s v="5003215"/>
    <s v="8572 BTS T35 PB SYSTIVA RP"/>
    <n v="252"/>
    <n v="0"/>
    <n v="252"/>
    <x v="7"/>
    <s v="FENB"/>
    <s v="RP"/>
    <s v="333"/>
    <s v="4.0 UN"/>
    <s v="STANDARD"/>
    <s v="N"/>
    <s v="Y"/>
    <s v="N"/>
    <s v="T35"/>
    <s v="Y"/>
    <s v="N"/>
    <s v="Y"/>
    <s v="N"/>
    <s v="B033"/>
    <d v="2016-11-25T00:00:00"/>
    <s v="10"/>
    <s v="TAN"/>
    <s v="OR"/>
    <d v="2016-11-21T00:00:00"/>
    <s v="ND"/>
    <s v="US"/>
    <s v="ZR"/>
    <d v="2016-11-21T00:00:00"/>
  </r>
  <r>
    <x v="1"/>
    <x v="7"/>
    <x v="1864"/>
    <x v="37"/>
    <s v="Standard order"/>
    <x v="1752"/>
    <x v="1746"/>
    <s v="8500"/>
    <s v="BTS 8500"/>
    <s v="5002856"/>
    <s v="8500 BTS T35 PB SYSTIVA RP"/>
    <n v="96"/>
    <n v="0"/>
    <n v="96"/>
    <x v="7"/>
    <s v="FTND"/>
    <s v="RP"/>
    <s v="333"/>
    <s v="4.0 UN"/>
    <s v="STANDARD"/>
    <s v="N"/>
    <s v="Y"/>
    <s v="N"/>
    <s v="T35"/>
    <s v="Y"/>
    <s v="N"/>
    <s v="Y"/>
    <s v="N"/>
    <s v="B033"/>
    <d v="2016-11-25T00:00:00"/>
    <s v="10"/>
    <s v="TAN"/>
    <s v="OR"/>
    <d v="2016-11-21T00:00:00"/>
    <s v="MN"/>
    <s v="US"/>
    <s v="ZR"/>
    <d v="2016-11-21T00:00:00"/>
  </r>
  <r>
    <x v="1"/>
    <x v="7"/>
    <x v="1864"/>
    <x v="37"/>
    <s v="Standard order"/>
    <x v="1752"/>
    <x v="1746"/>
    <s v="8572"/>
    <s v="BTS 8572"/>
    <s v="5003215"/>
    <s v="8572 BTS T35 PB SYSTIVA RP"/>
    <n v="96"/>
    <n v="0"/>
    <n v="96"/>
    <x v="7"/>
    <s v="FENB"/>
    <s v="RP"/>
    <s v="333"/>
    <s v="4.0 UN"/>
    <s v="STANDARD"/>
    <s v="N"/>
    <s v="Y"/>
    <s v="N"/>
    <s v="T35"/>
    <s v="Y"/>
    <s v="N"/>
    <s v="Y"/>
    <s v="N"/>
    <s v="B033"/>
    <d v="2016-11-25T00:00:00"/>
    <s v="20"/>
    <s v="TAN"/>
    <s v="OR"/>
    <d v="2016-11-21T00:00:00"/>
    <s v="MN"/>
    <s v="US"/>
    <s v="ZR"/>
    <d v="2016-11-21T00:00:00"/>
  </r>
  <r>
    <x v="1"/>
    <x v="7"/>
    <x v="1864"/>
    <x v="37"/>
    <s v="Standard order"/>
    <x v="1752"/>
    <x v="1746"/>
    <s v="8052"/>
    <s v="BTS 80RR52"/>
    <s v="5002735"/>
    <s v="8052 BTS T35 PB SYSTIVA RP"/>
    <n v="68"/>
    <n v="0"/>
    <n v="68"/>
    <x v="7"/>
    <s v="AP82"/>
    <s v="RP"/>
    <s v="333"/>
    <s v="4.0 UN"/>
    <s v="STANDARD"/>
    <s v="N"/>
    <s v="Y"/>
    <s v="N"/>
    <s v="T35"/>
    <s v="Y"/>
    <s v="N"/>
    <s v="Y"/>
    <s v="N"/>
    <s v="B033"/>
    <d v="2016-11-25T00:00:00"/>
    <s v="30"/>
    <s v="TAN"/>
    <s v="OR"/>
    <d v="2016-11-21T00:00:00"/>
    <s v="MN"/>
    <s v="US"/>
    <s v="ZR"/>
    <d v="2016-11-21T00:00:00"/>
  </r>
  <r>
    <x v="1"/>
    <x v="7"/>
    <x v="1865"/>
    <x v="37"/>
    <s v="Standard order"/>
    <x v="1753"/>
    <x v="1747"/>
    <s v="8512"/>
    <s v="BTS 8512"/>
    <s v="5002876"/>
    <s v="8512 BTS T35 PB SYSTIVA RP"/>
    <n v="48"/>
    <n v="0"/>
    <n v="48"/>
    <x v="7"/>
    <s v="FX73"/>
    <s v="RP"/>
    <s v="333"/>
    <s v="4.0 UN"/>
    <s v="STANDARD"/>
    <s v="N"/>
    <s v="Y"/>
    <s v="N"/>
    <s v="T35"/>
    <s v="Y"/>
    <s v="N"/>
    <s v="Y"/>
    <s v="N"/>
    <s v="B033"/>
    <d v="2016-11-25T00:00:00"/>
    <s v="40"/>
    <s v="TAN"/>
    <s v="OR"/>
    <d v="2016-11-21T00:00:00"/>
    <s v="ND"/>
    <s v="US"/>
    <s v="ZR"/>
    <d v="2016-11-21T00:00:00"/>
  </r>
  <r>
    <x v="1"/>
    <x v="7"/>
    <x v="1865"/>
    <x v="37"/>
    <s v="Standard order"/>
    <x v="1753"/>
    <x v="1747"/>
    <s v="8052"/>
    <s v="BTS 80RR52"/>
    <s v="5002735"/>
    <s v="8052 BTS T35 PB SYSTIVA RP"/>
    <n v="96"/>
    <n v="0"/>
    <n v="96"/>
    <x v="7"/>
    <s v="AP82"/>
    <s v="RP"/>
    <s v="333"/>
    <s v="4.0 UN"/>
    <s v="STANDARD"/>
    <s v="N"/>
    <s v="Y"/>
    <s v="N"/>
    <s v="T35"/>
    <s v="Y"/>
    <s v="N"/>
    <s v="Y"/>
    <s v="N"/>
    <s v="B033"/>
    <d v="2016-11-25T00:00:00"/>
    <s v="10"/>
    <s v="TAN"/>
    <s v="OR"/>
    <d v="2016-11-21T00:00:00"/>
    <s v="ND"/>
    <s v="US"/>
    <s v="ZR"/>
    <d v="2016-11-21T00:00:00"/>
  </r>
  <r>
    <x v="1"/>
    <x v="7"/>
    <x v="1865"/>
    <x v="37"/>
    <s v="Standard order"/>
    <x v="1753"/>
    <x v="1747"/>
    <s v="8524"/>
    <s v="BTS 8524"/>
    <s v="5002896"/>
    <s v="8524 BTS T35 PB SYSTIVA RP"/>
    <n v="96"/>
    <n v="0"/>
    <n v="96"/>
    <x v="7"/>
    <s v="FWND"/>
    <s v="RP"/>
    <s v="333"/>
    <s v="4.0 UN"/>
    <s v="STANDARD"/>
    <s v="N"/>
    <s v="Y"/>
    <s v="N"/>
    <s v="T35"/>
    <s v="Y"/>
    <s v="N"/>
    <s v="Y"/>
    <s v="N"/>
    <s v="B033"/>
    <d v="2016-11-25T00:00:00"/>
    <s v="20"/>
    <s v="TAN"/>
    <s v="OR"/>
    <d v="2016-11-21T00:00:00"/>
    <s v="ND"/>
    <s v="US"/>
    <s v="ZR"/>
    <d v="2016-11-21T00:00:00"/>
  </r>
  <r>
    <x v="1"/>
    <x v="7"/>
    <x v="1865"/>
    <x v="37"/>
    <s v="Standard order"/>
    <x v="1753"/>
    <x v="1747"/>
    <s v="8500"/>
    <s v="BTS 8500"/>
    <s v="5002856"/>
    <s v="8500 BTS T35 PB SYSTIVA RP"/>
    <n v="96"/>
    <n v="0"/>
    <n v="96"/>
    <x v="7"/>
    <s v="FTND"/>
    <s v="RP"/>
    <s v="333"/>
    <s v="4.0 UN"/>
    <s v="STANDARD"/>
    <s v="N"/>
    <s v="Y"/>
    <s v="N"/>
    <s v="T35"/>
    <s v="Y"/>
    <s v="N"/>
    <s v="Y"/>
    <s v="N"/>
    <s v="B033"/>
    <d v="2016-11-25T00:00:00"/>
    <s v="30"/>
    <s v="TAN"/>
    <s v="OR"/>
    <d v="2016-11-21T00:00:00"/>
    <s v="ND"/>
    <s v="US"/>
    <s v="ZR"/>
    <d v="2016-11-21T00:00:00"/>
  </r>
  <r>
    <x v="1"/>
    <x v="7"/>
    <x v="1866"/>
    <x v="36"/>
    <s v="Standard order"/>
    <x v="1754"/>
    <x v="1748"/>
    <s v="8052"/>
    <s v="BTS 80RR52"/>
    <s v="5002735"/>
    <s v="8052 BTS T35 PB SYSTIVA RP"/>
    <n v="192"/>
    <n v="0"/>
    <n v="192"/>
    <x v="7"/>
    <s v="AP82"/>
    <s v="RP"/>
    <s v="333"/>
    <s v="4.0 UN"/>
    <s v="STANDARD"/>
    <s v="N"/>
    <s v="Y"/>
    <s v="N"/>
    <s v="T35"/>
    <s v="Y"/>
    <s v="N"/>
    <s v="Y"/>
    <s v="N"/>
    <s v="B027"/>
    <d v="2016-11-25T00:00:00"/>
    <s v="10"/>
    <s v="TAN"/>
    <s v="OR"/>
    <d v="2016-11-21T00:00:00"/>
    <s v="MN"/>
    <s v="US"/>
    <s v="ZR"/>
    <d v="2016-11-21T00:00:00"/>
  </r>
  <r>
    <x v="1"/>
    <x v="7"/>
    <x v="1867"/>
    <x v="38"/>
    <s v="Standard order"/>
    <x v="1755"/>
    <x v="1749"/>
    <s v="8524"/>
    <s v="BTS 8524"/>
    <s v="5002896"/>
    <s v="8524 BTS T35 PB SYSTIVA RP"/>
    <n v="100"/>
    <n v="0"/>
    <n v="100"/>
    <x v="7"/>
    <s v="FWND"/>
    <s v="RP"/>
    <s v="333"/>
    <s v="4.0 UN"/>
    <s v="STANDARD"/>
    <s v="N"/>
    <s v="Y"/>
    <s v="N"/>
    <s v="T35"/>
    <s v="Y"/>
    <s v="N"/>
    <s v="Y"/>
    <s v="N"/>
    <s v="B031"/>
    <d v="2016-11-28T00:00:00"/>
    <s v="10"/>
    <s v="TAN"/>
    <s v="OR"/>
    <d v="2016-11-22T00:00:00"/>
    <s v="MN"/>
    <s v="US"/>
    <s v="ZR"/>
    <d v="2016-11-22T00:00:00"/>
  </r>
  <r>
    <x v="1"/>
    <x v="7"/>
    <x v="1868"/>
    <x v="36"/>
    <s v="Standard order"/>
    <x v="1756"/>
    <x v="1750"/>
    <s v="8052"/>
    <s v="BTS 80RR52"/>
    <s v="5002735"/>
    <s v="8052 BTS T35 PB SYSTIVA RP"/>
    <n v="192"/>
    <n v="0"/>
    <n v="192"/>
    <x v="7"/>
    <s v="AP82"/>
    <s v="RP"/>
    <s v="333"/>
    <s v="4.0 UN"/>
    <s v="STANDARD"/>
    <s v="N"/>
    <s v="Y"/>
    <s v="N"/>
    <s v="T35"/>
    <s v="Y"/>
    <s v="N"/>
    <s v="Y"/>
    <s v="N"/>
    <s v="B027"/>
    <d v="2016-11-28T00:00:00"/>
    <s v="10"/>
    <s v="TAN"/>
    <s v="OR"/>
    <d v="2016-11-22T00:00:00"/>
    <s v="MN"/>
    <s v="US"/>
    <s v="ZR"/>
    <d v="2016-11-22T00:00:00"/>
  </r>
  <r>
    <x v="1"/>
    <x v="7"/>
    <x v="1868"/>
    <x v="36"/>
    <s v="Standard order"/>
    <x v="1756"/>
    <x v="1750"/>
    <s v="8512"/>
    <s v="BTS 8512"/>
    <s v="5002876"/>
    <s v="8512 BTS T35 PB SYSTIVA RP"/>
    <n v="124"/>
    <n v="0"/>
    <n v="124"/>
    <x v="7"/>
    <s v="FX73"/>
    <s v="RP"/>
    <s v="333"/>
    <s v="4.0 UN"/>
    <s v="STANDARD"/>
    <s v="N"/>
    <s v="Y"/>
    <s v="N"/>
    <s v="T35"/>
    <s v="Y"/>
    <s v="N"/>
    <s v="Y"/>
    <s v="N"/>
    <s v="B027"/>
    <d v="2016-11-28T00:00:00"/>
    <s v="20"/>
    <s v="TAN"/>
    <s v="OR"/>
    <d v="2016-11-22T00:00:00"/>
    <s v="MN"/>
    <s v="US"/>
    <s v="ZR"/>
    <d v="2016-11-22T00:00:00"/>
  </r>
  <r>
    <x v="1"/>
    <x v="7"/>
    <x v="1868"/>
    <x v="36"/>
    <s v="Standard order"/>
    <x v="1756"/>
    <x v="1750"/>
    <s v="8337"/>
    <s v="BTS 8337"/>
    <s v="5002795"/>
    <s v="8337 BTS T35 PB SYSTIVA RP"/>
    <n v="144"/>
    <n v="0"/>
    <n v="144"/>
    <x v="7"/>
    <s v="DHMC"/>
    <s v="RP"/>
    <s v="333"/>
    <s v="4.0 UN"/>
    <s v="STANDARD"/>
    <s v="N"/>
    <s v="Y"/>
    <s v="N"/>
    <s v="T35"/>
    <s v="Y"/>
    <s v="N"/>
    <s v="Y"/>
    <s v="N"/>
    <s v="B027"/>
    <d v="2016-11-28T00:00:00"/>
    <s v="30"/>
    <s v="TAN"/>
    <s v="OR"/>
    <d v="2016-11-22T00:00:00"/>
    <s v="MN"/>
    <s v="US"/>
    <s v="ZR"/>
    <d v="2016-11-22T00:00:00"/>
  </r>
  <r>
    <x v="1"/>
    <x v="7"/>
    <x v="1869"/>
    <x v="39"/>
    <s v="Standard order"/>
    <x v="1757"/>
    <x v="1751"/>
    <s v="8500"/>
    <s v="BTS 8500"/>
    <s v="5002856"/>
    <s v="8500 BTS T35 PB SYSTIVA RP"/>
    <n v="24"/>
    <n v="0"/>
    <n v="24"/>
    <x v="7"/>
    <s v="FTND"/>
    <s v="RP"/>
    <s v="333"/>
    <s v="4.0 UN"/>
    <s v="STANDARD"/>
    <s v="N"/>
    <s v="Y"/>
    <s v="N"/>
    <s v="T35"/>
    <s v="Y"/>
    <s v="N"/>
    <s v="Y"/>
    <s v="N"/>
    <s v="B030"/>
    <d v="2016-11-28T00:00:00"/>
    <s v="10"/>
    <s v="TAN"/>
    <s v="OR"/>
    <d v="2016-11-22T00:00:00"/>
    <s v="MN"/>
    <s v="US"/>
    <s v="ZR"/>
    <d v="2016-11-22T00:00:00"/>
  </r>
  <r>
    <x v="1"/>
    <x v="7"/>
    <x v="1870"/>
    <x v="39"/>
    <s v="Standard order"/>
    <x v="1758"/>
    <x v="1752"/>
    <s v="8500"/>
    <s v="BTS 8500"/>
    <s v="5002860"/>
    <s v="8500 BTS T35 SYSTIVA RP"/>
    <n v="48"/>
    <n v="0"/>
    <n v="48"/>
    <x v="7"/>
    <s v="FTND"/>
    <s v="RP"/>
    <s v="334"/>
    <s v="4.0 UN"/>
    <s v="STANDARD"/>
    <s v="N"/>
    <s v="N"/>
    <s v="N"/>
    <s v="T35"/>
    <s v="Y"/>
    <s v="N"/>
    <s v="Y"/>
    <s v="N"/>
    <s v="B030"/>
    <d v="2016-11-28T00:00:00"/>
    <s v="10"/>
    <s v="TAN"/>
    <s v="OR"/>
    <d v="2016-11-21T00:00:00"/>
    <s v="MN"/>
    <s v="US"/>
    <s v="ZR"/>
    <d v="2016-11-22T00:00:00"/>
  </r>
  <r>
    <x v="1"/>
    <x v="0"/>
    <x v="1871"/>
    <x v="42"/>
    <s v="Standard order"/>
    <x v="1759"/>
    <x v="1753"/>
    <s v="1399"/>
    <s v="BTS 1399"/>
    <s v="5002346"/>
    <s v="1399 BTS T20 Kabina MP"/>
    <n v="200"/>
    <n v="0"/>
    <n v="200"/>
    <x v="0"/>
    <s v="EG74"/>
    <s v="MP"/>
    <s v="380"/>
    <s v="4.0 UN"/>
    <s v="STANDARD"/>
    <s v="N"/>
    <s v="N"/>
    <s v="Y"/>
    <s v="T20"/>
    <s v="N"/>
    <s v="N"/>
    <s v="N"/>
    <s v="N"/>
    <s v="B007"/>
    <d v="2016-11-28T00:00:00"/>
    <s v="30"/>
    <s v="TAN"/>
    <s v="OR"/>
    <d v="2016-11-21T00:00:00"/>
    <s v="MI"/>
    <s v="US"/>
    <s v="ZR"/>
    <d v="2016-11-22T00:00:00"/>
  </r>
  <r>
    <x v="1"/>
    <x v="0"/>
    <x v="1871"/>
    <x v="42"/>
    <s v="Standard order"/>
    <x v="1759"/>
    <x v="1753"/>
    <s v="122N"/>
    <s v="BTS 12RR2N"/>
    <s v="5002309"/>
    <s v="122N BTS T20 Kabina MP"/>
    <n v="96"/>
    <n v="0"/>
    <n v="96"/>
    <x v="0"/>
    <s v="4TBG"/>
    <s v="MP"/>
    <s v="380"/>
    <s v="4.0 UN"/>
    <s v="STANDARD"/>
    <s v="N"/>
    <s v="N"/>
    <s v="Y"/>
    <s v="T20"/>
    <s v="N"/>
    <s v="N"/>
    <s v="N"/>
    <s v="N"/>
    <s v="B007"/>
    <d v="2016-11-28T00:00:00"/>
    <s v="40"/>
    <s v="TAN"/>
    <s v="OR"/>
    <d v="2016-11-21T00:00:00"/>
    <s v="MI"/>
    <s v="US"/>
    <s v="ZR"/>
    <d v="2016-11-22T00:00:00"/>
  </r>
  <r>
    <x v="1"/>
    <x v="5"/>
    <x v="1872"/>
    <x v="9"/>
    <s v="Standard order"/>
    <x v="1760"/>
    <x v="15"/>
    <s v="353N"/>
    <s v="BTS 353N"/>
    <s v="5002524"/>
    <s v="353N BTS T20 PB SYSTIVA RP"/>
    <n v="12"/>
    <n v="0"/>
    <n v="12"/>
    <x v="5"/>
    <s v="EENZ"/>
    <s v="RP"/>
    <s v="322"/>
    <s v="4.0 UN"/>
    <s v="STANDARD"/>
    <s v="N"/>
    <s v="Y"/>
    <s v="N"/>
    <s v="T20"/>
    <s v="Y"/>
    <s v="N"/>
    <s v="N"/>
    <s v="N"/>
    <s v="B016"/>
    <d v="2016-11-28T00:00:00"/>
    <s v="10"/>
    <s v="TAN"/>
    <s v="OR"/>
    <d v="2016-11-22T00:00:00"/>
    <s v="WY"/>
    <s v="US"/>
    <s v="ZR"/>
    <d v="2016-11-22T00:00:00"/>
  </r>
  <r>
    <x v="1"/>
    <x v="5"/>
    <x v="1872"/>
    <x v="9"/>
    <s v="Standard order"/>
    <x v="1760"/>
    <x v="15"/>
    <s v="336N"/>
    <s v="BTS 336N"/>
    <s v="5002400"/>
    <s v="336N BTS T20 PB SYSTIVA RP"/>
    <n v="44"/>
    <n v="0"/>
    <n v="44"/>
    <x v="5"/>
    <s v="EEMG"/>
    <s v="RP"/>
    <s v="322"/>
    <s v="4.0 UN"/>
    <s v="STANDARD"/>
    <s v="N"/>
    <s v="N"/>
    <s v="N"/>
    <s v="T20"/>
    <s v="Y"/>
    <s v="N"/>
    <s v="N"/>
    <s v="N"/>
    <s v="B016"/>
    <d v="2016-11-28T00:00:00"/>
    <s v="20"/>
    <s v="TAN"/>
    <s v="OR"/>
    <d v="2016-11-22T00:00:00"/>
    <s v="WY"/>
    <s v="US"/>
    <s v="ZR"/>
    <d v="2016-11-22T00:00:00"/>
  </r>
  <r>
    <x v="1"/>
    <x v="5"/>
    <x v="1873"/>
    <x v="9"/>
    <s v="Standard order"/>
    <x v="1761"/>
    <x v="1754"/>
    <s v="336N"/>
    <s v="BTS 336N"/>
    <s v="5002199"/>
    <s v="336N BTS T20 PB SYSTIVA P200"/>
    <n v="20"/>
    <n v="0"/>
    <n v="20"/>
    <x v="5"/>
    <s v="EEMG"/>
    <s v="PRO 200"/>
    <s v="322"/>
    <s v="4.0 UN"/>
    <s v="STANDARD"/>
    <s v="N"/>
    <s v="N"/>
    <s v="N"/>
    <s v="T20"/>
    <s v="Y"/>
    <s v="N"/>
    <s v="N"/>
    <s v="N"/>
    <s v="B016"/>
    <d v="2016-11-28T00:00:00"/>
    <s v="10"/>
    <s v="TAN"/>
    <s v="OR"/>
    <d v="2016-11-22T00:00:00"/>
    <s v="WY"/>
    <s v="US"/>
    <s v="ZR"/>
    <d v="2016-11-22T00:00:00"/>
  </r>
  <r>
    <x v="1"/>
    <x v="5"/>
    <x v="1874"/>
    <x v="9"/>
    <s v="Standard order"/>
    <x v="1762"/>
    <x v="1755"/>
    <s v="353N"/>
    <s v="BTS 353N"/>
    <s v="5002522"/>
    <s v="353N BTS T20 PB SYSTIVA P200"/>
    <n v="12"/>
    <n v="0"/>
    <n v="12"/>
    <x v="5"/>
    <s v="EENZ"/>
    <s v="PRO 200"/>
    <s v="322"/>
    <s v="4.0 UN"/>
    <s v="STANDARD"/>
    <s v="N"/>
    <s v="Y"/>
    <s v="N"/>
    <s v="T20"/>
    <s v="Y"/>
    <s v="N"/>
    <s v="N"/>
    <s v="N"/>
    <s v="B016"/>
    <d v="2016-11-28T00:00:00"/>
    <s v="10"/>
    <s v="TAN"/>
    <s v="OR"/>
    <d v="2016-11-22T00:00:00"/>
    <s v="WY"/>
    <s v="US"/>
    <s v="ZR"/>
    <d v="2016-11-22T00:00:00"/>
  </r>
  <r>
    <x v="1"/>
    <x v="5"/>
    <x v="1874"/>
    <x v="9"/>
    <s v="Standard order"/>
    <x v="1762"/>
    <x v="1755"/>
    <s v="3650"/>
    <s v="BTS 36RR50"/>
    <s v="5002546"/>
    <s v="3650 BTS T20 PB SYSTIVA P200"/>
    <n v="172"/>
    <n v="0"/>
    <n v="172"/>
    <x v="5"/>
    <s v="4DAY"/>
    <s v="PRO 200"/>
    <s v="322"/>
    <s v="4.0 UN"/>
    <s v="STANDARD"/>
    <s v="N"/>
    <s v="Y"/>
    <s v="N"/>
    <s v="T20"/>
    <s v="Y"/>
    <s v="N"/>
    <s v="N"/>
    <s v="N"/>
    <s v="B016"/>
    <d v="2016-11-28T00:00:00"/>
    <s v="20"/>
    <s v="TAN"/>
    <s v="OR"/>
    <d v="2016-11-22T00:00:00"/>
    <s v="WY"/>
    <s v="US"/>
    <s v="ZR"/>
    <d v="2016-11-22T00:00:00"/>
  </r>
  <r>
    <x v="1"/>
    <x v="7"/>
    <x v="1875"/>
    <x v="38"/>
    <s v="Standard order"/>
    <x v="1763"/>
    <x v="1756"/>
    <s v="8337"/>
    <s v="BTS 8337"/>
    <s v="5002795"/>
    <s v="8337 BTS T35 PB SYSTIVA RP"/>
    <n v="100"/>
    <n v="0"/>
    <n v="100"/>
    <x v="7"/>
    <s v="DHMC"/>
    <s v="RP"/>
    <s v="333"/>
    <s v="4.0 UN"/>
    <s v="STANDARD"/>
    <s v="N"/>
    <s v="Y"/>
    <s v="N"/>
    <s v="T35"/>
    <s v="Y"/>
    <s v="N"/>
    <s v="Y"/>
    <s v="N"/>
    <s v="B031"/>
    <d v="2016-11-28T00:00:00"/>
    <s v="10"/>
    <s v="TAN"/>
    <s v="OR"/>
    <d v="2016-11-22T00:00:00"/>
    <s v="MN"/>
    <s v="US"/>
    <s v="ZR"/>
    <d v="2016-11-22T00:00:00"/>
  </r>
  <r>
    <x v="1"/>
    <x v="7"/>
    <x v="1876"/>
    <x v="39"/>
    <s v="Standard order"/>
    <x v="1764"/>
    <x v="1757"/>
    <s v="8500"/>
    <s v="BTS 8500"/>
    <s v="5002856"/>
    <s v="8500 BTS T35 PB SYSTIVA RP"/>
    <n v="96"/>
    <n v="0"/>
    <n v="96"/>
    <x v="7"/>
    <s v="FTND"/>
    <s v="RP"/>
    <s v="333"/>
    <s v="4.0 UN"/>
    <s v="STANDARD"/>
    <s v="N"/>
    <s v="Y"/>
    <s v="N"/>
    <s v="T35"/>
    <s v="Y"/>
    <s v="N"/>
    <s v="Y"/>
    <s v="N"/>
    <s v="B030"/>
    <d v="2016-11-28T00:00:00"/>
    <s v="10"/>
    <s v="TAN"/>
    <s v="OR"/>
    <d v="2016-11-22T00:00:00"/>
    <s v="MN"/>
    <s v="US"/>
    <s v="ZR"/>
    <d v="2016-11-22T00:00:00"/>
  </r>
  <r>
    <x v="1"/>
    <x v="7"/>
    <x v="1877"/>
    <x v="36"/>
    <s v="Standard order"/>
    <x v="1765"/>
    <x v="1758"/>
    <s v="8052"/>
    <s v="BTS 80RR52"/>
    <s v="5002722"/>
    <s v="8052 BTS T20 PB SYSTIVA MP"/>
    <n v="36"/>
    <n v="0"/>
    <n v="36"/>
    <x v="7"/>
    <s v="AP82"/>
    <s v="MP"/>
    <s v="322"/>
    <s v="4.0 UN"/>
    <s v="STANDARD"/>
    <s v="N"/>
    <s v="N"/>
    <s v="N"/>
    <s v="T20"/>
    <s v="Y"/>
    <s v="N"/>
    <s v="Y"/>
    <s v="N"/>
    <s v="B027"/>
    <d v="2016-11-28T00:00:00"/>
    <s v="10"/>
    <s v="TAN"/>
    <s v="OR"/>
    <d v="2016-11-22T00:00:00"/>
    <s v="MN"/>
    <s v="US"/>
    <s v="ZR"/>
    <d v="2016-11-22T00:00:00"/>
  </r>
  <r>
    <x v="1"/>
    <x v="7"/>
    <x v="1877"/>
    <x v="36"/>
    <s v="Standard order"/>
    <x v="1765"/>
    <x v="1758"/>
    <s v="8500"/>
    <s v="BTS 8500"/>
    <s v="5002843"/>
    <s v="8500 BTS T20 PB SYSTIVA MP"/>
    <n v="36"/>
    <n v="0"/>
    <n v="36"/>
    <x v="7"/>
    <s v="FTND"/>
    <s v="MP"/>
    <s v="322"/>
    <s v="4.0 UN"/>
    <s v="STANDARD"/>
    <s v="N"/>
    <s v="N"/>
    <s v="N"/>
    <s v="T20"/>
    <s v="Y"/>
    <s v="N"/>
    <s v="Y"/>
    <s v="N"/>
    <s v="B027"/>
    <d v="2016-11-28T00:00:00"/>
    <s v="20"/>
    <s v="TAN"/>
    <s v="OR"/>
    <d v="2016-11-22T00:00:00"/>
    <s v="MN"/>
    <s v="US"/>
    <s v="ZR"/>
    <d v="2016-11-22T00:00:00"/>
  </r>
  <r>
    <x v="1"/>
    <x v="7"/>
    <x v="1878"/>
    <x v="36"/>
    <s v="Standard order"/>
    <x v="1766"/>
    <x v="1759"/>
    <s v="8052"/>
    <s v="BTS 80RR52"/>
    <s v="5002739"/>
    <s v="8052 BTS T35 SYSTIVA RP"/>
    <n v="80"/>
    <n v="0"/>
    <n v="80"/>
    <x v="7"/>
    <s v="AP82"/>
    <s v="RP"/>
    <s v="334"/>
    <s v="4.0 UN"/>
    <s v="STANDARD"/>
    <s v="N"/>
    <s v="N"/>
    <s v="N"/>
    <s v="T35"/>
    <s v="Y"/>
    <s v="N"/>
    <s v="Y"/>
    <s v="N"/>
    <s v="B027"/>
    <d v="2016-11-28T00:00:00"/>
    <s v="10"/>
    <s v="TAN"/>
    <s v="OR"/>
    <d v="2016-11-22T00:00:00"/>
    <s v="MN"/>
    <s v="US"/>
    <s v="ZR"/>
    <d v="2016-11-22T00:00:00"/>
  </r>
  <r>
    <x v="1"/>
    <x v="7"/>
    <x v="1878"/>
    <x v="36"/>
    <s v="Standard order"/>
    <x v="1766"/>
    <x v="1759"/>
    <s v="8337"/>
    <s v="BTS 8337"/>
    <s v="5002799"/>
    <s v="8337 BTS T35 SYSTIVA RP"/>
    <n v="140"/>
    <n v="0"/>
    <n v="140"/>
    <x v="7"/>
    <s v="DHMC"/>
    <s v="RP"/>
    <s v="334"/>
    <s v="4.0 UN"/>
    <s v="STANDARD"/>
    <s v="N"/>
    <s v="N"/>
    <s v="N"/>
    <s v="T35"/>
    <s v="Y"/>
    <s v="N"/>
    <s v="Y"/>
    <s v="N"/>
    <s v="B027"/>
    <d v="2016-11-28T00:00:00"/>
    <s v="20"/>
    <s v="TAN"/>
    <s v="OR"/>
    <d v="2016-11-22T00:00:00"/>
    <s v="MN"/>
    <s v="US"/>
    <s v="ZR"/>
    <d v="2016-11-22T00:00:00"/>
  </r>
  <r>
    <x v="1"/>
    <x v="7"/>
    <x v="1879"/>
    <x v="38"/>
    <s v="Standard order"/>
    <x v="1767"/>
    <x v="1760"/>
    <s v="8500"/>
    <s v="BTS 8500"/>
    <s v="5002856"/>
    <s v="8500 BTS T35 PB SYSTIVA RP"/>
    <n v="80"/>
    <n v="0"/>
    <n v="80"/>
    <x v="7"/>
    <s v="FTND"/>
    <s v="RP"/>
    <s v="333"/>
    <s v="4.0 UN"/>
    <s v="STANDARD"/>
    <s v="N"/>
    <s v="Y"/>
    <s v="N"/>
    <s v="T35"/>
    <s v="Y"/>
    <s v="N"/>
    <s v="Y"/>
    <s v="N"/>
    <s v="B031"/>
    <d v="2016-11-28T00:00:00"/>
    <s v="10"/>
    <s v="TAN"/>
    <s v="OR"/>
    <d v="2016-11-22T00:00:00"/>
    <s v="MN"/>
    <s v="US"/>
    <s v="ZR"/>
    <d v="2016-11-22T00:00:00"/>
  </r>
  <r>
    <x v="1"/>
    <x v="7"/>
    <x v="1879"/>
    <x v="38"/>
    <s v="Standard order"/>
    <x v="1767"/>
    <x v="1760"/>
    <s v="8572"/>
    <s v="BTS 8572"/>
    <s v="5003215"/>
    <s v="8572 BTS T35 PB SYSTIVA RP"/>
    <n v="44"/>
    <n v="0"/>
    <n v="44"/>
    <x v="7"/>
    <s v="FENB"/>
    <s v="RP"/>
    <s v="333"/>
    <s v="4.0 UN"/>
    <s v="STANDARD"/>
    <s v="N"/>
    <s v="Y"/>
    <s v="N"/>
    <s v="T35"/>
    <s v="Y"/>
    <s v="N"/>
    <s v="Y"/>
    <s v="N"/>
    <s v="B031"/>
    <d v="2016-11-28T00:00:00"/>
    <s v="20"/>
    <s v="TAN"/>
    <s v="OR"/>
    <d v="2016-11-22T00:00:00"/>
    <s v="MN"/>
    <s v="US"/>
    <s v="ZR"/>
    <d v="2016-11-22T00:00:00"/>
  </r>
  <r>
    <x v="1"/>
    <x v="7"/>
    <x v="1879"/>
    <x v="38"/>
    <s v="Standard order"/>
    <x v="1767"/>
    <x v="1760"/>
    <s v="8052"/>
    <s v="BTS 80RR52"/>
    <s v="5002735"/>
    <s v="8052 BTS T35 PB SYSTIVA RP"/>
    <n v="44"/>
    <n v="0"/>
    <n v="44"/>
    <x v="7"/>
    <s v="AP82"/>
    <s v="RP"/>
    <s v="333"/>
    <s v="4.0 UN"/>
    <s v="STANDARD"/>
    <s v="N"/>
    <s v="Y"/>
    <s v="N"/>
    <s v="T35"/>
    <s v="Y"/>
    <s v="N"/>
    <s v="Y"/>
    <s v="N"/>
    <s v="B031"/>
    <d v="2016-11-28T00:00:00"/>
    <s v="30"/>
    <s v="TAN"/>
    <s v="OR"/>
    <d v="2016-11-22T00:00:00"/>
    <s v="MN"/>
    <s v="US"/>
    <s v="ZR"/>
    <d v="2016-11-22T00:00:00"/>
  </r>
  <r>
    <x v="1"/>
    <x v="7"/>
    <x v="1880"/>
    <x v="38"/>
    <s v="Standard order"/>
    <x v="1768"/>
    <x v="1761"/>
    <s v="8337"/>
    <s v="BTS 8337"/>
    <s v="5002795"/>
    <s v="8337 BTS T35 PB SYSTIVA RP"/>
    <n v="604"/>
    <n v="0"/>
    <n v="604"/>
    <x v="7"/>
    <s v="DHMC"/>
    <s v="RP"/>
    <s v="333"/>
    <s v="4.0 UN"/>
    <s v="STANDARD"/>
    <s v="N"/>
    <s v="Y"/>
    <s v="N"/>
    <s v="T35"/>
    <s v="Y"/>
    <s v="N"/>
    <s v="Y"/>
    <s v="N"/>
    <s v="B031"/>
    <d v="2016-11-28T00:00:00"/>
    <s v="10"/>
    <s v="TAN"/>
    <s v="OR"/>
    <d v="2016-11-22T00:00:00"/>
    <s v="MN"/>
    <s v="US"/>
    <s v="ZR"/>
    <d v="2016-11-22T00:00:00"/>
  </r>
  <r>
    <x v="1"/>
    <x v="7"/>
    <x v="1880"/>
    <x v="38"/>
    <s v="Standard order"/>
    <x v="1768"/>
    <x v="1761"/>
    <s v="8052"/>
    <s v="BTS 80RR52"/>
    <s v="5002735"/>
    <s v="8052 BTS T35 PB SYSTIVA RP"/>
    <n v="604"/>
    <n v="0"/>
    <n v="604"/>
    <x v="7"/>
    <s v="AP82"/>
    <s v="RP"/>
    <s v="333"/>
    <s v="4.0 UN"/>
    <s v="STANDARD"/>
    <s v="N"/>
    <s v="Y"/>
    <s v="N"/>
    <s v="T35"/>
    <s v="Y"/>
    <s v="N"/>
    <s v="Y"/>
    <s v="N"/>
    <s v="B031"/>
    <d v="2016-11-28T00:00:00"/>
    <s v="20"/>
    <s v="TAN"/>
    <s v="OR"/>
    <d v="2016-11-22T00:00:00"/>
    <s v="MN"/>
    <s v="US"/>
    <s v="ZR"/>
    <d v="2016-11-22T00:00:00"/>
  </r>
  <r>
    <x v="1"/>
    <x v="7"/>
    <x v="1881"/>
    <x v="41"/>
    <s v="Standard order"/>
    <x v="1769"/>
    <x v="1762"/>
    <s v="8572"/>
    <s v="BTS 8572"/>
    <s v="5003219"/>
    <s v="8572 BTS T35 SYSTIVA RP"/>
    <n v="144"/>
    <n v="0"/>
    <n v="144"/>
    <x v="7"/>
    <s v="FENB"/>
    <s v="RP"/>
    <s v="334"/>
    <s v="4.0 UN"/>
    <s v="STANDARD"/>
    <s v="N"/>
    <s v="N"/>
    <s v="N"/>
    <s v="T35"/>
    <s v="Y"/>
    <s v="N"/>
    <s v="Y"/>
    <s v="N"/>
    <s v="B032"/>
    <d v="2016-11-28T00:00:00"/>
    <s v="20"/>
    <s v="TAN"/>
    <s v="OR"/>
    <d v="2016-11-22T00:00:00"/>
    <s v="MN"/>
    <s v="US"/>
    <s v="ZR"/>
    <d v="2016-11-22T00:00:00"/>
  </r>
  <r>
    <x v="1"/>
    <x v="7"/>
    <x v="1881"/>
    <x v="41"/>
    <s v="Standard order"/>
    <x v="1769"/>
    <x v="1762"/>
    <s v="8052"/>
    <s v="BTS 80RR52"/>
    <s v="5002739"/>
    <s v="8052 BTS T35 SYSTIVA RP"/>
    <n v="160"/>
    <n v="0"/>
    <n v="160"/>
    <x v="7"/>
    <s v="AP82"/>
    <s v="RP"/>
    <s v="334"/>
    <s v="4.0 UN"/>
    <s v="STANDARD"/>
    <s v="N"/>
    <s v="N"/>
    <s v="N"/>
    <s v="T35"/>
    <s v="Y"/>
    <s v="N"/>
    <s v="Y"/>
    <s v="N"/>
    <s v="B032"/>
    <d v="2016-11-28T00:00:00"/>
    <s v="10"/>
    <s v="TAN"/>
    <s v="OR"/>
    <d v="2016-11-22T00:00:00"/>
    <s v="MN"/>
    <s v="US"/>
    <s v="ZR"/>
    <d v="2016-11-22T00:00:00"/>
  </r>
  <r>
    <x v="1"/>
    <x v="7"/>
    <x v="1882"/>
    <x v="38"/>
    <s v="Standard order"/>
    <x v="1770"/>
    <x v="1763"/>
    <s v="8052"/>
    <s v="BTS 80RR52"/>
    <s v="5002739"/>
    <s v="8052 BTS T35 SYSTIVA RP"/>
    <n v="544"/>
    <n v="0"/>
    <n v="544"/>
    <x v="7"/>
    <s v="AP82"/>
    <s v="RP"/>
    <s v="334"/>
    <s v="4.0 UN"/>
    <s v="STANDARD"/>
    <s v="N"/>
    <s v="N"/>
    <s v="N"/>
    <s v="T35"/>
    <s v="Y"/>
    <s v="N"/>
    <s v="Y"/>
    <s v="N"/>
    <s v="B031"/>
    <d v="2016-11-28T00:00:00"/>
    <s v="10"/>
    <s v="TAN"/>
    <s v="OR"/>
    <d v="2016-11-21T00:00:00"/>
    <s v="MN"/>
    <s v="US"/>
    <s v="ZR"/>
    <d v="2016-11-22T00:00:00"/>
  </r>
  <r>
    <x v="1"/>
    <x v="7"/>
    <x v="1883"/>
    <x v="39"/>
    <s v="Standard order"/>
    <x v="1771"/>
    <x v="1764"/>
    <s v="8500"/>
    <s v="BTS 8500"/>
    <s v="5002860"/>
    <s v="8500 BTS T35 SYSTIVA RP"/>
    <n v="72"/>
    <n v="0"/>
    <n v="72"/>
    <x v="7"/>
    <s v="FTND"/>
    <s v="RP"/>
    <s v="334"/>
    <s v="4.0 UN"/>
    <s v="STANDARD"/>
    <s v="N"/>
    <s v="N"/>
    <s v="N"/>
    <s v="T35"/>
    <s v="Y"/>
    <s v="N"/>
    <s v="Y"/>
    <s v="N"/>
    <s v="B030"/>
    <d v="2016-11-28T00:00:00"/>
    <s v="10"/>
    <s v="TAN"/>
    <s v="OR"/>
    <d v="2016-11-21T00:00:00"/>
    <s v="MN"/>
    <s v="US"/>
    <s v="ZR"/>
    <d v="2016-11-22T00:00:00"/>
  </r>
  <r>
    <x v="1"/>
    <x v="7"/>
    <x v="1884"/>
    <x v="36"/>
    <s v="Standard order"/>
    <x v="1772"/>
    <x v="1765"/>
    <s v="8337"/>
    <s v="BTS 8337"/>
    <s v="5002795"/>
    <s v="8337 BTS T35 PB SYSTIVA RP"/>
    <n v="192"/>
    <n v="0"/>
    <n v="192"/>
    <x v="7"/>
    <s v="DHMC"/>
    <s v="RP"/>
    <s v="333"/>
    <s v="4.0 UN"/>
    <s v="STANDARD"/>
    <s v="N"/>
    <s v="Y"/>
    <s v="N"/>
    <s v="T35"/>
    <s v="Y"/>
    <s v="N"/>
    <s v="Y"/>
    <s v="N"/>
    <s v="B027"/>
    <d v="2016-11-28T00:00:00"/>
    <s v="10"/>
    <s v="TAN"/>
    <s v="OR"/>
    <d v="2016-11-22T00:00:00"/>
    <s v="MN"/>
    <s v="US"/>
    <s v="ZR"/>
    <d v="2016-11-22T00:00:00"/>
  </r>
  <r>
    <x v="1"/>
    <x v="7"/>
    <x v="1884"/>
    <x v="36"/>
    <s v="Standard order"/>
    <x v="1772"/>
    <x v="1765"/>
    <s v="8500"/>
    <s v="BTS 8500"/>
    <s v="5002856"/>
    <s v="8500 BTS T35 PB SYSTIVA RP"/>
    <n v="192"/>
    <n v="0"/>
    <n v="192"/>
    <x v="7"/>
    <s v="FTND"/>
    <s v="RP"/>
    <s v="333"/>
    <s v="4.0 UN"/>
    <s v="STANDARD"/>
    <s v="N"/>
    <s v="Y"/>
    <s v="N"/>
    <s v="T35"/>
    <s v="Y"/>
    <s v="N"/>
    <s v="Y"/>
    <s v="N"/>
    <s v="B027"/>
    <d v="2016-11-28T00:00:00"/>
    <s v="20"/>
    <s v="TAN"/>
    <s v="OR"/>
    <d v="2016-11-22T00:00:00"/>
    <s v="MN"/>
    <s v="US"/>
    <s v="ZR"/>
    <d v="2016-11-22T00:00:00"/>
  </r>
  <r>
    <x v="1"/>
    <x v="7"/>
    <x v="1885"/>
    <x v="31"/>
    <s v="Standard order"/>
    <x v="1773"/>
    <x v="1766"/>
    <s v="8052"/>
    <s v="BTS 80RR52"/>
    <s v="5002734"/>
    <s v="8052 BTS T35 PB SYSTIVA P200"/>
    <n v="96"/>
    <n v="0"/>
    <n v="96"/>
    <x v="7"/>
    <s v="AP82"/>
    <s v="PRO 200"/>
    <s v="333"/>
    <s v="4.0 UN"/>
    <s v="STANDARD"/>
    <s v="N"/>
    <s v="Y"/>
    <s v="N"/>
    <s v="T35"/>
    <s v="Y"/>
    <s v="N"/>
    <s v="Y"/>
    <s v="N"/>
    <s v="B028"/>
    <d v="2016-11-28T00:00:00"/>
    <s v="10"/>
    <s v="TAN"/>
    <s v="OR"/>
    <d v="2016-11-21T00:00:00"/>
    <s v="MN"/>
    <s v="US"/>
    <s v="ZR"/>
    <d v="2016-11-22T00:00:00"/>
  </r>
  <r>
    <x v="1"/>
    <x v="7"/>
    <x v="1885"/>
    <x v="31"/>
    <s v="Standard order"/>
    <x v="1773"/>
    <x v="1766"/>
    <s v="8512"/>
    <s v="BTS 8512"/>
    <s v="5002875"/>
    <s v="8512 BTS T35 PB SYSTIVA P200"/>
    <n v="48"/>
    <n v="0"/>
    <n v="48"/>
    <x v="7"/>
    <s v="FX73"/>
    <s v="PRO 200"/>
    <s v="333"/>
    <s v="4.0 UN"/>
    <s v="STANDARD"/>
    <s v="N"/>
    <s v="Y"/>
    <s v="N"/>
    <s v="T35"/>
    <s v="Y"/>
    <s v="N"/>
    <s v="Y"/>
    <s v="N"/>
    <s v="B028"/>
    <d v="2016-11-28T00:00:00"/>
    <s v="20"/>
    <s v="TAN"/>
    <s v="OR"/>
    <d v="2016-11-21T00:00:00"/>
    <s v="MN"/>
    <s v="US"/>
    <s v="ZR"/>
    <d v="2016-11-22T00:00:00"/>
  </r>
  <r>
    <x v="1"/>
    <x v="7"/>
    <x v="1886"/>
    <x v="31"/>
    <s v="Standard order"/>
    <x v="1774"/>
    <x v="1767"/>
    <s v="8512"/>
    <s v="BTS 8512"/>
    <s v="5002876"/>
    <s v="8512 BTS T35 PB SYSTIVA RP"/>
    <n v="96"/>
    <n v="0"/>
    <n v="96"/>
    <x v="7"/>
    <s v="FX73"/>
    <s v="RP"/>
    <s v="333"/>
    <s v="4.0 UN"/>
    <s v="STANDARD"/>
    <s v="N"/>
    <s v="Y"/>
    <s v="N"/>
    <s v="T35"/>
    <s v="Y"/>
    <s v="N"/>
    <s v="Y"/>
    <s v="N"/>
    <s v="B028"/>
    <d v="2016-11-28T00:00:00"/>
    <s v="10"/>
    <s v="TAN"/>
    <s v="OR"/>
    <d v="2016-11-21T00:00:00"/>
    <s v="MN"/>
    <s v="US"/>
    <s v="ZR"/>
    <d v="2016-11-22T00:00:00"/>
  </r>
  <r>
    <x v="1"/>
    <x v="7"/>
    <x v="1887"/>
    <x v="31"/>
    <s v="Standard order"/>
    <x v="1775"/>
    <x v="1768"/>
    <s v="8052"/>
    <s v="BTS 80RR52"/>
    <s v="5002735"/>
    <s v="8052 BTS T35 PB SYSTIVA RP"/>
    <n v="96"/>
    <n v="0"/>
    <n v="96"/>
    <x v="7"/>
    <s v="AP82"/>
    <s v="RP"/>
    <s v="333"/>
    <s v="4.0 UN"/>
    <s v="STANDARD"/>
    <s v="N"/>
    <s v="Y"/>
    <s v="N"/>
    <s v="T35"/>
    <s v="Y"/>
    <s v="N"/>
    <s v="Y"/>
    <s v="N"/>
    <s v="B028"/>
    <d v="2016-11-28T00:00:00"/>
    <s v="10"/>
    <s v="TAN"/>
    <s v="OR"/>
    <d v="2016-11-21T00:00:00"/>
    <s v="MN"/>
    <s v="US"/>
    <s v="ZR"/>
    <d v="2016-11-22T00:00:00"/>
  </r>
  <r>
    <x v="1"/>
    <x v="7"/>
    <x v="1888"/>
    <x v="36"/>
    <s v="Standard order"/>
    <x v="1776"/>
    <x v="1769"/>
    <s v="8500"/>
    <s v="BTS 8500"/>
    <s v="5002860"/>
    <s v="8500 BTS T35 SYSTIVA RP"/>
    <n v="32"/>
    <n v="0"/>
    <n v="32"/>
    <x v="7"/>
    <s v="FTND"/>
    <s v="RP"/>
    <s v="334"/>
    <s v="4.0 UN"/>
    <s v="STANDARD"/>
    <s v="N"/>
    <s v="N"/>
    <s v="N"/>
    <s v="T35"/>
    <s v="Y"/>
    <s v="N"/>
    <s v="Y"/>
    <s v="N"/>
    <s v="B027"/>
    <d v="2016-11-28T00:00:00"/>
    <s v="10"/>
    <s v="TAN"/>
    <s v="OR"/>
    <d v="2016-11-21T00:00:00"/>
    <s v="MN"/>
    <s v="US"/>
    <s v="ZR"/>
    <d v="2016-11-22T00:00:00"/>
  </r>
  <r>
    <x v="1"/>
    <x v="7"/>
    <x v="1889"/>
    <x v="41"/>
    <s v="Standard order"/>
    <x v="1777"/>
    <x v="1770"/>
    <s v="8363"/>
    <s v="BTS 8363"/>
    <s v="5002815"/>
    <s v="8363 BTS T35 PB SYSTIVA P200"/>
    <n v="100"/>
    <n v="0"/>
    <n v="100"/>
    <x v="7"/>
    <s v="DMMZ"/>
    <s v="PRO 200"/>
    <s v="333"/>
    <s v="4.0 UN"/>
    <s v="STANDARD"/>
    <s v="N"/>
    <s v="Y"/>
    <s v="N"/>
    <s v="T35"/>
    <s v="Y"/>
    <s v="N"/>
    <s v="Y"/>
    <s v="N"/>
    <s v="B032"/>
    <d v="2016-11-28T00:00:00"/>
    <s v="10"/>
    <s v="TAN"/>
    <s v="OR"/>
    <d v="2016-11-21T00:00:00"/>
    <s v="ND"/>
    <s v="US"/>
    <s v="ZR"/>
    <d v="2016-11-22T00:00:00"/>
  </r>
  <r>
    <x v="1"/>
    <x v="7"/>
    <x v="1889"/>
    <x v="41"/>
    <s v="Standard order"/>
    <x v="1777"/>
    <x v="1770"/>
    <s v="8500"/>
    <s v="BTS 8500"/>
    <s v="5002855"/>
    <s v="8500 BTS T35 PB SYSTIVA P200"/>
    <n v="100"/>
    <n v="0"/>
    <n v="100"/>
    <x v="7"/>
    <s v="FTND"/>
    <s v="PRO 200"/>
    <s v="333"/>
    <s v="4.0 UN"/>
    <s v="STANDARD"/>
    <s v="N"/>
    <s v="Y"/>
    <s v="N"/>
    <s v="T35"/>
    <s v="Y"/>
    <s v="N"/>
    <s v="Y"/>
    <s v="N"/>
    <s v="B032"/>
    <d v="2016-11-28T00:00:00"/>
    <s v="20"/>
    <s v="TAN"/>
    <s v="OR"/>
    <d v="2016-11-21T00:00:00"/>
    <s v="ND"/>
    <s v="US"/>
    <s v="ZR"/>
    <d v="2016-11-22T00:00:00"/>
  </r>
  <r>
    <x v="1"/>
    <x v="7"/>
    <x v="1889"/>
    <x v="41"/>
    <s v="Standard order"/>
    <x v="1777"/>
    <x v="1770"/>
    <s v="8512"/>
    <s v="BTS 8512"/>
    <s v="5002875"/>
    <s v="8512 BTS T35 PB SYSTIVA P200"/>
    <n v="100"/>
    <n v="0"/>
    <n v="100"/>
    <x v="7"/>
    <s v="FX73"/>
    <s v="PRO 200"/>
    <s v="333"/>
    <s v="4.0 UN"/>
    <s v="STANDARD"/>
    <s v="N"/>
    <s v="Y"/>
    <s v="N"/>
    <s v="T35"/>
    <s v="Y"/>
    <s v="N"/>
    <s v="Y"/>
    <s v="N"/>
    <s v="B032"/>
    <d v="2016-11-28T00:00:00"/>
    <s v="30"/>
    <s v="TAN"/>
    <s v="OR"/>
    <d v="2016-11-21T00:00:00"/>
    <s v="ND"/>
    <s v="US"/>
    <s v="ZR"/>
    <d v="2016-11-22T00:00:00"/>
  </r>
  <r>
    <x v="1"/>
    <x v="7"/>
    <x v="1890"/>
    <x v="41"/>
    <s v="Standard order"/>
    <x v="1778"/>
    <x v="1771"/>
    <s v="8052"/>
    <s v="BTS 80RR52"/>
    <s v="5002735"/>
    <s v="8052 BTS T35 PB SYSTIVA RP"/>
    <n v="128"/>
    <n v="0"/>
    <n v="128"/>
    <x v="7"/>
    <s v="AP82"/>
    <s v="RP"/>
    <s v="333"/>
    <s v="4.0 UN"/>
    <s v="STANDARD"/>
    <s v="N"/>
    <s v="Y"/>
    <s v="N"/>
    <s v="T35"/>
    <s v="Y"/>
    <s v="N"/>
    <s v="Y"/>
    <s v="N"/>
    <s v="B032"/>
    <d v="2016-11-28T00:00:00"/>
    <s v="10"/>
    <s v="TAN"/>
    <s v="OR"/>
    <d v="2016-11-21T00:00:00"/>
    <s v="MN"/>
    <s v="US"/>
    <s v="ZR"/>
    <d v="2016-11-22T00:00:00"/>
  </r>
  <r>
    <x v="1"/>
    <x v="7"/>
    <x v="1890"/>
    <x v="41"/>
    <s v="Standard order"/>
    <x v="1778"/>
    <x v="1771"/>
    <s v="8363"/>
    <s v="BTS 8363"/>
    <s v="5002816"/>
    <s v="8363 BTS T35 PB SYSTIVA RP"/>
    <n v="96"/>
    <n v="0"/>
    <n v="96"/>
    <x v="7"/>
    <s v="DMMZ"/>
    <s v="RP"/>
    <s v="333"/>
    <s v="4.0 UN"/>
    <s v="STANDARD"/>
    <s v="N"/>
    <s v="Y"/>
    <s v="N"/>
    <s v="T35"/>
    <s v="Y"/>
    <s v="N"/>
    <s v="Y"/>
    <s v="N"/>
    <s v="B032"/>
    <d v="2016-11-28T00:00:00"/>
    <s v="20"/>
    <s v="TAN"/>
    <s v="OR"/>
    <d v="2016-11-21T00:00:00"/>
    <s v="MN"/>
    <s v="US"/>
    <s v="ZR"/>
    <d v="2016-11-22T00:00:00"/>
  </r>
  <r>
    <x v="1"/>
    <x v="7"/>
    <x v="1891"/>
    <x v="36"/>
    <s v="Standard order"/>
    <x v="1779"/>
    <x v="1772"/>
    <s v="8052"/>
    <s v="BTS 80RR52"/>
    <s v="5002735"/>
    <s v="8052 BTS T35 PB SYSTIVA RP"/>
    <n v="96"/>
    <n v="0"/>
    <n v="96"/>
    <x v="7"/>
    <s v="AP82"/>
    <s v="RP"/>
    <s v="333"/>
    <s v="4.0 UN"/>
    <s v="STANDARD"/>
    <s v="N"/>
    <s v="Y"/>
    <s v="N"/>
    <s v="T35"/>
    <s v="Y"/>
    <s v="N"/>
    <s v="Y"/>
    <s v="N"/>
    <s v="B027"/>
    <d v="2016-11-28T00:00:00"/>
    <s v="10"/>
    <s v="TAN"/>
    <s v="OR"/>
    <d v="2016-11-22T00:00:00"/>
    <s v="ND"/>
    <s v="US"/>
    <s v="ZR"/>
    <d v="2016-11-22T00:00:00"/>
  </r>
  <r>
    <x v="1"/>
    <x v="7"/>
    <x v="1891"/>
    <x v="36"/>
    <s v="Standard order"/>
    <x v="1779"/>
    <x v="1772"/>
    <s v="8500"/>
    <s v="BTS 8500"/>
    <s v="5002856"/>
    <s v="8500 BTS T35 PB SYSTIVA RP"/>
    <n v="96"/>
    <n v="0"/>
    <n v="96"/>
    <x v="7"/>
    <s v="FTND"/>
    <s v="RP"/>
    <s v="333"/>
    <s v="4.0 UN"/>
    <s v="STANDARD"/>
    <s v="N"/>
    <s v="Y"/>
    <s v="N"/>
    <s v="T35"/>
    <s v="Y"/>
    <s v="N"/>
    <s v="Y"/>
    <s v="N"/>
    <s v="B027"/>
    <d v="2016-11-28T00:00:00"/>
    <s v="20"/>
    <s v="TAN"/>
    <s v="OR"/>
    <d v="2016-11-22T00:00:00"/>
    <s v="ND"/>
    <s v="US"/>
    <s v="ZR"/>
    <d v="2016-11-22T00:00:00"/>
  </r>
  <r>
    <x v="1"/>
    <x v="7"/>
    <x v="1892"/>
    <x v="36"/>
    <s v="Standard order"/>
    <x v="1780"/>
    <x v="1773"/>
    <s v="8052"/>
    <s v="BTS 80RR52"/>
    <s v="5002735"/>
    <s v="8052 BTS T35 PB SYSTIVA RP"/>
    <n v="80"/>
    <n v="0"/>
    <n v="80"/>
    <x v="7"/>
    <s v="AP82"/>
    <s v="RP"/>
    <s v="333"/>
    <s v="4.0 UN"/>
    <s v="STANDARD"/>
    <s v="N"/>
    <s v="Y"/>
    <s v="N"/>
    <s v="T35"/>
    <s v="Y"/>
    <s v="N"/>
    <s v="Y"/>
    <s v="N"/>
    <s v="B027"/>
    <d v="2016-11-28T00:00:00"/>
    <s v="10"/>
    <s v="TAN"/>
    <s v="OR"/>
    <d v="2016-11-22T00:00:00"/>
    <s v="MN"/>
    <s v="US"/>
    <s v="ZR"/>
    <d v="2016-11-22T00:00:00"/>
  </r>
  <r>
    <x v="1"/>
    <x v="7"/>
    <x v="1892"/>
    <x v="36"/>
    <s v="Standard order"/>
    <x v="1780"/>
    <x v="1773"/>
    <s v="8500"/>
    <s v="BTS 8500"/>
    <s v="5002860"/>
    <s v="8500 BTS T35 SYSTIVA RP"/>
    <n v="48"/>
    <n v="0"/>
    <n v="48"/>
    <x v="7"/>
    <s v="FTND"/>
    <s v="RP"/>
    <s v="334"/>
    <s v="4.0 UN"/>
    <s v="STANDARD"/>
    <s v="N"/>
    <s v="N"/>
    <s v="N"/>
    <s v="T35"/>
    <s v="Y"/>
    <s v="N"/>
    <s v="Y"/>
    <s v="N"/>
    <s v="B027"/>
    <d v="2016-11-28T00:00:00"/>
    <s v="20"/>
    <s v="TAN"/>
    <s v="OR"/>
    <d v="2016-11-22T00:00:00"/>
    <s v="MN"/>
    <s v="US"/>
    <s v="ZR"/>
    <d v="2016-11-22T00:00:00"/>
  </r>
  <r>
    <x v="1"/>
    <x v="7"/>
    <x v="1893"/>
    <x v="36"/>
    <s v="Standard order"/>
    <x v="1781"/>
    <x v="1774"/>
    <s v="8337"/>
    <s v="BTS 8337"/>
    <s v="5002798"/>
    <s v="8337 BTS T35 SYSTIVA P200"/>
    <n v="72"/>
    <n v="0"/>
    <n v="72"/>
    <x v="7"/>
    <s v="DHMC"/>
    <s v="PRO 200"/>
    <s v="334"/>
    <s v="4.0 UN"/>
    <s v="STANDARD"/>
    <s v="N"/>
    <s v="N"/>
    <s v="N"/>
    <s v="T35"/>
    <s v="Y"/>
    <s v="N"/>
    <s v="Y"/>
    <s v="N"/>
    <s v="B027"/>
    <d v="2016-11-28T00:00:00"/>
    <s v="10"/>
    <s v="TAN"/>
    <s v="OR"/>
    <d v="2016-11-22T00:00:00"/>
    <s v="MN"/>
    <s v="US"/>
    <s v="ZR"/>
    <d v="2016-11-22T00:00:00"/>
  </r>
  <r>
    <x v="1"/>
    <x v="7"/>
    <x v="1893"/>
    <x v="36"/>
    <s v="Standard order"/>
    <x v="1781"/>
    <x v="1774"/>
    <s v="8337"/>
    <s v="BTS 8337"/>
    <s v="5002799"/>
    <s v="8337 BTS T35 SYSTIVA RP"/>
    <n v="24"/>
    <n v="0"/>
    <n v="24"/>
    <x v="7"/>
    <s v="DHMC"/>
    <s v="RP"/>
    <s v="334"/>
    <s v="4.0 UN"/>
    <s v="STANDARD"/>
    <s v="N"/>
    <s v="N"/>
    <s v="N"/>
    <s v="T35"/>
    <s v="Y"/>
    <s v="N"/>
    <s v="Y"/>
    <s v="N"/>
    <s v="B027"/>
    <d v="2016-11-28T00:00:00"/>
    <s v="20"/>
    <s v="TAN"/>
    <s v="OR"/>
    <d v="2016-11-22T00:00:00"/>
    <s v="MN"/>
    <s v="US"/>
    <s v="ZR"/>
    <d v="2016-11-22T00:00:00"/>
  </r>
  <r>
    <x v="1"/>
    <x v="7"/>
    <x v="1894"/>
    <x v="37"/>
    <s v="Standard order"/>
    <x v="1782"/>
    <x v="1775"/>
    <s v="8524"/>
    <s v="BTS 8524"/>
    <s v="5002883"/>
    <s v="8524 BTS T20 PB SYSTIVA MP"/>
    <n v="48"/>
    <n v="0"/>
    <n v="48"/>
    <x v="7"/>
    <s v="FWND"/>
    <s v="MP"/>
    <s v="322"/>
    <s v="4.0 UN"/>
    <s v="STANDARD"/>
    <s v="N"/>
    <s v="N"/>
    <s v="N"/>
    <s v="T20"/>
    <s v="Y"/>
    <s v="N"/>
    <s v="Y"/>
    <s v="N"/>
    <s v="B033"/>
    <d v="2016-11-29T00:00:00"/>
    <s v="10"/>
    <s v="TAN"/>
    <s v="OR"/>
    <d v="2016-11-22T00:00:00"/>
    <s v="ND"/>
    <s v="US"/>
    <s v="ZR"/>
    <d v="2016-11-23T00:00:00"/>
  </r>
  <r>
    <x v="1"/>
    <x v="7"/>
    <x v="1894"/>
    <x v="37"/>
    <s v="Standard order"/>
    <x v="1782"/>
    <x v="1775"/>
    <s v="8052"/>
    <s v="BTS 80RR52"/>
    <s v="5002722"/>
    <s v="8052 BTS T20 PB SYSTIVA MP"/>
    <n v="36"/>
    <n v="0"/>
    <n v="36"/>
    <x v="7"/>
    <s v="AP82"/>
    <s v="MP"/>
    <s v="322"/>
    <s v="4.0 UN"/>
    <s v="STANDARD"/>
    <s v="N"/>
    <s v="N"/>
    <s v="N"/>
    <s v="T20"/>
    <s v="Y"/>
    <s v="N"/>
    <s v="Y"/>
    <s v="N"/>
    <s v="B033"/>
    <d v="2016-11-29T00:00:00"/>
    <s v="20"/>
    <s v="TAN"/>
    <s v="OR"/>
    <d v="2016-11-22T00:00:00"/>
    <s v="ND"/>
    <s v="US"/>
    <s v="ZR"/>
    <d v="2016-11-23T00:00:00"/>
  </r>
  <r>
    <x v="1"/>
    <x v="7"/>
    <x v="1895"/>
    <x v="33"/>
    <s v="Standard order"/>
    <x v="1783"/>
    <x v="1776"/>
    <s v="8052"/>
    <s v="BTS 80RR52"/>
    <s v="5002735"/>
    <s v="8052 BTS T35 PB SYSTIVA RP"/>
    <n v="24"/>
    <n v="0"/>
    <n v="24"/>
    <x v="7"/>
    <s v="AP82"/>
    <s v="RP"/>
    <s v="333"/>
    <s v="4.0 UN"/>
    <s v="STANDARD"/>
    <s v="N"/>
    <s v="Y"/>
    <s v="N"/>
    <s v="T35"/>
    <s v="Y"/>
    <s v="N"/>
    <s v="Y"/>
    <s v="N"/>
    <s v="B026"/>
    <d v="2016-11-29T00:00:00"/>
    <s v="10"/>
    <s v="TAN"/>
    <s v="OR"/>
    <d v="2016-11-22T00:00:00"/>
    <s v="ND"/>
    <s v="US"/>
    <s v="ZR"/>
    <d v="2016-11-23T00:00:00"/>
  </r>
  <r>
    <x v="1"/>
    <x v="7"/>
    <x v="1895"/>
    <x v="33"/>
    <s v="Standard order"/>
    <x v="1783"/>
    <x v="1776"/>
    <s v="8337"/>
    <s v="BTS 8337"/>
    <s v="5002795"/>
    <s v="8337 BTS T35 PB SYSTIVA RP"/>
    <n v="24"/>
    <n v="0"/>
    <n v="24"/>
    <x v="7"/>
    <s v="DHMC"/>
    <s v="RP"/>
    <s v="333"/>
    <s v="4.0 UN"/>
    <s v="STANDARD"/>
    <s v="N"/>
    <s v="Y"/>
    <s v="N"/>
    <s v="T35"/>
    <s v="Y"/>
    <s v="N"/>
    <s v="Y"/>
    <s v="N"/>
    <s v="B026"/>
    <d v="2016-11-29T00:00:00"/>
    <s v="20"/>
    <s v="TAN"/>
    <s v="OR"/>
    <d v="2016-11-22T00:00:00"/>
    <s v="ND"/>
    <s v="US"/>
    <s v="ZR"/>
    <d v="2016-11-23T00:00:00"/>
  </r>
  <r>
    <x v="1"/>
    <x v="7"/>
    <x v="1895"/>
    <x v="33"/>
    <s v="Standard order"/>
    <x v="1783"/>
    <x v="1776"/>
    <s v="8524"/>
    <s v="BTS 8524"/>
    <s v="5002896"/>
    <s v="8524 BTS T35 PB SYSTIVA RP"/>
    <n v="24"/>
    <n v="0"/>
    <n v="24"/>
    <x v="7"/>
    <s v="FWND"/>
    <s v="RP"/>
    <s v="333"/>
    <s v="4.0 UN"/>
    <s v="STANDARD"/>
    <s v="N"/>
    <s v="Y"/>
    <s v="N"/>
    <s v="T35"/>
    <s v="Y"/>
    <s v="N"/>
    <s v="Y"/>
    <s v="N"/>
    <s v="B026"/>
    <d v="2016-11-29T00:00:00"/>
    <s v="30"/>
    <s v="TAN"/>
    <s v="OR"/>
    <d v="2016-11-22T00:00:00"/>
    <s v="ND"/>
    <s v="US"/>
    <s v="ZR"/>
    <d v="2016-11-23T00:00:00"/>
  </r>
  <r>
    <x v="1"/>
    <x v="7"/>
    <x v="1896"/>
    <x v="33"/>
    <s v="Standard order"/>
    <x v="1784"/>
    <x v="1777"/>
    <s v="8337"/>
    <s v="BTS 8337"/>
    <s v="5002795"/>
    <s v="8337 BTS T35 PB SYSTIVA RP"/>
    <n v="72"/>
    <n v="0"/>
    <n v="72"/>
    <x v="7"/>
    <s v="DHMC"/>
    <s v="RP"/>
    <s v="333"/>
    <s v="4.0 UN"/>
    <s v="STANDARD"/>
    <s v="N"/>
    <s v="Y"/>
    <s v="N"/>
    <s v="T35"/>
    <s v="Y"/>
    <s v="N"/>
    <s v="Y"/>
    <s v="N"/>
    <s v="B026"/>
    <d v="2016-11-29T00:00:00"/>
    <s v="20"/>
    <s v="TAN"/>
    <s v="OR"/>
    <d v="2016-11-22T00:00:00"/>
    <s v="MN"/>
    <s v="US"/>
    <s v="ZR"/>
    <d v="2016-11-23T00:00:00"/>
  </r>
  <r>
    <x v="1"/>
    <x v="7"/>
    <x v="1896"/>
    <x v="33"/>
    <s v="Standard order"/>
    <x v="1784"/>
    <x v="1777"/>
    <s v="8052"/>
    <s v="BTS 80RR52"/>
    <s v="5002735"/>
    <s v="8052 BTS T35 PB SYSTIVA RP"/>
    <n v="72"/>
    <n v="0"/>
    <n v="72"/>
    <x v="7"/>
    <s v="AP82"/>
    <s v="RP"/>
    <s v="333"/>
    <s v="4.0 UN"/>
    <s v="STANDARD"/>
    <s v="N"/>
    <s v="Y"/>
    <s v="N"/>
    <s v="T35"/>
    <s v="Y"/>
    <s v="N"/>
    <s v="Y"/>
    <s v="N"/>
    <s v="B026"/>
    <d v="2016-11-29T00:00:00"/>
    <s v="10"/>
    <s v="TAN"/>
    <s v="OR"/>
    <d v="2016-11-22T00:00:00"/>
    <s v="MN"/>
    <s v="US"/>
    <s v="ZR"/>
    <d v="2016-11-23T00:00:00"/>
  </r>
  <r>
    <x v="1"/>
    <x v="7"/>
    <x v="1897"/>
    <x v="31"/>
    <s v="Standard order"/>
    <x v="1785"/>
    <x v="1778"/>
    <s v="8052"/>
    <s v="BTS 80RR52"/>
    <s v="5002735"/>
    <s v="8052 BTS T35 PB SYSTIVA RP"/>
    <n v="96"/>
    <n v="0"/>
    <n v="96"/>
    <x v="7"/>
    <s v="AP82"/>
    <s v="RP"/>
    <s v="333"/>
    <s v="4.0 UN"/>
    <s v="STANDARD"/>
    <s v="N"/>
    <s v="Y"/>
    <s v="N"/>
    <s v="T35"/>
    <s v="Y"/>
    <s v="N"/>
    <s v="Y"/>
    <s v="N"/>
    <s v="B028"/>
    <d v="2016-11-29T00:00:00"/>
    <s v="10"/>
    <s v="TAN"/>
    <s v="OR"/>
    <d v="2016-11-22T00:00:00"/>
    <s v="ND"/>
    <s v="US"/>
    <s v="ZR"/>
    <d v="2016-11-23T00:00:00"/>
  </r>
  <r>
    <x v="1"/>
    <x v="7"/>
    <x v="1897"/>
    <x v="31"/>
    <s v="Standard order"/>
    <x v="1785"/>
    <x v="1778"/>
    <s v="8512"/>
    <s v="BTS 8512"/>
    <s v="5002876"/>
    <s v="8512 BTS T35 PB SYSTIVA RP"/>
    <n v="96"/>
    <n v="0"/>
    <n v="96"/>
    <x v="7"/>
    <s v="FX73"/>
    <s v="RP"/>
    <s v="333"/>
    <s v="4.0 UN"/>
    <s v="STANDARD"/>
    <s v="N"/>
    <s v="Y"/>
    <s v="N"/>
    <s v="T35"/>
    <s v="Y"/>
    <s v="N"/>
    <s v="Y"/>
    <s v="N"/>
    <s v="B028"/>
    <d v="2016-11-29T00:00:00"/>
    <s v="20"/>
    <s v="TAN"/>
    <s v="OR"/>
    <d v="2016-11-22T00:00:00"/>
    <s v="ND"/>
    <s v="US"/>
    <s v="ZR"/>
    <d v="2016-11-23T00:00:00"/>
  </r>
  <r>
    <x v="1"/>
    <x v="7"/>
    <x v="1898"/>
    <x v="41"/>
    <s v="Standard order"/>
    <x v="1786"/>
    <x v="1779"/>
    <s v="8052"/>
    <s v="BTS 80RR52"/>
    <s v="5002734"/>
    <s v="8052 BTS T35 PB SYSTIVA P200"/>
    <n v="84"/>
    <n v="0"/>
    <n v="84"/>
    <x v="7"/>
    <s v="AP82"/>
    <s v="PRO 200"/>
    <s v="333"/>
    <s v="4.0 UN"/>
    <s v="STANDARD"/>
    <s v="N"/>
    <s v="Y"/>
    <s v="N"/>
    <s v="T35"/>
    <s v="Y"/>
    <s v="N"/>
    <s v="Y"/>
    <s v="N"/>
    <s v="B032"/>
    <d v="2016-11-29T00:00:00"/>
    <s v="10"/>
    <s v="TAN"/>
    <s v="OR"/>
    <d v="2016-11-22T00:00:00"/>
    <s v="MN"/>
    <s v="US"/>
    <s v="ZR"/>
    <d v="2016-11-23T00:00:00"/>
  </r>
  <r>
    <x v="1"/>
    <x v="7"/>
    <x v="1898"/>
    <x v="41"/>
    <s v="Standard order"/>
    <x v="1786"/>
    <x v="1779"/>
    <s v="8512"/>
    <s v="BTS 8512"/>
    <s v="5002875"/>
    <s v="8512 BTS T35 PB SYSTIVA P200"/>
    <n v="84"/>
    <n v="0"/>
    <n v="84"/>
    <x v="7"/>
    <s v="FX73"/>
    <s v="PRO 200"/>
    <s v="333"/>
    <s v="4.0 UN"/>
    <s v="STANDARD"/>
    <s v="N"/>
    <s v="Y"/>
    <s v="N"/>
    <s v="T35"/>
    <s v="Y"/>
    <s v="N"/>
    <s v="Y"/>
    <s v="N"/>
    <s v="B032"/>
    <d v="2016-11-29T00:00:00"/>
    <s v="20"/>
    <s v="TAN"/>
    <s v="OR"/>
    <d v="2016-11-22T00:00:00"/>
    <s v="MN"/>
    <s v="US"/>
    <s v="ZR"/>
    <d v="2016-11-23T00:00:00"/>
  </r>
  <r>
    <x v="1"/>
    <x v="7"/>
    <x v="1899"/>
    <x v="39"/>
    <s v="Standard order"/>
    <x v="1787"/>
    <x v="1780"/>
    <s v="8500"/>
    <s v="BTS 8500"/>
    <s v="5002856"/>
    <s v="8500 BTS T35 PB SYSTIVA RP"/>
    <n v="64"/>
    <n v="0"/>
    <n v="64"/>
    <x v="7"/>
    <s v="FTND"/>
    <s v="RP"/>
    <s v="333"/>
    <s v="4.0 UN"/>
    <s v="STANDARD"/>
    <s v="N"/>
    <s v="Y"/>
    <s v="N"/>
    <s v="T35"/>
    <s v="Y"/>
    <s v="N"/>
    <s v="Y"/>
    <s v="N"/>
    <s v="B030"/>
    <d v="2016-11-29T00:00:00"/>
    <s v="10"/>
    <s v="TAN"/>
    <s v="OR"/>
    <d v="2016-11-23T00:00:00"/>
    <s v="MN"/>
    <s v="US"/>
    <s v="ZR"/>
    <d v="2016-11-23T00:00:00"/>
  </r>
  <r>
    <x v="1"/>
    <x v="7"/>
    <x v="1900"/>
    <x v="38"/>
    <s v="Standard order"/>
    <x v="1788"/>
    <x v="1781"/>
    <s v="8337"/>
    <s v="BTS 8337"/>
    <s v="5002799"/>
    <s v="8337 BTS T35 SYSTIVA RP"/>
    <n v="72"/>
    <n v="0"/>
    <n v="72"/>
    <x v="7"/>
    <s v="DHMC"/>
    <s v="RP"/>
    <s v="334"/>
    <s v="4.0 UN"/>
    <s v="STANDARD"/>
    <s v="N"/>
    <s v="N"/>
    <s v="N"/>
    <s v="T35"/>
    <s v="Y"/>
    <s v="N"/>
    <s v="Y"/>
    <s v="N"/>
    <s v="B031"/>
    <d v="2016-11-29T00:00:00"/>
    <s v="10"/>
    <s v="TAN"/>
    <s v="OR"/>
    <d v="2016-11-23T00:00:00"/>
    <s v="MN"/>
    <s v="US"/>
    <s v="ZR"/>
    <d v="2016-11-23T00:00:00"/>
  </r>
  <r>
    <x v="1"/>
    <x v="7"/>
    <x v="1900"/>
    <x v="38"/>
    <s v="Standard order"/>
    <x v="1788"/>
    <x v="1781"/>
    <s v="8524"/>
    <s v="BTS 8524"/>
    <s v="5002900"/>
    <s v="8524 BTS T35 SYSTIVA RP"/>
    <n v="84"/>
    <n v="0"/>
    <n v="84"/>
    <x v="7"/>
    <s v="FWND"/>
    <s v="RP"/>
    <s v="334"/>
    <s v="4.0 UN"/>
    <s v="STANDARD"/>
    <s v="N"/>
    <s v="N"/>
    <s v="N"/>
    <s v="T35"/>
    <s v="Y"/>
    <s v="N"/>
    <s v="Y"/>
    <s v="N"/>
    <s v="B031"/>
    <d v="2016-11-29T00:00:00"/>
    <s v="20"/>
    <s v="TAN"/>
    <s v="OR"/>
    <d v="2016-11-23T00:00:00"/>
    <s v="MN"/>
    <s v="US"/>
    <s v="ZR"/>
    <d v="2016-11-23T00:00:00"/>
  </r>
  <r>
    <x v="1"/>
    <x v="7"/>
    <x v="1901"/>
    <x v="38"/>
    <s v="Standard order"/>
    <x v="1789"/>
    <x v="1782"/>
    <s v="8363"/>
    <s v="BTS 8363"/>
    <s v="5002816"/>
    <s v="8363 BTS T35 PB SYSTIVA RP"/>
    <n v="152"/>
    <n v="0"/>
    <n v="152"/>
    <x v="7"/>
    <s v="DMMZ"/>
    <s v="RP"/>
    <s v="333"/>
    <s v="4.0 UN"/>
    <s v="STANDARD"/>
    <s v="N"/>
    <s v="Y"/>
    <s v="N"/>
    <s v="T35"/>
    <s v="Y"/>
    <s v="N"/>
    <s v="Y"/>
    <s v="N"/>
    <s v="B031"/>
    <d v="2016-11-29T00:00:00"/>
    <s v="10"/>
    <s v="TAN"/>
    <s v="OR"/>
    <d v="2016-11-23T00:00:00"/>
    <s v="MN"/>
    <s v="US"/>
    <s v="ZR"/>
    <d v="2016-11-23T00:00:00"/>
  </r>
  <r>
    <x v="1"/>
    <x v="7"/>
    <x v="1901"/>
    <x v="38"/>
    <s v="Standard order"/>
    <x v="1789"/>
    <x v="1782"/>
    <s v="8500"/>
    <s v="BTS 8500"/>
    <s v="5002856"/>
    <s v="8500 BTS T35 PB SYSTIVA RP"/>
    <n v="148"/>
    <n v="0"/>
    <n v="148"/>
    <x v="7"/>
    <s v="FTND"/>
    <s v="RP"/>
    <s v="333"/>
    <s v="4.0 UN"/>
    <s v="STANDARD"/>
    <s v="N"/>
    <s v="Y"/>
    <s v="N"/>
    <s v="T35"/>
    <s v="Y"/>
    <s v="N"/>
    <s v="Y"/>
    <s v="N"/>
    <s v="B031"/>
    <d v="2016-11-29T00:00:00"/>
    <s v="20"/>
    <s v="TAN"/>
    <s v="OR"/>
    <d v="2016-11-23T00:00:00"/>
    <s v="MN"/>
    <s v="US"/>
    <s v="ZR"/>
    <d v="2016-11-23T00:00:00"/>
  </r>
  <r>
    <x v="1"/>
    <x v="7"/>
    <x v="1902"/>
    <x v="33"/>
    <s v="Standard order"/>
    <x v="1790"/>
    <x v="1783"/>
    <s v="8337"/>
    <s v="BTS 8337"/>
    <s v="5002794"/>
    <s v="8337 BTS T35 PB SYSTIVA P200"/>
    <n v="40"/>
    <n v="0"/>
    <n v="40"/>
    <x v="7"/>
    <s v="DHMC"/>
    <s v="PRO 200"/>
    <s v="333"/>
    <s v="4.0 UN"/>
    <s v="STANDARD"/>
    <s v="N"/>
    <s v="Y"/>
    <s v="N"/>
    <s v="T35"/>
    <s v="Y"/>
    <s v="N"/>
    <s v="Y"/>
    <s v="N"/>
    <s v="B026"/>
    <d v="2016-11-29T00:00:00"/>
    <s v="10"/>
    <s v="TAN"/>
    <s v="OR"/>
    <d v="2016-11-23T00:00:00"/>
    <s v="MN"/>
    <s v="US"/>
    <s v="ZR"/>
    <d v="2016-11-23T00:00:00"/>
  </r>
  <r>
    <x v="1"/>
    <x v="7"/>
    <x v="1902"/>
    <x v="33"/>
    <s v="Standard order"/>
    <x v="1790"/>
    <x v="1783"/>
    <s v="8052"/>
    <s v="BTS 80RR52"/>
    <s v="5002734"/>
    <s v="8052 BTS T35 PB SYSTIVA P200"/>
    <n v="24"/>
    <n v="0"/>
    <n v="24"/>
    <x v="7"/>
    <s v="AP82"/>
    <s v="PRO 200"/>
    <s v="333"/>
    <s v="4.0 UN"/>
    <s v="STANDARD"/>
    <s v="N"/>
    <s v="Y"/>
    <s v="N"/>
    <s v="T35"/>
    <s v="Y"/>
    <s v="N"/>
    <s v="Y"/>
    <s v="N"/>
    <s v="B026"/>
    <d v="2016-11-29T00:00:00"/>
    <s v="20"/>
    <s v="TAN"/>
    <s v="OR"/>
    <d v="2016-11-23T00:00:00"/>
    <s v="MN"/>
    <s v="US"/>
    <s v="ZR"/>
    <d v="2016-11-23T00:00:00"/>
  </r>
  <r>
    <x v="1"/>
    <x v="7"/>
    <x v="1902"/>
    <x v="33"/>
    <s v="Standard order"/>
    <x v="1790"/>
    <x v="1783"/>
    <s v="8524"/>
    <s v="BTS 8524"/>
    <s v="5002895"/>
    <s v="8524 BTS T35 PB SYSTIVA P200"/>
    <n v="24"/>
    <n v="0"/>
    <n v="24"/>
    <x v="7"/>
    <s v="FWND"/>
    <s v="PRO 200"/>
    <s v="333"/>
    <s v="4.0 UN"/>
    <s v="STANDARD"/>
    <s v="N"/>
    <s v="Y"/>
    <s v="N"/>
    <s v="T35"/>
    <s v="Y"/>
    <s v="N"/>
    <s v="Y"/>
    <s v="N"/>
    <s v="B026"/>
    <d v="2016-11-29T00:00:00"/>
    <s v="30"/>
    <s v="TAN"/>
    <s v="OR"/>
    <d v="2016-11-23T00:00:00"/>
    <s v="MN"/>
    <s v="US"/>
    <s v="ZR"/>
    <d v="2016-11-23T00:00:00"/>
  </r>
  <r>
    <x v="1"/>
    <x v="7"/>
    <x v="1903"/>
    <x v="28"/>
    <s v="Standard order"/>
    <x v="1791"/>
    <x v="1784"/>
    <s v="8052"/>
    <s v="BTS 80RR52"/>
    <s v="5002735"/>
    <s v="8052 BTS T35 PB SYSTIVA RP"/>
    <n v="84"/>
    <n v="0"/>
    <n v="84"/>
    <x v="7"/>
    <s v="AP82"/>
    <s v="RP"/>
    <s v="333"/>
    <s v="4.0 UN"/>
    <s v="STANDARD"/>
    <s v="N"/>
    <s v="Y"/>
    <s v="N"/>
    <s v="T35"/>
    <s v="Y"/>
    <s v="N"/>
    <s v="Y"/>
    <s v="N"/>
    <s v="B056"/>
    <d v="2016-11-29T00:00:00"/>
    <s v="10"/>
    <s v="TAN"/>
    <s v="OR"/>
    <d v="2016-11-23T00:00:00"/>
    <s v="ND"/>
    <s v="US"/>
    <s v="ZR"/>
    <d v="2016-11-23T00:00:00"/>
  </r>
  <r>
    <x v="1"/>
    <x v="7"/>
    <x v="1903"/>
    <x v="28"/>
    <s v="Standard order"/>
    <x v="1791"/>
    <x v="1784"/>
    <s v="8337"/>
    <s v="BTS 8337"/>
    <s v="5002795"/>
    <s v="8337 BTS T35 PB SYSTIVA RP"/>
    <n v="24"/>
    <n v="0"/>
    <n v="24"/>
    <x v="7"/>
    <s v="DHMC"/>
    <s v="RP"/>
    <s v="333"/>
    <s v="4.0 UN"/>
    <s v="STANDARD"/>
    <s v="N"/>
    <s v="Y"/>
    <s v="N"/>
    <s v="T35"/>
    <s v="Y"/>
    <s v="N"/>
    <s v="Y"/>
    <s v="N"/>
    <s v="B056"/>
    <d v="2016-11-29T00:00:00"/>
    <s v="20"/>
    <s v="TAN"/>
    <s v="OR"/>
    <d v="2016-11-23T00:00:00"/>
    <s v="ND"/>
    <s v="US"/>
    <s v="ZR"/>
    <d v="2016-11-23T00:00:00"/>
  </r>
  <r>
    <x v="1"/>
    <x v="7"/>
    <x v="1904"/>
    <x v="37"/>
    <s v="Standard order"/>
    <x v="1792"/>
    <x v="1785"/>
    <s v="8052"/>
    <s v="BTS 80RR52"/>
    <s v="5002735"/>
    <s v="8052 BTS T35 PB SYSTIVA RP"/>
    <n v="96"/>
    <n v="0"/>
    <n v="96"/>
    <x v="7"/>
    <s v="AP82"/>
    <s v="RP"/>
    <s v="333"/>
    <s v="4.0 UN"/>
    <s v="STANDARD"/>
    <s v="N"/>
    <s v="Y"/>
    <s v="N"/>
    <s v="T35"/>
    <s v="Y"/>
    <s v="N"/>
    <s v="Y"/>
    <s v="N"/>
    <s v="B033"/>
    <d v="2016-11-29T00:00:00"/>
    <s v="10"/>
    <s v="TAN"/>
    <s v="OR"/>
    <d v="2016-11-22T00:00:00"/>
    <s v="MN"/>
    <s v="US"/>
    <s v="ZR"/>
    <d v="2016-11-23T00:00:00"/>
  </r>
  <r>
    <x v="1"/>
    <x v="7"/>
    <x v="1904"/>
    <x v="37"/>
    <s v="Standard order"/>
    <x v="1792"/>
    <x v="1785"/>
    <s v="8500"/>
    <s v="BTS 8500"/>
    <s v="5002856"/>
    <s v="8500 BTS T35 PB SYSTIVA RP"/>
    <n v="208"/>
    <n v="0"/>
    <n v="208"/>
    <x v="7"/>
    <s v="FTND"/>
    <s v="RP"/>
    <s v="333"/>
    <s v="4.0 UN"/>
    <s v="STANDARD"/>
    <s v="N"/>
    <s v="Y"/>
    <s v="N"/>
    <s v="T35"/>
    <s v="Y"/>
    <s v="N"/>
    <s v="Y"/>
    <s v="N"/>
    <s v="B033"/>
    <d v="2016-11-29T00:00:00"/>
    <s v="20"/>
    <s v="TAN"/>
    <s v="OR"/>
    <d v="2016-11-22T00:00:00"/>
    <s v="MN"/>
    <s v="US"/>
    <s v="ZR"/>
    <d v="2016-11-23T00:00:00"/>
  </r>
  <r>
    <x v="1"/>
    <x v="7"/>
    <x v="1905"/>
    <x v="37"/>
    <s v="Standard order"/>
    <x v="1793"/>
    <x v="1786"/>
    <s v="8500"/>
    <s v="BTS 8500"/>
    <s v="5002856"/>
    <s v="8500 BTS T35 PB SYSTIVA RP"/>
    <n v="208"/>
    <n v="0"/>
    <n v="208"/>
    <x v="7"/>
    <s v="FTND"/>
    <s v="RP"/>
    <s v="333"/>
    <s v="4.0 UN"/>
    <s v="STANDARD"/>
    <s v="N"/>
    <s v="Y"/>
    <s v="N"/>
    <s v="T35"/>
    <s v="Y"/>
    <s v="N"/>
    <s v="Y"/>
    <s v="N"/>
    <s v="B033"/>
    <d v="2016-11-29T00:00:00"/>
    <s v="10"/>
    <s v="TAN"/>
    <s v="OR"/>
    <d v="2016-11-22T00:00:00"/>
    <s v="MN"/>
    <s v="US"/>
    <s v="ZR"/>
    <d v="2016-11-23T00:00:00"/>
  </r>
  <r>
    <x v="1"/>
    <x v="7"/>
    <x v="1906"/>
    <x v="37"/>
    <s v="Standard order"/>
    <x v="1794"/>
    <x v="1787"/>
    <s v="8500"/>
    <s v="BTS 8500"/>
    <s v="5002856"/>
    <s v="8500 BTS T35 PB SYSTIVA RP"/>
    <n v="1200"/>
    <n v="0"/>
    <n v="1200"/>
    <x v="7"/>
    <s v="FTND"/>
    <s v="RP"/>
    <s v="333"/>
    <s v="4.0 UN"/>
    <s v="STANDARD"/>
    <s v="N"/>
    <s v="Y"/>
    <s v="N"/>
    <s v="T35"/>
    <s v="Y"/>
    <s v="N"/>
    <s v="Y"/>
    <s v="N"/>
    <s v="B033"/>
    <d v="2016-11-29T00:00:00"/>
    <s v="10"/>
    <s v="TAN"/>
    <s v="OR"/>
    <d v="2016-11-22T00:00:00"/>
    <s v="ND"/>
    <s v="US"/>
    <s v="ZR"/>
    <d v="2016-11-23T00:00:00"/>
  </r>
  <r>
    <x v="1"/>
    <x v="7"/>
    <x v="1907"/>
    <x v="37"/>
    <s v="Standard order"/>
    <x v="1795"/>
    <x v="1788"/>
    <s v="8500"/>
    <s v="BTS 8500"/>
    <s v="5002856"/>
    <s v="8500 BTS T35 PB SYSTIVA RP"/>
    <n v="100"/>
    <n v="0"/>
    <n v="100"/>
    <x v="7"/>
    <s v="FTND"/>
    <s v="RP"/>
    <s v="333"/>
    <s v="4.0 UN"/>
    <s v="STANDARD"/>
    <s v="N"/>
    <s v="Y"/>
    <s v="N"/>
    <s v="T35"/>
    <s v="Y"/>
    <s v="N"/>
    <s v="Y"/>
    <s v="N"/>
    <s v="B033"/>
    <d v="2016-11-29T00:00:00"/>
    <s v="10"/>
    <s v="TAN"/>
    <s v="OR"/>
    <d v="2016-11-22T00:00:00"/>
    <s v="MN"/>
    <s v="US"/>
    <s v="ZR"/>
    <d v="2016-11-23T00:00:00"/>
  </r>
  <r>
    <x v="1"/>
    <x v="7"/>
    <x v="1908"/>
    <x v="33"/>
    <s v="Standard order"/>
    <x v="1796"/>
    <x v="1789"/>
    <s v="8052"/>
    <s v="BTS 80RR52"/>
    <s v="5002734"/>
    <s v="8052 BTS T35 PB SYSTIVA P200"/>
    <n v="96"/>
    <n v="0"/>
    <n v="96"/>
    <x v="7"/>
    <s v="AP82"/>
    <s v="PRO 200"/>
    <s v="333"/>
    <s v="4.0 UN"/>
    <s v="STANDARD"/>
    <s v="N"/>
    <s v="Y"/>
    <s v="N"/>
    <s v="T35"/>
    <s v="Y"/>
    <s v="N"/>
    <s v="Y"/>
    <s v="N"/>
    <s v="B026"/>
    <d v="2016-11-29T00:00:00"/>
    <s v="10"/>
    <s v="TAN"/>
    <s v="OR"/>
    <d v="2016-11-22T00:00:00"/>
    <s v="MN"/>
    <s v="US"/>
    <s v="ZR"/>
    <d v="2016-11-23T00:00:00"/>
  </r>
  <r>
    <x v="1"/>
    <x v="7"/>
    <x v="1908"/>
    <x v="33"/>
    <s v="Standard order"/>
    <x v="1796"/>
    <x v="1789"/>
    <s v="8337"/>
    <s v="BTS 8337"/>
    <s v="5002794"/>
    <s v="8337 BTS T35 PB SYSTIVA P200"/>
    <n v="96"/>
    <n v="0"/>
    <n v="96"/>
    <x v="7"/>
    <s v="DHMC"/>
    <s v="PRO 200"/>
    <s v="333"/>
    <s v="4.0 UN"/>
    <s v="STANDARD"/>
    <s v="N"/>
    <s v="Y"/>
    <s v="N"/>
    <s v="T35"/>
    <s v="Y"/>
    <s v="N"/>
    <s v="Y"/>
    <s v="N"/>
    <s v="B026"/>
    <d v="2016-11-29T00:00:00"/>
    <s v="20"/>
    <s v="TAN"/>
    <s v="OR"/>
    <d v="2016-11-22T00:00:00"/>
    <s v="MN"/>
    <s v="US"/>
    <s v="ZR"/>
    <d v="2016-11-23T00:00:00"/>
  </r>
  <r>
    <x v="1"/>
    <x v="7"/>
    <x v="1908"/>
    <x v="33"/>
    <s v="Standard order"/>
    <x v="1796"/>
    <x v="1789"/>
    <s v="8500"/>
    <s v="BTS 8500"/>
    <s v="5002855"/>
    <s v="8500 BTS T35 PB SYSTIVA P200"/>
    <n v="48"/>
    <n v="0"/>
    <n v="48"/>
    <x v="7"/>
    <s v="FTND"/>
    <s v="PRO 200"/>
    <s v="333"/>
    <s v="4.0 UN"/>
    <s v="STANDARD"/>
    <s v="N"/>
    <s v="Y"/>
    <s v="N"/>
    <s v="T35"/>
    <s v="Y"/>
    <s v="N"/>
    <s v="Y"/>
    <s v="N"/>
    <s v="B026"/>
    <d v="2016-11-29T00:00:00"/>
    <s v="30"/>
    <s v="TAN"/>
    <s v="OR"/>
    <d v="2016-11-22T00:00:00"/>
    <s v="MN"/>
    <s v="US"/>
    <s v="ZR"/>
    <d v="2016-11-23T00:00:00"/>
  </r>
  <r>
    <x v="1"/>
    <x v="7"/>
    <x v="1908"/>
    <x v="33"/>
    <s v="Standard order"/>
    <x v="1796"/>
    <x v="1789"/>
    <s v="8524"/>
    <s v="BTS 8524"/>
    <s v="5002895"/>
    <s v="8524 BTS T35 PB SYSTIVA P200"/>
    <n v="96"/>
    <n v="0"/>
    <n v="96"/>
    <x v="7"/>
    <s v="FWND"/>
    <s v="PRO 200"/>
    <s v="333"/>
    <s v="4.0 UN"/>
    <s v="STANDARD"/>
    <s v="N"/>
    <s v="Y"/>
    <s v="N"/>
    <s v="T35"/>
    <s v="Y"/>
    <s v="N"/>
    <s v="Y"/>
    <s v="N"/>
    <s v="B026"/>
    <d v="2016-11-29T00:00:00"/>
    <s v="40"/>
    <s v="TAN"/>
    <s v="OR"/>
    <d v="2016-11-22T00:00:00"/>
    <s v="MN"/>
    <s v="US"/>
    <s v="ZR"/>
    <d v="2016-11-23T00:00:00"/>
  </r>
  <r>
    <x v="1"/>
    <x v="7"/>
    <x v="1909"/>
    <x v="37"/>
    <s v="Standard order"/>
    <x v="1797"/>
    <x v="1790"/>
    <s v="8363"/>
    <s v="BTS 8363"/>
    <s v="5002816"/>
    <s v="8363 BTS T35 PB SYSTIVA RP"/>
    <n v="100"/>
    <n v="0"/>
    <n v="100"/>
    <x v="7"/>
    <s v="DMMZ"/>
    <s v="RP"/>
    <s v="333"/>
    <s v="4.0 UN"/>
    <s v="STANDARD"/>
    <s v="N"/>
    <s v="Y"/>
    <s v="N"/>
    <s v="T35"/>
    <s v="Y"/>
    <s v="N"/>
    <s v="Y"/>
    <s v="N"/>
    <s v="B033"/>
    <d v="2016-11-29T00:00:00"/>
    <s v="10"/>
    <s v="TAN"/>
    <s v="OR"/>
    <d v="2016-11-22T00:00:00"/>
    <s v="MN"/>
    <s v="US"/>
    <s v="ZR"/>
    <d v="2016-11-23T00:00:00"/>
  </r>
  <r>
    <x v="1"/>
    <x v="7"/>
    <x v="1910"/>
    <x v="28"/>
    <s v="Standard order"/>
    <x v="1798"/>
    <x v="1791"/>
    <s v="8500"/>
    <s v="BTS 8500"/>
    <s v="5002855"/>
    <s v="8500 BTS T35 PB SYSTIVA P200"/>
    <n v="16"/>
    <n v="0"/>
    <n v="16"/>
    <x v="7"/>
    <s v="FTND"/>
    <s v="PRO 200"/>
    <s v="333"/>
    <s v="4.0 UN"/>
    <s v="STANDARD"/>
    <s v="N"/>
    <s v="Y"/>
    <s v="N"/>
    <s v="T35"/>
    <s v="Y"/>
    <s v="N"/>
    <s v="Y"/>
    <s v="N"/>
    <s v="B056"/>
    <d v="2016-11-29T00:00:00"/>
    <s v="10"/>
    <s v="TAN"/>
    <s v="OR"/>
    <d v="2016-11-23T00:00:00"/>
    <s v="ND"/>
    <s v="US"/>
    <s v="ZR"/>
    <d v="2016-11-23T00:00:00"/>
  </r>
  <r>
    <x v="1"/>
    <x v="7"/>
    <x v="1911"/>
    <x v="36"/>
    <s v="Standard order"/>
    <x v="1799"/>
    <x v="1792"/>
    <s v="8524"/>
    <s v="BTS 8524"/>
    <s v="5002899"/>
    <s v="8524 BTS T35 SYSTIVA P200"/>
    <n v="244"/>
    <n v="0"/>
    <n v="244"/>
    <x v="7"/>
    <s v="FWND"/>
    <s v="PRO 200"/>
    <s v="334"/>
    <s v="4.0 UN"/>
    <s v="STANDARD"/>
    <s v="N"/>
    <s v="N"/>
    <s v="N"/>
    <s v="T35"/>
    <s v="Y"/>
    <s v="N"/>
    <s v="Y"/>
    <s v="N"/>
    <s v="B027"/>
    <d v="2016-11-29T00:00:00"/>
    <s v="40"/>
    <s v="TAN"/>
    <s v="OR"/>
    <d v="2016-11-23T00:00:00"/>
    <s v="MN"/>
    <s v="US"/>
    <s v="ZR"/>
    <d v="2016-11-23T00:00:00"/>
  </r>
  <r>
    <x v="1"/>
    <x v="7"/>
    <x v="1911"/>
    <x v="36"/>
    <s v="Standard order"/>
    <x v="1799"/>
    <x v="1792"/>
    <s v="8052"/>
    <s v="BTS 80RR52"/>
    <s v="5002738"/>
    <s v="8052 BTS T35 SYSTIVA P200"/>
    <n v="156"/>
    <n v="0"/>
    <n v="156"/>
    <x v="7"/>
    <s v="AP82"/>
    <s v="PRO 200"/>
    <s v="334"/>
    <s v="4.0 UN"/>
    <s v="STANDARD"/>
    <s v="N"/>
    <s v="N"/>
    <s v="N"/>
    <s v="T35"/>
    <s v="Y"/>
    <s v="N"/>
    <s v="Y"/>
    <s v="N"/>
    <s v="B027"/>
    <d v="2016-11-29T00:00:00"/>
    <s v="10"/>
    <s v="TAN"/>
    <s v="OR"/>
    <d v="2016-11-23T00:00:00"/>
    <s v="MN"/>
    <s v="US"/>
    <s v="ZR"/>
    <d v="2016-11-23T00:00:00"/>
  </r>
  <r>
    <x v="1"/>
    <x v="7"/>
    <x v="1911"/>
    <x v="36"/>
    <s v="Standard order"/>
    <x v="1799"/>
    <x v="1792"/>
    <s v="8337"/>
    <s v="BTS 8337"/>
    <s v="5002798"/>
    <s v="8337 BTS T35 SYSTIVA P200"/>
    <n v="188"/>
    <n v="0"/>
    <n v="188"/>
    <x v="7"/>
    <s v="DHMC"/>
    <s v="PRO 200"/>
    <s v="334"/>
    <s v="4.0 UN"/>
    <s v="STANDARD"/>
    <s v="N"/>
    <s v="N"/>
    <s v="N"/>
    <s v="T35"/>
    <s v="Y"/>
    <s v="N"/>
    <s v="Y"/>
    <s v="N"/>
    <s v="B027"/>
    <d v="2016-11-29T00:00:00"/>
    <s v="20"/>
    <s v="TAN"/>
    <s v="OR"/>
    <d v="2016-11-23T00:00:00"/>
    <s v="MN"/>
    <s v="US"/>
    <s v="ZR"/>
    <d v="2016-11-23T00:00:00"/>
  </r>
  <r>
    <x v="1"/>
    <x v="7"/>
    <x v="1911"/>
    <x v="36"/>
    <s v="Standard order"/>
    <x v="1799"/>
    <x v="1792"/>
    <s v="8500"/>
    <s v="BTS 8500"/>
    <s v="5002859"/>
    <s v="8500 BTS T35 SYSTIVA P200"/>
    <n v="120"/>
    <n v="0"/>
    <n v="120"/>
    <x v="7"/>
    <s v="FTND"/>
    <s v="PRO 200"/>
    <s v="334"/>
    <s v="4.0 UN"/>
    <s v="STANDARD"/>
    <s v="N"/>
    <s v="N"/>
    <s v="N"/>
    <s v="T35"/>
    <s v="Y"/>
    <s v="N"/>
    <s v="Y"/>
    <s v="N"/>
    <s v="B027"/>
    <d v="2016-11-29T00:00:00"/>
    <s v="30"/>
    <s v="TAN"/>
    <s v="OR"/>
    <d v="2016-11-23T00:00:00"/>
    <s v="MN"/>
    <s v="US"/>
    <s v="ZR"/>
    <d v="2016-11-23T00:00:00"/>
  </r>
  <r>
    <x v="1"/>
    <x v="7"/>
    <x v="1912"/>
    <x v="39"/>
    <s v="Standard order"/>
    <x v="1800"/>
    <x v="1793"/>
    <s v="8524"/>
    <s v="BTS 8524"/>
    <s v="5002895"/>
    <s v="8524 BTS T35 PB SYSTIVA P200"/>
    <n v="84"/>
    <n v="0"/>
    <n v="84"/>
    <x v="7"/>
    <s v="FWND"/>
    <s v="PRO 200"/>
    <s v="333"/>
    <s v="4.0 UN"/>
    <s v="STANDARD"/>
    <s v="N"/>
    <s v="Y"/>
    <s v="N"/>
    <s v="T35"/>
    <s v="Y"/>
    <s v="N"/>
    <s v="Y"/>
    <s v="N"/>
    <s v="B030"/>
    <d v="2016-11-29T00:00:00"/>
    <s v="10"/>
    <s v="TAN"/>
    <s v="OR"/>
    <d v="2016-11-23T00:00:00"/>
    <s v="MN"/>
    <s v="US"/>
    <s v="ZR"/>
    <d v="2016-11-23T00:00:00"/>
  </r>
  <r>
    <x v="1"/>
    <x v="7"/>
    <x v="1913"/>
    <x v="33"/>
    <s v="Standard order"/>
    <x v="1801"/>
    <x v="1794"/>
    <s v="8337"/>
    <s v="BTS 8337"/>
    <s v="5002794"/>
    <s v="8337 BTS T35 PB SYSTIVA P200"/>
    <n v="60"/>
    <n v="0"/>
    <n v="60"/>
    <x v="7"/>
    <s v="DHMC"/>
    <s v="PRO 200"/>
    <s v="333"/>
    <s v="4.0 UN"/>
    <s v="STANDARD"/>
    <s v="N"/>
    <s v="Y"/>
    <s v="N"/>
    <s v="T35"/>
    <s v="Y"/>
    <s v="N"/>
    <s v="Y"/>
    <s v="N"/>
    <s v="B026"/>
    <d v="2016-11-29T00:00:00"/>
    <s v="10"/>
    <s v="TAN"/>
    <s v="OR"/>
    <d v="2016-11-22T00:00:00"/>
    <s v="MN"/>
    <s v="US"/>
    <s v="ZR"/>
    <d v="2016-11-23T00:00:00"/>
  </r>
  <r>
    <x v="1"/>
    <x v="7"/>
    <x v="1913"/>
    <x v="33"/>
    <s v="Standard order"/>
    <x v="1801"/>
    <x v="1794"/>
    <s v="8524"/>
    <s v="BTS 8524"/>
    <s v="5002895"/>
    <s v="8524 BTS T35 PB SYSTIVA P200"/>
    <n v="60"/>
    <n v="0"/>
    <n v="60"/>
    <x v="7"/>
    <s v="FWND"/>
    <s v="PRO 200"/>
    <s v="333"/>
    <s v="4.0 UN"/>
    <s v="STANDARD"/>
    <s v="N"/>
    <s v="Y"/>
    <s v="N"/>
    <s v="T35"/>
    <s v="Y"/>
    <s v="N"/>
    <s v="Y"/>
    <s v="N"/>
    <s v="B026"/>
    <d v="2016-11-29T00:00:00"/>
    <s v="20"/>
    <s v="TAN"/>
    <s v="OR"/>
    <d v="2016-11-22T00:00:00"/>
    <s v="MN"/>
    <s v="US"/>
    <s v="ZR"/>
    <d v="2016-11-23T00:00:00"/>
  </r>
  <r>
    <x v="1"/>
    <x v="7"/>
    <x v="1914"/>
    <x v="31"/>
    <s v="Standard order"/>
    <x v="1802"/>
    <x v="1795"/>
    <s v="8500"/>
    <s v="BTS 8500"/>
    <s v="5002860"/>
    <s v="8500 BTS T35 SYSTIVA RP"/>
    <n v="192"/>
    <n v="0"/>
    <n v="192"/>
    <x v="7"/>
    <s v="FTND"/>
    <s v="RP"/>
    <s v="334"/>
    <s v="4.0 UN"/>
    <s v="STANDARD"/>
    <s v="N"/>
    <s v="N"/>
    <s v="N"/>
    <s v="T35"/>
    <s v="Y"/>
    <s v="N"/>
    <s v="Y"/>
    <s v="N"/>
    <s v="B028"/>
    <d v="2016-11-29T00:00:00"/>
    <s v="10"/>
    <s v="TAN"/>
    <s v="OR"/>
    <d v="2016-11-22T00:00:00"/>
    <s v="ND"/>
    <s v="US"/>
    <s v="ZR"/>
    <d v="2016-11-23T00:00:00"/>
  </r>
  <r>
    <x v="1"/>
    <x v="7"/>
    <x v="1914"/>
    <x v="31"/>
    <s v="Standard order"/>
    <x v="1802"/>
    <x v="1795"/>
    <s v="8052"/>
    <s v="BTS 80RR52"/>
    <s v="5002739"/>
    <s v="8052 BTS T35 SYSTIVA RP"/>
    <n v="192"/>
    <n v="0"/>
    <n v="192"/>
    <x v="7"/>
    <s v="AP82"/>
    <s v="RP"/>
    <s v="334"/>
    <s v="4.0 UN"/>
    <s v="STANDARD"/>
    <s v="N"/>
    <s v="N"/>
    <s v="N"/>
    <s v="T35"/>
    <s v="Y"/>
    <s v="N"/>
    <s v="Y"/>
    <s v="N"/>
    <s v="B028"/>
    <d v="2016-11-29T00:00:00"/>
    <s v="20"/>
    <s v="TAN"/>
    <s v="OR"/>
    <d v="2016-11-22T00:00:00"/>
    <s v="ND"/>
    <s v="US"/>
    <s v="ZR"/>
    <d v="2016-11-23T00:00:00"/>
  </r>
  <r>
    <x v="1"/>
    <x v="7"/>
    <x v="1915"/>
    <x v="41"/>
    <s v="Standard order"/>
    <x v="1803"/>
    <x v="1796"/>
    <s v="83CN"/>
    <s v="BTS 83CN"/>
    <s v="5002831"/>
    <s v="83CN BTS T35 PB Kabina P200"/>
    <n v="12"/>
    <n v="0"/>
    <n v="12"/>
    <x v="7"/>
    <s v="EE73"/>
    <s v="PRO 200"/>
    <s v="398"/>
    <s v="4.0 UN"/>
    <s v="STANDARD"/>
    <s v="N"/>
    <s v="Y"/>
    <s v="Y"/>
    <s v="T35"/>
    <s v="N"/>
    <s v="N"/>
    <s v="N"/>
    <s v="N"/>
    <s v="B032"/>
    <d v="2016-11-29T00:00:00"/>
    <s v="10"/>
    <s v="TAN"/>
    <s v="OR"/>
    <d v="2016-11-22T00:00:00"/>
    <s v="MN"/>
    <s v="US"/>
    <s v="ZR"/>
    <d v="2016-11-23T00:00:00"/>
  </r>
  <r>
    <x v="1"/>
    <x v="7"/>
    <x v="1915"/>
    <x v="41"/>
    <s v="Standard order"/>
    <x v="1803"/>
    <x v="1796"/>
    <s v="8052"/>
    <s v="BTS 80RR52"/>
    <s v="5002734"/>
    <s v="8052 BTS T35 PB SYSTIVA P200"/>
    <n v="88"/>
    <n v="0"/>
    <n v="88"/>
    <x v="7"/>
    <s v="AP82"/>
    <s v="PRO 200"/>
    <s v="333"/>
    <s v="4.0 UN"/>
    <s v="STANDARD"/>
    <s v="N"/>
    <s v="Y"/>
    <s v="N"/>
    <s v="T35"/>
    <s v="Y"/>
    <s v="N"/>
    <s v="Y"/>
    <s v="N"/>
    <s v="B032"/>
    <d v="2016-11-29T00:00:00"/>
    <s v="20"/>
    <s v="TAN"/>
    <s v="OR"/>
    <d v="2016-11-22T00:00:00"/>
    <s v="MN"/>
    <s v="US"/>
    <s v="ZR"/>
    <d v="2016-11-23T00:00:00"/>
  </r>
  <r>
    <x v="1"/>
    <x v="7"/>
    <x v="1916"/>
    <x v="41"/>
    <s v="Standard order"/>
    <x v="1804"/>
    <x v="1797"/>
    <s v="8500"/>
    <s v="BTS 8500"/>
    <s v="5002859"/>
    <s v="8500 BTS T35 SYSTIVA P200"/>
    <n v="48"/>
    <n v="0"/>
    <n v="48"/>
    <x v="7"/>
    <s v="FTND"/>
    <s v="PRO 200"/>
    <s v="334"/>
    <s v="4.0 UN"/>
    <s v="STANDARD"/>
    <s v="N"/>
    <s v="N"/>
    <s v="N"/>
    <s v="T35"/>
    <s v="Y"/>
    <s v="N"/>
    <s v="Y"/>
    <s v="N"/>
    <s v="B032"/>
    <d v="2016-11-29T00:00:00"/>
    <s v="10"/>
    <s v="TAN"/>
    <s v="OR"/>
    <d v="2016-11-22T00:00:00"/>
    <s v="MN"/>
    <s v="US"/>
    <s v="ZR"/>
    <d v="2016-11-23T00:00:00"/>
  </r>
  <r>
    <x v="1"/>
    <x v="7"/>
    <x v="1916"/>
    <x v="41"/>
    <s v="Standard order"/>
    <x v="1804"/>
    <x v="1797"/>
    <s v="8512"/>
    <s v="BTS 8512"/>
    <s v="5002880"/>
    <s v="8512 BTS T35 SYSTIVA RP"/>
    <n v="48"/>
    <n v="0"/>
    <n v="48"/>
    <x v="7"/>
    <s v="FX73"/>
    <s v="RP"/>
    <s v="334"/>
    <s v="4.0 UN"/>
    <s v="STANDARD"/>
    <s v="N"/>
    <s v="N"/>
    <s v="N"/>
    <s v="T35"/>
    <s v="Y"/>
    <s v="N"/>
    <s v="Y"/>
    <s v="N"/>
    <s v="B032"/>
    <d v="2016-11-29T00:00:00"/>
    <s v="20"/>
    <s v="TAN"/>
    <s v="OR"/>
    <d v="2016-11-22T00:00:00"/>
    <s v="MN"/>
    <s v="US"/>
    <s v="ZR"/>
    <d v="2016-11-23T00:00:00"/>
  </r>
  <r>
    <x v="1"/>
    <x v="7"/>
    <x v="1917"/>
    <x v="28"/>
    <s v="Standard order"/>
    <x v="1805"/>
    <x v="1798"/>
    <s v="8052"/>
    <s v="BTS 80RR52"/>
    <s v="5002734"/>
    <s v="8052 BTS T35 PB SYSTIVA P200"/>
    <n v="96"/>
    <n v="0"/>
    <n v="96"/>
    <x v="7"/>
    <s v="AP82"/>
    <s v="PRO 200"/>
    <s v="333"/>
    <s v="4.0 UN"/>
    <s v="STANDARD"/>
    <s v="N"/>
    <s v="Y"/>
    <s v="N"/>
    <s v="T35"/>
    <s v="Y"/>
    <s v="N"/>
    <s v="Y"/>
    <s v="N"/>
    <s v="B056"/>
    <d v="2016-11-29T00:00:00"/>
    <s v="20"/>
    <s v="TAN"/>
    <s v="OR"/>
    <d v="2016-11-23T00:00:00"/>
    <s v="ND"/>
    <s v="US"/>
    <s v="ZR"/>
    <d v="2016-11-23T00:00:00"/>
  </r>
  <r>
    <x v="1"/>
    <x v="0"/>
    <x v="1918"/>
    <x v="43"/>
    <s v="Standard order"/>
    <x v="1806"/>
    <x v="1799"/>
    <s v="1399"/>
    <s v="BTS 1399"/>
    <s v="5002346"/>
    <s v="1399 BTS T20 Kabina MP"/>
    <n v="108"/>
    <n v="0"/>
    <n v="108"/>
    <x v="0"/>
    <s v="EG74"/>
    <s v="MP"/>
    <s v="380"/>
    <s v="4.0 UN"/>
    <s v="STANDARD"/>
    <s v="N"/>
    <s v="N"/>
    <s v="Y"/>
    <s v="T20"/>
    <s v="N"/>
    <s v="N"/>
    <s v="N"/>
    <s v="N"/>
    <s v="B006"/>
    <d v="2016-11-29T00:00:00"/>
    <s v="10"/>
    <s v="TAN"/>
    <s v="OR"/>
    <d v="2016-11-23T00:00:00"/>
    <s v="MI"/>
    <s v="US"/>
    <s v="ZR"/>
    <d v="2016-11-23T00:00:00"/>
  </r>
  <r>
    <x v="1"/>
    <x v="0"/>
    <x v="1918"/>
    <x v="43"/>
    <s v="Standard order"/>
    <x v="1806"/>
    <x v="1799"/>
    <s v="122N"/>
    <s v="BTS 12RR2N"/>
    <s v="5002309"/>
    <s v="122N BTS T20 Kabina MP"/>
    <n v="108"/>
    <n v="0"/>
    <n v="108"/>
    <x v="0"/>
    <s v="4TBG"/>
    <s v="MP"/>
    <s v="380"/>
    <s v="4.0 UN"/>
    <s v="STANDARD"/>
    <s v="N"/>
    <s v="N"/>
    <s v="Y"/>
    <s v="T20"/>
    <s v="N"/>
    <s v="N"/>
    <s v="N"/>
    <s v="N"/>
    <s v="B006"/>
    <d v="2016-11-29T00:00:00"/>
    <s v="20"/>
    <s v="TAN"/>
    <s v="OR"/>
    <d v="2016-11-23T00:00:00"/>
    <s v="MI"/>
    <s v="US"/>
    <s v="ZR"/>
    <d v="2016-11-23T00:00:00"/>
  </r>
  <r>
    <x v="1"/>
    <x v="7"/>
    <x v="1919"/>
    <x v="41"/>
    <s v="Standard order"/>
    <x v="1807"/>
    <x v="1800"/>
    <s v="8363"/>
    <s v="BTS 8363"/>
    <s v="5002816"/>
    <s v="8363 BTS T35 PB SYSTIVA RP"/>
    <n v="72"/>
    <n v="0"/>
    <n v="72"/>
    <x v="7"/>
    <s v="DMMZ"/>
    <s v="RP"/>
    <s v="333"/>
    <s v="4.0 UN"/>
    <s v="STANDARD"/>
    <s v="N"/>
    <s v="Y"/>
    <s v="N"/>
    <s v="T35"/>
    <s v="Y"/>
    <s v="N"/>
    <s v="Y"/>
    <s v="N"/>
    <s v="B032"/>
    <d v="2016-11-29T00:00:00"/>
    <s v="10"/>
    <s v="TAN"/>
    <s v="OR"/>
    <d v="2016-11-22T00:00:00"/>
    <s v="MN"/>
    <s v="US"/>
    <s v="ZR"/>
    <d v="2016-11-23T00:00:00"/>
  </r>
  <r>
    <x v="1"/>
    <x v="7"/>
    <x v="1919"/>
    <x v="41"/>
    <s v="Standard order"/>
    <x v="1807"/>
    <x v="1800"/>
    <s v="8512"/>
    <s v="BTS 8512"/>
    <s v="5002876"/>
    <s v="8512 BTS T35 PB SYSTIVA RP"/>
    <n v="72"/>
    <n v="0"/>
    <n v="72"/>
    <x v="7"/>
    <s v="FX73"/>
    <s v="RP"/>
    <s v="333"/>
    <s v="4.0 UN"/>
    <s v="STANDARD"/>
    <s v="N"/>
    <s v="Y"/>
    <s v="N"/>
    <s v="T35"/>
    <s v="Y"/>
    <s v="N"/>
    <s v="Y"/>
    <s v="N"/>
    <s v="B032"/>
    <d v="2016-11-29T00:00:00"/>
    <s v="20"/>
    <s v="TAN"/>
    <s v="OR"/>
    <d v="2016-11-22T00:00:00"/>
    <s v="MN"/>
    <s v="US"/>
    <s v="ZR"/>
    <d v="2016-11-23T00:00:00"/>
  </r>
  <r>
    <x v="1"/>
    <x v="7"/>
    <x v="1920"/>
    <x v="37"/>
    <s v="Standard order"/>
    <x v="1808"/>
    <x v="1801"/>
    <s v="8524"/>
    <s v="BTS 8524"/>
    <s v="5002896"/>
    <s v="8524 BTS T35 PB SYSTIVA RP"/>
    <n v="268"/>
    <n v="0"/>
    <n v="268"/>
    <x v="7"/>
    <s v="FWND"/>
    <s v="RP"/>
    <s v="333"/>
    <s v="4.0 UN"/>
    <s v="STANDARD"/>
    <s v="N"/>
    <s v="Y"/>
    <s v="N"/>
    <s v="T35"/>
    <s v="Y"/>
    <s v="N"/>
    <s v="Y"/>
    <s v="N"/>
    <s v="B033"/>
    <d v="2016-11-29T00:00:00"/>
    <s v="10"/>
    <s v="TAN"/>
    <s v="OR"/>
    <d v="2016-11-23T00:00:00"/>
    <s v="ND"/>
    <s v="US"/>
    <s v="ZR"/>
    <d v="2016-11-23T00:00:00"/>
  </r>
  <r>
    <x v="1"/>
    <x v="0"/>
    <x v="1921"/>
    <x v="43"/>
    <s v="Standard order"/>
    <x v="1809"/>
    <x v="1802"/>
    <s v="122N"/>
    <s v="BTS 12RR2N"/>
    <s v="5002315"/>
    <s v="122N BTS T20 SYSTIVA MP"/>
    <n v="160"/>
    <n v="0"/>
    <n v="160"/>
    <x v="0"/>
    <s v="4TBG"/>
    <s v="MP"/>
    <s v="326"/>
    <s v="4.0 UN"/>
    <s v="STANDARD"/>
    <s v="N"/>
    <s v="N"/>
    <s v="N"/>
    <s v="T20"/>
    <s v="Y"/>
    <s v="N"/>
    <s v="Y"/>
    <s v="N"/>
    <s v="B006"/>
    <d v="2016-11-29T00:00:00"/>
    <s v="10"/>
    <s v="TAN"/>
    <s v="OR"/>
    <d v="2016-11-23T00:00:00"/>
    <s v="MI"/>
    <s v="US"/>
    <s v="ZR"/>
    <d v="2016-11-23T00:00:00"/>
  </r>
  <r>
    <x v="1"/>
    <x v="0"/>
    <x v="1922"/>
    <x v="43"/>
    <s v="Standard order"/>
    <x v="1810"/>
    <x v="837"/>
    <s v="122N"/>
    <s v="BTS 12RR2N"/>
    <s v="5002309"/>
    <s v="122N BTS T20 Kabina MP"/>
    <n v="64"/>
    <n v="0"/>
    <n v="64"/>
    <x v="0"/>
    <s v="4TBG"/>
    <s v="MP"/>
    <s v="380"/>
    <s v="4.0 UN"/>
    <s v="STANDARD"/>
    <s v="N"/>
    <s v="N"/>
    <s v="Y"/>
    <s v="T20"/>
    <s v="N"/>
    <s v="N"/>
    <s v="N"/>
    <s v="N"/>
    <s v="B006"/>
    <d v="2016-11-29T00:00:00"/>
    <s v="10"/>
    <s v="TAN"/>
    <s v="OR"/>
    <d v="2016-11-23T00:00:00"/>
    <s v="MI"/>
    <s v="US"/>
    <s v="ZR"/>
    <d v="2016-11-23T00:00:00"/>
  </r>
  <r>
    <x v="1"/>
    <x v="0"/>
    <x v="1922"/>
    <x v="43"/>
    <s v="Standard order"/>
    <x v="1810"/>
    <x v="837"/>
    <s v="149N"/>
    <s v="BTS 149N"/>
    <s v="5002366"/>
    <s v="149N BTS T20 Kabina MP"/>
    <n v="64"/>
    <n v="0"/>
    <n v="64"/>
    <x v="0"/>
    <s v="EEND"/>
    <s v="MP"/>
    <s v="380"/>
    <s v="4.0 UN"/>
    <s v="STANDARD"/>
    <s v="N"/>
    <s v="N"/>
    <s v="Y"/>
    <s v="T20"/>
    <s v="N"/>
    <s v="N"/>
    <s v="N"/>
    <s v="N"/>
    <s v="B006"/>
    <d v="2016-11-29T00:00:00"/>
    <s v="20"/>
    <s v="TAN"/>
    <s v="OR"/>
    <d v="2016-11-23T00:00:00"/>
    <s v="MI"/>
    <s v="US"/>
    <s v="ZR"/>
    <d v="2016-11-23T00:00:00"/>
  </r>
  <r>
    <x v="1"/>
    <x v="7"/>
    <x v="1923"/>
    <x v="37"/>
    <s v="Standard order"/>
    <x v="1811"/>
    <x v="1803"/>
    <s v="8524"/>
    <s v="BTS 8524"/>
    <s v="5002896"/>
    <s v="8524 BTS T35 PB SYSTIVA RP"/>
    <n v="620"/>
    <n v="0"/>
    <n v="620"/>
    <x v="7"/>
    <s v="FWND"/>
    <s v="RP"/>
    <s v="333"/>
    <s v="4.0 UN"/>
    <s v="STANDARD"/>
    <s v="N"/>
    <s v="Y"/>
    <s v="N"/>
    <s v="T35"/>
    <s v="Y"/>
    <s v="N"/>
    <s v="Y"/>
    <s v="N"/>
    <s v="B033"/>
    <d v="2016-11-29T00:00:00"/>
    <s v="10"/>
    <s v="TAN"/>
    <s v="OR"/>
    <d v="2016-11-23T00:00:00"/>
    <s v="ND"/>
    <s v="US"/>
    <s v="ZR"/>
    <d v="2016-11-23T00:00:00"/>
  </r>
  <r>
    <x v="1"/>
    <x v="7"/>
    <x v="1923"/>
    <x v="37"/>
    <s v="Standard order"/>
    <x v="1811"/>
    <x v="1803"/>
    <s v="8572"/>
    <s v="BTS 8572"/>
    <s v="5003215"/>
    <s v="8572 BTS T35 PB SYSTIVA RP"/>
    <n v="192"/>
    <n v="0"/>
    <n v="192"/>
    <x v="7"/>
    <s v="FENB"/>
    <s v="RP"/>
    <s v="333"/>
    <s v="4.0 UN"/>
    <s v="STANDARD"/>
    <s v="N"/>
    <s v="Y"/>
    <s v="N"/>
    <s v="T35"/>
    <s v="Y"/>
    <s v="N"/>
    <s v="Y"/>
    <s v="N"/>
    <s v="B033"/>
    <d v="2016-11-29T00:00:00"/>
    <s v="20"/>
    <s v="TAN"/>
    <s v="OR"/>
    <d v="2016-11-23T00:00:00"/>
    <s v="ND"/>
    <s v="US"/>
    <s v="ZR"/>
    <d v="2016-11-23T00:00:00"/>
  </r>
  <r>
    <x v="1"/>
    <x v="7"/>
    <x v="1924"/>
    <x v="33"/>
    <s v="Standard order"/>
    <x v="1812"/>
    <x v="1804"/>
    <s v="8052"/>
    <s v="BTS 80RR52"/>
    <s v="5002734"/>
    <s v="8052 BTS T35 PB SYSTIVA P200"/>
    <n v="24"/>
    <n v="0"/>
    <n v="24"/>
    <x v="7"/>
    <s v="AP82"/>
    <s v="PRO 200"/>
    <s v="333"/>
    <s v="4.0 UN"/>
    <s v="STANDARD"/>
    <s v="N"/>
    <s v="Y"/>
    <s v="N"/>
    <s v="T35"/>
    <s v="Y"/>
    <s v="N"/>
    <s v="Y"/>
    <s v="N"/>
    <s v="B026"/>
    <d v="2016-11-29T00:00:00"/>
    <s v="10"/>
    <s v="TAN"/>
    <s v="OR"/>
    <d v="2016-11-23T00:00:00"/>
    <s v="MN"/>
    <s v="US"/>
    <s v="ZR"/>
    <d v="2016-11-23T00:00:00"/>
  </r>
  <r>
    <x v="1"/>
    <x v="7"/>
    <x v="1924"/>
    <x v="33"/>
    <s v="Standard order"/>
    <x v="1812"/>
    <x v="1804"/>
    <s v="8337"/>
    <s v="BTS 8337"/>
    <s v="5002794"/>
    <s v="8337 BTS T35 PB SYSTIVA P200"/>
    <n v="40"/>
    <n v="0"/>
    <n v="40"/>
    <x v="7"/>
    <s v="DHMC"/>
    <s v="PRO 200"/>
    <s v="333"/>
    <s v="4.0 UN"/>
    <s v="STANDARD"/>
    <s v="N"/>
    <s v="Y"/>
    <s v="N"/>
    <s v="T35"/>
    <s v="Y"/>
    <s v="N"/>
    <s v="Y"/>
    <s v="N"/>
    <s v="B026"/>
    <d v="2016-11-29T00:00:00"/>
    <s v="20"/>
    <s v="TAN"/>
    <s v="OR"/>
    <d v="2016-11-23T00:00:00"/>
    <s v="MN"/>
    <s v="US"/>
    <s v="ZR"/>
    <d v="2016-11-23T00:00:00"/>
  </r>
  <r>
    <x v="1"/>
    <x v="7"/>
    <x v="1924"/>
    <x v="33"/>
    <s v="Standard order"/>
    <x v="1812"/>
    <x v="1804"/>
    <s v="8524"/>
    <s v="BTS 8524"/>
    <s v="5002895"/>
    <s v="8524 BTS T35 PB SYSTIVA P200"/>
    <n v="24"/>
    <n v="0"/>
    <n v="24"/>
    <x v="7"/>
    <s v="FWND"/>
    <s v="PRO 200"/>
    <s v="333"/>
    <s v="4.0 UN"/>
    <s v="STANDARD"/>
    <s v="N"/>
    <s v="Y"/>
    <s v="N"/>
    <s v="T35"/>
    <s v="Y"/>
    <s v="N"/>
    <s v="Y"/>
    <s v="N"/>
    <s v="B026"/>
    <d v="2016-11-29T00:00:00"/>
    <s v="30"/>
    <s v="TAN"/>
    <s v="OR"/>
    <d v="2016-11-23T00:00:00"/>
    <s v="MN"/>
    <s v="US"/>
    <s v="ZR"/>
    <d v="2016-11-23T00:00:00"/>
  </r>
  <r>
    <x v="1"/>
    <x v="4"/>
    <x v="1925"/>
    <x v="44"/>
    <s v="Standard order"/>
    <x v="1813"/>
    <x v="1805"/>
    <s v="225N"/>
    <s v="BTS 22RR5N"/>
    <s v="5002112"/>
    <s v="225N BTS PB MED"/>
    <n v="140"/>
    <n v="0"/>
    <n v="140"/>
    <x v="4"/>
    <s v="4TBD"/>
    <s v="MEDIUM"/>
    <s v="307"/>
    <s v="4.0 UN"/>
    <s v="STANDARD"/>
    <s v="N"/>
    <s v="Y"/>
    <s v="N"/>
    <s v="N"/>
    <s v="N"/>
    <s v="N"/>
    <s v="N"/>
    <s v="N"/>
    <s v="MB13"/>
    <d v="2016-11-29T00:00:00"/>
    <s v="10"/>
    <s v="TAN"/>
    <s v="OR"/>
    <d v="2016-11-23T00:00:00"/>
    <s v="OR"/>
    <s v="US"/>
    <s v="ZR"/>
    <d v="2016-11-23T00:00:00"/>
  </r>
  <r>
    <x v="1"/>
    <x v="4"/>
    <x v="1925"/>
    <x v="44"/>
    <s v="Standard order"/>
    <x v="1813"/>
    <x v="1805"/>
    <s v="251N"/>
    <s v="BTS 251N"/>
    <s v="5002192"/>
    <s v="251N BTS PB MED"/>
    <n v="20"/>
    <n v="0"/>
    <n v="20"/>
    <x v="4"/>
    <s v="5HBR"/>
    <s v="MEDIUM"/>
    <s v="307"/>
    <s v="4.0 UN"/>
    <s v="STANDARD"/>
    <s v="N"/>
    <s v="Y"/>
    <s v="N"/>
    <s v="N"/>
    <s v="N"/>
    <s v="N"/>
    <s v="N"/>
    <s v="N"/>
    <s v="MB13"/>
    <d v="2016-11-29T00:00:00"/>
    <s v="20"/>
    <s v="TAN"/>
    <s v="OR"/>
    <d v="2016-11-23T00:00:00"/>
    <s v="OR"/>
    <s v="US"/>
    <s v="ZR"/>
    <d v="2016-11-23T00:00:00"/>
  </r>
  <r>
    <x v="1"/>
    <x v="7"/>
    <x v="1926"/>
    <x v="39"/>
    <s v="Standard order"/>
    <x v="1814"/>
    <x v="1806"/>
    <s v="8500"/>
    <s v="BTS 8500"/>
    <s v="5002856"/>
    <s v="8500 BTS T35 PB SYSTIVA RP"/>
    <n v="64"/>
    <n v="0"/>
    <n v="64"/>
    <x v="7"/>
    <s v="FTND"/>
    <s v="RP"/>
    <s v="333"/>
    <s v="4.0 UN"/>
    <s v="STANDARD"/>
    <s v="N"/>
    <s v="Y"/>
    <s v="N"/>
    <s v="T35"/>
    <s v="Y"/>
    <s v="N"/>
    <s v="Y"/>
    <s v="N"/>
    <s v="B030"/>
    <d v="2016-11-29T00:00:00"/>
    <s v="10"/>
    <s v="TAN"/>
    <s v="OR"/>
    <d v="2016-11-23T00:00:00"/>
    <s v="MN"/>
    <s v="US"/>
    <s v="ZR"/>
    <d v="2016-11-23T00:00:00"/>
  </r>
  <r>
    <x v="1"/>
    <x v="7"/>
    <x v="1927"/>
    <x v="39"/>
    <s v="Standard order"/>
    <x v="1815"/>
    <x v="1807"/>
    <s v="8500"/>
    <s v="BTS 8500"/>
    <s v="5002856"/>
    <s v="8500 BTS T35 PB SYSTIVA RP"/>
    <n v="64"/>
    <n v="0"/>
    <n v="64"/>
    <x v="7"/>
    <s v="FTND"/>
    <s v="RP"/>
    <s v="333"/>
    <s v="4.0 UN"/>
    <s v="STANDARD"/>
    <s v="N"/>
    <s v="Y"/>
    <s v="N"/>
    <s v="T35"/>
    <s v="Y"/>
    <s v="N"/>
    <s v="Y"/>
    <s v="N"/>
    <s v="B030"/>
    <d v="2016-11-29T00:00:00"/>
    <s v="10"/>
    <s v="TAN"/>
    <s v="OR"/>
    <d v="2016-11-23T00:00:00"/>
    <s v="MN"/>
    <s v="US"/>
    <s v="ZR"/>
    <d v="2016-11-23T00:00:00"/>
  </r>
  <r>
    <x v="1"/>
    <x v="7"/>
    <x v="1928"/>
    <x v="37"/>
    <s v="Standard order"/>
    <x v="1816"/>
    <x v="1808"/>
    <s v="8500"/>
    <s v="BTS 8500"/>
    <s v="5002856"/>
    <s v="8500 BTS T35 PB SYSTIVA RP"/>
    <n v="64"/>
    <n v="0"/>
    <n v="64"/>
    <x v="7"/>
    <s v="FTND"/>
    <s v="RP"/>
    <s v="333"/>
    <s v="4.0 UN"/>
    <s v="STANDARD"/>
    <s v="N"/>
    <s v="Y"/>
    <s v="N"/>
    <s v="T35"/>
    <s v="Y"/>
    <s v="N"/>
    <s v="Y"/>
    <s v="N"/>
    <s v="B033"/>
    <d v="2016-11-29T00:00:00"/>
    <s v="10"/>
    <s v="TAN"/>
    <s v="OR"/>
    <d v="2016-11-23T00:00:00"/>
    <s v="ND"/>
    <s v="US"/>
    <s v="ZR"/>
    <d v="2016-11-24T00:00:00"/>
  </r>
  <r>
    <x v="1"/>
    <x v="0"/>
    <x v="1929"/>
    <x v="45"/>
    <s v="Standard order"/>
    <x v="1817"/>
    <x v="40"/>
    <s v="122N"/>
    <s v="BTS 12RR2N"/>
    <s v="5002317"/>
    <s v="122N BTS T20 SYSTIVA RP"/>
    <n v="60"/>
    <n v="0"/>
    <n v="60"/>
    <x v="0"/>
    <s v="4TBG"/>
    <s v="RP"/>
    <s v="326"/>
    <s v="4.0 UN"/>
    <s v="STANDARD"/>
    <s v="N"/>
    <s v="N"/>
    <s v="N"/>
    <s v="T20"/>
    <s v="Y"/>
    <s v="N"/>
    <s v="Y"/>
    <s v="N"/>
    <s v="B003"/>
    <d v="2016-11-30T00:00:00"/>
    <s v="10"/>
    <s v="TAN"/>
    <s v="OR"/>
    <d v="2016-11-25T00:00:00"/>
    <s v="MI"/>
    <s v="US"/>
    <s v="ZR"/>
    <d v="2016-11-25T00:00:00"/>
  </r>
  <r>
    <x v="1"/>
    <x v="0"/>
    <x v="1929"/>
    <x v="45"/>
    <s v="Standard order"/>
    <x v="1817"/>
    <x v="40"/>
    <s v="149N"/>
    <s v="BTS 149N"/>
    <s v="5002368"/>
    <s v="149N BTS T20 Kabina RP"/>
    <n v="44"/>
    <n v="0"/>
    <n v="44"/>
    <x v="0"/>
    <s v="EEND"/>
    <s v="RP"/>
    <s v="380"/>
    <s v="4.0 UN"/>
    <s v="STANDARD"/>
    <s v="N"/>
    <s v="N"/>
    <s v="Y"/>
    <s v="T20"/>
    <s v="N"/>
    <s v="N"/>
    <s v="N"/>
    <s v="N"/>
    <s v="B003"/>
    <d v="2016-11-30T00:00:00"/>
    <s v="20"/>
    <s v="TAN"/>
    <s v="OR"/>
    <d v="2016-11-25T00:00:00"/>
    <s v="MI"/>
    <s v="US"/>
    <s v="ZR"/>
    <d v="2016-11-25T00:00:00"/>
  </r>
  <r>
    <x v="1"/>
    <x v="0"/>
    <x v="1929"/>
    <x v="45"/>
    <s v="Standard order"/>
    <x v="1817"/>
    <x v="40"/>
    <s v="1399"/>
    <s v="BTS 1399"/>
    <s v="5002348"/>
    <s v="1399 BTS T20 Kabina RP"/>
    <n v="44"/>
    <n v="0"/>
    <n v="44"/>
    <x v="0"/>
    <s v="EG74"/>
    <s v="RP"/>
    <s v="380"/>
    <s v="4.0 UN"/>
    <s v="STANDARD"/>
    <s v="N"/>
    <s v="N"/>
    <s v="Y"/>
    <s v="T20"/>
    <s v="N"/>
    <s v="N"/>
    <s v="N"/>
    <s v="N"/>
    <s v="B003"/>
    <d v="2016-11-30T00:00:00"/>
    <s v="30"/>
    <s v="TAN"/>
    <s v="OR"/>
    <d v="2016-11-25T00:00:00"/>
    <s v="MI"/>
    <s v="US"/>
    <s v="ZR"/>
    <d v="2016-11-25T00:00:00"/>
  </r>
  <r>
    <x v="1"/>
    <x v="7"/>
    <x v="1930"/>
    <x v="41"/>
    <s v="Standard order"/>
    <x v="1818"/>
    <x v="1809"/>
    <s v="8052"/>
    <s v="BTS 80RR52"/>
    <s v="5002739"/>
    <s v="8052 BTS T35 SYSTIVA RP"/>
    <n v="48"/>
    <n v="0"/>
    <n v="48"/>
    <x v="7"/>
    <s v="AP82"/>
    <s v="RP"/>
    <s v="334"/>
    <s v="4.0 UN"/>
    <s v="STANDARD"/>
    <s v="N"/>
    <s v="N"/>
    <s v="N"/>
    <s v="T35"/>
    <s v="Y"/>
    <s v="N"/>
    <s v="Y"/>
    <s v="N"/>
    <s v="B032"/>
    <d v="2016-11-30T00:00:00"/>
    <s v="10"/>
    <s v="TAN"/>
    <s v="OR"/>
    <d v="2016-11-25T00:00:00"/>
    <s v="ND"/>
    <s v="US"/>
    <s v="ZR"/>
    <d v="2016-11-25T00:00:00"/>
  </r>
  <r>
    <x v="1"/>
    <x v="7"/>
    <x v="1930"/>
    <x v="41"/>
    <s v="Standard order"/>
    <x v="1818"/>
    <x v="1809"/>
    <s v="8512"/>
    <s v="BTS 8512"/>
    <s v="5002880"/>
    <s v="8512 BTS T35 SYSTIVA RP"/>
    <n v="28"/>
    <n v="0"/>
    <n v="28"/>
    <x v="7"/>
    <s v="FX73"/>
    <s v="RP"/>
    <s v="334"/>
    <s v="4.0 UN"/>
    <s v="STANDARD"/>
    <s v="N"/>
    <s v="N"/>
    <s v="N"/>
    <s v="T35"/>
    <s v="Y"/>
    <s v="N"/>
    <s v="Y"/>
    <s v="N"/>
    <s v="B032"/>
    <d v="2016-11-30T00:00:00"/>
    <s v="20"/>
    <s v="TAN"/>
    <s v="OR"/>
    <d v="2016-11-25T00:00:00"/>
    <s v="ND"/>
    <s v="US"/>
    <s v="ZR"/>
    <d v="2016-11-25T00:00:00"/>
  </r>
  <r>
    <x v="1"/>
    <x v="7"/>
    <x v="1931"/>
    <x v="41"/>
    <s v="Standard order"/>
    <x v="1819"/>
    <x v="1810"/>
    <s v="8512"/>
    <s v="BTS 8512"/>
    <s v="5002880"/>
    <s v="8512 BTS T35 SYSTIVA RP"/>
    <n v="48"/>
    <n v="0"/>
    <n v="48"/>
    <x v="7"/>
    <s v="FX73"/>
    <s v="RP"/>
    <s v="334"/>
    <s v="4.0 UN"/>
    <s v="STANDARD"/>
    <s v="N"/>
    <s v="N"/>
    <s v="N"/>
    <s v="T35"/>
    <s v="Y"/>
    <s v="N"/>
    <s v="Y"/>
    <s v="N"/>
    <s v="B032"/>
    <d v="2016-11-30T00:00:00"/>
    <s v="10"/>
    <s v="TAN"/>
    <s v="OR"/>
    <d v="2016-11-25T00:00:00"/>
    <s v="ND"/>
    <s v="US"/>
    <s v="ZR"/>
    <d v="2016-11-25T00:00:00"/>
  </r>
  <r>
    <x v="1"/>
    <x v="7"/>
    <x v="1932"/>
    <x v="41"/>
    <s v="Standard order"/>
    <x v="1820"/>
    <x v="1811"/>
    <s v="8052"/>
    <s v="BTS 80RR52"/>
    <s v="5002735"/>
    <s v="8052 BTS T35 PB SYSTIVA RP"/>
    <n v="96"/>
    <n v="0"/>
    <n v="96"/>
    <x v="7"/>
    <s v="AP82"/>
    <s v="RP"/>
    <s v="333"/>
    <s v="4.0 UN"/>
    <s v="STANDARD"/>
    <s v="N"/>
    <s v="Y"/>
    <s v="N"/>
    <s v="T35"/>
    <s v="Y"/>
    <s v="N"/>
    <s v="Y"/>
    <s v="N"/>
    <s v="B032"/>
    <d v="2016-11-30T00:00:00"/>
    <s v="10"/>
    <s v="TAN"/>
    <s v="OR"/>
    <d v="2016-11-25T00:00:00"/>
    <s v="ND"/>
    <s v="US"/>
    <s v="ZR"/>
    <d v="2016-11-26T00:00:00"/>
  </r>
  <r>
    <x v="1"/>
    <x v="7"/>
    <x v="1933"/>
    <x v="41"/>
    <s v="Standard order"/>
    <x v="1821"/>
    <x v="1812"/>
    <s v="8052"/>
    <s v="BTS 80RR52"/>
    <s v="5002723"/>
    <s v="8052 BTS T20 SYSTIVA MP"/>
    <n v="36"/>
    <n v="0"/>
    <n v="36"/>
    <x v="7"/>
    <s v="AP82"/>
    <s v="MP"/>
    <s v="326"/>
    <s v="4.0 UN"/>
    <s v="STANDARD"/>
    <s v="N"/>
    <s v="N"/>
    <s v="N"/>
    <s v="T20"/>
    <s v="Y"/>
    <s v="N"/>
    <s v="Y"/>
    <s v="N"/>
    <s v="B032"/>
    <d v="2016-11-30T00:00:00"/>
    <s v="10"/>
    <s v="TAN"/>
    <s v="OR"/>
    <d v="2016-11-25T00:00:00"/>
    <s v="ND"/>
    <s v="US"/>
    <s v="ZR"/>
    <d v="2016-11-26T00:00:00"/>
  </r>
  <r>
    <x v="1"/>
    <x v="7"/>
    <x v="1934"/>
    <x v="41"/>
    <s v="Standard order"/>
    <x v="1822"/>
    <x v="1813"/>
    <s v="8052"/>
    <s v="BTS 80RR52"/>
    <s v="5002735"/>
    <s v="8052 BTS T35 PB SYSTIVA RP"/>
    <n v="120"/>
    <n v="0"/>
    <n v="120"/>
    <x v="7"/>
    <s v="AP82"/>
    <s v="RP"/>
    <s v="333"/>
    <s v="4.0 UN"/>
    <s v="STANDARD"/>
    <s v="N"/>
    <s v="Y"/>
    <s v="N"/>
    <s v="T35"/>
    <s v="Y"/>
    <s v="N"/>
    <s v="Y"/>
    <s v="N"/>
    <s v="B032"/>
    <d v="2016-11-30T00:00:00"/>
    <s v="10"/>
    <s v="TAN"/>
    <s v="OR"/>
    <d v="2016-11-25T00:00:00"/>
    <s v="MN"/>
    <s v="US"/>
    <s v="ZR"/>
    <d v="2016-11-26T00:00:00"/>
  </r>
  <r>
    <x v="1"/>
    <x v="7"/>
    <x v="1934"/>
    <x v="41"/>
    <s v="Standard order"/>
    <x v="1822"/>
    <x v="1813"/>
    <s v="8500"/>
    <s v="BTS 8500"/>
    <s v="5002856"/>
    <s v="8500 BTS T35 PB SYSTIVA RP"/>
    <n v="96"/>
    <n v="0"/>
    <n v="96"/>
    <x v="7"/>
    <s v="FTND"/>
    <s v="RP"/>
    <s v="333"/>
    <s v="4.0 UN"/>
    <s v="STANDARD"/>
    <s v="N"/>
    <s v="Y"/>
    <s v="N"/>
    <s v="T35"/>
    <s v="Y"/>
    <s v="N"/>
    <s v="Y"/>
    <s v="N"/>
    <s v="B032"/>
    <d v="2016-11-30T00:00:00"/>
    <s v="20"/>
    <s v="TAN"/>
    <s v="OR"/>
    <d v="2016-11-25T00:00:00"/>
    <s v="MN"/>
    <s v="US"/>
    <s v="ZR"/>
    <d v="2016-11-26T00:00:00"/>
  </r>
  <r>
    <x v="1"/>
    <x v="7"/>
    <x v="1935"/>
    <x v="41"/>
    <s v="Standard order"/>
    <x v="1823"/>
    <x v="1814"/>
    <s v="8500"/>
    <s v="BTS 8500"/>
    <s v="5002855"/>
    <s v="8500 BTS T35 PB SYSTIVA P200"/>
    <n v="128"/>
    <n v="0"/>
    <n v="128"/>
    <x v="7"/>
    <s v="FTND"/>
    <s v="PRO 200"/>
    <s v="333"/>
    <s v="4.0 UN"/>
    <s v="STANDARD"/>
    <s v="N"/>
    <s v="Y"/>
    <s v="N"/>
    <s v="T35"/>
    <s v="Y"/>
    <s v="N"/>
    <s v="Y"/>
    <s v="N"/>
    <s v="B032"/>
    <d v="2016-11-30T00:00:00"/>
    <s v="20"/>
    <s v="TAN"/>
    <s v="OR"/>
    <d v="2016-11-25T00:00:00"/>
    <s v="MN"/>
    <s v="US"/>
    <s v="ZR"/>
    <d v="2016-11-26T00:00:00"/>
  </r>
  <r>
    <x v="1"/>
    <x v="7"/>
    <x v="1936"/>
    <x v="41"/>
    <s v="Standard order"/>
    <x v="1824"/>
    <x v="1815"/>
    <s v="8512"/>
    <s v="BTS 8512"/>
    <s v="5002864"/>
    <s v="8512 BTS T20 SYSTIVA MP"/>
    <n v="24"/>
    <n v="0"/>
    <n v="24"/>
    <x v="7"/>
    <s v="FX73"/>
    <s v="MP"/>
    <s v="326"/>
    <s v="4.0 UN"/>
    <s v="STANDARD"/>
    <s v="N"/>
    <s v="N"/>
    <s v="N"/>
    <s v="T20"/>
    <s v="Y"/>
    <s v="N"/>
    <s v="Y"/>
    <s v="N"/>
    <s v="B032"/>
    <d v="2016-11-30T00:00:00"/>
    <s v="20"/>
    <s v="TAN"/>
    <s v="OR"/>
    <d v="2016-11-25T00:00:00"/>
    <s v="ND"/>
    <s v="US"/>
    <s v="ZR"/>
    <d v="2016-11-26T00:00:00"/>
  </r>
  <r>
    <x v="1"/>
    <x v="7"/>
    <x v="1937"/>
    <x v="41"/>
    <s v="Standard order"/>
    <x v="1825"/>
    <x v="1816"/>
    <s v="8512"/>
    <s v="BTS 8512"/>
    <s v="5002864"/>
    <s v="8512 BTS T20 SYSTIVA MP"/>
    <n v="24"/>
    <n v="0"/>
    <n v="24"/>
    <x v="7"/>
    <s v="FX73"/>
    <s v="MP"/>
    <s v="326"/>
    <s v="4.0 UN"/>
    <s v="STANDARD"/>
    <s v="N"/>
    <s v="N"/>
    <s v="N"/>
    <s v="T20"/>
    <s v="Y"/>
    <s v="N"/>
    <s v="Y"/>
    <s v="N"/>
    <s v="B032"/>
    <d v="2016-11-30T00:00:00"/>
    <s v="20"/>
    <s v="TAN"/>
    <s v="OR"/>
    <d v="2016-11-25T00:00:00"/>
    <s v="MN"/>
    <s v="US"/>
    <s v="ZR"/>
    <d v="2016-11-26T00:00:00"/>
  </r>
  <r>
    <x v="1"/>
    <x v="5"/>
    <x v="1938"/>
    <x v="12"/>
    <s v="Standard order"/>
    <x v="1826"/>
    <x v="21"/>
    <s v="398N"/>
    <s v="BTS 39RR8N"/>
    <s v="5002572"/>
    <s v="39RR8N RP BetaShield PLUS"/>
    <n v="128"/>
    <n v="0"/>
    <n v="128"/>
    <x v="5"/>
    <s v="2771"/>
    <s v="RP"/>
    <s v="322"/>
    <s v="4.0 UN"/>
    <s v="STANDARD"/>
    <s v="N"/>
    <s v="Y"/>
    <s v="N"/>
    <s v="T20"/>
    <s v="Y"/>
    <s v="N"/>
    <s v="N"/>
    <s v="N"/>
    <s v=""/>
    <d v="2016-11-30T00:00:00"/>
    <s v="40"/>
    <s v="TAN"/>
    <s v="OR"/>
    <d v="2016-11-26T00:00:00"/>
    <s v="MT"/>
    <s v="US"/>
    <s v="ZR"/>
    <d v="2016-11-27T00:00:00"/>
  </r>
  <r>
    <x v="1"/>
    <x v="5"/>
    <x v="1938"/>
    <x v="12"/>
    <s v="Standard order"/>
    <x v="1826"/>
    <x v="21"/>
    <s v="353N"/>
    <s v="BTS 353N"/>
    <s v="5002524"/>
    <s v="353N BTS T20 PB SYSTIVA RP"/>
    <n v="16"/>
    <n v="0"/>
    <n v="16"/>
    <x v="5"/>
    <s v="EENZ"/>
    <s v="RP"/>
    <s v="322"/>
    <s v="4.0 UN"/>
    <s v="STANDARD"/>
    <s v="N"/>
    <s v="Y"/>
    <s v="N"/>
    <s v="T20"/>
    <s v="Y"/>
    <s v="N"/>
    <s v="N"/>
    <s v="N"/>
    <s v="B014"/>
    <d v="2016-11-30T00:00:00"/>
    <s v="10"/>
    <s v="TAN"/>
    <s v="OR"/>
    <d v="2016-11-26T00:00:00"/>
    <s v="MT"/>
    <s v="US"/>
    <s v="ZR"/>
    <d v="2016-11-27T00:00:00"/>
  </r>
  <r>
    <x v="1"/>
    <x v="5"/>
    <x v="1938"/>
    <x v="12"/>
    <s v="Standard order"/>
    <x v="1826"/>
    <x v="21"/>
    <s v="336N"/>
    <s v="BTS 336N"/>
    <s v="5002400"/>
    <s v="336N BTS T20 PB SYSTIVA RP"/>
    <n v="104"/>
    <n v="0"/>
    <n v="104"/>
    <x v="5"/>
    <s v="EEMG"/>
    <s v="RP"/>
    <s v="322"/>
    <s v="4.0 UN"/>
    <s v="STANDARD"/>
    <s v="N"/>
    <s v="N"/>
    <s v="N"/>
    <s v="T20"/>
    <s v="Y"/>
    <s v="N"/>
    <s v="N"/>
    <s v="N"/>
    <s v="B014"/>
    <d v="2016-11-30T00:00:00"/>
    <s v="20"/>
    <s v="TAN"/>
    <s v="OR"/>
    <d v="2016-11-26T00:00:00"/>
    <s v="MT"/>
    <s v="US"/>
    <s v="ZR"/>
    <d v="2016-11-27T00:00:00"/>
  </r>
  <r>
    <x v="1"/>
    <x v="7"/>
    <x v="1939"/>
    <x v="36"/>
    <s v="Standard order"/>
    <x v="1827"/>
    <x v="1817"/>
    <s v="8512"/>
    <s v="BTS 8512"/>
    <s v="5002876"/>
    <s v="8512 BTS T35 PB SYSTIVA RP"/>
    <n v="12"/>
    <n v="0"/>
    <n v="12"/>
    <x v="7"/>
    <s v="FX73"/>
    <s v="RP"/>
    <s v="333"/>
    <s v="4.0 UN"/>
    <s v="STANDARD"/>
    <s v="N"/>
    <s v="Y"/>
    <s v="N"/>
    <s v="T35"/>
    <s v="Y"/>
    <s v="N"/>
    <s v="Y"/>
    <s v="N"/>
    <s v="B027"/>
    <d v="2016-12-01T00:00:00"/>
    <s v="20"/>
    <s v="TAN"/>
    <s v="OR"/>
    <d v="2016-11-28T00:00:00"/>
    <s v="MN"/>
    <s v="US"/>
    <s v="ZR"/>
    <d v="2016-11-28T00:00:00"/>
  </r>
  <r>
    <x v="1"/>
    <x v="7"/>
    <x v="1939"/>
    <x v="36"/>
    <s v="Standard order"/>
    <x v="1827"/>
    <x v="1817"/>
    <s v="8052"/>
    <s v="BTS 80RR52"/>
    <s v="5002735"/>
    <s v="8052 BTS T35 PB SYSTIVA RP"/>
    <n v="24"/>
    <n v="0"/>
    <n v="24"/>
    <x v="7"/>
    <s v="AP82"/>
    <s v="RP"/>
    <s v="333"/>
    <s v="4.0 UN"/>
    <s v="STANDARD"/>
    <s v="N"/>
    <s v="Y"/>
    <s v="N"/>
    <s v="T35"/>
    <s v="Y"/>
    <s v="N"/>
    <s v="Y"/>
    <s v="N"/>
    <s v="B027"/>
    <d v="2016-12-01T00:00:00"/>
    <s v="10"/>
    <s v="TAN"/>
    <s v="OR"/>
    <d v="2016-11-28T00:00:00"/>
    <s v="MN"/>
    <s v="US"/>
    <s v="ZR"/>
    <d v="2016-11-28T00:00:00"/>
  </r>
  <r>
    <x v="1"/>
    <x v="7"/>
    <x v="1940"/>
    <x v="36"/>
    <s v="Standard order"/>
    <x v="1828"/>
    <x v="1818"/>
    <s v="8052"/>
    <s v="BTS 80RR52"/>
    <s v="5002735"/>
    <s v="8052 BTS T35 PB SYSTIVA RP"/>
    <n v="96"/>
    <n v="0"/>
    <n v="96"/>
    <x v="7"/>
    <s v="AP82"/>
    <s v="RP"/>
    <s v="333"/>
    <s v="4.0 UN"/>
    <s v="STANDARD"/>
    <s v="N"/>
    <s v="Y"/>
    <s v="N"/>
    <s v="T35"/>
    <s v="Y"/>
    <s v="N"/>
    <s v="Y"/>
    <s v="N"/>
    <s v="B027"/>
    <d v="2016-12-01T00:00:00"/>
    <s v="10"/>
    <s v="TAN"/>
    <s v="OR"/>
    <d v="2016-11-28T00:00:00"/>
    <s v="MN"/>
    <s v="US"/>
    <s v="ZR"/>
    <d v="2016-11-28T00:00:00"/>
  </r>
  <r>
    <x v="1"/>
    <x v="7"/>
    <x v="1940"/>
    <x v="36"/>
    <s v="Standard order"/>
    <x v="1828"/>
    <x v="1818"/>
    <s v="8500"/>
    <s v="BTS 8500"/>
    <s v="5002856"/>
    <s v="8500 BTS T35 PB SYSTIVA RP"/>
    <n v="96"/>
    <n v="0"/>
    <n v="96"/>
    <x v="7"/>
    <s v="FTND"/>
    <s v="RP"/>
    <s v="333"/>
    <s v="4.0 UN"/>
    <s v="STANDARD"/>
    <s v="N"/>
    <s v="Y"/>
    <s v="N"/>
    <s v="T35"/>
    <s v="Y"/>
    <s v="N"/>
    <s v="Y"/>
    <s v="N"/>
    <s v="B027"/>
    <d v="2016-12-01T00:00:00"/>
    <s v="20"/>
    <s v="TAN"/>
    <s v="OR"/>
    <d v="2016-11-28T00:00:00"/>
    <s v="MN"/>
    <s v="US"/>
    <s v="ZR"/>
    <d v="2016-11-28T00:00:00"/>
  </r>
  <r>
    <x v="1"/>
    <x v="7"/>
    <x v="1941"/>
    <x v="37"/>
    <s v="Standard order"/>
    <x v="1829"/>
    <x v="1819"/>
    <s v="8500"/>
    <s v="BTS 8500"/>
    <s v="5002855"/>
    <s v="8500 BTS T35 PB SYSTIVA P200"/>
    <n v="192"/>
    <n v="0"/>
    <n v="192"/>
    <x v="7"/>
    <s v="FTND"/>
    <s v="PRO 200"/>
    <s v="333"/>
    <s v="4.0 UN"/>
    <s v="STANDARD"/>
    <s v="N"/>
    <s v="Y"/>
    <s v="N"/>
    <s v="T35"/>
    <s v="Y"/>
    <s v="N"/>
    <s v="Y"/>
    <s v="N"/>
    <s v="B033"/>
    <d v="2016-12-01T00:00:00"/>
    <s v="10"/>
    <s v="TAN"/>
    <s v="OR"/>
    <d v="2016-11-28T00:00:00"/>
    <s v="ND"/>
    <s v="US"/>
    <s v="ZR"/>
    <d v="2016-11-28T00:00:00"/>
  </r>
  <r>
    <x v="1"/>
    <x v="7"/>
    <x v="1942"/>
    <x v="37"/>
    <s v="Standard order"/>
    <x v="1830"/>
    <x v="1820"/>
    <s v="8500"/>
    <s v="BTS 8500"/>
    <s v="5002843"/>
    <s v="8500 BTS T20 PB SYSTIVA MP"/>
    <n v="96"/>
    <n v="0"/>
    <n v="96"/>
    <x v="7"/>
    <s v="FTND"/>
    <s v="MP"/>
    <s v="322"/>
    <s v="4.0 UN"/>
    <s v="STANDARD"/>
    <s v="N"/>
    <s v="N"/>
    <s v="N"/>
    <s v="T20"/>
    <s v="Y"/>
    <s v="N"/>
    <s v="Y"/>
    <s v="N"/>
    <s v="B033"/>
    <d v="2016-12-01T00:00:00"/>
    <s v="10"/>
    <s v="TAN"/>
    <s v="OR"/>
    <d v="2016-11-28T00:00:00"/>
    <s v="ND"/>
    <s v="US"/>
    <s v="ZR"/>
    <d v="2016-11-28T00:00:00"/>
  </r>
  <r>
    <x v="1"/>
    <x v="7"/>
    <x v="1943"/>
    <x v="37"/>
    <s v="Standard order"/>
    <x v="1831"/>
    <x v="1821"/>
    <s v="8524"/>
    <s v="BTS 8524"/>
    <s v="5002895"/>
    <s v="8524 BTS T35 PB SYSTIVA P200"/>
    <n v="128"/>
    <n v="0"/>
    <n v="128"/>
    <x v="7"/>
    <s v="FWND"/>
    <s v="PRO 200"/>
    <s v="333"/>
    <s v="4.0 UN"/>
    <s v="STANDARD"/>
    <s v="N"/>
    <s v="Y"/>
    <s v="N"/>
    <s v="T35"/>
    <s v="Y"/>
    <s v="N"/>
    <s v="Y"/>
    <s v="N"/>
    <s v="B033"/>
    <d v="2016-12-01T00:00:00"/>
    <s v="10"/>
    <s v="TAN"/>
    <s v="OR"/>
    <d v="2016-11-28T00:00:00"/>
    <s v="ND"/>
    <s v="US"/>
    <s v="ZR"/>
    <d v="2016-11-28T00:00:00"/>
  </r>
  <r>
    <x v="1"/>
    <x v="7"/>
    <x v="1943"/>
    <x v="37"/>
    <s v="Standard order"/>
    <x v="1831"/>
    <x v="1821"/>
    <s v="8337"/>
    <s v="BTS 8337"/>
    <s v="5002794"/>
    <s v="8337 BTS T35 PB SYSTIVA P200"/>
    <n v="320"/>
    <n v="0"/>
    <n v="320"/>
    <x v="7"/>
    <s v="DHMC"/>
    <s v="PRO 200"/>
    <s v="333"/>
    <s v="4.0 UN"/>
    <s v="STANDARD"/>
    <s v="N"/>
    <s v="Y"/>
    <s v="N"/>
    <s v="T35"/>
    <s v="Y"/>
    <s v="N"/>
    <s v="Y"/>
    <s v="N"/>
    <s v="B033"/>
    <d v="2016-12-01T00:00:00"/>
    <s v="20"/>
    <s v="TAN"/>
    <s v="OR"/>
    <d v="2016-11-28T00:00:00"/>
    <s v="ND"/>
    <s v="US"/>
    <s v="ZR"/>
    <d v="2016-11-28T00:00:00"/>
  </r>
  <r>
    <x v="1"/>
    <x v="7"/>
    <x v="1944"/>
    <x v="37"/>
    <s v="Standard order"/>
    <x v="1832"/>
    <x v="1822"/>
    <s v="8524"/>
    <s v="BTS 8524"/>
    <s v="5002896"/>
    <s v="8524 BTS T35 PB SYSTIVA RP"/>
    <n v="160"/>
    <n v="0"/>
    <n v="160"/>
    <x v="7"/>
    <s v="FWND"/>
    <s v="RP"/>
    <s v="333"/>
    <s v="4.0 UN"/>
    <s v="STANDARD"/>
    <s v="N"/>
    <s v="Y"/>
    <s v="N"/>
    <s v="T35"/>
    <s v="Y"/>
    <s v="N"/>
    <s v="Y"/>
    <s v="N"/>
    <s v="B033"/>
    <d v="2016-12-01T00:00:00"/>
    <s v="10"/>
    <s v="TAN"/>
    <s v="OR"/>
    <d v="2016-11-28T00:00:00"/>
    <s v="ND"/>
    <s v="US"/>
    <s v="ZR"/>
    <d v="2016-11-28T00:00:00"/>
  </r>
  <r>
    <x v="1"/>
    <x v="7"/>
    <x v="1944"/>
    <x v="37"/>
    <s v="Standard order"/>
    <x v="1832"/>
    <x v="1822"/>
    <s v="8500"/>
    <s v="BTS 8500"/>
    <s v="5002856"/>
    <s v="8500 BTS T35 PB SYSTIVA RP"/>
    <n v="160"/>
    <n v="0"/>
    <n v="160"/>
    <x v="7"/>
    <s v="FTND"/>
    <s v="RP"/>
    <s v="333"/>
    <s v="4.0 UN"/>
    <s v="STANDARD"/>
    <s v="N"/>
    <s v="Y"/>
    <s v="N"/>
    <s v="T35"/>
    <s v="Y"/>
    <s v="N"/>
    <s v="Y"/>
    <s v="N"/>
    <s v="B033"/>
    <d v="2016-12-01T00:00:00"/>
    <s v="20"/>
    <s v="TAN"/>
    <s v="OR"/>
    <d v="2016-11-28T00:00:00"/>
    <s v="ND"/>
    <s v="US"/>
    <s v="ZR"/>
    <d v="2016-11-28T00:00:00"/>
  </r>
  <r>
    <x v="1"/>
    <x v="5"/>
    <x v="1945"/>
    <x v="9"/>
    <s v="Standard order"/>
    <x v="1833"/>
    <x v="28"/>
    <s v="398N"/>
    <s v="BTS 39RR8N"/>
    <s v="5002570"/>
    <s v="39RR8N P200 BetaShield PLUS"/>
    <n v="32"/>
    <n v="0"/>
    <n v="32"/>
    <x v="5"/>
    <s v="2771"/>
    <s v="PRO 200"/>
    <s v="322"/>
    <s v="4.0 UN"/>
    <s v="STANDARD"/>
    <s v="N"/>
    <s v="Y"/>
    <s v="N"/>
    <s v="T20"/>
    <s v="Y"/>
    <s v="N"/>
    <s v="N"/>
    <s v="N"/>
    <s v=""/>
    <d v="2016-12-01T00:00:00"/>
    <s v="30"/>
    <s v="TAN"/>
    <s v="OR"/>
    <d v="2016-11-28T00:00:00"/>
    <s v="WY"/>
    <s v="US"/>
    <s v="ZR"/>
    <d v="2016-11-28T00:00:00"/>
  </r>
  <r>
    <x v="1"/>
    <x v="5"/>
    <x v="1945"/>
    <x v="9"/>
    <s v="Standard order"/>
    <x v="1833"/>
    <x v="28"/>
    <s v="336N"/>
    <s v="BTS 336N"/>
    <s v="5002199"/>
    <s v="336N BTS T20 PB SYSTIVA P200"/>
    <n v="36"/>
    <n v="0"/>
    <n v="36"/>
    <x v="5"/>
    <s v="EEMG"/>
    <s v="PRO 200"/>
    <s v="322"/>
    <s v="4.0 UN"/>
    <s v="STANDARD"/>
    <s v="N"/>
    <s v="N"/>
    <s v="N"/>
    <s v="T20"/>
    <s v="Y"/>
    <s v="N"/>
    <s v="N"/>
    <s v="N"/>
    <s v="B016"/>
    <d v="2016-12-01T00:00:00"/>
    <s v="20"/>
    <s v="TAN"/>
    <s v="OR"/>
    <d v="2016-11-28T00:00:00"/>
    <s v="WY"/>
    <s v="US"/>
    <s v="ZR"/>
    <d v="2016-11-28T00:00:00"/>
  </r>
  <r>
    <x v="1"/>
    <x v="5"/>
    <x v="1946"/>
    <x v="9"/>
    <s v="Standard order"/>
    <x v="1834"/>
    <x v="30"/>
    <s v="336N"/>
    <s v="BTS 336N"/>
    <s v="5002400"/>
    <s v="336N BTS T20 PB SYSTIVA RP"/>
    <n v="40"/>
    <n v="0"/>
    <n v="40"/>
    <x v="5"/>
    <s v="EEMG"/>
    <s v="RP"/>
    <s v="322"/>
    <s v="4.0 UN"/>
    <s v="STANDARD"/>
    <s v="N"/>
    <s v="N"/>
    <s v="N"/>
    <s v="T20"/>
    <s v="Y"/>
    <s v="N"/>
    <s v="N"/>
    <s v="N"/>
    <s v="B016"/>
    <d v="2016-12-01T00:00:00"/>
    <s v="10"/>
    <s v="TAN"/>
    <s v="OR"/>
    <d v="2016-11-28T00:00:00"/>
    <s v="WY"/>
    <s v="US"/>
    <s v="ZR"/>
    <d v="2016-11-28T00:00:00"/>
  </r>
  <r>
    <x v="1"/>
    <x v="7"/>
    <x v="1947"/>
    <x v="37"/>
    <s v="Standard order"/>
    <x v="1835"/>
    <x v="1823"/>
    <s v="8500"/>
    <s v="BTS 8500"/>
    <s v="5002855"/>
    <s v="8500 BTS T35 PB SYSTIVA P200"/>
    <n v="104"/>
    <n v="0"/>
    <n v="104"/>
    <x v="7"/>
    <s v="FTND"/>
    <s v="PRO 200"/>
    <s v="333"/>
    <s v="4.0 UN"/>
    <s v="STANDARD"/>
    <s v="N"/>
    <s v="Y"/>
    <s v="N"/>
    <s v="T35"/>
    <s v="Y"/>
    <s v="N"/>
    <s v="Y"/>
    <s v="N"/>
    <s v="B033"/>
    <d v="2016-12-01T00:00:00"/>
    <s v="10"/>
    <s v="TAN"/>
    <s v="OR"/>
    <d v="2016-11-28T00:00:00"/>
    <s v="ND"/>
    <s v="US"/>
    <s v="ZR"/>
    <d v="2016-11-28T00:00:00"/>
  </r>
  <r>
    <x v="1"/>
    <x v="7"/>
    <x v="1948"/>
    <x v="36"/>
    <s v="Standard order"/>
    <x v="1836"/>
    <x v="1824"/>
    <s v="8337"/>
    <s v="BTS 8337"/>
    <s v="5002795"/>
    <s v="8337 BTS T35 PB SYSTIVA RP"/>
    <n v="72"/>
    <n v="0"/>
    <n v="72"/>
    <x v="7"/>
    <s v="DHMC"/>
    <s v="RP"/>
    <s v="333"/>
    <s v="4.0 UN"/>
    <s v="STANDARD"/>
    <s v="N"/>
    <s v="Y"/>
    <s v="N"/>
    <s v="T35"/>
    <s v="Y"/>
    <s v="N"/>
    <s v="Y"/>
    <s v="N"/>
    <s v="B027"/>
    <d v="2016-12-01T00:00:00"/>
    <s v="10"/>
    <s v="TAN"/>
    <s v="OR"/>
    <d v="2016-11-28T00:00:00"/>
    <s v="MN"/>
    <s v="US"/>
    <s v="ZR"/>
    <d v="2016-11-28T00:00:00"/>
  </r>
  <r>
    <x v="1"/>
    <x v="7"/>
    <x v="1948"/>
    <x v="36"/>
    <s v="Standard order"/>
    <x v="1836"/>
    <x v="1824"/>
    <s v="8052"/>
    <s v="BTS 80RR52"/>
    <s v="5002735"/>
    <s v="8052 BTS T35 PB SYSTIVA RP"/>
    <n v="72"/>
    <n v="0"/>
    <n v="72"/>
    <x v="7"/>
    <s v="AP82"/>
    <s v="RP"/>
    <s v="333"/>
    <s v="4.0 UN"/>
    <s v="STANDARD"/>
    <s v="N"/>
    <s v="Y"/>
    <s v="N"/>
    <s v="T35"/>
    <s v="Y"/>
    <s v="N"/>
    <s v="Y"/>
    <s v="N"/>
    <s v="B027"/>
    <d v="2016-12-01T00:00:00"/>
    <s v="20"/>
    <s v="TAN"/>
    <s v="OR"/>
    <d v="2016-11-28T00:00:00"/>
    <s v="MN"/>
    <s v="US"/>
    <s v="ZR"/>
    <d v="2016-11-28T00:00:00"/>
  </r>
  <r>
    <x v="1"/>
    <x v="7"/>
    <x v="1948"/>
    <x v="36"/>
    <s v="Standard order"/>
    <x v="1836"/>
    <x v="1824"/>
    <s v="8500"/>
    <s v="BTS 8500"/>
    <s v="5002856"/>
    <s v="8500 BTS T35 PB SYSTIVA RP"/>
    <n v="72"/>
    <n v="0"/>
    <n v="72"/>
    <x v="7"/>
    <s v="FTND"/>
    <s v="RP"/>
    <s v="333"/>
    <s v="4.0 UN"/>
    <s v="STANDARD"/>
    <s v="N"/>
    <s v="Y"/>
    <s v="N"/>
    <s v="T35"/>
    <s v="Y"/>
    <s v="N"/>
    <s v="Y"/>
    <s v="N"/>
    <s v="B027"/>
    <d v="2016-12-01T00:00:00"/>
    <s v="30"/>
    <s v="TAN"/>
    <s v="OR"/>
    <d v="2016-11-28T00:00:00"/>
    <s v="MN"/>
    <s v="US"/>
    <s v="ZR"/>
    <d v="2016-11-28T00:00:00"/>
  </r>
  <r>
    <x v="1"/>
    <x v="7"/>
    <x v="1949"/>
    <x v="36"/>
    <s v="Standard order"/>
    <x v="1837"/>
    <x v="1825"/>
    <s v="8500"/>
    <s v="BTS 8500"/>
    <s v="5002855"/>
    <s v="8500 BTS T35 PB SYSTIVA P200"/>
    <n v="96"/>
    <n v="0"/>
    <n v="96"/>
    <x v="7"/>
    <s v="FTND"/>
    <s v="PRO 200"/>
    <s v="333"/>
    <s v="4.0 UN"/>
    <s v="STANDARD"/>
    <s v="N"/>
    <s v="Y"/>
    <s v="N"/>
    <s v="T35"/>
    <s v="Y"/>
    <s v="N"/>
    <s v="Y"/>
    <s v="N"/>
    <s v="B027"/>
    <d v="2016-12-01T00:00:00"/>
    <s v="10"/>
    <s v="TAN"/>
    <s v="OR"/>
    <d v="2016-11-28T00:00:00"/>
    <s v="ND"/>
    <s v="US"/>
    <s v="ZR"/>
    <d v="2016-11-28T00:00:00"/>
  </r>
  <r>
    <x v="1"/>
    <x v="7"/>
    <x v="1949"/>
    <x v="36"/>
    <s v="Standard order"/>
    <x v="1837"/>
    <x v="1825"/>
    <s v="8512"/>
    <s v="BTS 8512"/>
    <s v="5002875"/>
    <s v="8512 BTS T35 PB SYSTIVA P200"/>
    <n v="96"/>
    <n v="0"/>
    <n v="96"/>
    <x v="7"/>
    <s v="FX73"/>
    <s v="PRO 200"/>
    <s v="333"/>
    <s v="4.0 UN"/>
    <s v="STANDARD"/>
    <s v="N"/>
    <s v="Y"/>
    <s v="N"/>
    <s v="T35"/>
    <s v="Y"/>
    <s v="N"/>
    <s v="Y"/>
    <s v="N"/>
    <s v="B027"/>
    <d v="2016-12-01T00:00:00"/>
    <s v="20"/>
    <s v="TAN"/>
    <s v="OR"/>
    <d v="2016-11-28T00:00:00"/>
    <s v="ND"/>
    <s v="US"/>
    <s v="ZR"/>
    <d v="2016-11-28T00:00:00"/>
  </r>
  <r>
    <x v="1"/>
    <x v="7"/>
    <x v="1949"/>
    <x v="36"/>
    <s v="Standard order"/>
    <x v="1837"/>
    <x v="1825"/>
    <s v="83CN"/>
    <s v="BTS 83CN"/>
    <s v="5002835"/>
    <s v="83CN BTS T35 PB SYSTIVA P200"/>
    <n v="24"/>
    <n v="0"/>
    <n v="24"/>
    <x v="7"/>
    <s v="EE73"/>
    <s v="PRO 200"/>
    <s v="333"/>
    <s v="4.0 UN"/>
    <s v="STANDARD"/>
    <s v="N"/>
    <s v="Y"/>
    <s v="N"/>
    <s v="T35"/>
    <s v="Y"/>
    <s v="N"/>
    <s v="Y"/>
    <s v="N"/>
    <s v="B027"/>
    <d v="2016-12-01T00:00:00"/>
    <s v="30"/>
    <s v="TAN"/>
    <s v="OR"/>
    <d v="2016-11-28T00:00:00"/>
    <s v="ND"/>
    <s v="US"/>
    <s v="ZR"/>
    <d v="2016-11-28T00:00:00"/>
  </r>
  <r>
    <x v="1"/>
    <x v="7"/>
    <x v="1949"/>
    <x v="36"/>
    <s v="Standard order"/>
    <x v="1837"/>
    <x v="1825"/>
    <s v="8363"/>
    <s v="BTS 8363"/>
    <s v="5002815"/>
    <s v="8363 BTS T35 PB SYSTIVA P200"/>
    <n v="24"/>
    <n v="0"/>
    <n v="24"/>
    <x v="7"/>
    <s v="DMMZ"/>
    <s v="PRO 200"/>
    <s v="333"/>
    <s v="4.0 UN"/>
    <s v="STANDARD"/>
    <s v="N"/>
    <s v="Y"/>
    <s v="N"/>
    <s v="T35"/>
    <s v="Y"/>
    <s v="N"/>
    <s v="Y"/>
    <s v="N"/>
    <s v="B027"/>
    <d v="2016-12-01T00:00:00"/>
    <s v="40"/>
    <s v="TAN"/>
    <s v="OR"/>
    <d v="2016-11-28T00:00:00"/>
    <s v="ND"/>
    <s v="US"/>
    <s v="ZR"/>
    <d v="2016-11-28T00:00:00"/>
  </r>
  <r>
    <x v="1"/>
    <x v="7"/>
    <x v="1950"/>
    <x v="41"/>
    <s v="Standard order"/>
    <x v="1838"/>
    <x v="1826"/>
    <s v="8500"/>
    <s v="BTS 8500"/>
    <s v="5002856"/>
    <s v="8500 BTS T35 PB SYSTIVA RP"/>
    <n v="80"/>
    <n v="0"/>
    <n v="80"/>
    <x v="7"/>
    <s v="FTND"/>
    <s v="RP"/>
    <s v="333"/>
    <s v="4.0 UN"/>
    <s v="STANDARD"/>
    <s v="N"/>
    <s v="Y"/>
    <s v="N"/>
    <s v="T35"/>
    <s v="Y"/>
    <s v="N"/>
    <s v="Y"/>
    <s v="N"/>
    <s v="B032"/>
    <d v="2016-12-01T00:00:00"/>
    <s v="10"/>
    <s v="TAN"/>
    <s v="OR"/>
    <d v="2016-11-28T00:00:00"/>
    <s v="MN"/>
    <s v="US"/>
    <s v="ZR"/>
    <d v="2016-11-28T00:00:00"/>
  </r>
  <r>
    <x v="1"/>
    <x v="7"/>
    <x v="1951"/>
    <x v="28"/>
    <s v="Standard order"/>
    <x v="1839"/>
    <x v="1827"/>
    <s v="8052"/>
    <s v="BTS 80RR52"/>
    <s v="5002739"/>
    <s v="8052 BTS T35 SYSTIVA RP"/>
    <n v="48"/>
    <n v="0"/>
    <n v="48"/>
    <x v="7"/>
    <s v="AP82"/>
    <s v="RP"/>
    <s v="334"/>
    <s v="4.0 UN"/>
    <s v="STANDARD"/>
    <s v="N"/>
    <s v="N"/>
    <s v="N"/>
    <s v="T35"/>
    <s v="Y"/>
    <s v="N"/>
    <s v="Y"/>
    <s v="N"/>
    <s v="B056"/>
    <d v="2016-12-01T00:00:00"/>
    <s v="10"/>
    <s v="TAN"/>
    <s v="OR"/>
    <d v="2016-11-28T00:00:00"/>
    <s v="ND"/>
    <s v="US"/>
    <s v="ZR"/>
    <d v="2016-11-28T00:00:00"/>
  </r>
  <r>
    <x v="1"/>
    <x v="4"/>
    <x v="1952"/>
    <x v="46"/>
    <s v="Standard order"/>
    <x v="1840"/>
    <x v="976"/>
    <s v="6027"/>
    <s v="BTS 60RR27"/>
    <s v="5002625"/>
    <s v="6027 BTS PB XL IDH"/>
    <n v="48"/>
    <n v="0"/>
    <n v="48"/>
    <x v="4"/>
    <s v="APMC"/>
    <s v="X-LARGE"/>
    <s v="307"/>
    <s v="4.0 UN"/>
    <s v="STANDARD"/>
    <s v="N"/>
    <s v="Y"/>
    <s v="N"/>
    <s v="N"/>
    <s v="N"/>
    <s v="N"/>
    <s v="N"/>
    <s v="N"/>
    <s v="B049"/>
    <d v="2016-12-01T00:00:00"/>
    <s v="10"/>
    <s v="TAN"/>
    <s v="OR"/>
    <d v="2016-11-28T00:00:00"/>
    <s v="ID"/>
    <s v="US"/>
    <s v="ZR"/>
    <d v="2016-11-28T00:00:00"/>
  </r>
  <r>
    <x v="1"/>
    <x v="4"/>
    <x v="1952"/>
    <x v="46"/>
    <s v="Standard order"/>
    <x v="1840"/>
    <x v="976"/>
    <s v="4933"/>
    <s v="BTS 49RR33"/>
    <s v="5002280"/>
    <s v="4933 BTS PB XL IDH"/>
    <n v="96"/>
    <n v="0"/>
    <n v="96"/>
    <x v="4"/>
    <s v="AKMC"/>
    <s v="X-LARGE"/>
    <s v="307"/>
    <s v="4.0 UN"/>
    <s v="STANDARD"/>
    <s v="N"/>
    <s v="Y"/>
    <s v="N"/>
    <s v="N"/>
    <s v="N"/>
    <s v="N"/>
    <s v="N"/>
    <s v="N"/>
    <s v="B049"/>
    <d v="2016-12-01T00:00:00"/>
    <s v="20"/>
    <s v="TAN"/>
    <s v="OR"/>
    <d v="2016-11-28T00:00:00"/>
    <s v="ID"/>
    <s v="US"/>
    <s v="ZR"/>
    <d v="2016-11-28T00:00:00"/>
  </r>
  <r>
    <x v="1"/>
    <x v="4"/>
    <x v="1952"/>
    <x v="46"/>
    <s v="Standard order"/>
    <x v="1840"/>
    <x v="976"/>
    <s v="2559"/>
    <s v="BTS 2559"/>
    <s v="5002563"/>
    <s v="2559 BTS PB XL"/>
    <n v="48"/>
    <n v="0"/>
    <n v="48"/>
    <x v="4"/>
    <s v="FGNE"/>
    <s v="X-LARGE"/>
    <s v="307"/>
    <s v="4.0 UN"/>
    <s v="STANDARD"/>
    <s v="N"/>
    <s v="Y"/>
    <s v="N"/>
    <s v="N"/>
    <s v="N"/>
    <s v="N"/>
    <s v="N"/>
    <s v="N"/>
    <s v="B049"/>
    <d v="2016-12-01T00:00:00"/>
    <s v="30"/>
    <s v="TAN"/>
    <s v="OR"/>
    <d v="2016-11-28T00:00:00"/>
    <s v="ID"/>
    <s v="US"/>
    <s v="ZR"/>
    <d v="2016-11-28T00:00:00"/>
  </r>
  <r>
    <x v="1"/>
    <x v="4"/>
    <x v="1952"/>
    <x v="46"/>
    <s v="Standard order"/>
    <x v="1840"/>
    <x v="976"/>
    <s v="2125"/>
    <s v="BTS 21RR25"/>
    <s v="5002395"/>
    <s v="2125 BTS PB XL"/>
    <n v="64"/>
    <n v="0"/>
    <n v="64"/>
    <x v="4"/>
    <s v="AP92"/>
    <s v="X-LARGE"/>
    <s v="307"/>
    <s v="4.0 UN"/>
    <s v="STANDARD"/>
    <s v="N"/>
    <s v="Y"/>
    <s v="N"/>
    <s v="N"/>
    <s v="N"/>
    <s v="N"/>
    <s v="N"/>
    <s v="N"/>
    <s v="B049"/>
    <d v="2016-12-01T00:00:00"/>
    <s v="40"/>
    <s v="TAN"/>
    <s v="OR"/>
    <d v="2016-11-28T00:00:00"/>
    <s v="ID"/>
    <s v="US"/>
    <s v="ZR"/>
    <d v="2016-11-28T00:00:00"/>
  </r>
  <r>
    <x v="1"/>
    <x v="4"/>
    <x v="1952"/>
    <x v="46"/>
    <s v="Standard order"/>
    <x v="1840"/>
    <x v="976"/>
    <s v="2570"/>
    <s v="BTS 2570"/>
    <s v="5002555"/>
    <s v="2570 BTS PB XL"/>
    <n v="32"/>
    <n v="0"/>
    <n v="32"/>
    <x v="4"/>
    <s v="EZNS"/>
    <s v="X-LARGE"/>
    <s v="307"/>
    <s v="4.0 UN"/>
    <s v="STANDARD"/>
    <s v="N"/>
    <s v="Y"/>
    <s v="N"/>
    <s v="N"/>
    <s v="N"/>
    <s v="N"/>
    <s v="N"/>
    <s v="N"/>
    <s v="B049"/>
    <d v="2016-12-01T00:00:00"/>
    <s v="50"/>
    <s v="TAN"/>
    <s v="OR"/>
    <d v="2016-11-28T00:00:00"/>
    <s v="ID"/>
    <s v="US"/>
    <s v="ZR"/>
    <d v="2016-11-28T00:00:00"/>
  </r>
  <r>
    <x v="1"/>
    <x v="7"/>
    <x v="1953"/>
    <x v="28"/>
    <s v="Standard order"/>
    <x v="1841"/>
    <x v="1828"/>
    <s v="8500"/>
    <s v="BTS 8500"/>
    <s v="5002856"/>
    <s v="8500 BTS T35 PB SYSTIVA RP"/>
    <n v="100"/>
    <n v="0"/>
    <n v="100"/>
    <x v="7"/>
    <s v="FTND"/>
    <s v="RP"/>
    <s v="333"/>
    <s v="4.0 UN"/>
    <s v="STANDARD"/>
    <s v="N"/>
    <s v="Y"/>
    <s v="N"/>
    <s v="T35"/>
    <s v="Y"/>
    <s v="N"/>
    <s v="Y"/>
    <s v="N"/>
    <s v="B056"/>
    <d v="2016-12-01T00:00:00"/>
    <s v="10"/>
    <s v="TAN"/>
    <s v="OR"/>
    <d v="2016-11-28T00:00:00"/>
    <s v="ND"/>
    <s v="US"/>
    <s v="ZR"/>
    <d v="2016-11-28T00:00:00"/>
  </r>
  <r>
    <x v="1"/>
    <x v="7"/>
    <x v="1953"/>
    <x v="28"/>
    <s v="Standard order"/>
    <x v="1841"/>
    <x v="1828"/>
    <s v="8052"/>
    <s v="BTS 80RR52"/>
    <s v="5002735"/>
    <s v="8052 BTS T35 PB SYSTIVA RP"/>
    <n v="100"/>
    <n v="0"/>
    <n v="100"/>
    <x v="7"/>
    <s v="AP82"/>
    <s v="RP"/>
    <s v="333"/>
    <s v="4.0 UN"/>
    <s v="STANDARD"/>
    <s v="N"/>
    <s v="Y"/>
    <s v="N"/>
    <s v="T35"/>
    <s v="Y"/>
    <s v="N"/>
    <s v="Y"/>
    <s v="N"/>
    <s v="B056"/>
    <d v="2016-12-01T00:00:00"/>
    <s v="20"/>
    <s v="TAN"/>
    <s v="OR"/>
    <d v="2016-11-28T00:00:00"/>
    <s v="ND"/>
    <s v="US"/>
    <s v="ZR"/>
    <d v="2016-11-28T00:00:00"/>
  </r>
  <r>
    <x v="1"/>
    <x v="7"/>
    <x v="1954"/>
    <x v="37"/>
    <s v="Standard order"/>
    <x v="1842"/>
    <x v="1829"/>
    <s v="8052"/>
    <s v="BTS 80RR52"/>
    <s v="5002734"/>
    <s v="8052 BTS T35 PB SYSTIVA P200"/>
    <n v="160"/>
    <n v="0"/>
    <n v="160"/>
    <x v="7"/>
    <s v="AP82"/>
    <s v="PRO 200"/>
    <s v="333"/>
    <s v="4.0 UN"/>
    <s v="STANDARD"/>
    <s v="N"/>
    <s v="Y"/>
    <s v="N"/>
    <s v="T35"/>
    <s v="Y"/>
    <s v="N"/>
    <s v="Y"/>
    <s v="N"/>
    <s v="B033"/>
    <d v="2016-12-01T00:00:00"/>
    <s v="10"/>
    <s v="TAN"/>
    <s v="OR"/>
    <d v="2016-11-28T00:00:00"/>
    <s v="ND"/>
    <s v="US"/>
    <s v="ZR"/>
    <d v="2016-11-28T00:00:00"/>
  </r>
  <r>
    <x v="1"/>
    <x v="7"/>
    <x v="1955"/>
    <x v="37"/>
    <s v="Standard order"/>
    <x v="1843"/>
    <x v="1830"/>
    <s v="8233"/>
    <s v="BTS 82RR33"/>
    <s v="5002775"/>
    <s v="8233 BTS T35 PB SYSTIVA RP"/>
    <n v="96"/>
    <n v="0"/>
    <n v="96"/>
    <x v="7"/>
    <s v="DRMC"/>
    <s v="RP"/>
    <s v="333"/>
    <s v="4.0 UN"/>
    <s v="STANDARD"/>
    <s v="N"/>
    <s v="Y"/>
    <s v="N"/>
    <s v="T35"/>
    <s v="Y"/>
    <s v="N"/>
    <s v="Y"/>
    <s v="N"/>
    <s v="B033"/>
    <d v="2016-12-01T00:00:00"/>
    <s v="10"/>
    <s v="TAN"/>
    <s v="OR"/>
    <d v="2016-11-28T00:00:00"/>
    <s v="ND"/>
    <s v="US"/>
    <s v="ZR"/>
    <d v="2016-11-28T00:00:00"/>
  </r>
  <r>
    <x v="1"/>
    <x v="7"/>
    <x v="1955"/>
    <x v="37"/>
    <s v="Standard order"/>
    <x v="1843"/>
    <x v="1830"/>
    <s v="8500"/>
    <s v="BTS 8500"/>
    <s v="5002856"/>
    <s v="8500 BTS T35 PB SYSTIVA RP"/>
    <n v="96"/>
    <n v="0"/>
    <n v="96"/>
    <x v="7"/>
    <s v="FTND"/>
    <s v="RP"/>
    <s v="333"/>
    <s v="4.0 UN"/>
    <s v="STANDARD"/>
    <s v="N"/>
    <s v="Y"/>
    <s v="N"/>
    <s v="T35"/>
    <s v="Y"/>
    <s v="N"/>
    <s v="Y"/>
    <s v="N"/>
    <s v="B033"/>
    <d v="2016-12-01T00:00:00"/>
    <s v="20"/>
    <s v="TAN"/>
    <s v="OR"/>
    <d v="2016-11-28T00:00:00"/>
    <s v="ND"/>
    <s v="US"/>
    <s v="ZR"/>
    <d v="2016-11-28T00:00:00"/>
  </r>
  <r>
    <x v="1"/>
    <x v="7"/>
    <x v="1956"/>
    <x v="37"/>
    <s v="Standard order"/>
    <x v="1844"/>
    <x v="1831"/>
    <s v="8500"/>
    <s v="BTS 8500"/>
    <s v="5002856"/>
    <s v="8500 BTS T35 PB SYSTIVA RP"/>
    <n v="132"/>
    <n v="0"/>
    <n v="132"/>
    <x v="7"/>
    <s v="FTND"/>
    <s v="RP"/>
    <s v="333"/>
    <s v="4.0 UN"/>
    <s v="STANDARD"/>
    <s v="N"/>
    <s v="Y"/>
    <s v="N"/>
    <s v="T35"/>
    <s v="Y"/>
    <s v="N"/>
    <s v="Y"/>
    <s v="N"/>
    <s v="B033"/>
    <d v="2016-12-01T00:00:00"/>
    <s v="10"/>
    <s v="TAN"/>
    <s v="OR"/>
    <d v="2016-11-28T00:00:00"/>
    <s v="ND"/>
    <s v="US"/>
    <s v="ZR"/>
    <d v="2016-11-28T00:00:00"/>
  </r>
  <r>
    <x v="1"/>
    <x v="5"/>
    <x v="1957"/>
    <x v="9"/>
    <s v="Standard order"/>
    <x v="1845"/>
    <x v="26"/>
    <s v="3650"/>
    <s v="BTS 36RR50"/>
    <s v="5002546"/>
    <s v="3650 BTS T20 PB SYSTIVA P200"/>
    <n v="80"/>
    <n v="0"/>
    <n v="80"/>
    <x v="5"/>
    <s v="4DAY"/>
    <s v="PRO 200"/>
    <s v="322"/>
    <s v="4.0 UN"/>
    <s v="STANDARD"/>
    <s v="N"/>
    <s v="Y"/>
    <s v="N"/>
    <s v="T20"/>
    <s v="Y"/>
    <s v="N"/>
    <s v="N"/>
    <s v="N"/>
    <s v="B016"/>
    <d v="2016-12-01T00:00:00"/>
    <s v="10"/>
    <s v="TAN"/>
    <s v="OR"/>
    <d v="2016-11-28T00:00:00"/>
    <s v="WY"/>
    <s v="US"/>
    <s v="ZR"/>
    <d v="2016-11-28T00:00:00"/>
  </r>
  <r>
    <x v="1"/>
    <x v="5"/>
    <x v="1958"/>
    <x v="9"/>
    <s v="Standard order"/>
    <x v="1846"/>
    <x v="22"/>
    <s v="353N"/>
    <s v="BTS 353N"/>
    <s v="5002524"/>
    <s v="353N BTS T20 PB SYSTIVA RP"/>
    <n v="12"/>
    <n v="0"/>
    <n v="12"/>
    <x v="5"/>
    <s v="EENZ"/>
    <s v="RP"/>
    <s v="322"/>
    <s v="4.0 UN"/>
    <s v="STANDARD"/>
    <s v="N"/>
    <s v="Y"/>
    <s v="N"/>
    <s v="T20"/>
    <s v="Y"/>
    <s v="N"/>
    <s v="N"/>
    <s v="N"/>
    <s v="B016"/>
    <d v="2016-12-01T00:00:00"/>
    <s v="10"/>
    <s v="TAN"/>
    <s v="OR"/>
    <d v="2016-11-28T00:00:00"/>
    <s v="WY"/>
    <s v="US"/>
    <s v="ZR"/>
    <d v="2016-11-28T00:00:00"/>
  </r>
  <r>
    <x v="1"/>
    <x v="5"/>
    <x v="1958"/>
    <x v="9"/>
    <s v="Standard order"/>
    <x v="1846"/>
    <x v="22"/>
    <s v="3650"/>
    <s v="BTS 36RR50"/>
    <s v="5002548"/>
    <s v="3650 BTS T20 PB SYSTIVA RP"/>
    <n v="56"/>
    <n v="0"/>
    <n v="56"/>
    <x v="5"/>
    <s v="4DAY"/>
    <s v="RP"/>
    <s v="322"/>
    <s v="4.0 UN"/>
    <s v="STANDARD"/>
    <s v="N"/>
    <s v="Y"/>
    <s v="N"/>
    <s v="T20"/>
    <s v="Y"/>
    <s v="N"/>
    <s v="N"/>
    <s v="N"/>
    <s v="B016"/>
    <d v="2016-12-01T00:00:00"/>
    <s v="20"/>
    <s v="TAN"/>
    <s v="OR"/>
    <d v="2016-11-28T00:00:00"/>
    <s v="WY"/>
    <s v="US"/>
    <s v="ZR"/>
    <d v="2016-11-28T00:00:00"/>
  </r>
  <r>
    <x v="1"/>
    <x v="5"/>
    <x v="1959"/>
    <x v="9"/>
    <s v="Standard order"/>
    <x v="1847"/>
    <x v="1832"/>
    <s v="353N"/>
    <s v="BTS 353N"/>
    <s v="5002524"/>
    <s v="353N BTS T20 PB SYSTIVA RP"/>
    <n v="4"/>
    <n v="0"/>
    <n v="4"/>
    <x v="5"/>
    <s v="EENZ"/>
    <s v="RP"/>
    <s v="322"/>
    <s v="4.0 UN"/>
    <s v="STANDARD"/>
    <s v="N"/>
    <s v="Y"/>
    <s v="N"/>
    <s v="T20"/>
    <s v="Y"/>
    <s v="N"/>
    <s v="N"/>
    <s v="N"/>
    <s v="B016"/>
    <d v="2016-12-01T00:00:00"/>
    <s v="10"/>
    <s v="TAN"/>
    <s v="OR"/>
    <d v="2016-11-28T00:00:00"/>
    <s v="WY"/>
    <s v="US"/>
    <s v="ZR"/>
    <d v="2016-11-28T00:00:00"/>
  </r>
  <r>
    <x v="1"/>
    <x v="5"/>
    <x v="1959"/>
    <x v="9"/>
    <s v="Standard order"/>
    <x v="1847"/>
    <x v="1832"/>
    <s v="336N"/>
    <s v="BTS 336N"/>
    <s v="5002400"/>
    <s v="336N BTS T20 PB SYSTIVA RP"/>
    <n v="8"/>
    <n v="0"/>
    <n v="8"/>
    <x v="5"/>
    <s v="EEMG"/>
    <s v="RP"/>
    <s v="322"/>
    <s v="4.0 UN"/>
    <s v="STANDARD"/>
    <s v="N"/>
    <s v="N"/>
    <s v="N"/>
    <s v="T20"/>
    <s v="Y"/>
    <s v="N"/>
    <s v="N"/>
    <s v="N"/>
    <s v="B016"/>
    <d v="2016-12-01T00:00:00"/>
    <s v="20"/>
    <s v="TAN"/>
    <s v="OR"/>
    <d v="2016-11-28T00:00:00"/>
    <s v="WY"/>
    <s v="US"/>
    <s v="ZR"/>
    <d v="2016-11-28T00:00:00"/>
  </r>
  <r>
    <x v="1"/>
    <x v="5"/>
    <x v="1960"/>
    <x v="9"/>
    <s v="Standard order"/>
    <x v="1848"/>
    <x v="29"/>
    <s v="336N"/>
    <s v="BTS 336N"/>
    <s v="5002400"/>
    <s v="336N BTS T20 PB SYSTIVA RP"/>
    <n v="44"/>
    <n v="0"/>
    <n v="44"/>
    <x v="5"/>
    <s v="EEMG"/>
    <s v="RP"/>
    <s v="322"/>
    <s v="4.0 UN"/>
    <s v="STANDARD"/>
    <s v="N"/>
    <s v="N"/>
    <s v="N"/>
    <s v="T20"/>
    <s v="Y"/>
    <s v="N"/>
    <s v="N"/>
    <s v="N"/>
    <s v="B016"/>
    <d v="2016-12-01T00:00:00"/>
    <s v="10"/>
    <s v="TAN"/>
    <s v="OR"/>
    <d v="2016-11-28T00:00:00"/>
    <s v="WY"/>
    <s v="US"/>
    <s v="ZR"/>
    <d v="2016-11-28T00:00:00"/>
  </r>
  <r>
    <x v="1"/>
    <x v="5"/>
    <x v="1960"/>
    <x v="9"/>
    <s v="Standard order"/>
    <x v="1848"/>
    <x v="29"/>
    <s v="3650"/>
    <s v="BTS 36RR50"/>
    <s v="5002548"/>
    <s v="3650 BTS T20 PB SYSTIVA RP"/>
    <n v="24"/>
    <n v="0"/>
    <n v="24"/>
    <x v="5"/>
    <s v="4DAY"/>
    <s v="RP"/>
    <s v="322"/>
    <s v="4.0 UN"/>
    <s v="STANDARD"/>
    <s v="N"/>
    <s v="Y"/>
    <s v="N"/>
    <s v="T20"/>
    <s v="Y"/>
    <s v="N"/>
    <s v="N"/>
    <s v="N"/>
    <s v="B016"/>
    <d v="2016-12-01T00:00:00"/>
    <s v="20"/>
    <s v="TAN"/>
    <s v="OR"/>
    <d v="2016-11-28T00:00:00"/>
    <s v="WY"/>
    <s v="US"/>
    <s v="ZR"/>
    <d v="2016-11-28T00:00:00"/>
  </r>
  <r>
    <x v="1"/>
    <x v="5"/>
    <x v="1961"/>
    <x v="9"/>
    <s v="Standard order"/>
    <x v="1849"/>
    <x v="1833"/>
    <s v="398N"/>
    <s v="BTS 39RR8N"/>
    <s v="5002570"/>
    <s v="39RR8N P200 BetaShield PLUS"/>
    <n v="64"/>
    <n v="0"/>
    <n v="64"/>
    <x v="5"/>
    <s v="2771"/>
    <s v="PRO 200"/>
    <s v="322"/>
    <s v="4.0 UN"/>
    <s v="STANDARD"/>
    <s v="N"/>
    <s v="Y"/>
    <s v="N"/>
    <s v="T20"/>
    <s v="Y"/>
    <s v="N"/>
    <s v="N"/>
    <s v="N"/>
    <s v=""/>
    <d v="2016-12-01T00:00:00"/>
    <s v="40"/>
    <s v="TAN"/>
    <s v="OR"/>
    <d v="2016-11-28T00:00:00"/>
    <s v="WY"/>
    <s v="US"/>
    <s v="ZR"/>
    <d v="2016-11-28T00:00:00"/>
  </r>
  <r>
    <x v="1"/>
    <x v="5"/>
    <x v="1961"/>
    <x v="9"/>
    <s v="Standard order"/>
    <x v="1849"/>
    <x v="1833"/>
    <s v="353N"/>
    <s v="BTS 353N"/>
    <s v="5002522"/>
    <s v="353N BTS T20 PB SYSTIVA P200"/>
    <n v="12"/>
    <n v="0"/>
    <n v="12"/>
    <x v="5"/>
    <s v="EENZ"/>
    <s v="PRO 200"/>
    <s v="322"/>
    <s v="4.0 UN"/>
    <s v="STANDARD"/>
    <s v="N"/>
    <s v="Y"/>
    <s v="N"/>
    <s v="T20"/>
    <s v="Y"/>
    <s v="N"/>
    <s v="N"/>
    <s v="N"/>
    <s v="B016"/>
    <d v="2016-12-01T00:00:00"/>
    <s v="10"/>
    <s v="TAN"/>
    <s v="OR"/>
    <d v="2016-11-28T00:00:00"/>
    <s v="WY"/>
    <s v="US"/>
    <s v="ZR"/>
    <d v="2016-11-28T00:00:00"/>
  </r>
  <r>
    <x v="1"/>
    <x v="5"/>
    <x v="1961"/>
    <x v="9"/>
    <s v="Standard order"/>
    <x v="1849"/>
    <x v="1833"/>
    <s v="336N"/>
    <s v="BTS 336N"/>
    <s v="5002199"/>
    <s v="336N BTS T20 PB SYSTIVA P200"/>
    <n v="12"/>
    <n v="0"/>
    <n v="12"/>
    <x v="5"/>
    <s v="EEMG"/>
    <s v="PRO 200"/>
    <s v="322"/>
    <s v="4.0 UN"/>
    <s v="STANDARD"/>
    <s v="N"/>
    <s v="N"/>
    <s v="N"/>
    <s v="T20"/>
    <s v="Y"/>
    <s v="N"/>
    <s v="N"/>
    <s v="N"/>
    <s v="B016"/>
    <d v="2016-12-01T00:00:00"/>
    <s v="20"/>
    <s v="TAN"/>
    <s v="OR"/>
    <d v="2016-11-28T00:00:00"/>
    <s v="WY"/>
    <s v="US"/>
    <s v="ZR"/>
    <d v="2016-11-28T00:00:00"/>
  </r>
  <r>
    <x v="1"/>
    <x v="7"/>
    <x v="1962"/>
    <x v="28"/>
    <s v="Standard order"/>
    <x v="1850"/>
    <x v="1834"/>
    <s v="8337"/>
    <s v="BTS 8337"/>
    <s v="5002795"/>
    <s v="8337 BTS T35 PB SYSTIVA RP"/>
    <n v="32"/>
    <n v="0"/>
    <n v="32"/>
    <x v="7"/>
    <s v="DHMC"/>
    <s v="RP"/>
    <s v="333"/>
    <s v="4.0 UN"/>
    <s v="STANDARD"/>
    <s v="N"/>
    <s v="Y"/>
    <s v="N"/>
    <s v="T35"/>
    <s v="Y"/>
    <s v="N"/>
    <s v="Y"/>
    <s v="N"/>
    <s v="B056"/>
    <d v="2016-12-01T00:00:00"/>
    <s v="10"/>
    <s v="TAN"/>
    <s v="OR"/>
    <d v="2016-11-28T00:00:00"/>
    <s v="ND"/>
    <s v="US"/>
    <s v="ZR"/>
    <d v="2016-11-28T00:00:00"/>
  </r>
  <r>
    <x v="1"/>
    <x v="4"/>
    <x v="1963"/>
    <x v="47"/>
    <s v="Standard order"/>
    <x v="1851"/>
    <x v="91"/>
    <s v="251N"/>
    <s v="BTS 251N"/>
    <s v="5002503"/>
    <s v="251N BTS PB Kabina LRG"/>
    <n v="44"/>
    <n v="0"/>
    <n v="44"/>
    <x v="4"/>
    <s v="5HBR"/>
    <s v="LARGE"/>
    <s v="384"/>
    <s v="4.0 UN"/>
    <s v="STANDARD"/>
    <s v="N"/>
    <s v="Y"/>
    <s v="Y"/>
    <s v="N"/>
    <s v="N"/>
    <s v="N"/>
    <s v="N"/>
    <s v="N"/>
    <s v="B050"/>
    <d v="2016-12-01T00:00:00"/>
    <s v="10"/>
    <s v="TAN"/>
    <s v="OR"/>
    <d v="2016-11-27T00:00:00"/>
    <s v="ID"/>
    <s v="US"/>
    <s v="ZR"/>
    <d v="2016-11-28T00:00:00"/>
  </r>
  <r>
    <x v="1"/>
    <x v="4"/>
    <x v="1963"/>
    <x v="47"/>
    <s v="Standard order"/>
    <x v="1851"/>
    <x v="91"/>
    <s v="2570"/>
    <s v="BTS 2570"/>
    <s v="5002553"/>
    <s v="2570 BTS PB LRG"/>
    <n v="52"/>
    <n v="0"/>
    <n v="52"/>
    <x v="4"/>
    <s v="EZNS"/>
    <s v="LARGE"/>
    <s v="307"/>
    <s v="4.0 UN"/>
    <s v="STANDARD"/>
    <s v="N"/>
    <s v="Y"/>
    <s v="N"/>
    <s v="N"/>
    <s v="N"/>
    <s v="N"/>
    <s v="N"/>
    <s v="N"/>
    <s v="B050"/>
    <d v="2016-12-01T00:00:00"/>
    <s v="20"/>
    <s v="TAN"/>
    <s v="OR"/>
    <d v="2016-11-27T00:00:00"/>
    <s v="ID"/>
    <s v="US"/>
    <s v="ZR"/>
    <d v="2016-11-28T00:00:00"/>
  </r>
  <r>
    <x v="1"/>
    <x v="7"/>
    <x v="1964"/>
    <x v="28"/>
    <s v="Standard order"/>
    <x v="1852"/>
    <x v="1835"/>
    <s v="8052"/>
    <s v="BTS 80RR52"/>
    <s v="5002735"/>
    <s v="8052 BTS T35 PB SYSTIVA RP"/>
    <n v="108"/>
    <n v="0"/>
    <n v="108"/>
    <x v="7"/>
    <s v="AP82"/>
    <s v="RP"/>
    <s v="333"/>
    <s v="4.0 UN"/>
    <s v="STANDARD"/>
    <s v="N"/>
    <s v="Y"/>
    <s v="N"/>
    <s v="T35"/>
    <s v="Y"/>
    <s v="N"/>
    <s v="Y"/>
    <s v="N"/>
    <s v="B056"/>
    <d v="2016-12-01T00:00:00"/>
    <s v="10"/>
    <s v="TAN"/>
    <s v="OR"/>
    <d v="2016-11-28T00:00:00"/>
    <s v="ND"/>
    <s v="US"/>
    <s v="ZR"/>
    <d v="2016-11-28T00:00:00"/>
  </r>
  <r>
    <x v="1"/>
    <x v="7"/>
    <x v="1964"/>
    <x v="28"/>
    <s v="Standard order"/>
    <x v="1852"/>
    <x v="1835"/>
    <s v="8512"/>
    <s v="BTS 8512"/>
    <s v="5002876"/>
    <s v="8512 BTS T35 PB SYSTIVA RP"/>
    <n v="96"/>
    <n v="0"/>
    <n v="96"/>
    <x v="7"/>
    <s v="FX73"/>
    <s v="RP"/>
    <s v="333"/>
    <s v="4.0 UN"/>
    <s v="STANDARD"/>
    <s v="N"/>
    <s v="Y"/>
    <s v="N"/>
    <s v="T35"/>
    <s v="Y"/>
    <s v="N"/>
    <s v="Y"/>
    <s v="N"/>
    <s v="B056"/>
    <d v="2016-12-01T00:00:00"/>
    <s v="20"/>
    <s v="TAN"/>
    <s v="OR"/>
    <d v="2016-11-28T00:00:00"/>
    <s v="ND"/>
    <s v="US"/>
    <s v="ZR"/>
    <d v="2016-11-28T00:00:00"/>
  </r>
  <r>
    <x v="1"/>
    <x v="7"/>
    <x v="1964"/>
    <x v="28"/>
    <s v="Standard order"/>
    <x v="1852"/>
    <x v="1835"/>
    <s v="8500"/>
    <s v="BTS 8500"/>
    <s v="5002856"/>
    <s v="8500 BTS T35 PB SYSTIVA RP"/>
    <n v="96"/>
    <n v="0"/>
    <n v="96"/>
    <x v="7"/>
    <s v="FTND"/>
    <s v="RP"/>
    <s v="333"/>
    <s v="4.0 UN"/>
    <s v="STANDARD"/>
    <s v="N"/>
    <s v="Y"/>
    <s v="N"/>
    <s v="T35"/>
    <s v="Y"/>
    <s v="N"/>
    <s v="Y"/>
    <s v="N"/>
    <s v="B056"/>
    <d v="2016-12-01T00:00:00"/>
    <s v="30"/>
    <s v="TAN"/>
    <s v="OR"/>
    <d v="2016-11-28T00:00:00"/>
    <s v="ND"/>
    <s v="US"/>
    <s v="ZR"/>
    <d v="2016-11-28T00:00:00"/>
  </r>
  <r>
    <x v="1"/>
    <x v="7"/>
    <x v="1965"/>
    <x v="41"/>
    <s v="Standard order"/>
    <x v="1853"/>
    <x v="1836"/>
    <s v="8052"/>
    <s v="BTS 80RR52"/>
    <s v="5002739"/>
    <s v="8052 BTS T35 SYSTIVA RP"/>
    <n v="108"/>
    <n v="0"/>
    <n v="108"/>
    <x v="7"/>
    <s v="AP82"/>
    <s v="RP"/>
    <s v="334"/>
    <s v="4.0 UN"/>
    <s v="STANDARD"/>
    <s v="N"/>
    <s v="N"/>
    <s v="N"/>
    <s v="T35"/>
    <s v="Y"/>
    <s v="N"/>
    <s v="Y"/>
    <s v="N"/>
    <s v="B032"/>
    <d v="2016-12-01T00:00:00"/>
    <s v="10"/>
    <s v="TAN"/>
    <s v="OR"/>
    <d v="2016-11-28T00:00:00"/>
    <s v="ND"/>
    <s v="US"/>
    <s v="ZR"/>
    <d v="2016-11-28T00:00:00"/>
  </r>
  <r>
    <x v="1"/>
    <x v="7"/>
    <x v="1966"/>
    <x v="28"/>
    <s v="Standard order"/>
    <x v="1854"/>
    <x v="1837"/>
    <s v="8337"/>
    <s v="BTS 8337"/>
    <s v="5002795"/>
    <s v="8337 BTS T35 PB SYSTIVA RP"/>
    <n v="44"/>
    <n v="0"/>
    <n v="44"/>
    <x v="7"/>
    <s v="DHMC"/>
    <s v="RP"/>
    <s v="333"/>
    <s v="4.0 UN"/>
    <s v="STANDARD"/>
    <s v="N"/>
    <s v="Y"/>
    <s v="N"/>
    <s v="T35"/>
    <s v="Y"/>
    <s v="N"/>
    <s v="Y"/>
    <s v="N"/>
    <s v="B056"/>
    <d v="2016-12-01T00:00:00"/>
    <s v="10"/>
    <s v="TAN"/>
    <s v="OR"/>
    <d v="2016-11-28T00:00:00"/>
    <s v="ND"/>
    <s v="US"/>
    <s v="ZR"/>
    <d v="2016-11-28T00:00:00"/>
  </r>
  <r>
    <x v="1"/>
    <x v="7"/>
    <x v="1966"/>
    <x v="28"/>
    <s v="Standard order"/>
    <x v="1854"/>
    <x v="1837"/>
    <s v="8512"/>
    <s v="BTS 8512"/>
    <s v="5002876"/>
    <s v="8512 BTS T35 PB SYSTIVA RP"/>
    <n v="36"/>
    <n v="0"/>
    <n v="36"/>
    <x v="7"/>
    <s v="FX73"/>
    <s v="RP"/>
    <s v="333"/>
    <s v="4.0 UN"/>
    <s v="STANDARD"/>
    <s v="N"/>
    <s v="Y"/>
    <s v="N"/>
    <s v="T35"/>
    <s v="Y"/>
    <s v="N"/>
    <s v="Y"/>
    <s v="N"/>
    <s v="B056"/>
    <d v="2016-12-01T00:00:00"/>
    <s v="20"/>
    <s v="TAN"/>
    <s v="OR"/>
    <d v="2016-11-28T00:00:00"/>
    <s v="ND"/>
    <s v="US"/>
    <s v="ZR"/>
    <d v="2016-11-28T00:00:00"/>
  </r>
  <r>
    <x v="1"/>
    <x v="7"/>
    <x v="1966"/>
    <x v="28"/>
    <s v="Standard order"/>
    <x v="1854"/>
    <x v="1837"/>
    <s v="83CN"/>
    <s v="BTS 83CN"/>
    <s v="5002836"/>
    <s v="83CN BTS T35 PB SYSTIVA RP"/>
    <n v="16"/>
    <n v="0"/>
    <n v="16"/>
    <x v="7"/>
    <s v="EE73"/>
    <s v="RP"/>
    <s v="333"/>
    <s v="4.0 UN"/>
    <s v="STANDARD"/>
    <s v="N"/>
    <s v="Y"/>
    <s v="N"/>
    <s v="T35"/>
    <s v="Y"/>
    <s v="N"/>
    <s v="Y"/>
    <s v="N"/>
    <s v="B056"/>
    <d v="2016-12-01T00:00:00"/>
    <s v="30"/>
    <s v="TAN"/>
    <s v="OR"/>
    <d v="2016-11-28T00:00:00"/>
    <s v="ND"/>
    <s v="US"/>
    <s v="ZR"/>
    <d v="2016-11-28T00:00:00"/>
  </r>
  <r>
    <x v="1"/>
    <x v="7"/>
    <x v="1967"/>
    <x v="36"/>
    <s v="Standard order"/>
    <x v="1855"/>
    <x v="1838"/>
    <s v="8500"/>
    <s v="BTS 8500"/>
    <s v="5002855"/>
    <s v="8500 BTS T35 PB SYSTIVA P200"/>
    <n v="48"/>
    <n v="0"/>
    <n v="48"/>
    <x v="7"/>
    <s v="FTND"/>
    <s v="PRO 200"/>
    <s v="333"/>
    <s v="4.0 UN"/>
    <s v="STANDARD"/>
    <s v="N"/>
    <s v="Y"/>
    <s v="N"/>
    <s v="T35"/>
    <s v="Y"/>
    <s v="N"/>
    <s v="Y"/>
    <s v="N"/>
    <s v="B027"/>
    <d v="2016-12-01T00:00:00"/>
    <s v="10"/>
    <s v="TAN"/>
    <s v="OR"/>
    <d v="2016-11-28T00:00:00"/>
    <s v="MN"/>
    <s v="US"/>
    <s v="ZR"/>
    <d v="2016-11-28T00:00:00"/>
  </r>
  <r>
    <x v="1"/>
    <x v="7"/>
    <x v="1968"/>
    <x v="28"/>
    <s v="Standard order"/>
    <x v="1856"/>
    <x v="1839"/>
    <s v="8500"/>
    <s v="BTS 8500"/>
    <s v="5002856"/>
    <s v="8500 BTS T35 PB SYSTIVA RP"/>
    <n v="60"/>
    <n v="0"/>
    <n v="60"/>
    <x v="7"/>
    <s v="FTND"/>
    <s v="RP"/>
    <s v="333"/>
    <s v="4.0 UN"/>
    <s v="STANDARD"/>
    <s v="N"/>
    <s v="Y"/>
    <s v="N"/>
    <s v="T35"/>
    <s v="Y"/>
    <s v="N"/>
    <s v="Y"/>
    <s v="N"/>
    <s v="B056"/>
    <d v="2016-12-01T00:00:00"/>
    <s v="10"/>
    <s v="TAN"/>
    <s v="OR"/>
    <d v="2016-11-28T00:00:00"/>
    <s v="ND"/>
    <s v="US"/>
    <s v="ZR"/>
    <d v="2016-11-28T00:00:00"/>
  </r>
  <r>
    <x v="1"/>
    <x v="7"/>
    <x v="1968"/>
    <x v="28"/>
    <s v="Standard order"/>
    <x v="1856"/>
    <x v="1839"/>
    <s v="8512"/>
    <s v="BTS 8512"/>
    <s v="5002876"/>
    <s v="8512 BTS T35 PB SYSTIVA RP"/>
    <n v="60"/>
    <n v="0"/>
    <n v="60"/>
    <x v="7"/>
    <s v="FX73"/>
    <s v="RP"/>
    <s v="333"/>
    <s v="4.0 UN"/>
    <s v="STANDARD"/>
    <s v="N"/>
    <s v="Y"/>
    <s v="N"/>
    <s v="T35"/>
    <s v="Y"/>
    <s v="N"/>
    <s v="Y"/>
    <s v="N"/>
    <s v="B056"/>
    <d v="2016-12-01T00:00:00"/>
    <s v="20"/>
    <s v="TAN"/>
    <s v="OR"/>
    <d v="2016-11-28T00:00:00"/>
    <s v="ND"/>
    <s v="US"/>
    <s v="ZR"/>
    <d v="2016-11-28T00:00:00"/>
  </r>
  <r>
    <x v="1"/>
    <x v="7"/>
    <x v="1968"/>
    <x v="28"/>
    <s v="Standard order"/>
    <x v="1856"/>
    <x v="1839"/>
    <s v="8052"/>
    <s v="BTS 80RR52"/>
    <s v="5002735"/>
    <s v="8052 BTS T35 PB SYSTIVA RP"/>
    <n v="60"/>
    <n v="0"/>
    <n v="60"/>
    <x v="7"/>
    <s v="AP82"/>
    <s v="RP"/>
    <s v="333"/>
    <s v="4.0 UN"/>
    <s v="STANDARD"/>
    <s v="N"/>
    <s v="Y"/>
    <s v="N"/>
    <s v="T35"/>
    <s v="Y"/>
    <s v="N"/>
    <s v="Y"/>
    <s v="N"/>
    <s v="B056"/>
    <d v="2016-12-01T00:00:00"/>
    <s v="30"/>
    <s v="TAN"/>
    <s v="OR"/>
    <d v="2016-11-28T00:00:00"/>
    <s v="ND"/>
    <s v="US"/>
    <s v="ZR"/>
    <d v="2016-11-28T00:00:00"/>
  </r>
  <r>
    <x v="1"/>
    <x v="7"/>
    <x v="1969"/>
    <x v="37"/>
    <s v="Standard order"/>
    <x v="1857"/>
    <x v="1840"/>
    <s v="8052"/>
    <s v="BTS 80RR52"/>
    <s v="5002723"/>
    <s v="8052 BTS T20 SYSTIVA MP"/>
    <n v="40"/>
    <n v="0"/>
    <n v="40"/>
    <x v="7"/>
    <s v="AP82"/>
    <s v="MP"/>
    <s v="326"/>
    <s v="4.0 UN"/>
    <s v="STANDARD"/>
    <s v="N"/>
    <s v="N"/>
    <s v="N"/>
    <s v="T20"/>
    <s v="Y"/>
    <s v="N"/>
    <s v="Y"/>
    <s v="N"/>
    <s v="B033"/>
    <d v="2016-12-02T00:00:00"/>
    <s v="10"/>
    <s v="TAN"/>
    <s v="OR"/>
    <d v="2016-11-29T00:00:00"/>
    <s v="MN"/>
    <s v="US"/>
    <s v="ZR"/>
    <d v="2016-11-29T00:00:00"/>
  </r>
  <r>
    <x v="1"/>
    <x v="0"/>
    <x v="1970"/>
    <x v="29"/>
    <s v="Standard order"/>
    <x v="1858"/>
    <x v="1011"/>
    <s v="122N"/>
    <s v="BTS 12RR2N"/>
    <s v="5002311"/>
    <s v="122N BTS T20 Kabina RP"/>
    <n v="64"/>
    <n v="0"/>
    <n v="64"/>
    <x v="0"/>
    <s v="4TBG"/>
    <s v="RP"/>
    <s v="380"/>
    <s v="4.0 UN"/>
    <s v="STANDARD"/>
    <s v="N"/>
    <s v="N"/>
    <s v="Y"/>
    <s v="T20"/>
    <s v="N"/>
    <s v="N"/>
    <s v="N"/>
    <s v="N"/>
    <s v="B005"/>
    <d v="2016-12-02T00:00:00"/>
    <s v="10"/>
    <s v="TAN"/>
    <s v="OR"/>
    <d v="2016-11-29T00:00:00"/>
    <s v="MI"/>
    <s v="US"/>
    <s v="ZR"/>
    <d v="2016-11-29T00:00:00"/>
  </r>
  <r>
    <x v="1"/>
    <x v="0"/>
    <x v="1970"/>
    <x v="29"/>
    <s v="Standard order"/>
    <x v="1858"/>
    <x v="1011"/>
    <s v="149N"/>
    <s v="BTS 149N"/>
    <s v="5002368"/>
    <s v="149N BTS T20 Kabina RP"/>
    <n v="68"/>
    <n v="0"/>
    <n v="68"/>
    <x v="0"/>
    <s v="EEND"/>
    <s v="RP"/>
    <s v="380"/>
    <s v="4.0 UN"/>
    <s v="STANDARD"/>
    <s v="N"/>
    <s v="N"/>
    <s v="Y"/>
    <s v="T20"/>
    <s v="N"/>
    <s v="N"/>
    <s v="N"/>
    <s v="N"/>
    <s v="B005"/>
    <d v="2016-12-02T00:00:00"/>
    <s v="20"/>
    <s v="TAN"/>
    <s v="OR"/>
    <d v="2016-11-29T00:00:00"/>
    <s v="MI"/>
    <s v="US"/>
    <s v="ZR"/>
    <d v="2016-11-29T00:00:00"/>
  </r>
  <r>
    <x v="1"/>
    <x v="0"/>
    <x v="1970"/>
    <x v="29"/>
    <s v="Standard order"/>
    <x v="1858"/>
    <x v="1011"/>
    <s v="1399"/>
    <s v="BTS 1399"/>
    <s v="5002348"/>
    <s v="1399 BTS T20 Kabina RP"/>
    <n v="16"/>
    <n v="0"/>
    <n v="16"/>
    <x v="0"/>
    <s v="EG74"/>
    <s v="RP"/>
    <s v="380"/>
    <s v="4.0 UN"/>
    <s v="STANDARD"/>
    <s v="N"/>
    <s v="N"/>
    <s v="Y"/>
    <s v="T20"/>
    <s v="N"/>
    <s v="N"/>
    <s v="N"/>
    <s v="N"/>
    <s v="B005"/>
    <d v="2016-12-02T00:00:00"/>
    <s v="30"/>
    <s v="TAN"/>
    <s v="OR"/>
    <d v="2016-11-29T00:00:00"/>
    <s v="MI"/>
    <s v="US"/>
    <s v="ZR"/>
    <d v="2016-11-29T00:00:00"/>
  </r>
  <r>
    <x v="1"/>
    <x v="7"/>
    <x v="1971"/>
    <x v="41"/>
    <s v="Standard order"/>
    <x v="1859"/>
    <x v="1841"/>
    <s v="8512"/>
    <s v="BTS 8512"/>
    <s v="5002876"/>
    <s v="8512 BTS T35 PB SYSTIVA RP"/>
    <n v="92"/>
    <n v="0"/>
    <n v="92"/>
    <x v="7"/>
    <s v="FX73"/>
    <s v="RP"/>
    <s v="333"/>
    <s v="4.0 UN"/>
    <s v="STANDARD"/>
    <s v="N"/>
    <s v="Y"/>
    <s v="N"/>
    <s v="T35"/>
    <s v="Y"/>
    <s v="N"/>
    <s v="Y"/>
    <s v="N"/>
    <s v="B032"/>
    <d v="2016-12-02T00:00:00"/>
    <s v="10"/>
    <s v="TAN"/>
    <s v="OR"/>
    <d v="2016-11-28T00:00:00"/>
    <s v="MN"/>
    <s v="US"/>
    <s v="ZR"/>
    <d v="2016-11-29T00:00:00"/>
  </r>
  <r>
    <x v="1"/>
    <x v="0"/>
    <x v="1972"/>
    <x v="42"/>
    <s v="Standard order"/>
    <x v="1860"/>
    <x v="197"/>
    <s v="1399"/>
    <s v="BTS 1399"/>
    <s v="5002346"/>
    <s v="1399 BTS T20 Kabina MP"/>
    <n v="52"/>
    <n v="0"/>
    <n v="52"/>
    <x v="0"/>
    <s v="EG74"/>
    <s v="MP"/>
    <s v="380"/>
    <s v="4.0 UN"/>
    <s v="STANDARD"/>
    <s v="N"/>
    <s v="N"/>
    <s v="Y"/>
    <s v="T20"/>
    <s v="N"/>
    <s v="N"/>
    <s v="N"/>
    <s v="N"/>
    <s v="B007"/>
    <d v="2016-12-02T00:00:00"/>
    <s v="10"/>
    <s v="TAN"/>
    <s v="OR"/>
    <d v="2016-11-29T00:00:00"/>
    <s v="MI"/>
    <s v="US"/>
    <s v="ZR"/>
    <d v="2016-11-29T00:00:00"/>
  </r>
  <r>
    <x v="1"/>
    <x v="0"/>
    <x v="1972"/>
    <x v="42"/>
    <s v="Standard order"/>
    <x v="1860"/>
    <x v="197"/>
    <s v="122N"/>
    <s v="BTS 12RR2N"/>
    <s v="5002309"/>
    <s v="122N BTS T20 Kabina MP"/>
    <n v="44"/>
    <n v="0"/>
    <n v="44"/>
    <x v="0"/>
    <s v="4TBG"/>
    <s v="MP"/>
    <s v="380"/>
    <s v="4.0 UN"/>
    <s v="STANDARD"/>
    <s v="N"/>
    <s v="N"/>
    <s v="Y"/>
    <s v="T20"/>
    <s v="N"/>
    <s v="N"/>
    <s v="N"/>
    <s v="N"/>
    <s v="B007"/>
    <d v="2016-12-02T00:00:00"/>
    <s v="20"/>
    <s v="TAN"/>
    <s v="OR"/>
    <d v="2016-11-29T00:00:00"/>
    <s v="MI"/>
    <s v="US"/>
    <s v="ZR"/>
    <d v="2016-11-29T00:00:00"/>
  </r>
  <r>
    <x v="1"/>
    <x v="0"/>
    <x v="1972"/>
    <x v="42"/>
    <s v="Standard order"/>
    <x v="1860"/>
    <x v="197"/>
    <s v="149N"/>
    <s v="BTS 149N"/>
    <s v="5002366"/>
    <s v="149N BTS T20 Kabina MP"/>
    <n v="20"/>
    <n v="0"/>
    <n v="20"/>
    <x v="0"/>
    <s v="EEND"/>
    <s v="MP"/>
    <s v="380"/>
    <s v="4.0 UN"/>
    <s v="STANDARD"/>
    <s v="N"/>
    <s v="N"/>
    <s v="Y"/>
    <s v="T20"/>
    <s v="N"/>
    <s v="N"/>
    <s v="N"/>
    <s v="N"/>
    <s v="B007"/>
    <d v="2016-12-02T00:00:00"/>
    <s v="30"/>
    <s v="TAN"/>
    <s v="OR"/>
    <d v="2016-11-29T00:00:00"/>
    <s v="MI"/>
    <s v="US"/>
    <s v="ZR"/>
    <d v="2016-11-29T00:00:00"/>
  </r>
  <r>
    <x v="1"/>
    <x v="0"/>
    <x v="1973"/>
    <x v="42"/>
    <s v="Standard order"/>
    <x v="1861"/>
    <x v="1842"/>
    <s v="122N"/>
    <s v="BTS 12RR2N"/>
    <s v="5002309"/>
    <s v="122N BTS T20 Kabina MP"/>
    <n v="8"/>
    <n v="0"/>
    <n v="8"/>
    <x v="0"/>
    <s v="4TBG"/>
    <s v="MP"/>
    <s v="380"/>
    <s v="4.0 UN"/>
    <s v="STANDARD"/>
    <s v="N"/>
    <s v="N"/>
    <s v="Y"/>
    <s v="T20"/>
    <s v="N"/>
    <s v="N"/>
    <s v="N"/>
    <s v="N"/>
    <s v="B007"/>
    <d v="2016-12-02T00:00:00"/>
    <s v="10"/>
    <s v="TAN"/>
    <s v="OR"/>
    <d v="2016-11-29T00:00:00"/>
    <s v="MI"/>
    <s v="US"/>
    <s v="ZR"/>
    <d v="2016-11-29T00:00:00"/>
  </r>
  <r>
    <x v="1"/>
    <x v="7"/>
    <x v="1974"/>
    <x v="33"/>
    <s v="Standard order"/>
    <x v="1862"/>
    <x v="1843"/>
    <s v="8500"/>
    <s v="BTS 8500"/>
    <s v="5002856"/>
    <s v="8500 BTS T35 PB SYSTIVA RP"/>
    <n v="68"/>
    <n v="0"/>
    <n v="68"/>
    <x v="7"/>
    <s v="FTND"/>
    <s v="RP"/>
    <s v="333"/>
    <s v="4.0 UN"/>
    <s v="STANDARD"/>
    <s v="N"/>
    <s v="Y"/>
    <s v="N"/>
    <s v="T35"/>
    <s v="Y"/>
    <s v="N"/>
    <s v="Y"/>
    <s v="N"/>
    <s v="B026"/>
    <d v="2016-12-02T00:00:00"/>
    <s v="20"/>
    <s v="TAN"/>
    <s v="OR"/>
    <d v="2016-11-29T00:00:00"/>
    <s v="ND"/>
    <s v="US"/>
    <s v="ZR"/>
    <d v="2016-11-29T00:00:00"/>
  </r>
  <r>
    <x v="1"/>
    <x v="7"/>
    <x v="1974"/>
    <x v="33"/>
    <s v="Standard order"/>
    <x v="1862"/>
    <x v="1843"/>
    <s v="8337"/>
    <s v="BTS 8337"/>
    <s v="5002795"/>
    <s v="8337 BTS T35 PB SYSTIVA RP"/>
    <n v="48"/>
    <n v="0"/>
    <n v="48"/>
    <x v="7"/>
    <s v="DHMC"/>
    <s v="RP"/>
    <s v="333"/>
    <s v="4.0 UN"/>
    <s v="STANDARD"/>
    <s v="N"/>
    <s v="Y"/>
    <s v="N"/>
    <s v="T35"/>
    <s v="Y"/>
    <s v="N"/>
    <s v="Y"/>
    <s v="N"/>
    <s v="B026"/>
    <d v="2016-12-02T00:00:00"/>
    <s v="10"/>
    <s v="TAN"/>
    <s v="OR"/>
    <d v="2016-11-29T00:00:00"/>
    <s v="ND"/>
    <s v="US"/>
    <s v="ZR"/>
    <d v="2016-11-29T00:00:00"/>
  </r>
  <r>
    <x v="1"/>
    <x v="7"/>
    <x v="1975"/>
    <x v="33"/>
    <s v="Standard order"/>
    <x v="1863"/>
    <x v="1844"/>
    <s v="8233"/>
    <s v="BTS 82RR33"/>
    <s v="5002774"/>
    <s v="8233 BTS T35 PB SYSTIVA P200"/>
    <n v="12"/>
    <n v="0"/>
    <n v="12"/>
    <x v="7"/>
    <s v="DRMC"/>
    <s v="PRO 200"/>
    <s v="333"/>
    <s v="4.0 UN"/>
    <s v="STANDARD"/>
    <s v="N"/>
    <s v="Y"/>
    <s v="N"/>
    <s v="T35"/>
    <s v="Y"/>
    <s v="N"/>
    <s v="Y"/>
    <s v="N"/>
    <s v="B026"/>
    <d v="2016-12-02T00:00:00"/>
    <s v="10"/>
    <s v="TAN"/>
    <s v="OR"/>
    <d v="2016-11-29T00:00:00"/>
    <s v="MN"/>
    <s v="US"/>
    <s v="ZR"/>
    <d v="2016-11-29T00:00:00"/>
  </r>
  <r>
    <x v="1"/>
    <x v="7"/>
    <x v="1976"/>
    <x v="28"/>
    <s v="Standard order"/>
    <x v="1331"/>
    <x v="1330"/>
    <s v="8052"/>
    <s v="BTS 80RR52"/>
    <s v="5002739"/>
    <s v="8052 BTS T35 SYSTIVA RP"/>
    <n v="80"/>
    <n v="0"/>
    <n v="80"/>
    <x v="7"/>
    <s v="AP82"/>
    <s v="RP"/>
    <s v="334"/>
    <s v="4.0 UN"/>
    <s v="STANDARD"/>
    <s v="N"/>
    <s v="N"/>
    <s v="N"/>
    <s v="T35"/>
    <s v="Y"/>
    <s v="N"/>
    <s v="Y"/>
    <s v="N"/>
    <s v="B056"/>
    <d v="2016-12-02T00:00:00"/>
    <s v="10"/>
    <s v="TAN"/>
    <s v="OR"/>
    <d v="2016-11-29T00:00:00"/>
    <s v="ND"/>
    <s v="US"/>
    <s v="ZR"/>
    <d v="2016-11-29T00:00:00"/>
  </r>
  <r>
    <x v="1"/>
    <x v="0"/>
    <x v="1977"/>
    <x v="42"/>
    <s v="Standard order"/>
    <x v="1864"/>
    <x v="252"/>
    <s v="1399"/>
    <s v="BTS 1399"/>
    <s v="5002347"/>
    <s v="1399 BTS T20 Kabina P200"/>
    <n v="32"/>
    <n v="0"/>
    <n v="32"/>
    <x v="0"/>
    <s v="EG74"/>
    <s v="PRO 200"/>
    <s v="380"/>
    <s v="4.0 UN"/>
    <s v="STANDARD"/>
    <s v="N"/>
    <s v="N"/>
    <s v="Y"/>
    <s v="T20"/>
    <s v="N"/>
    <s v="N"/>
    <s v="N"/>
    <s v="N"/>
    <s v="B007"/>
    <d v="2016-12-02T00:00:00"/>
    <s v="10"/>
    <s v="TAN"/>
    <s v="OR"/>
    <d v="2016-11-28T00:00:00"/>
    <s v="MI"/>
    <s v="US"/>
    <s v="ZR"/>
    <d v="2016-11-29T00:00:00"/>
  </r>
  <r>
    <x v="1"/>
    <x v="0"/>
    <x v="1977"/>
    <x v="42"/>
    <s v="Standard order"/>
    <x v="1864"/>
    <x v="252"/>
    <s v="149N"/>
    <s v="BTS 149N"/>
    <s v="5002367"/>
    <s v="149N BTS T20 Kabina P200"/>
    <n v="184"/>
    <n v="0"/>
    <n v="184"/>
    <x v="0"/>
    <s v="EEND"/>
    <s v="PRO 200"/>
    <s v="380"/>
    <s v="4.0 UN"/>
    <s v="STANDARD"/>
    <s v="N"/>
    <s v="N"/>
    <s v="Y"/>
    <s v="T20"/>
    <s v="N"/>
    <s v="N"/>
    <s v="N"/>
    <s v="N"/>
    <s v="B007"/>
    <d v="2016-12-02T00:00:00"/>
    <s v="20"/>
    <s v="TAN"/>
    <s v="OR"/>
    <d v="2016-11-28T00:00:00"/>
    <s v="MI"/>
    <s v="US"/>
    <s v="ZR"/>
    <d v="2016-11-29T00:00:00"/>
  </r>
  <r>
    <x v="1"/>
    <x v="0"/>
    <x v="1977"/>
    <x v="42"/>
    <s v="Standard order"/>
    <x v="1864"/>
    <x v="252"/>
    <s v="122N"/>
    <s v="BTS 12RR2N"/>
    <s v="5002310"/>
    <s v="122N BTS T20 Kabina P200"/>
    <n v="60"/>
    <n v="0"/>
    <n v="60"/>
    <x v="0"/>
    <s v="4TBG"/>
    <s v="PRO 200"/>
    <s v="380"/>
    <s v="4.0 UN"/>
    <s v="STANDARD"/>
    <s v="N"/>
    <s v="N"/>
    <s v="Y"/>
    <s v="T20"/>
    <s v="N"/>
    <s v="N"/>
    <s v="N"/>
    <s v="N"/>
    <s v="B007"/>
    <d v="2016-12-02T00:00:00"/>
    <s v="30"/>
    <s v="TAN"/>
    <s v="OR"/>
    <d v="2016-11-28T00:00:00"/>
    <s v="MI"/>
    <s v="US"/>
    <s v="ZR"/>
    <d v="2016-11-29T00:00:00"/>
  </r>
  <r>
    <x v="1"/>
    <x v="0"/>
    <x v="1977"/>
    <x v="42"/>
    <s v="Standard order"/>
    <x v="1864"/>
    <x v="252"/>
    <s v="122N"/>
    <s v="BTS 12RR2N"/>
    <s v="5002316"/>
    <s v="122N BTS T20 SYSTIVA P200"/>
    <n v="32"/>
    <n v="0"/>
    <n v="32"/>
    <x v="0"/>
    <s v="4TBG"/>
    <s v="PRO 200"/>
    <s v="326"/>
    <s v="4.0 UN"/>
    <s v="STANDARD"/>
    <s v="N"/>
    <s v="N"/>
    <s v="N"/>
    <s v="T20"/>
    <s v="Y"/>
    <s v="N"/>
    <s v="Y"/>
    <s v="N"/>
    <s v="B007"/>
    <d v="2016-12-02T00:00:00"/>
    <s v="40"/>
    <s v="TAN"/>
    <s v="OR"/>
    <d v="2016-11-28T00:00:00"/>
    <s v="MI"/>
    <s v="US"/>
    <s v="ZR"/>
    <d v="2016-11-29T00:00:00"/>
  </r>
  <r>
    <x v="1"/>
    <x v="7"/>
    <x v="1978"/>
    <x v="39"/>
    <s v="Standard order"/>
    <x v="1865"/>
    <x v="1845"/>
    <s v="8500"/>
    <s v="BTS 8500"/>
    <s v="5002856"/>
    <s v="8500 BTS T35 PB SYSTIVA RP"/>
    <n v="120"/>
    <n v="0"/>
    <n v="120"/>
    <x v="7"/>
    <s v="FTND"/>
    <s v="RP"/>
    <s v="333"/>
    <s v="4.0 UN"/>
    <s v="STANDARD"/>
    <s v="N"/>
    <s v="Y"/>
    <s v="N"/>
    <s v="T35"/>
    <s v="Y"/>
    <s v="N"/>
    <s v="Y"/>
    <s v="N"/>
    <s v="B030"/>
    <d v="2016-12-02T00:00:00"/>
    <s v="10"/>
    <s v="TAN"/>
    <s v="OR"/>
    <d v="2016-11-28T00:00:00"/>
    <s v="MN"/>
    <s v="US"/>
    <s v="ZR"/>
    <d v="2016-11-29T00:00:00"/>
  </r>
  <r>
    <x v="1"/>
    <x v="7"/>
    <x v="1979"/>
    <x v="41"/>
    <s v="Standard order"/>
    <x v="1866"/>
    <x v="1846"/>
    <s v="83CN"/>
    <s v="BTS 83CN"/>
    <s v="5002824"/>
    <s v="83CN BTS T20 SYSTIVA MP"/>
    <n v="56"/>
    <n v="0"/>
    <n v="56"/>
    <x v="7"/>
    <s v="EE73"/>
    <s v="MP"/>
    <s v="326"/>
    <s v="4.0 UN"/>
    <s v="STANDARD"/>
    <s v="N"/>
    <s v="N"/>
    <s v="N"/>
    <s v="T20"/>
    <s v="Y"/>
    <s v="N"/>
    <s v="Y"/>
    <s v="N"/>
    <s v="B032"/>
    <d v="2016-12-02T00:00:00"/>
    <s v="10"/>
    <s v="TAN"/>
    <s v="OR"/>
    <d v="2016-11-28T00:00:00"/>
    <s v="MN"/>
    <s v="US"/>
    <s v="ZR"/>
    <d v="2016-11-29T00:00:00"/>
  </r>
  <r>
    <x v="1"/>
    <x v="0"/>
    <x v="1980"/>
    <x v="42"/>
    <s v="Standard order"/>
    <x v="1867"/>
    <x v="172"/>
    <s v="1399"/>
    <s v="BTS 1399"/>
    <s v="5002346"/>
    <s v="1399 BTS T20 Kabina MP"/>
    <n v="52"/>
    <n v="0"/>
    <n v="52"/>
    <x v="0"/>
    <s v="EG74"/>
    <s v="MP"/>
    <s v="380"/>
    <s v="4.0 UN"/>
    <s v="STANDARD"/>
    <s v="N"/>
    <s v="N"/>
    <s v="Y"/>
    <s v="T20"/>
    <s v="N"/>
    <s v="N"/>
    <s v="N"/>
    <s v="N"/>
    <s v="B007"/>
    <d v="2016-12-02T00:00:00"/>
    <s v="10"/>
    <s v="TAN"/>
    <s v="OR"/>
    <d v="2016-11-29T00:00:00"/>
    <s v="MI"/>
    <s v="US"/>
    <s v="ZR"/>
    <d v="2016-11-29T00:00:00"/>
  </r>
  <r>
    <x v="1"/>
    <x v="0"/>
    <x v="1980"/>
    <x v="42"/>
    <s v="Standard order"/>
    <x v="1867"/>
    <x v="172"/>
    <s v="122N"/>
    <s v="BTS 12RR2N"/>
    <s v="5002309"/>
    <s v="122N BTS T20 Kabina MP"/>
    <n v="44"/>
    <n v="0"/>
    <n v="44"/>
    <x v="0"/>
    <s v="4TBG"/>
    <s v="MP"/>
    <s v="380"/>
    <s v="4.0 UN"/>
    <s v="STANDARD"/>
    <s v="N"/>
    <s v="N"/>
    <s v="Y"/>
    <s v="T20"/>
    <s v="N"/>
    <s v="N"/>
    <s v="N"/>
    <s v="N"/>
    <s v="B007"/>
    <d v="2016-12-02T00:00:00"/>
    <s v="20"/>
    <s v="TAN"/>
    <s v="OR"/>
    <d v="2016-11-29T00:00:00"/>
    <s v="MI"/>
    <s v="US"/>
    <s v="ZR"/>
    <d v="2016-11-29T00:00:00"/>
  </r>
  <r>
    <x v="1"/>
    <x v="0"/>
    <x v="1980"/>
    <x v="42"/>
    <s v="Standard order"/>
    <x v="1867"/>
    <x v="172"/>
    <s v="149N"/>
    <s v="BTS 149N"/>
    <s v="5002366"/>
    <s v="149N BTS T20 Kabina MP"/>
    <n v="20"/>
    <n v="0"/>
    <n v="20"/>
    <x v="0"/>
    <s v="EEND"/>
    <s v="MP"/>
    <s v="380"/>
    <s v="4.0 UN"/>
    <s v="STANDARD"/>
    <s v="N"/>
    <s v="N"/>
    <s v="Y"/>
    <s v="T20"/>
    <s v="N"/>
    <s v="N"/>
    <s v="N"/>
    <s v="N"/>
    <s v="B007"/>
    <d v="2016-12-02T00:00:00"/>
    <s v="30"/>
    <s v="TAN"/>
    <s v="OR"/>
    <d v="2016-11-29T00:00:00"/>
    <s v="MI"/>
    <s v="US"/>
    <s v="ZR"/>
    <d v="2016-11-29T00:00:00"/>
  </r>
  <r>
    <x v="1"/>
    <x v="7"/>
    <x v="1981"/>
    <x v="33"/>
    <s v="Standard order"/>
    <x v="1868"/>
    <x v="1847"/>
    <s v="8337"/>
    <s v="BTS 8337"/>
    <s v="5002795"/>
    <s v="8337 BTS T35 PB SYSTIVA RP"/>
    <n v="32"/>
    <n v="0"/>
    <n v="32"/>
    <x v="7"/>
    <s v="DHMC"/>
    <s v="RP"/>
    <s v="333"/>
    <s v="4.0 UN"/>
    <s v="STANDARD"/>
    <s v="N"/>
    <s v="Y"/>
    <s v="N"/>
    <s v="T35"/>
    <s v="Y"/>
    <s v="N"/>
    <s v="Y"/>
    <s v="N"/>
    <s v="B026"/>
    <d v="2016-12-02T00:00:00"/>
    <s v="10"/>
    <s v="TAN"/>
    <s v="OR"/>
    <d v="2016-11-29T00:00:00"/>
    <s v="MN"/>
    <s v="US"/>
    <s v="ZR"/>
    <d v="2016-11-29T00:00:00"/>
  </r>
  <r>
    <x v="1"/>
    <x v="7"/>
    <x v="1981"/>
    <x v="33"/>
    <s v="Standard order"/>
    <x v="1868"/>
    <x v="1847"/>
    <s v="8524"/>
    <s v="BTS 8524"/>
    <s v="5002896"/>
    <s v="8524 BTS T35 PB SYSTIVA RP"/>
    <n v="32"/>
    <n v="0"/>
    <n v="32"/>
    <x v="7"/>
    <s v="FWND"/>
    <s v="RP"/>
    <s v="333"/>
    <s v="4.0 UN"/>
    <s v="STANDARD"/>
    <s v="N"/>
    <s v="Y"/>
    <s v="N"/>
    <s v="T35"/>
    <s v="Y"/>
    <s v="N"/>
    <s v="Y"/>
    <s v="N"/>
    <s v="B026"/>
    <d v="2016-12-02T00:00:00"/>
    <s v="20"/>
    <s v="TAN"/>
    <s v="OR"/>
    <d v="2016-11-29T00:00:00"/>
    <s v="MN"/>
    <s v="US"/>
    <s v="ZR"/>
    <d v="2016-11-29T00:00:00"/>
  </r>
  <r>
    <x v="1"/>
    <x v="7"/>
    <x v="1982"/>
    <x v="39"/>
    <s v="Standard order"/>
    <x v="1869"/>
    <x v="1848"/>
    <s v="8052"/>
    <s v="BTS 80RR52"/>
    <s v="5002735"/>
    <s v="8052 BTS T35 PB SYSTIVA RP"/>
    <n v="96"/>
    <n v="0"/>
    <n v="96"/>
    <x v="7"/>
    <s v="AP82"/>
    <s v="RP"/>
    <s v="333"/>
    <s v="4.0 UN"/>
    <s v="STANDARD"/>
    <s v="N"/>
    <s v="Y"/>
    <s v="N"/>
    <s v="T35"/>
    <s v="Y"/>
    <s v="N"/>
    <s v="Y"/>
    <s v="N"/>
    <s v="B030"/>
    <d v="2016-12-02T00:00:00"/>
    <s v="10"/>
    <s v="TAN"/>
    <s v="OR"/>
    <d v="2016-11-28T00:00:00"/>
    <s v="MN"/>
    <s v="US"/>
    <s v="ZR"/>
    <d v="2016-11-29T00:00:00"/>
  </r>
  <r>
    <x v="1"/>
    <x v="7"/>
    <x v="1983"/>
    <x v="39"/>
    <s v="Standard order"/>
    <x v="1870"/>
    <x v="1849"/>
    <s v="8052"/>
    <s v="BTS 80RR52"/>
    <s v="5002723"/>
    <s v="8052 BTS T20 SYSTIVA MP"/>
    <n v="48"/>
    <n v="0"/>
    <n v="48"/>
    <x v="7"/>
    <s v="AP82"/>
    <s v="MP"/>
    <s v="326"/>
    <s v="4.0 UN"/>
    <s v="STANDARD"/>
    <s v="N"/>
    <s v="N"/>
    <s v="N"/>
    <s v="T20"/>
    <s v="Y"/>
    <s v="N"/>
    <s v="Y"/>
    <s v="N"/>
    <s v="B030"/>
    <d v="2016-12-02T00:00:00"/>
    <s v="10"/>
    <s v="TAN"/>
    <s v="OR"/>
    <d v="2016-11-28T00:00:00"/>
    <s v="MN"/>
    <s v="US"/>
    <s v="ZR"/>
    <d v="2016-11-29T00:00:00"/>
  </r>
  <r>
    <x v="1"/>
    <x v="0"/>
    <x v="1984"/>
    <x v="29"/>
    <s v="Standard order"/>
    <x v="1871"/>
    <x v="252"/>
    <s v="122N"/>
    <s v="BTS 12RR2N"/>
    <s v="5002316"/>
    <s v="122N BTS T20 SYSTIVA P200"/>
    <n v="52"/>
    <n v="0"/>
    <n v="52"/>
    <x v="0"/>
    <s v="4TBG"/>
    <s v="PRO 200"/>
    <s v="326"/>
    <s v="4.0 UN"/>
    <s v="STANDARD"/>
    <s v="N"/>
    <s v="N"/>
    <s v="N"/>
    <s v="T20"/>
    <s v="Y"/>
    <s v="N"/>
    <s v="Y"/>
    <s v="N"/>
    <s v="B005"/>
    <d v="2016-12-02T00:00:00"/>
    <s v="10"/>
    <s v="TAN"/>
    <s v="OR"/>
    <d v="2016-11-28T00:00:00"/>
    <s v="MI"/>
    <s v="US"/>
    <s v="ZR"/>
    <d v="2016-11-29T00:00:00"/>
  </r>
  <r>
    <x v="1"/>
    <x v="0"/>
    <x v="1984"/>
    <x v="29"/>
    <s v="Standard order"/>
    <x v="1871"/>
    <x v="252"/>
    <s v="122N"/>
    <s v="BTS 12RR2N"/>
    <s v="5002310"/>
    <s v="122N BTS T20 Kabina P200"/>
    <n v="128"/>
    <n v="0"/>
    <n v="128"/>
    <x v="0"/>
    <s v="4TBG"/>
    <s v="PRO 200"/>
    <s v="380"/>
    <s v="4.0 UN"/>
    <s v="STANDARD"/>
    <s v="N"/>
    <s v="N"/>
    <s v="Y"/>
    <s v="T20"/>
    <s v="N"/>
    <s v="N"/>
    <s v="N"/>
    <s v="N"/>
    <s v="B005"/>
    <d v="2016-12-02T00:00:00"/>
    <s v="20"/>
    <s v="TAN"/>
    <s v="OR"/>
    <d v="2016-11-28T00:00:00"/>
    <s v="MI"/>
    <s v="US"/>
    <s v="ZR"/>
    <d v="2016-11-29T00:00:00"/>
  </r>
  <r>
    <x v="1"/>
    <x v="0"/>
    <x v="1984"/>
    <x v="29"/>
    <s v="Standard order"/>
    <x v="1871"/>
    <x v="252"/>
    <s v="149N"/>
    <s v="BTS 149N"/>
    <s v="5002367"/>
    <s v="149N BTS T20 Kabina P200"/>
    <n v="400"/>
    <n v="0"/>
    <n v="400"/>
    <x v="0"/>
    <s v="EEND"/>
    <s v="PRO 200"/>
    <s v="380"/>
    <s v="4.0 UN"/>
    <s v="STANDARD"/>
    <s v="N"/>
    <s v="N"/>
    <s v="Y"/>
    <s v="T20"/>
    <s v="N"/>
    <s v="N"/>
    <s v="N"/>
    <s v="N"/>
    <s v="B005"/>
    <d v="2016-12-02T00:00:00"/>
    <s v="30"/>
    <s v="TAN"/>
    <s v="OR"/>
    <d v="2016-11-28T00:00:00"/>
    <s v="MI"/>
    <s v="US"/>
    <s v="ZR"/>
    <d v="2016-11-29T00:00:00"/>
  </r>
  <r>
    <x v="1"/>
    <x v="0"/>
    <x v="1984"/>
    <x v="29"/>
    <s v="Standard order"/>
    <x v="1871"/>
    <x v="252"/>
    <s v="1399"/>
    <s v="BTS 1399"/>
    <s v="5002347"/>
    <s v="1399 BTS T20 Kabina P200"/>
    <n v="64"/>
    <n v="0"/>
    <n v="64"/>
    <x v="0"/>
    <s v="EG74"/>
    <s v="PRO 200"/>
    <s v="380"/>
    <s v="4.0 UN"/>
    <s v="STANDARD"/>
    <s v="N"/>
    <s v="N"/>
    <s v="Y"/>
    <s v="T20"/>
    <s v="N"/>
    <s v="N"/>
    <s v="N"/>
    <s v="N"/>
    <s v="B005"/>
    <d v="2016-12-02T00:00:00"/>
    <s v="40"/>
    <s v="TAN"/>
    <s v="OR"/>
    <d v="2016-11-28T00:00:00"/>
    <s v="MI"/>
    <s v="US"/>
    <s v="ZR"/>
    <d v="2016-11-29T00:00:00"/>
  </r>
  <r>
    <x v="1"/>
    <x v="7"/>
    <x v="1985"/>
    <x v="36"/>
    <s v="Standard order"/>
    <x v="1872"/>
    <x v="1850"/>
    <s v="8512"/>
    <s v="BTS 8512"/>
    <s v="5002876"/>
    <s v="8512 BTS T35 PB SYSTIVA RP"/>
    <n v="48"/>
    <n v="0"/>
    <n v="48"/>
    <x v="7"/>
    <s v="FX73"/>
    <s v="RP"/>
    <s v="333"/>
    <s v="4.0 UN"/>
    <s v="STANDARD"/>
    <s v="N"/>
    <s v="Y"/>
    <s v="N"/>
    <s v="T35"/>
    <s v="Y"/>
    <s v="N"/>
    <s v="Y"/>
    <s v="N"/>
    <s v="B027"/>
    <d v="2016-12-02T00:00:00"/>
    <s v="10"/>
    <s v="TAN"/>
    <s v="OR"/>
    <d v="2016-11-29T00:00:00"/>
    <s v="ND"/>
    <s v="US"/>
    <s v="ZR"/>
    <d v="2016-11-29T00:00:00"/>
  </r>
  <r>
    <x v="1"/>
    <x v="7"/>
    <x v="1986"/>
    <x v="36"/>
    <s v="Standard order"/>
    <x v="1873"/>
    <x v="1851"/>
    <s v="8052"/>
    <s v="BTS 80RR52"/>
    <s v="5002735"/>
    <s v="8052 BTS T35 PB SYSTIVA RP"/>
    <n v="68"/>
    <n v="0"/>
    <n v="68"/>
    <x v="7"/>
    <s v="AP82"/>
    <s v="RP"/>
    <s v="333"/>
    <s v="4.0 UN"/>
    <s v="STANDARD"/>
    <s v="N"/>
    <s v="Y"/>
    <s v="N"/>
    <s v="T35"/>
    <s v="Y"/>
    <s v="N"/>
    <s v="Y"/>
    <s v="N"/>
    <s v="B027"/>
    <d v="2016-12-02T00:00:00"/>
    <s v="10"/>
    <s v="TAN"/>
    <s v="OR"/>
    <d v="2016-11-29T00:00:00"/>
    <s v="MN"/>
    <s v="US"/>
    <s v="ZR"/>
    <d v="2016-11-29T00:00:00"/>
  </r>
  <r>
    <x v="1"/>
    <x v="7"/>
    <x v="1986"/>
    <x v="36"/>
    <s v="Standard order"/>
    <x v="1873"/>
    <x v="1851"/>
    <s v="8500"/>
    <s v="BTS 8500"/>
    <s v="5002856"/>
    <s v="8500 BTS T35 PB SYSTIVA RP"/>
    <n v="60"/>
    <n v="0"/>
    <n v="60"/>
    <x v="7"/>
    <s v="FTND"/>
    <s v="RP"/>
    <s v="333"/>
    <s v="4.0 UN"/>
    <s v="STANDARD"/>
    <s v="N"/>
    <s v="Y"/>
    <s v="N"/>
    <s v="T35"/>
    <s v="Y"/>
    <s v="N"/>
    <s v="Y"/>
    <s v="N"/>
    <s v="B027"/>
    <d v="2016-12-02T00:00:00"/>
    <s v="20"/>
    <s v="TAN"/>
    <s v="OR"/>
    <d v="2016-11-29T00:00:00"/>
    <s v="MN"/>
    <s v="US"/>
    <s v="ZR"/>
    <d v="2016-11-29T00:00:00"/>
  </r>
  <r>
    <x v="1"/>
    <x v="7"/>
    <x v="1987"/>
    <x v="39"/>
    <s v="Standard order"/>
    <x v="1874"/>
    <x v="1852"/>
    <s v="8500"/>
    <s v="BTS 8500"/>
    <s v="5002856"/>
    <s v="8500 BTS T35 PB SYSTIVA RP"/>
    <n v="48"/>
    <n v="0"/>
    <n v="48"/>
    <x v="7"/>
    <s v="FTND"/>
    <s v="RP"/>
    <s v="333"/>
    <s v="4.0 UN"/>
    <s v="STANDARD"/>
    <s v="N"/>
    <s v="Y"/>
    <s v="N"/>
    <s v="T35"/>
    <s v="Y"/>
    <s v="N"/>
    <s v="Y"/>
    <s v="N"/>
    <s v="B030"/>
    <d v="2016-12-02T00:00:00"/>
    <s v="10"/>
    <s v="TAN"/>
    <s v="OR"/>
    <d v="2016-11-29T00:00:00"/>
    <s v="MN"/>
    <s v="US"/>
    <s v="ZR"/>
    <d v="2016-11-29T00:00:00"/>
  </r>
  <r>
    <x v="1"/>
    <x v="6"/>
    <x v="1988"/>
    <x v="48"/>
    <s v="Standard order"/>
    <x v="1875"/>
    <x v="38"/>
    <s v="444N"/>
    <s v="BTS 444N"/>
    <s v="5002226"/>
    <s v="444N BTS T20 PB SYSTIVA P100"/>
    <n v="120"/>
    <n v="0"/>
    <n v="120"/>
    <x v="6"/>
    <s v="DVND"/>
    <s v="PRO 100"/>
    <s v="322"/>
    <s v="4.0 UN"/>
    <s v="STANDARD"/>
    <s v="N"/>
    <s v="N"/>
    <s v="N"/>
    <s v="T20"/>
    <s v="Y"/>
    <s v="N"/>
    <s v="Y"/>
    <s v="N"/>
    <s v="B012"/>
    <d v="2016-12-02T00:00:00"/>
    <s v="10"/>
    <s v="TAN"/>
    <s v="OR"/>
    <d v="2016-11-29T00:00:00"/>
    <s v="MT"/>
    <s v="US"/>
    <s v="ZR"/>
    <d v="2016-11-29T00:00:00"/>
  </r>
  <r>
    <x v="1"/>
    <x v="6"/>
    <x v="1988"/>
    <x v="48"/>
    <s v="Standard order"/>
    <x v="1875"/>
    <x v="38"/>
    <s v="4265"/>
    <s v="BTS 42RR65"/>
    <s v="5002583"/>
    <s v="4265 BTS T20 PB SYSTIVA P100"/>
    <n v="64"/>
    <n v="0"/>
    <n v="64"/>
    <x v="6"/>
    <s v="BR73"/>
    <s v="PRO 100"/>
    <s v="322"/>
    <s v="4.0 UN"/>
    <s v="STANDARD"/>
    <s v="N"/>
    <s v="N"/>
    <s v="N"/>
    <s v="T20"/>
    <s v="Y"/>
    <s v="N"/>
    <s v="Y"/>
    <s v="N"/>
    <s v="B012"/>
    <d v="2016-12-02T00:00:00"/>
    <s v="20"/>
    <s v="TAN"/>
    <s v="OR"/>
    <d v="2016-11-29T00:00:00"/>
    <s v="MT"/>
    <s v="US"/>
    <s v="ZR"/>
    <d v="2016-11-29T00:00:00"/>
  </r>
  <r>
    <x v="1"/>
    <x v="6"/>
    <x v="1989"/>
    <x v="48"/>
    <s v="Standard order"/>
    <x v="1876"/>
    <x v="33"/>
    <s v="444N"/>
    <s v="BTS 444N"/>
    <s v="5002226"/>
    <s v="444N BTS T20 PB SYSTIVA P100"/>
    <n v="40"/>
    <n v="0"/>
    <n v="40"/>
    <x v="6"/>
    <s v="DVND"/>
    <s v="PRO 100"/>
    <s v="322"/>
    <s v="4.0 UN"/>
    <s v="STANDARD"/>
    <s v="N"/>
    <s v="N"/>
    <s v="N"/>
    <s v="T20"/>
    <s v="Y"/>
    <s v="N"/>
    <s v="Y"/>
    <s v="N"/>
    <s v="B012"/>
    <d v="2016-12-02T00:00:00"/>
    <s v="30"/>
    <s v="TAN"/>
    <s v="OR"/>
    <d v="2016-11-29T00:00:00"/>
    <s v="ND"/>
    <s v="US"/>
    <s v="ZR"/>
    <d v="2016-11-29T00:00:00"/>
  </r>
  <r>
    <x v="1"/>
    <x v="6"/>
    <x v="1989"/>
    <x v="48"/>
    <s v="Standard order"/>
    <x v="1876"/>
    <x v="33"/>
    <s v="4548"/>
    <s v="BTS 4548"/>
    <s v="5002244"/>
    <s v="4548 BTS T20 PB SYSTIVA P100"/>
    <n v="20"/>
    <n v="0"/>
    <n v="20"/>
    <x v="6"/>
    <s v="FENR"/>
    <s v="PRO 100"/>
    <s v="322"/>
    <s v="4.0 UN"/>
    <s v="STANDARD"/>
    <s v="N"/>
    <s v="N"/>
    <s v="N"/>
    <s v="T20"/>
    <s v="Y"/>
    <s v="N"/>
    <s v="Y"/>
    <s v="N"/>
    <s v="B012"/>
    <d v="2016-12-02T00:00:00"/>
    <s v="40"/>
    <s v="TAN"/>
    <s v="OR"/>
    <d v="2016-11-29T00:00:00"/>
    <s v="ND"/>
    <s v="US"/>
    <s v="ZR"/>
    <d v="2016-11-29T00:00:00"/>
  </r>
  <r>
    <x v="1"/>
    <x v="6"/>
    <x v="1989"/>
    <x v="48"/>
    <s v="Standard order"/>
    <x v="1876"/>
    <x v="33"/>
    <s v="437N"/>
    <s v="BTS 437N"/>
    <s v="5002208"/>
    <s v="437N BTS T20 PB SYSTIVA P100"/>
    <n v="80"/>
    <n v="0"/>
    <n v="80"/>
    <x v="6"/>
    <s v="EE73"/>
    <s v="PRO 100"/>
    <s v="322"/>
    <s v="4.0 UN"/>
    <s v="STANDARD"/>
    <s v="N"/>
    <s v="N"/>
    <s v="N"/>
    <s v="T20"/>
    <s v="Y"/>
    <s v="N"/>
    <s v="Y"/>
    <s v="N"/>
    <s v="B012"/>
    <d v="2016-12-02T00:00:00"/>
    <s v="10"/>
    <s v="TAN"/>
    <s v="OR"/>
    <d v="2016-11-29T00:00:00"/>
    <s v="ND"/>
    <s v="US"/>
    <s v="ZR"/>
    <d v="2016-11-29T00:00:00"/>
  </r>
  <r>
    <x v="1"/>
    <x v="6"/>
    <x v="1989"/>
    <x v="48"/>
    <s v="Standard order"/>
    <x v="1876"/>
    <x v="33"/>
    <s v="459N"/>
    <s v="BTS 459N"/>
    <s v="5002256"/>
    <s v="459N BTS T20 PB SYSTIVA P100"/>
    <n v="20"/>
    <n v="0"/>
    <n v="20"/>
    <x v="6"/>
    <s v="DVNU"/>
    <s v="PRO 100"/>
    <s v="322"/>
    <s v="4.0 UN"/>
    <s v="STANDARD"/>
    <s v="N"/>
    <s v="N"/>
    <s v="N"/>
    <s v="T20"/>
    <s v="Y"/>
    <s v="N"/>
    <s v="Y"/>
    <s v="N"/>
    <s v="B012"/>
    <d v="2016-12-02T00:00:00"/>
    <s v="20"/>
    <s v="TAN"/>
    <s v="OR"/>
    <d v="2016-11-29T00:00:00"/>
    <s v="ND"/>
    <s v="US"/>
    <s v="ZR"/>
    <d v="2016-11-29T00:00:00"/>
  </r>
  <r>
    <x v="1"/>
    <x v="6"/>
    <x v="1990"/>
    <x v="48"/>
    <s v="Standard order"/>
    <x v="1877"/>
    <x v="1853"/>
    <s v="444N"/>
    <s v="BTS 444N"/>
    <s v="5002226"/>
    <s v="444N BTS T20 PB SYSTIVA P100"/>
    <n v="144"/>
    <n v="0"/>
    <n v="144"/>
    <x v="6"/>
    <s v="DVND"/>
    <s v="PRO 100"/>
    <s v="322"/>
    <s v="4.0 UN"/>
    <s v="STANDARD"/>
    <s v="N"/>
    <s v="N"/>
    <s v="N"/>
    <s v="T20"/>
    <s v="Y"/>
    <s v="N"/>
    <s v="Y"/>
    <s v="N"/>
    <s v="B012"/>
    <d v="2016-12-02T00:00:00"/>
    <s v="10"/>
    <s v="TAN"/>
    <s v="OR"/>
    <d v="2016-11-29T00:00:00"/>
    <s v="ND"/>
    <s v="US"/>
    <s v="ZR"/>
    <d v="2016-11-29T00:00:00"/>
  </r>
  <r>
    <x v="1"/>
    <x v="6"/>
    <x v="1991"/>
    <x v="48"/>
    <s v="Standard order"/>
    <x v="1878"/>
    <x v="1854"/>
    <s v="459N"/>
    <s v="BTS 459N"/>
    <s v="5002256"/>
    <s v="459N BTS T20 PB SYSTIVA P100"/>
    <n v="8"/>
    <n v="0"/>
    <n v="8"/>
    <x v="6"/>
    <s v="DVNU"/>
    <s v="PRO 100"/>
    <s v="322"/>
    <s v="4.0 UN"/>
    <s v="STANDARD"/>
    <s v="N"/>
    <s v="N"/>
    <s v="N"/>
    <s v="T20"/>
    <s v="Y"/>
    <s v="N"/>
    <s v="Y"/>
    <s v="N"/>
    <s v="B012"/>
    <d v="2016-12-02T00:00:00"/>
    <s v="10"/>
    <s v="TAN"/>
    <s v="OR"/>
    <d v="2016-11-29T00:00:00"/>
    <s v="MT"/>
    <s v="US"/>
    <s v="ZR"/>
    <d v="2016-11-29T00:00:00"/>
  </r>
  <r>
    <x v="1"/>
    <x v="6"/>
    <x v="1991"/>
    <x v="48"/>
    <s v="Standard order"/>
    <x v="1878"/>
    <x v="1854"/>
    <s v="444N"/>
    <s v="BTS 444N"/>
    <s v="5002226"/>
    <s v="444N BTS T20 PB SYSTIVA P100"/>
    <n v="16"/>
    <n v="0"/>
    <n v="16"/>
    <x v="6"/>
    <s v="DVND"/>
    <s v="PRO 100"/>
    <s v="322"/>
    <s v="4.0 UN"/>
    <s v="STANDARD"/>
    <s v="N"/>
    <s v="N"/>
    <s v="N"/>
    <s v="T20"/>
    <s v="Y"/>
    <s v="N"/>
    <s v="Y"/>
    <s v="N"/>
    <s v="B012"/>
    <d v="2016-12-02T00:00:00"/>
    <s v="20"/>
    <s v="TAN"/>
    <s v="OR"/>
    <d v="2016-11-29T00:00:00"/>
    <s v="MT"/>
    <s v="US"/>
    <s v="ZR"/>
    <d v="2016-11-29T00:00:00"/>
  </r>
  <r>
    <x v="1"/>
    <x v="6"/>
    <x v="1991"/>
    <x v="48"/>
    <s v="Standard order"/>
    <x v="1878"/>
    <x v="1854"/>
    <s v="437N"/>
    <s v="BTS 437N"/>
    <s v="5002208"/>
    <s v="437N BTS T20 PB SYSTIVA P100"/>
    <n v="16"/>
    <n v="0"/>
    <n v="16"/>
    <x v="6"/>
    <s v="EE73"/>
    <s v="PRO 100"/>
    <s v="322"/>
    <s v="4.0 UN"/>
    <s v="STANDARD"/>
    <s v="N"/>
    <s v="N"/>
    <s v="N"/>
    <s v="T20"/>
    <s v="Y"/>
    <s v="N"/>
    <s v="Y"/>
    <s v="N"/>
    <s v="B012"/>
    <d v="2016-12-02T00:00:00"/>
    <s v="30"/>
    <s v="TAN"/>
    <s v="OR"/>
    <d v="2016-11-29T00:00:00"/>
    <s v="MT"/>
    <s v="US"/>
    <s v="ZR"/>
    <d v="2016-11-29T00:00:00"/>
  </r>
  <r>
    <x v="1"/>
    <x v="0"/>
    <x v="1992"/>
    <x v="49"/>
    <s v="Standard order"/>
    <x v="1879"/>
    <x v="1855"/>
    <s v="122N"/>
    <s v="BTS 12RR2N"/>
    <s v="5002310"/>
    <s v="122N BTS T20 Kabina P200"/>
    <n v="80"/>
    <n v="0"/>
    <n v="80"/>
    <x v="0"/>
    <s v="4TBG"/>
    <s v="PRO 200"/>
    <s v="380"/>
    <s v="4.0 UN"/>
    <s v="STANDARD"/>
    <s v="N"/>
    <s v="N"/>
    <s v="Y"/>
    <s v="T20"/>
    <s v="N"/>
    <s v="N"/>
    <s v="N"/>
    <s v="N"/>
    <s v="B004"/>
    <d v="2016-12-02T00:00:00"/>
    <s v="50"/>
    <s v="TAN"/>
    <s v="OR"/>
    <d v="2016-11-29T00:00:00"/>
    <s v="MI"/>
    <s v="US"/>
    <s v="ZR"/>
    <d v="2016-11-29T00:00:00"/>
  </r>
  <r>
    <x v="1"/>
    <x v="0"/>
    <x v="1992"/>
    <x v="49"/>
    <s v="Standard order"/>
    <x v="1879"/>
    <x v="1855"/>
    <s v="149N"/>
    <s v="BTS 149N"/>
    <s v="5002367"/>
    <s v="149N BTS T20 Kabina P200"/>
    <n v="72"/>
    <n v="0"/>
    <n v="72"/>
    <x v="0"/>
    <s v="EEND"/>
    <s v="PRO 200"/>
    <s v="380"/>
    <s v="4.0 UN"/>
    <s v="STANDARD"/>
    <s v="N"/>
    <s v="N"/>
    <s v="Y"/>
    <s v="T20"/>
    <s v="N"/>
    <s v="N"/>
    <s v="N"/>
    <s v="N"/>
    <s v="B004"/>
    <d v="2016-12-02T00:00:00"/>
    <s v="40"/>
    <s v="TAN"/>
    <s v="OR"/>
    <d v="2016-11-29T00:00:00"/>
    <s v="MI"/>
    <s v="US"/>
    <s v="ZR"/>
    <d v="2016-11-29T00:00:00"/>
  </r>
  <r>
    <x v="1"/>
    <x v="0"/>
    <x v="1992"/>
    <x v="49"/>
    <s v="Standard order"/>
    <x v="1879"/>
    <x v="1855"/>
    <s v="122N"/>
    <s v="BTS 12RR2N"/>
    <s v="5002316"/>
    <s v="122N BTS T20 SYSTIVA P200"/>
    <n v="100"/>
    <n v="0"/>
    <n v="100"/>
    <x v="0"/>
    <s v="4TBG"/>
    <s v="PRO 200"/>
    <s v="326"/>
    <s v="4.0 UN"/>
    <s v="STANDARD"/>
    <s v="N"/>
    <s v="N"/>
    <s v="N"/>
    <s v="T20"/>
    <s v="Y"/>
    <s v="N"/>
    <s v="Y"/>
    <s v="N"/>
    <s v="B004"/>
    <d v="2016-12-02T00:00:00"/>
    <s v="10"/>
    <s v="TAN"/>
    <s v="OR"/>
    <d v="2016-11-29T00:00:00"/>
    <s v="MI"/>
    <s v="US"/>
    <s v="ZR"/>
    <d v="2016-11-29T00:00:00"/>
  </r>
  <r>
    <x v="1"/>
    <x v="0"/>
    <x v="1992"/>
    <x v="49"/>
    <s v="Standard order"/>
    <x v="1879"/>
    <x v="1855"/>
    <s v="133N"/>
    <s v="BTS 133N"/>
    <s v="5002328"/>
    <s v="133N BTS T20 Kabina P200"/>
    <n v="56"/>
    <n v="0"/>
    <n v="56"/>
    <x v="0"/>
    <s v="DW73"/>
    <s v="PRO 200"/>
    <s v="380"/>
    <s v="4.0 UN"/>
    <s v="STANDARD"/>
    <s v="N"/>
    <s v="N"/>
    <s v="Y"/>
    <s v="T20"/>
    <s v="N"/>
    <s v="N"/>
    <s v="N"/>
    <s v="N"/>
    <s v="B004"/>
    <d v="2016-12-02T00:00:00"/>
    <s v="20"/>
    <s v="TAN"/>
    <s v="OR"/>
    <d v="2016-11-29T00:00:00"/>
    <s v="MI"/>
    <s v="US"/>
    <s v="ZR"/>
    <d v="2016-11-29T00:00:00"/>
  </r>
  <r>
    <x v="1"/>
    <x v="0"/>
    <x v="1992"/>
    <x v="49"/>
    <s v="Standard order"/>
    <x v="1879"/>
    <x v="1855"/>
    <s v="1399"/>
    <s v="BTS 1399"/>
    <s v="5002347"/>
    <s v="1399 BTS T20 Kabina P200"/>
    <n v="68"/>
    <n v="0"/>
    <n v="68"/>
    <x v="0"/>
    <s v="EG74"/>
    <s v="PRO 200"/>
    <s v="380"/>
    <s v="4.0 UN"/>
    <s v="STANDARD"/>
    <s v="N"/>
    <s v="N"/>
    <s v="Y"/>
    <s v="T20"/>
    <s v="N"/>
    <s v="N"/>
    <s v="N"/>
    <s v="N"/>
    <s v="B004"/>
    <d v="2016-12-02T00:00:00"/>
    <s v="30"/>
    <s v="TAN"/>
    <s v="OR"/>
    <d v="2016-11-29T00:00:00"/>
    <s v="MI"/>
    <s v="US"/>
    <s v="ZR"/>
    <d v="2016-11-29T00:00:00"/>
  </r>
  <r>
    <x v="1"/>
    <x v="7"/>
    <x v="1993"/>
    <x v="37"/>
    <s v="Standard order"/>
    <x v="1880"/>
    <x v="1856"/>
    <s v="8052"/>
    <s v="BTS 80RR52"/>
    <s v="5002735"/>
    <s v="8052 BTS T35 PB SYSTIVA RP"/>
    <n v="88"/>
    <n v="0"/>
    <n v="88"/>
    <x v="7"/>
    <s v="AP82"/>
    <s v="RP"/>
    <s v="333"/>
    <s v="4.0 UN"/>
    <s v="STANDARD"/>
    <s v="N"/>
    <s v="Y"/>
    <s v="N"/>
    <s v="T35"/>
    <s v="Y"/>
    <s v="N"/>
    <s v="Y"/>
    <s v="N"/>
    <s v="B033"/>
    <d v="2016-12-02T00:00:00"/>
    <s v="10"/>
    <s v="TAN"/>
    <s v="OR"/>
    <d v="2016-11-29T00:00:00"/>
    <s v="MN"/>
    <s v="US"/>
    <s v="ZR"/>
    <d v="2016-11-29T00:00:00"/>
  </r>
  <r>
    <x v="1"/>
    <x v="7"/>
    <x v="1993"/>
    <x v="37"/>
    <s v="Standard order"/>
    <x v="1880"/>
    <x v="1856"/>
    <s v="8524"/>
    <s v="BTS 8524"/>
    <s v="5002896"/>
    <s v="8524 BTS T35 PB SYSTIVA RP"/>
    <n v="88"/>
    <n v="0"/>
    <n v="88"/>
    <x v="7"/>
    <s v="FWND"/>
    <s v="RP"/>
    <s v="333"/>
    <s v="4.0 UN"/>
    <s v="STANDARD"/>
    <s v="N"/>
    <s v="Y"/>
    <s v="N"/>
    <s v="T35"/>
    <s v="Y"/>
    <s v="N"/>
    <s v="Y"/>
    <s v="N"/>
    <s v="B033"/>
    <d v="2016-12-02T00:00:00"/>
    <s v="20"/>
    <s v="TAN"/>
    <s v="OR"/>
    <d v="2016-11-29T00:00:00"/>
    <s v="MN"/>
    <s v="US"/>
    <s v="ZR"/>
    <d v="2016-11-29T00:00:00"/>
  </r>
  <r>
    <x v="1"/>
    <x v="7"/>
    <x v="1994"/>
    <x v="41"/>
    <s v="Standard order"/>
    <x v="1881"/>
    <x v="1857"/>
    <s v="8500"/>
    <s v="BTS 8500"/>
    <s v="5002860"/>
    <s v="8500 BTS T35 SYSTIVA RP"/>
    <n v="96"/>
    <n v="0"/>
    <n v="96"/>
    <x v="7"/>
    <s v="FTND"/>
    <s v="RP"/>
    <s v="334"/>
    <s v="4.0 UN"/>
    <s v="STANDARD"/>
    <s v="N"/>
    <s v="N"/>
    <s v="N"/>
    <s v="T35"/>
    <s v="Y"/>
    <s v="N"/>
    <s v="Y"/>
    <s v="N"/>
    <s v="B032"/>
    <d v="2016-12-02T00:00:00"/>
    <s v="10"/>
    <s v="TAN"/>
    <s v="OR"/>
    <d v="2016-11-28T00:00:00"/>
    <s v="MN"/>
    <s v="US"/>
    <s v="ZR"/>
    <d v="2016-11-29T00:00:00"/>
  </r>
  <r>
    <x v="1"/>
    <x v="7"/>
    <x v="1995"/>
    <x v="41"/>
    <s v="Standard order"/>
    <x v="1882"/>
    <x v="1858"/>
    <s v="8052"/>
    <s v="BTS 80RR52"/>
    <s v="5002735"/>
    <s v="8052 BTS T35 PB SYSTIVA RP"/>
    <n v="44"/>
    <n v="0"/>
    <n v="44"/>
    <x v="7"/>
    <s v="AP82"/>
    <s v="RP"/>
    <s v="333"/>
    <s v="4.0 UN"/>
    <s v="STANDARD"/>
    <s v="N"/>
    <s v="Y"/>
    <s v="N"/>
    <s v="T35"/>
    <s v="Y"/>
    <s v="N"/>
    <s v="Y"/>
    <s v="N"/>
    <s v="B032"/>
    <d v="2016-12-02T00:00:00"/>
    <s v="10"/>
    <s v="TAN"/>
    <s v="OR"/>
    <d v="2016-11-28T00:00:00"/>
    <s v="ND"/>
    <s v="US"/>
    <s v="ZR"/>
    <d v="2016-11-29T00:00:00"/>
  </r>
  <r>
    <x v="1"/>
    <x v="7"/>
    <x v="1996"/>
    <x v="41"/>
    <s v="Standard order"/>
    <x v="1883"/>
    <x v="1859"/>
    <s v="8512"/>
    <s v="BTS 8512"/>
    <s v="5002876"/>
    <s v="8512 BTS T35 PB SYSTIVA RP"/>
    <n v="96"/>
    <n v="0"/>
    <n v="96"/>
    <x v="7"/>
    <s v="FX73"/>
    <s v="RP"/>
    <s v="333"/>
    <s v="4.0 UN"/>
    <s v="STANDARD"/>
    <s v="N"/>
    <s v="Y"/>
    <s v="N"/>
    <s v="T35"/>
    <s v="Y"/>
    <s v="N"/>
    <s v="Y"/>
    <s v="N"/>
    <s v="B032"/>
    <d v="2016-12-02T00:00:00"/>
    <s v="10"/>
    <s v="TAN"/>
    <s v="OR"/>
    <d v="2016-11-28T00:00:00"/>
    <s v="MN"/>
    <s v="US"/>
    <s v="ZR"/>
    <d v="2016-11-29T00:00:00"/>
  </r>
  <r>
    <x v="1"/>
    <x v="6"/>
    <x v="1997"/>
    <x v="48"/>
    <s v="Standard order"/>
    <x v="1884"/>
    <x v="301"/>
    <s v="437N"/>
    <s v="BTS 437N"/>
    <s v="5002208"/>
    <s v="437N BTS T20 PB SYSTIVA P100"/>
    <n v="32"/>
    <n v="0"/>
    <n v="32"/>
    <x v="6"/>
    <s v="EE73"/>
    <s v="PRO 100"/>
    <s v="322"/>
    <s v="4.0 UN"/>
    <s v="STANDARD"/>
    <s v="N"/>
    <s v="N"/>
    <s v="N"/>
    <s v="T20"/>
    <s v="Y"/>
    <s v="N"/>
    <s v="Y"/>
    <s v="N"/>
    <s v="B012"/>
    <d v="2016-12-02T00:00:00"/>
    <s v="10"/>
    <s v="TAN"/>
    <s v="OR"/>
    <d v="2016-11-28T00:00:00"/>
    <s v="MT"/>
    <s v="US"/>
    <s v="ZR"/>
    <d v="2016-11-29T00:00:00"/>
  </r>
  <r>
    <x v="1"/>
    <x v="6"/>
    <x v="1997"/>
    <x v="48"/>
    <s v="Standard order"/>
    <x v="1884"/>
    <x v="301"/>
    <s v="444N"/>
    <s v="BTS 444N"/>
    <s v="5002226"/>
    <s v="444N BTS T20 PB SYSTIVA P100"/>
    <n v="24"/>
    <n v="0"/>
    <n v="24"/>
    <x v="6"/>
    <s v="DVND"/>
    <s v="PRO 100"/>
    <s v="322"/>
    <s v="4.0 UN"/>
    <s v="STANDARD"/>
    <s v="N"/>
    <s v="N"/>
    <s v="N"/>
    <s v="T20"/>
    <s v="Y"/>
    <s v="N"/>
    <s v="Y"/>
    <s v="N"/>
    <s v="B012"/>
    <d v="2016-12-02T00:00:00"/>
    <s v="20"/>
    <s v="TAN"/>
    <s v="OR"/>
    <d v="2016-11-28T00:00:00"/>
    <s v="MT"/>
    <s v="US"/>
    <s v="ZR"/>
    <d v="2016-11-29T00:00:00"/>
  </r>
  <r>
    <x v="1"/>
    <x v="0"/>
    <x v="1998"/>
    <x v="42"/>
    <s v="Standard order"/>
    <x v="1885"/>
    <x v="1860"/>
    <s v="1399"/>
    <s v="BTS 1399"/>
    <s v="5002348"/>
    <s v="1399 BTS T20 Kabina RP"/>
    <n v="28"/>
    <n v="0"/>
    <n v="28"/>
    <x v="0"/>
    <s v="EG74"/>
    <s v="RP"/>
    <s v="380"/>
    <s v="4.0 UN"/>
    <s v="STANDARD"/>
    <s v="N"/>
    <s v="N"/>
    <s v="Y"/>
    <s v="T20"/>
    <s v="N"/>
    <s v="N"/>
    <s v="N"/>
    <s v="N"/>
    <s v="B007"/>
    <d v="2016-12-02T00:00:00"/>
    <s v="10"/>
    <s v="TAN"/>
    <s v="OR"/>
    <d v="2016-11-29T00:00:00"/>
    <s v="MI"/>
    <s v="US"/>
    <s v="ZR"/>
    <d v="2016-11-29T00:00:00"/>
  </r>
  <r>
    <x v="1"/>
    <x v="0"/>
    <x v="1998"/>
    <x v="42"/>
    <s v="Standard order"/>
    <x v="1885"/>
    <x v="1860"/>
    <s v="149N"/>
    <s v="BTS 149N"/>
    <s v="5002368"/>
    <s v="149N BTS T20 Kabina RP"/>
    <n v="36"/>
    <n v="0"/>
    <n v="36"/>
    <x v="0"/>
    <s v="EEND"/>
    <s v="RP"/>
    <s v="380"/>
    <s v="4.0 UN"/>
    <s v="STANDARD"/>
    <s v="N"/>
    <s v="N"/>
    <s v="Y"/>
    <s v="T20"/>
    <s v="N"/>
    <s v="N"/>
    <s v="N"/>
    <s v="N"/>
    <s v="B007"/>
    <d v="2016-12-02T00:00:00"/>
    <s v="20"/>
    <s v="TAN"/>
    <s v="OR"/>
    <d v="2016-11-29T00:00:00"/>
    <s v="MI"/>
    <s v="US"/>
    <s v="ZR"/>
    <d v="2016-11-29T00:00:00"/>
  </r>
  <r>
    <x v="1"/>
    <x v="7"/>
    <x v="1999"/>
    <x v="28"/>
    <s v="Standard order"/>
    <x v="1886"/>
    <x v="1861"/>
    <s v="8363"/>
    <s v="BTS 8363"/>
    <s v="5002815"/>
    <s v="8363 BTS T35 PB SYSTIVA P200"/>
    <n v="76"/>
    <n v="0"/>
    <n v="76"/>
    <x v="7"/>
    <s v="DMMZ"/>
    <s v="PRO 200"/>
    <s v="333"/>
    <s v="4.0 UN"/>
    <s v="STANDARD"/>
    <s v="N"/>
    <s v="Y"/>
    <s v="N"/>
    <s v="T35"/>
    <s v="Y"/>
    <s v="N"/>
    <s v="Y"/>
    <s v="N"/>
    <s v="B056"/>
    <d v="2016-12-02T00:00:00"/>
    <s v="10"/>
    <s v="TAN"/>
    <s v="OR"/>
    <d v="2016-11-29T00:00:00"/>
    <s v="ND"/>
    <s v="US"/>
    <s v="ZR"/>
    <d v="2016-11-29T00:00:00"/>
  </r>
  <r>
    <x v="1"/>
    <x v="7"/>
    <x v="1999"/>
    <x v="28"/>
    <s v="Standard order"/>
    <x v="1886"/>
    <x v="1861"/>
    <s v="8500"/>
    <s v="BTS 8500"/>
    <s v="5002855"/>
    <s v="8500 BTS T35 PB SYSTIVA P200"/>
    <n v="48"/>
    <n v="0"/>
    <n v="48"/>
    <x v="7"/>
    <s v="FTND"/>
    <s v="PRO 200"/>
    <s v="333"/>
    <s v="4.0 UN"/>
    <s v="STANDARD"/>
    <s v="N"/>
    <s v="Y"/>
    <s v="N"/>
    <s v="T35"/>
    <s v="Y"/>
    <s v="N"/>
    <s v="Y"/>
    <s v="N"/>
    <s v="B056"/>
    <d v="2016-12-02T00:00:00"/>
    <s v="20"/>
    <s v="TAN"/>
    <s v="OR"/>
    <d v="2016-11-29T00:00:00"/>
    <s v="ND"/>
    <s v="US"/>
    <s v="ZR"/>
    <d v="2016-11-29T00:00:00"/>
  </r>
  <r>
    <x v="1"/>
    <x v="0"/>
    <x v="2000"/>
    <x v="42"/>
    <s v="Standard order"/>
    <x v="1887"/>
    <x v="1862"/>
    <s v="1399"/>
    <s v="BTS 1399"/>
    <s v="5002346"/>
    <s v="1399 BTS T20 Kabina MP"/>
    <n v="52"/>
    <n v="0"/>
    <n v="52"/>
    <x v="0"/>
    <s v="EG74"/>
    <s v="MP"/>
    <s v="380"/>
    <s v="4.0 UN"/>
    <s v="STANDARD"/>
    <s v="N"/>
    <s v="N"/>
    <s v="Y"/>
    <s v="T20"/>
    <s v="N"/>
    <s v="N"/>
    <s v="N"/>
    <s v="N"/>
    <s v="B007"/>
    <d v="2016-12-02T00:00:00"/>
    <s v="10"/>
    <s v="TAN"/>
    <s v="OR"/>
    <d v="2016-11-29T00:00:00"/>
    <s v="MI"/>
    <s v="US"/>
    <s v="ZR"/>
    <d v="2016-11-29T00:00:00"/>
  </r>
  <r>
    <x v="1"/>
    <x v="0"/>
    <x v="2000"/>
    <x v="42"/>
    <s v="Standard order"/>
    <x v="1887"/>
    <x v="1862"/>
    <s v="122N"/>
    <s v="BTS 12RR2N"/>
    <s v="5002309"/>
    <s v="122N BTS T20 Kabina MP"/>
    <n v="44"/>
    <n v="0"/>
    <n v="44"/>
    <x v="0"/>
    <s v="4TBG"/>
    <s v="MP"/>
    <s v="380"/>
    <s v="4.0 UN"/>
    <s v="STANDARD"/>
    <s v="N"/>
    <s v="N"/>
    <s v="Y"/>
    <s v="T20"/>
    <s v="N"/>
    <s v="N"/>
    <s v="N"/>
    <s v="N"/>
    <s v="B007"/>
    <d v="2016-12-02T00:00:00"/>
    <s v="20"/>
    <s v="TAN"/>
    <s v="OR"/>
    <d v="2016-11-29T00:00:00"/>
    <s v="MI"/>
    <s v="US"/>
    <s v="ZR"/>
    <d v="2016-11-29T00:00:00"/>
  </r>
  <r>
    <x v="1"/>
    <x v="0"/>
    <x v="2000"/>
    <x v="42"/>
    <s v="Standard order"/>
    <x v="1887"/>
    <x v="1862"/>
    <s v="149N"/>
    <s v="BTS 149N"/>
    <s v="5002366"/>
    <s v="149N BTS T20 Kabina MP"/>
    <n v="20"/>
    <n v="0"/>
    <n v="20"/>
    <x v="0"/>
    <s v="EEND"/>
    <s v="MP"/>
    <s v="380"/>
    <s v="4.0 UN"/>
    <s v="STANDARD"/>
    <s v="N"/>
    <s v="N"/>
    <s v="Y"/>
    <s v="T20"/>
    <s v="N"/>
    <s v="N"/>
    <s v="N"/>
    <s v="N"/>
    <s v="B007"/>
    <d v="2016-12-02T00:00:00"/>
    <s v="30"/>
    <s v="TAN"/>
    <s v="OR"/>
    <d v="2016-11-29T00:00:00"/>
    <s v="MI"/>
    <s v="US"/>
    <s v="ZR"/>
    <d v="2016-11-29T00:00:00"/>
  </r>
  <r>
    <x v="1"/>
    <x v="7"/>
    <x v="2001"/>
    <x v="37"/>
    <s v="Standard order"/>
    <x v="1888"/>
    <x v="1863"/>
    <s v="8500"/>
    <s v="BTS 8500"/>
    <s v="5002860"/>
    <s v="8500 BTS T35 SYSTIVA RP"/>
    <n v="96"/>
    <n v="0"/>
    <n v="96"/>
    <x v="7"/>
    <s v="FTND"/>
    <s v="RP"/>
    <s v="334"/>
    <s v="4.0 UN"/>
    <s v="STANDARD"/>
    <s v="N"/>
    <s v="N"/>
    <s v="N"/>
    <s v="T35"/>
    <s v="Y"/>
    <s v="N"/>
    <s v="Y"/>
    <s v="N"/>
    <s v="B033"/>
    <d v="2016-12-02T00:00:00"/>
    <s v="10"/>
    <s v="TAN"/>
    <s v="OR"/>
    <d v="2016-11-29T00:00:00"/>
    <s v="MN"/>
    <s v="US"/>
    <s v="ZR"/>
    <d v="2016-11-29T00:00:00"/>
  </r>
  <r>
    <x v="1"/>
    <x v="4"/>
    <x v="2002"/>
    <x v="46"/>
    <s v="Standard order"/>
    <x v="1889"/>
    <x v="1864"/>
    <s v="2570"/>
    <s v="BTS 2570"/>
    <s v="5002555"/>
    <s v="2570 BTS PB XL"/>
    <n v="32"/>
    <n v="0"/>
    <n v="32"/>
    <x v="4"/>
    <s v="EZNS"/>
    <s v="X-LARGE"/>
    <s v="307"/>
    <s v="4.0 UN"/>
    <s v="STANDARD"/>
    <s v="N"/>
    <s v="Y"/>
    <s v="N"/>
    <s v="N"/>
    <s v="N"/>
    <s v="N"/>
    <s v="N"/>
    <s v="N"/>
    <s v="B049"/>
    <d v="2016-12-02T00:00:00"/>
    <s v="20"/>
    <s v="TAN"/>
    <s v="OR"/>
    <d v="2016-11-29T00:00:00"/>
    <s v="ID"/>
    <s v="US"/>
    <s v="ZR"/>
    <d v="2016-11-29T00:00:00"/>
  </r>
  <r>
    <x v="1"/>
    <x v="4"/>
    <x v="2002"/>
    <x v="46"/>
    <s v="Standard order"/>
    <x v="1889"/>
    <x v="1864"/>
    <s v="2125"/>
    <s v="BTS 21RR25"/>
    <s v="5002395"/>
    <s v="2125 BTS PB XL"/>
    <n v="100"/>
    <n v="0"/>
    <n v="100"/>
    <x v="4"/>
    <s v="AP92"/>
    <s v="X-LARGE"/>
    <s v="307"/>
    <s v="4.0 UN"/>
    <s v="STANDARD"/>
    <s v="N"/>
    <s v="Y"/>
    <s v="N"/>
    <s v="N"/>
    <s v="N"/>
    <s v="N"/>
    <s v="N"/>
    <s v="N"/>
    <s v="B049"/>
    <d v="2016-12-02T00:00:00"/>
    <s v="30"/>
    <s v="TAN"/>
    <s v="OR"/>
    <d v="2016-11-29T00:00:00"/>
    <s v="ID"/>
    <s v="US"/>
    <s v="ZR"/>
    <d v="2016-11-29T00:00:00"/>
  </r>
  <r>
    <x v="1"/>
    <x v="4"/>
    <x v="2002"/>
    <x v="46"/>
    <s v="Standard order"/>
    <x v="1889"/>
    <x v="1864"/>
    <s v="4933"/>
    <s v="BTS 49RR33"/>
    <s v="5002280"/>
    <s v="4933 BTS PB XL IDH"/>
    <n v="96"/>
    <n v="0"/>
    <n v="96"/>
    <x v="4"/>
    <s v="AKMC"/>
    <s v="X-LARGE"/>
    <s v="307"/>
    <s v="4.0 UN"/>
    <s v="STANDARD"/>
    <s v="N"/>
    <s v="Y"/>
    <s v="N"/>
    <s v="N"/>
    <s v="N"/>
    <s v="N"/>
    <s v="N"/>
    <s v="N"/>
    <s v="B049"/>
    <d v="2016-12-02T00:00:00"/>
    <s v="40"/>
    <s v="TAN"/>
    <s v="OR"/>
    <d v="2016-11-29T00:00:00"/>
    <s v="ID"/>
    <s v="US"/>
    <s v="ZR"/>
    <d v="2016-11-29T00:00:00"/>
  </r>
  <r>
    <x v="1"/>
    <x v="4"/>
    <x v="2002"/>
    <x v="46"/>
    <s v="Standard order"/>
    <x v="1889"/>
    <x v="1864"/>
    <s v="2523"/>
    <s v="BTS 2523"/>
    <s v="5002529"/>
    <s v="2523 BTS PB XL"/>
    <n v="32"/>
    <n v="0"/>
    <n v="32"/>
    <x v="4"/>
    <s v="EZPC"/>
    <s v="X-LARGE"/>
    <s v="307"/>
    <s v="4.0 UN"/>
    <s v="STANDARD"/>
    <s v="N"/>
    <s v="Y"/>
    <s v="N"/>
    <s v="N"/>
    <s v="N"/>
    <s v="N"/>
    <s v="N"/>
    <s v="N"/>
    <s v="B049"/>
    <d v="2016-12-02T00:00:00"/>
    <s v="10"/>
    <s v="TAN"/>
    <s v="OR"/>
    <d v="2016-11-29T00:00:00"/>
    <s v="ID"/>
    <s v="US"/>
    <s v="ZR"/>
    <d v="2016-11-29T00:00:00"/>
  </r>
  <r>
    <x v="1"/>
    <x v="7"/>
    <x v="2003"/>
    <x v="33"/>
    <s v="Standard order"/>
    <x v="1890"/>
    <x v="1865"/>
    <s v="8500"/>
    <s v="BTS 8500"/>
    <s v="5002856"/>
    <s v="8500 BTS T35 PB SYSTIVA RP"/>
    <n v="192"/>
    <n v="0"/>
    <n v="192"/>
    <x v="7"/>
    <s v="FTND"/>
    <s v="RP"/>
    <s v="333"/>
    <s v="4.0 UN"/>
    <s v="STANDARD"/>
    <s v="N"/>
    <s v="Y"/>
    <s v="N"/>
    <s v="T35"/>
    <s v="Y"/>
    <s v="N"/>
    <s v="Y"/>
    <s v="N"/>
    <s v="B026"/>
    <d v="2016-12-02T00:00:00"/>
    <s v="10"/>
    <s v="TAN"/>
    <s v="OR"/>
    <d v="2016-11-29T00:00:00"/>
    <s v="ND"/>
    <s v="US"/>
    <s v="ZR"/>
    <d v="2016-11-29T00:00:00"/>
  </r>
  <r>
    <x v="1"/>
    <x v="7"/>
    <x v="2003"/>
    <x v="33"/>
    <s v="Standard order"/>
    <x v="1890"/>
    <x v="1865"/>
    <s v="8363"/>
    <s v="BTS 8363"/>
    <s v="5002816"/>
    <s v="8363 BTS T35 PB SYSTIVA RP"/>
    <n v="96"/>
    <n v="0"/>
    <n v="96"/>
    <x v="7"/>
    <s v="DMMZ"/>
    <s v="RP"/>
    <s v="333"/>
    <s v="4.0 UN"/>
    <s v="STANDARD"/>
    <s v="N"/>
    <s v="Y"/>
    <s v="N"/>
    <s v="T35"/>
    <s v="Y"/>
    <s v="N"/>
    <s v="Y"/>
    <s v="N"/>
    <s v="B026"/>
    <d v="2016-12-02T00:00:00"/>
    <s v="20"/>
    <s v="TAN"/>
    <s v="OR"/>
    <d v="2016-11-29T00:00:00"/>
    <s v="ND"/>
    <s v="US"/>
    <s v="ZR"/>
    <d v="2016-11-29T00:00:00"/>
  </r>
  <r>
    <x v="1"/>
    <x v="7"/>
    <x v="2003"/>
    <x v="33"/>
    <s v="Standard order"/>
    <x v="1890"/>
    <x v="1865"/>
    <s v="8572"/>
    <s v="BTS 8572"/>
    <s v="5003215"/>
    <s v="8572 BTS T35 PB SYSTIVA RP"/>
    <n v="12"/>
    <n v="0"/>
    <n v="12"/>
    <x v="7"/>
    <s v="FENB"/>
    <s v="RP"/>
    <s v="333"/>
    <s v="4.0 UN"/>
    <s v="STANDARD"/>
    <s v="N"/>
    <s v="Y"/>
    <s v="N"/>
    <s v="T35"/>
    <s v="Y"/>
    <s v="N"/>
    <s v="Y"/>
    <s v="N"/>
    <s v="B026"/>
    <d v="2016-12-02T00:00:00"/>
    <s v="30"/>
    <s v="TAN"/>
    <s v="OR"/>
    <d v="2016-11-29T00:00:00"/>
    <s v="ND"/>
    <s v="US"/>
    <s v="ZR"/>
    <d v="2016-11-29T00:00:00"/>
  </r>
  <r>
    <x v="1"/>
    <x v="7"/>
    <x v="2004"/>
    <x v="36"/>
    <s v="Standard order"/>
    <x v="1891"/>
    <x v="1866"/>
    <s v="8052"/>
    <s v="BTS 80RR52"/>
    <s v="5002735"/>
    <s v="8052 BTS T35 PB SYSTIVA RP"/>
    <n v="60"/>
    <n v="0"/>
    <n v="60"/>
    <x v="7"/>
    <s v="AP82"/>
    <s v="RP"/>
    <s v="333"/>
    <s v="4.0 UN"/>
    <s v="STANDARD"/>
    <s v="N"/>
    <s v="Y"/>
    <s v="N"/>
    <s v="T35"/>
    <s v="Y"/>
    <s v="N"/>
    <s v="Y"/>
    <s v="N"/>
    <s v="B027"/>
    <d v="2016-12-02T00:00:00"/>
    <s v="10"/>
    <s v="TAN"/>
    <s v="OR"/>
    <d v="2016-11-28T00:00:00"/>
    <s v="MN"/>
    <s v="US"/>
    <s v="ZR"/>
    <d v="2016-11-29T00:00:00"/>
  </r>
  <r>
    <x v="1"/>
    <x v="7"/>
    <x v="2005"/>
    <x v="41"/>
    <s v="Standard order"/>
    <x v="1892"/>
    <x v="1867"/>
    <s v="8512"/>
    <s v="BTS 8512"/>
    <s v="5002864"/>
    <s v="8512 BTS T20 SYSTIVA MP"/>
    <n v="56"/>
    <n v="0"/>
    <n v="56"/>
    <x v="7"/>
    <s v="FX73"/>
    <s v="MP"/>
    <s v="326"/>
    <s v="4.0 UN"/>
    <s v="STANDARD"/>
    <s v="N"/>
    <s v="N"/>
    <s v="N"/>
    <s v="T20"/>
    <s v="Y"/>
    <s v="N"/>
    <s v="Y"/>
    <s v="N"/>
    <s v="B032"/>
    <d v="2016-12-02T00:00:00"/>
    <s v="10"/>
    <s v="TAN"/>
    <s v="OR"/>
    <d v="2016-11-28T00:00:00"/>
    <s v="MN"/>
    <s v="US"/>
    <s v="ZR"/>
    <d v="2016-11-29T00:00:00"/>
  </r>
  <r>
    <x v="1"/>
    <x v="7"/>
    <x v="2006"/>
    <x v="39"/>
    <s v="Standard order"/>
    <x v="1893"/>
    <x v="1868"/>
    <s v="8512"/>
    <s v="BTS 8512"/>
    <s v="5002876"/>
    <s v="8512 BTS T35 PB SYSTIVA RP"/>
    <n v="48"/>
    <n v="0"/>
    <n v="48"/>
    <x v="7"/>
    <s v="FX73"/>
    <s v="RP"/>
    <s v="333"/>
    <s v="4.0 UN"/>
    <s v="STANDARD"/>
    <s v="N"/>
    <s v="Y"/>
    <s v="N"/>
    <s v="T35"/>
    <s v="Y"/>
    <s v="N"/>
    <s v="Y"/>
    <s v="N"/>
    <s v="B030"/>
    <d v="2016-12-02T00:00:00"/>
    <s v="10"/>
    <s v="TAN"/>
    <s v="OR"/>
    <d v="2016-11-28T00:00:00"/>
    <s v="MN"/>
    <s v="US"/>
    <s v="ZR"/>
    <d v="2016-11-29T00:00:00"/>
  </r>
  <r>
    <x v="1"/>
    <x v="7"/>
    <x v="2007"/>
    <x v="36"/>
    <s v="Standard order"/>
    <x v="1894"/>
    <x v="1869"/>
    <s v="8052"/>
    <s v="BTS 80RR52"/>
    <s v="5002735"/>
    <s v="8052 BTS T35 PB SYSTIVA RP"/>
    <n v="80"/>
    <n v="0"/>
    <n v="80"/>
    <x v="7"/>
    <s v="AP82"/>
    <s v="RP"/>
    <s v="333"/>
    <s v="4.0 UN"/>
    <s v="STANDARD"/>
    <s v="N"/>
    <s v="Y"/>
    <s v="N"/>
    <s v="T35"/>
    <s v="Y"/>
    <s v="N"/>
    <s v="Y"/>
    <s v="N"/>
    <s v="B027"/>
    <d v="2016-12-02T00:00:00"/>
    <s v="10"/>
    <s v="TAN"/>
    <s v="OR"/>
    <d v="2016-11-29T00:00:00"/>
    <s v="MN"/>
    <s v="US"/>
    <s v="ZR"/>
    <d v="2016-11-29T00:00:00"/>
  </r>
  <r>
    <x v="1"/>
    <x v="4"/>
    <x v="2008"/>
    <x v="46"/>
    <s v="Standard order"/>
    <x v="1895"/>
    <x v="1870"/>
    <s v="2523"/>
    <s v="BTS 2523"/>
    <s v="5002529"/>
    <s v="2523 BTS PB XL"/>
    <n v="32"/>
    <n v="0"/>
    <n v="32"/>
    <x v="4"/>
    <s v="EZPC"/>
    <s v="X-LARGE"/>
    <s v="307"/>
    <s v="4.0 UN"/>
    <s v="STANDARD"/>
    <s v="N"/>
    <s v="Y"/>
    <s v="N"/>
    <s v="N"/>
    <s v="N"/>
    <s v="N"/>
    <s v="N"/>
    <s v="N"/>
    <s v="B049"/>
    <d v="2016-12-02T00:00:00"/>
    <s v="10"/>
    <s v="TAN"/>
    <s v="OR"/>
    <d v="2016-11-29T00:00:00"/>
    <s v="ID"/>
    <s v="US"/>
    <s v="ZR"/>
    <d v="2016-11-29T00:00:00"/>
  </r>
  <r>
    <x v="1"/>
    <x v="4"/>
    <x v="2008"/>
    <x v="46"/>
    <s v="Standard order"/>
    <x v="1895"/>
    <x v="1870"/>
    <s v="2570"/>
    <s v="BTS 2570"/>
    <s v="5002555"/>
    <s v="2570 BTS PB XL"/>
    <n v="32"/>
    <n v="0"/>
    <n v="32"/>
    <x v="4"/>
    <s v="EZNS"/>
    <s v="X-LARGE"/>
    <s v="307"/>
    <s v="4.0 UN"/>
    <s v="STANDARD"/>
    <s v="N"/>
    <s v="Y"/>
    <s v="N"/>
    <s v="N"/>
    <s v="N"/>
    <s v="N"/>
    <s v="N"/>
    <s v="N"/>
    <s v="B049"/>
    <d v="2016-12-02T00:00:00"/>
    <s v="20"/>
    <s v="TAN"/>
    <s v="OR"/>
    <d v="2016-11-29T00:00:00"/>
    <s v="ID"/>
    <s v="US"/>
    <s v="ZR"/>
    <d v="2016-11-29T00:00:00"/>
  </r>
  <r>
    <x v="1"/>
    <x v="7"/>
    <x v="2009"/>
    <x v="39"/>
    <s v="Standard order"/>
    <x v="1896"/>
    <x v="1871"/>
    <s v="8500"/>
    <s v="BTS 8500"/>
    <s v="5002856"/>
    <s v="8500 BTS T35 PB SYSTIVA RP"/>
    <n v="88"/>
    <n v="0"/>
    <n v="88"/>
    <x v="7"/>
    <s v="FTND"/>
    <s v="RP"/>
    <s v="333"/>
    <s v="4.0 UN"/>
    <s v="STANDARD"/>
    <s v="N"/>
    <s v="Y"/>
    <s v="N"/>
    <s v="T35"/>
    <s v="Y"/>
    <s v="N"/>
    <s v="Y"/>
    <s v="N"/>
    <s v="B030"/>
    <d v="2016-12-02T00:00:00"/>
    <s v="10"/>
    <s v="TAN"/>
    <s v="OR"/>
    <d v="2016-11-29T00:00:00"/>
    <s v="MN"/>
    <s v="US"/>
    <s v="ZR"/>
    <d v="2016-11-29T00:00:00"/>
  </r>
  <r>
    <x v="1"/>
    <x v="4"/>
    <x v="2010"/>
    <x v="46"/>
    <s v="Standard order"/>
    <x v="1897"/>
    <x v="1872"/>
    <s v="4933"/>
    <s v="BTS 49RR33"/>
    <s v="5002280"/>
    <s v="4933 BTS PB XL IDH"/>
    <n v="24"/>
    <n v="0"/>
    <n v="24"/>
    <x v="4"/>
    <s v="AKMC"/>
    <s v="X-LARGE"/>
    <s v="307"/>
    <s v="4.0 UN"/>
    <s v="STANDARD"/>
    <s v="N"/>
    <s v="Y"/>
    <s v="N"/>
    <s v="N"/>
    <s v="N"/>
    <s v="N"/>
    <s v="N"/>
    <s v="N"/>
    <s v="B049"/>
    <d v="2016-12-02T00:00:00"/>
    <s v="40"/>
    <s v="TAN"/>
    <s v="OR"/>
    <d v="2016-11-29T00:00:00"/>
    <s v="ID"/>
    <s v="US"/>
    <s v="ZR"/>
    <d v="2016-11-29T00:00:00"/>
  </r>
  <r>
    <x v="1"/>
    <x v="4"/>
    <x v="2010"/>
    <x v="46"/>
    <s v="Standard order"/>
    <x v="1897"/>
    <x v="1872"/>
    <s v="2523"/>
    <s v="BTS 2523"/>
    <s v="5002529"/>
    <s v="2523 BTS PB XL"/>
    <n v="32"/>
    <n v="0"/>
    <n v="32"/>
    <x v="4"/>
    <s v="EZPC"/>
    <s v="X-LARGE"/>
    <s v="307"/>
    <s v="4.0 UN"/>
    <s v="STANDARD"/>
    <s v="N"/>
    <s v="Y"/>
    <s v="N"/>
    <s v="N"/>
    <s v="N"/>
    <s v="N"/>
    <s v="N"/>
    <s v="N"/>
    <s v="B049"/>
    <d v="2016-12-02T00:00:00"/>
    <s v="10"/>
    <s v="TAN"/>
    <s v="OR"/>
    <d v="2016-11-29T00:00:00"/>
    <s v="ID"/>
    <s v="US"/>
    <s v="ZR"/>
    <d v="2016-11-29T00:00:00"/>
  </r>
  <r>
    <x v="1"/>
    <x v="4"/>
    <x v="2010"/>
    <x v="46"/>
    <s v="Standard order"/>
    <x v="1897"/>
    <x v="1872"/>
    <s v="2559"/>
    <s v="BTS 2559"/>
    <s v="5002563"/>
    <s v="2559 BTS PB XL"/>
    <n v="24"/>
    <n v="0"/>
    <n v="24"/>
    <x v="4"/>
    <s v="FGNE"/>
    <s v="X-LARGE"/>
    <s v="307"/>
    <s v="4.0 UN"/>
    <s v="STANDARD"/>
    <s v="N"/>
    <s v="Y"/>
    <s v="N"/>
    <s v="N"/>
    <s v="N"/>
    <s v="N"/>
    <s v="N"/>
    <s v="N"/>
    <s v="B049"/>
    <d v="2016-12-02T00:00:00"/>
    <s v="20"/>
    <s v="TAN"/>
    <s v="OR"/>
    <d v="2016-11-29T00:00:00"/>
    <s v="ID"/>
    <s v="US"/>
    <s v="ZR"/>
    <d v="2016-11-29T00:00:00"/>
  </r>
  <r>
    <x v="1"/>
    <x v="4"/>
    <x v="2010"/>
    <x v="46"/>
    <s v="Standard order"/>
    <x v="1897"/>
    <x v="1872"/>
    <s v="2570"/>
    <s v="BTS 2570"/>
    <s v="5002555"/>
    <s v="2570 BTS PB XL"/>
    <n v="32"/>
    <n v="0"/>
    <n v="32"/>
    <x v="4"/>
    <s v="EZNS"/>
    <s v="X-LARGE"/>
    <s v="307"/>
    <s v="4.0 UN"/>
    <s v="STANDARD"/>
    <s v="N"/>
    <s v="Y"/>
    <s v="N"/>
    <s v="N"/>
    <s v="N"/>
    <s v="N"/>
    <s v="N"/>
    <s v="N"/>
    <s v="B049"/>
    <d v="2016-12-02T00:00:00"/>
    <s v="30"/>
    <s v="TAN"/>
    <s v="OR"/>
    <d v="2016-11-29T00:00:00"/>
    <s v="ID"/>
    <s v="US"/>
    <s v="ZR"/>
    <d v="2016-11-29T00:00:00"/>
  </r>
  <r>
    <x v="1"/>
    <x v="7"/>
    <x v="2011"/>
    <x v="36"/>
    <s v="Standard order"/>
    <x v="1898"/>
    <x v="1873"/>
    <s v="8512"/>
    <s v="BTS 8512"/>
    <s v="5002876"/>
    <s v="8512 BTS T35 PB SYSTIVA RP"/>
    <n v="48"/>
    <n v="0"/>
    <n v="48"/>
    <x v="7"/>
    <s v="FX73"/>
    <s v="RP"/>
    <s v="333"/>
    <s v="4.0 UN"/>
    <s v="STANDARD"/>
    <s v="N"/>
    <s v="Y"/>
    <s v="N"/>
    <s v="T35"/>
    <s v="Y"/>
    <s v="N"/>
    <s v="Y"/>
    <s v="N"/>
    <s v="B027"/>
    <d v="2016-12-02T00:00:00"/>
    <s v="30"/>
    <s v="TAN"/>
    <s v="OR"/>
    <d v="2016-11-29T00:00:00"/>
    <s v="MN"/>
    <s v="US"/>
    <s v="ZR"/>
    <d v="2016-11-29T00:00:00"/>
  </r>
  <r>
    <x v="1"/>
    <x v="7"/>
    <x v="2011"/>
    <x v="36"/>
    <s v="Standard order"/>
    <x v="1898"/>
    <x v="1873"/>
    <s v="8052"/>
    <s v="BTS 80RR52"/>
    <s v="5002735"/>
    <s v="8052 BTS T35 PB SYSTIVA RP"/>
    <n v="48"/>
    <n v="0"/>
    <n v="48"/>
    <x v="7"/>
    <s v="AP82"/>
    <s v="RP"/>
    <s v="333"/>
    <s v="4.0 UN"/>
    <s v="STANDARD"/>
    <s v="N"/>
    <s v="Y"/>
    <s v="N"/>
    <s v="T35"/>
    <s v="Y"/>
    <s v="N"/>
    <s v="Y"/>
    <s v="N"/>
    <s v="B027"/>
    <d v="2016-12-02T00:00:00"/>
    <s v="10"/>
    <s v="TAN"/>
    <s v="OR"/>
    <d v="2016-11-29T00:00:00"/>
    <s v="MN"/>
    <s v="US"/>
    <s v="ZR"/>
    <d v="2016-11-29T00:00:00"/>
  </r>
  <r>
    <x v="1"/>
    <x v="7"/>
    <x v="2011"/>
    <x v="36"/>
    <s v="Standard order"/>
    <x v="1898"/>
    <x v="1873"/>
    <s v="8500"/>
    <s v="BTS 8500"/>
    <s v="5002856"/>
    <s v="8500 BTS T35 PB SYSTIVA RP"/>
    <n v="96"/>
    <n v="0"/>
    <n v="96"/>
    <x v="7"/>
    <s v="FTND"/>
    <s v="RP"/>
    <s v="333"/>
    <s v="4.0 UN"/>
    <s v="STANDARD"/>
    <s v="N"/>
    <s v="Y"/>
    <s v="N"/>
    <s v="T35"/>
    <s v="Y"/>
    <s v="N"/>
    <s v="Y"/>
    <s v="N"/>
    <s v="B027"/>
    <d v="2016-12-02T00:00:00"/>
    <s v="20"/>
    <s v="TAN"/>
    <s v="OR"/>
    <d v="2016-11-29T00:00:00"/>
    <s v="MN"/>
    <s v="US"/>
    <s v="ZR"/>
    <d v="2016-11-29T00:00:00"/>
  </r>
  <r>
    <x v="1"/>
    <x v="5"/>
    <x v="2012"/>
    <x v="12"/>
    <s v="Standard order"/>
    <x v="1899"/>
    <x v="39"/>
    <s v="398N"/>
    <s v="BTS 39RR8N"/>
    <s v="5002572"/>
    <s v="39RR8N RP BetaShield PLUS"/>
    <n v="56"/>
    <n v="0"/>
    <n v="56"/>
    <x v="5"/>
    <s v="2771"/>
    <s v="RP"/>
    <s v="322"/>
    <s v="4.0 UN"/>
    <s v="STANDARD"/>
    <s v="N"/>
    <s v="Y"/>
    <s v="N"/>
    <s v="T20"/>
    <s v="Y"/>
    <s v="N"/>
    <s v="N"/>
    <s v="N"/>
    <s v=""/>
    <d v="2016-12-02T00:00:00"/>
    <s v="30"/>
    <s v="TAN"/>
    <s v="OR"/>
    <d v="2016-11-29T00:00:00"/>
    <s v="MT"/>
    <s v="US"/>
    <s v="ZR"/>
    <d v="2016-11-29T00:00:00"/>
  </r>
  <r>
    <x v="1"/>
    <x v="5"/>
    <x v="2012"/>
    <x v="12"/>
    <s v="Standard order"/>
    <x v="1899"/>
    <x v="39"/>
    <s v="336N"/>
    <s v="BTS 336N"/>
    <s v="5002400"/>
    <s v="336N BTS T20 PB SYSTIVA RP"/>
    <n v="68"/>
    <n v="0"/>
    <n v="68"/>
    <x v="5"/>
    <s v="EEMG"/>
    <s v="RP"/>
    <s v="322"/>
    <s v="4.0 UN"/>
    <s v="STANDARD"/>
    <s v="N"/>
    <s v="N"/>
    <s v="N"/>
    <s v="T20"/>
    <s v="Y"/>
    <s v="N"/>
    <s v="N"/>
    <s v="N"/>
    <s v="B014"/>
    <d v="2016-12-02T00:00:00"/>
    <s v="10"/>
    <s v="TAN"/>
    <s v="OR"/>
    <d v="2016-11-29T00:00:00"/>
    <s v="MT"/>
    <s v="US"/>
    <s v="ZR"/>
    <d v="2016-11-29T00:00:00"/>
  </r>
  <r>
    <x v="1"/>
    <x v="7"/>
    <x v="2013"/>
    <x v="33"/>
    <s v="Standard order"/>
    <x v="1900"/>
    <x v="1874"/>
    <s v="8500"/>
    <s v="BTS 8500"/>
    <s v="5002855"/>
    <s v="8500 BTS T35 PB SYSTIVA P200"/>
    <n v="72"/>
    <n v="0"/>
    <n v="72"/>
    <x v="7"/>
    <s v="FTND"/>
    <s v="PRO 200"/>
    <s v="333"/>
    <s v="4.0 UN"/>
    <s v="STANDARD"/>
    <s v="N"/>
    <s v="Y"/>
    <s v="N"/>
    <s v="T35"/>
    <s v="Y"/>
    <s v="N"/>
    <s v="Y"/>
    <s v="N"/>
    <s v="B026"/>
    <d v="2016-12-02T00:00:00"/>
    <s v="10"/>
    <s v="TAN"/>
    <s v="OR"/>
    <d v="2016-11-29T00:00:00"/>
    <s v="MN"/>
    <s v="US"/>
    <s v="ZR"/>
    <d v="2016-11-29T00:00:00"/>
  </r>
  <r>
    <x v="1"/>
    <x v="4"/>
    <x v="2014"/>
    <x v="44"/>
    <s v="Standard order"/>
    <x v="1901"/>
    <x v="199"/>
    <s v="2570"/>
    <s v="BTS 2570"/>
    <s v="5003285"/>
    <s v="2570 BTS PB Kabina XL"/>
    <n v="8"/>
    <n v="0"/>
    <n v="8"/>
    <x v="4"/>
    <s v="EZNS"/>
    <s v="X-LARGE"/>
    <s v="384"/>
    <s v="4.0 UN"/>
    <s v="STANDARD"/>
    <s v="N"/>
    <s v="Y"/>
    <s v="Y"/>
    <s v="N"/>
    <s v="N"/>
    <s v="N"/>
    <s v="N"/>
    <s v="N"/>
    <s v="MB13"/>
    <d v="2016-12-02T00:00:00"/>
    <s v="10"/>
    <s v="TAN"/>
    <s v="OR"/>
    <d v="2016-11-29T00:00:00"/>
    <s v="ID"/>
    <s v="US"/>
    <s v="ZR"/>
    <d v="2016-11-29T00:00:00"/>
  </r>
  <r>
    <x v="1"/>
    <x v="7"/>
    <x v="2015"/>
    <x v="37"/>
    <s v="Standard order"/>
    <x v="1902"/>
    <x v="1875"/>
    <s v="8052"/>
    <s v="BTS 80RR52"/>
    <s v="5002735"/>
    <s v="8052 BTS T35 PB SYSTIVA RP"/>
    <n v="80"/>
    <n v="0"/>
    <n v="80"/>
    <x v="7"/>
    <s v="AP82"/>
    <s v="RP"/>
    <s v="333"/>
    <s v="4.0 UN"/>
    <s v="STANDARD"/>
    <s v="N"/>
    <s v="Y"/>
    <s v="N"/>
    <s v="T35"/>
    <s v="Y"/>
    <s v="N"/>
    <s v="Y"/>
    <s v="N"/>
    <s v="B033"/>
    <d v="2016-12-02T00:00:00"/>
    <s v="10"/>
    <s v="TAN"/>
    <s v="OR"/>
    <d v="2016-11-29T00:00:00"/>
    <s v="ND"/>
    <s v="US"/>
    <s v="ZR"/>
    <d v="2016-11-29T00:00:00"/>
  </r>
  <r>
    <x v="1"/>
    <x v="7"/>
    <x v="2015"/>
    <x v="37"/>
    <s v="Standard order"/>
    <x v="1902"/>
    <x v="1875"/>
    <s v="8500"/>
    <s v="BTS 8500"/>
    <s v="5002856"/>
    <s v="8500 BTS T35 PB SYSTIVA RP"/>
    <n v="80"/>
    <n v="0"/>
    <n v="80"/>
    <x v="7"/>
    <s v="FTND"/>
    <s v="RP"/>
    <s v="333"/>
    <s v="4.0 UN"/>
    <s v="STANDARD"/>
    <s v="N"/>
    <s v="Y"/>
    <s v="N"/>
    <s v="T35"/>
    <s v="Y"/>
    <s v="N"/>
    <s v="Y"/>
    <s v="N"/>
    <s v="B033"/>
    <d v="2016-12-02T00:00:00"/>
    <s v="20"/>
    <s v="TAN"/>
    <s v="OR"/>
    <d v="2016-11-29T00:00:00"/>
    <s v="ND"/>
    <s v="US"/>
    <s v="ZR"/>
    <d v="2016-11-29T00:00:00"/>
  </r>
  <r>
    <x v="1"/>
    <x v="4"/>
    <x v="2016"/>
    <x v="46"/>
    <s v="Standard order"/>
    <x v="1903"/>
    <x v="1876"/>
    <s v="2559"/>
    <s v="BTS 2559"/>
    <s v="5002561"/>
    <s v="2559 BTS PB LRG"/>
    <n v="48"/>
    <n v="0"/>
    <n v="48"/>
    <x v="4"/>
    <s v="FGNE"/>
    <s v="LARGE"/>
    <s v="307"/>
    <s v="4.0 UN"/>
    <s v="STANDARD"/>
    <s v="N"/>
    <s v="Y"/>
    <s v="N"/>
    <s v="N"/>
    <s v="N"/>
    <s v="N"/>
    <s v="N"/>
    <s v="N"/>
    <s v="B049"/>
    <d v="2016-12-02T00:00:00"/>
    <s v="10"/>
    <s v="TAN"/>
    <s v="OR"/>
    <d v="2016-11-29T00:00:00"/>
    <s v="ID"/>
    <s v="US"/>
    <s v="ZR"/>
    <d v="2016-11-29T00:00:00"/>
  </r>
  <r>
    <x v="1"/>
    <x v="4"/>
    <x v="2016"/>
    <x v="46"/>
    <s v="Standard order"/>
    <x v="1903"/>
    <x v="1876"/>
    <s v="2570"/>
    <s v="BTS 2570"/>
    <s v="5002553"/>
    <s v="2570 BTS PB LRG"/>
    <n v="24"/>
    <n v="0"/>
    <n v="24"/>
    <x v="4"/>
    <s v="EZNS"/>
    <s v="LARGE"/>
    <s v="307"/>
    <s v="4.0 UN"/>
    <s v="STANDARD"/>
    <s v="N"/>
    <s v="Y"/>
    <s v="N"/>
    <s v="N"/>
    <s v="N"/>
    <s v="N"/>
    <s v="N"/>
    <s v="N"/>
    <s v="B049"/>
    <d v="2016-12-02T00:00:00"/>
    <s v="20"/>
    <s v="TAN"/>
    <s v="OR"/>
    <d v="2016-11-29T00:00:00"/>
    <s v="ID"/>
    <s v="US"/>
    <s v="ZR"/>
    <d v="2016-11-29T00:00:00"/>
  </r>
  <r>
    <x v="1"/>
    <x v="4"/>
    <x v="2016"/>
    <x v="46"/>
    <s v="Standard order"/>
    <x v="1903"/>
    <x v="1876"/>
    <s v="2125"/>
    <s v="BTS 21RR25"/>
    <s v="5002387"/>
    <s v="2125 BTS PB LRG"/>
    <n v="124"/>
    <n v="0"/>
    <n v="124"/>
    <x v="4"/>
    <s v="AP92"/>
    <s v="LARGE"/>
    <s v="307"/>
    <s v="4.0 UN"/>
    <s v="STANDARD"/>
    <s v="N"/>
    <s v="Y"/>
    <s v="N"/>
    <s v="N"/>
    <s v="N"/>
    <s v="N"/>
    <s v="N"/>
    <s v="N"/>
    <s v="B049"/>
    <d v="2016-12-02T00:00:00"/>
    <s v="30"/>
    <s v="TAN"/>
    <s v="OR"/>
    <d v="2016-11-29T00:00:00"/>
    <s v="ID"/>
    <s v="US"/>
    <s v="ZR"/>
    <d v="2016-11-29T00:00:00"/>
  </r>
  <r>
    <x v="1"/>
    <x v="7"/>
    <x v="2017"/>
    <x v="33"/>
    <s v="Standard order"/>
    <x v="1904"/>
    <x v="1877"/>
    <s v="8337"/>
    <s v="BTS 8337"/>
    <s v="5002799"/>
    <s v="8337 BTS T35 SYSTIVA RP"/>
    <n v="60"/>
    <n v="0"/>
    <n v="60"/>
    <x v="7"/>
    <s v="DHMC"/>
    <s v="RP"/>
    <s v="334"/>
    <s v="4.0 UN"/>
    <s v="STANDARD"/>
    <s v="N"/>
    <s v="N"/>
    <s v="N"/>
    <s v="T35"/>
    <s v="Y"/>
    <s v="N"/>
    <s v="Y"/>
    <s v="N"/>
    <s v="B026"/>
    <d v="2016-12-02T00:00:00"/>
    <s v="30"/>
    <s v="TAN"/>
    <s v="OR"/>
    <d v="2016-11-29T00:00:00"/>
    <s v="MN"/>
    <s v="US"/>
    <s v="ZR"/>
    <d v="2016-11-29T00:00:00"/>
  </r>
  <r>
    <x v="1"/>
    <x v="7"/>
    <x v="2017"/>
    <x v="33"/>
    <s v="Standard order"/>
    <x v="1904"/>
    <x v="1877"/>
    <s v="8524"/>
    <s v="BTS 8524"/>
    <s v="5002900"/>
    <s v="8524 BTS T35 SYSTIVA RP"/>
    <n v="60"/>
    <n v="0"/>
    <n v="60"/>
    <x v="7"/>
    <s v="FWND"/>
    <s v="RP"/>
    <s v="334"/>
    <s v="4.0 UN"/>
    <s v="STANDARD"/>
    <s v="N"/>
    <s v="N"/>
    <s v="N"/>
    <s v="T35"/>
    <s v="Y"/>
    <s v="N"/>
    <s v="Y"/>
    <s v="N"/>
    <s v="B026"/>
    <d v="2016-12-02T00:00:00"/>
    <s v="40"/>
    <s v="TAN"/>
    <s v="OR"/>
    <d v="2016-11-29T00:00:00"/>
    <s v="MN"/>
    <s v="US"/>
    <s v="ZR"/>
    <d v="2016-11-29T00:00:00"/>
  </r>
  <r>
    <x v="1"/>
    <x v="7"/>
    <x v="2018"/>
    <x v="37"/>
    <s v="Standard order"/>
    <x v="1905"/>
    <x v="1878"/>
    <s v="8052"/>
    <s v="BTS 80RR52"/>
    <s v="5002735"/>
    <s v="8052 BTS T35 PB SYSTIVA RP"/>
    <n v="96"/>
    <n v="0"/>
    <n v="96"/>
    <x v="7"/>
    <s v="AP82"/>
    <s v="RP"/>
    <s v="333"/>
    <s v="4.0 UN"/>
    <s v="STANDARD"/>
    <s v="N"/>
    <s v="Y"/>
    <s v="N"/>
    <s v="T35"/>
    <s v="Y"/>
    <s v="N"/>
    <s v="Y"/>
    <s v="N"/>
    <s v="B033"/>
    <d v="2016-12-02T00:00:00"/>
    <s v="10"/>
    <s v="TAN"/>
    <s v="OR"/>
    <d v="2016-11-29T00:00:00"/>
    <s v="ND"/>
    <s v="US"/>
    <s v="ZR"/>
    <d v="2016-11-29T00:00:00"/>
  </r>
  <r>
    <x v="1"/>
    <x v="7"/>
    <x v="2018"/>
    <x v="37"/>
    <s v="Standard order"/>
    <x v="1905"/>
    <x v="1878"/>
    <s v="8500"/>
    <s v="BTS 8500"/>
    <s v="5002856"/>
    <s v="8500 BTS T35 PB SYSTIVA RP"/>
    <n v="96"/>
    <n v="0"/>
    <n v="96"/>
    <x v="7"/>
    <s v="FTND"/>
    <s v="RP"/>
    <s v="333"/>
    <s v="4.0 UN"/>
    <s v="STANDARD"/>
    <s v="N"/>
    <s v="Y"/>
    <s v="N"/>
    <s v="T35"/>
    <s v="Y"/>
    <s v="N"/>
    <s v="Y"/>
    <s v="N"/>
    <s v="B033"/>
    <d v="2016-12-02T00:00:00"/>
    <s v="20"/>
    <s v="TAN"/>
    <s v="OR"/>
    <d v="2016-11-29T00:00:00"/>
    <s v="ND"/>
    <s v="US"/>
    <s v="ZR"/>
    <d v="2016-11-29T00:00:00"/>
  </r>
  <r>
    <x v="1"/>
    <x v="5"/>
    <x v="2019"/>
    <x v="14"/>
    <s v="Standard order"/>
    <x v="1906"/>
    <x v="47"/>
    <s v="398N"/>
    <s v="BTS 39RR8N"/>
    <s v="5002572"/>
    <s v="39RR8N RP BetaShield PLUS"/>
    <n v="56"/>
    <n v="0"/>
    <n v="56"/>
    <x v="5"/>
    <s v="2771"/>
    <s v="RP"/>
    <s v="322"/>
    <s v="4.0 UN"/>
    <s v="STANDARD"/>
    <s v="N"/>
    <s v="Y"/>
    <s v="N"/>
    <s v="T20"/>
    <s v="Y"/>
    <s v="N"/>
    <s v="N"/>
    <s v="N"/>
    <s v=""/>
    <d v="2016-12-05T00:00:00"/>
    <s v="20"/>
    <s v="TAN"/>
    <s v="OR"/>
    <d v="2016-11-30T00:00:00"/>
    <s v="WY"/>
    <s v="US"/>
    <s v="ZR"/>
    <d v="2016-11-30T00:00:00"/>
  </r>
  <r>
    <x v="1"/>
    <x v="0"/>
    <x v="2020"/>
    <x v="49"/>
    <s v="Standard order"/>
    <x v="1907"/>
    <x v="1879"/>
    <s v="122N"/>
    <s v="BTS 12RR2N"/>
    <s v="5002316"/>
    <s v="122N BTS T20 SYSTIVA P200"/>
    <n v="32"/>
    <n v="0"/>
    <n v="32"/>
    <x v="0"/>
    <s v="4TBG"/>
    <s v="PRO 200"/>
    <s v="326"/>
    <s v="4.0 UN"/>
    <s v="STANDARD"/>
    <s v="N"/>
    <s v="N"/>
    <s v="N"/>
    <s v="T20"/>
    <s v="Y"/>
    <s v="N"/>
    <s v="Y"/>
    <s v="N"/>
    <s v="B004"/>
    <d v="2016-12-05T00:00:00"/>
    <s v="10"/>
    <s v="TAN"/>
    <s v="OR"/>
    <d v="2016-11-30T00:00:00"/>
    <s v="MI"/>
    <s v="US"/>
    <s v="ZR"/>
    <d v="2016-11-30T00:00:00"/>
  </r>
  <r>
    <x v="1"/>
    <x v="0"/>
    <x v="2020"/>
    <x v="49"/>
    <s v="Standard order"/>
    <x v="1907"/>
    <x v="1879"/>
    <s v="149N"/>
    <s v="BTS 149N"/>
    <s v="5002367"/>
    <s v="149N BTS T20 Kabina P200"/>
    <n v="28"/>
    <n v="0"/>
    <n v="28"/>
    <x v="0"/>
    <s v="EEND"/>
    <s v="PRO 200"/>
    <s v="380"/>
    <s v="4.0 UN"/>
    <s v="STANDARD"/>
    <s v="N"/>
    <s v="N"/>
    <s v="Y"/>
    <s v="T20"/>
    <s v="N"/>
    <s v="N"/>
    <s v="N"/>
    <s v="N"/>
    <s v="B004"/>
    <d v="2016-12-05T00:00:00"/>
    <s v="20"/>
    <s v="TAN"/>
    <s v="OR"/>
    <d v="2016-11-30T00:00:00"/>
    <s v="MI"/>
    <s v="US"/>
    <s v="ZR"/>
    <d v="2016-11-30T00:00:00"/>
  </r>
  <r>
    <x v="1"/>
    <x v="0"/>
    <x v="2021"/>
    <x v="45"/>
    <s v="Standard order"/>
    <x v="1908"/>
    <x v="1880"/>
    <s v="149N"/>
    <s v="BTS 149N"/>
    <s v="5002367"/>
    <s v="149N BTS T20 Kabina P200"/>
    <n v="44"/>
    <n v="0"/>
    <n v="44"/>
    <x v="0"/>
    <s v="EEND"/>
    <s v="PRO 200"/>
    <s v="380"/>
    <s v="4.0 UN"/>
    <s v="STANDARD"/>
    <s v="N"/>
    <s v="N"/>
    <s v="Y"/>
    <s v="T20"/>
    <s v="N"/>
    <s v="N"/>
    <s v="N"/>
    <s v="N"/>
    <s v="B003"/>
    <d v="2016-12-05T00:00:00"/>
    <s v="10"/>
    <s v="TAN"/>
    <s v="OR"/>
    <d v="2016-11-30T00:00:00"/>
    <s v="MI"/>
    <s v="US"/>
    <s v="ZR"/>
    <d v="2016-11-30T00:00:00"/>
  </r>
  <r>
    <x v="1"/>
    <x v="0"/>
    <x v="2021"/>
    <x v="45"/>
    <s v="Standard order"/>
    <x v="1908"/>
    <x v="1880"/>
    <s v="133N"/>
    <s v="BTS 133N"/>
    <s v="5002328"/>
    <s v="133N BTS T20 Kabina P200"/>
    <n v="24"/>
    <n v="0"/>
    <n v="24"/>
    <x v="0"/>
    <s v="DW73"/>
    <s v="PRO 200"/>
    <s v="380"/>
    <s v="4.0 UN"/>
    <s v="STANDARD"/>
    <s v="N"/>
    <s v="N"/>
    <s v="Y"/>
    <s v="T20"/>
    <s v="N"/>
    <s v="N"/>
    <s v="N"/>
    <s v="N"/>
    <s v="B003"/>
    <d v="2016-12-05T00:00:00"/>
    <s v="20"/>
    <s v="TAN"/>
    <s v="OR"/>
    <d v="2016-11-30T00:00:00"/>
    <s v="MI"/>
    <s v="US"/>
    <s v="ZR"/>
    <d v="2016-11-30T00:00:00"/>
  </r>
  <r>
    <x v="1"/>
    <x v="0"/>
    <x v="2022"/>
    <x v="45"/>
    <s v="Standard order"/>
    <x v="1909"/>
    <x v="76"/>
    <s v="149N"/>
    <s v="BTS 149N"/>
    <s v="5002367"/>
    <s v="149N BTS T20 Kabina P200"/>
    <n v="40"/>
    <n v="0"/>
    <n v="40"/>
    <x v="0"/>
    <s v="EEND"/>
    <s v="PRO 200"/>
    <s v="380"/>
    <s v="4.0 UN"/>
    <s v="STANDARD"/>
    <s v="N"/>
    <s v="N"/>
    <s v="Y"/>
    <s v="T20"/>
    <s v="N"/>
    <s v="N"/>
    <s v="N"/>
    <s v="N"/>
    <s v="B003"/>
    <d v="2016-12-05T00:00:00"/>
    <s v="10"/>
    <s v="TAN"/>
    <s v="OR"/>
    <d v="2016-11-30T00:00:00"/>
    <s v="MI"/>
    <s v="US"/>
    <s v="ZR"/>
    <d v="2016-11-30T00:00:00"/>
  </r>
  <r>
    <x v="1"/>
    <x v="0"/>
    <x v="2022"/>
    <x v="45"/>
    <s v="Standard order"/>
    <x v="1909"/>
    <x v="76"/>
    <s v="133N"/>
    <s v="BTS 133N"/>
    <s v="5002328"/>
    <s v="133N BTS T20 Kabina P200"/>
    <n v="28"/>
    <n v="0"/>
    <n v="28"/>
    <x v="0"/>
    <s v="DW73"/>
    <s v="PRO 200"/>
    <s v="380"/>
    <s v="4.0 UN"/>
    <s v="STANDARD"/>
    <s v="N"/>
    <s v="N"/>
    <s v="Y"/>
    <s v="T20"/>
    <s v="N"/>
    <s v="N"/>
    <s v="N"/>
    <s v="N"/>
    <s v="B003"/>
    <d v="2016-12-05T00:00:00"/>
    <s v="20"/>
    <s v="TAN"/>
    <s v="OR"/>
    <d v="2016-11-30T00:00:00"/>
    <s v="MI"/>
    <s v="US"/>
    <s v="ZR"/>
    <d v="2016-11-30T00:00:00"/>
  </r>
  <r>
    <x v="1"/>
    <x v="0"/>
    <x v="2023"/>
    <x v="29"/>
    <s v="Standard order"/>
    <x v="1910"/>
    <x v="1881"/>
    <s v="122N"/>
    <s v="BTS 12RR2N"/>
    <s v="5002315"/>
    <s v="122N BTS T20 SYSTIVA MP"/>
    <n v="60"/>
    <n v="0"/>
    <n v="60"/>
    <x v="0"/>
    <s v="4TBG"/>
    <s v="MP"/>
    <s v="326"/>
    <s v="4.0 UN"/>
    <s v="STANDARD"/>
    <s v="N"/>
    <s v="N"/>
    <s v="N"/>
    <s v="T20"/>
    <s v="Y"/>
    <s v="N"/>
    <s v="Y"/>
    <s v="N"/>
    <s v="B005"/>
    <d v="2016-12-05T00:00:00"/>
    <s v="10"/>
    <s v="TAN"/>
    <s v="OR"/>
    <d v="2016-11-30T00:00:00"/>
    <s v="MI"/>
    <s v="US"/>
    <s v="ZR"/>
    <d v="2016-11-30T00:00:00"/>
  </r>
  <r>
    <x v="1"/>
    <x v="0"/>
    <x v="2023"/>
    <x v="29"/>
    <s v="Standard order"/>
    <x v="1910"/>
    <x v="1881"/>
    <s v="122N"/>
    <s v="BTS 12RR2N"/>
    <s v="5002309"/>
    <s v="122N BTS T20 Kabina MP"/>
    <n v="132"/>
    <n v="0"/>
    <n v="132"/>
    <x v="0"/>
    <s v="4TBG"/>
    <s v="MP"/>
    <s v="380"/>
    <s v="4.0 UN"/>
    <s v="STANDARD"/>
    <s v="N"/>
    <s v="N"/>
    <s v="Y"/>
    <s v="T20"/>
    <s v="N"/>
    <s v="N"/>
    <s v="N"/>
    <s v="N"/>
    <s v="B005"/>
    <d v="2016-12-05T00:00:00"/>
    <s v="20"/>
    <s v="TAN"/>
    <s v="OR"/>
    <d v="2016-11-30T00:00:00"/>
    <s v="MI"/>
    <s v="US"/>
    <s v="ZR"/>
    <d v="2016-11-30T00:00:00"/>
  </r>
  <r>
    <x v="1"/>
    <x v="7"/>
    <x v="2024"/>
    <x v="38"/>
    <s v="Standard order"/>
    <x v="1911"/>
    <x v="1882"/>
    <s v="8337"/>
    <s v="BTS 8337"/>
    <s v="5002795"/>
    <s v="8337 BTS T35 PB SYSTIVA RP"/>
    <n v="48"/>
    <n v="0"/>
    <n v="48"/>
    <x v="7"/>
    <s v="DHMC"/>
    <s v="RP"/>
    <s v="333"/>
    <s v="4.0 UN"/>
    <s v="STANDARD"/>
    <s v="N"/>
    <s v="Y"/>
    <s v="N"/>
    <s v="T35"/>
    <s v="Y"/>
    <s v="N"/>
    <s v="Y"/>
    <s v="N"/>
    <s v="B031"/>
    <d v="2016-12-05T00:00:00"/>
    <s v="10"/>
    <s v="TAN"/>
    <s v="OR"/>
    <d v="2016-11-30T00:00:00"/>
    <s v="MN"/>
    <s v="US"/>
    <s v="ZR"/>
    <d v="2016-11-30T00:00:00"/>
  </r>
  <r>
    <x v="1"/>
    <x v="7"/>
    <x v="2024"/>
    <x v="38"/>
    <s v="Standard order"/>
    <x v="1911"/>
    <x v="1882"/>
    <s v="8500"/>
    <s v="BTS 8500"/>
    <s v="5002856"/>
    <s v="8500 BTS T35 PB SYSTIVA RP"/>
    <n v="48"/>
    <n v="0"/>
    <n v="48"/>
    <x v="7"/>
    <s v="FTND"/>
    <s v="RP"/>
    <s v="333"/>
    <s v="4.0 UN"/>
    <s v="STANDARD"/>
    <s v="N"/>
    <s v="Y"/>
    <s v="N"/>
    <s v="T35"/>
    <s v="Y"/>
    <s v="N"/>
    <s v="Y"/>
    <s v="N"/>
    <s v="B031"/>
    <d v="2016-12-05T00:00:00"/>
    <s v="20"/>
    <s v="TAN"/>
    <s v="OR"/>
    <d v="2016-11-30T00:00:00"/>
    <s v="MN"/>
    <s v="US"/>
    <s v="ZR"/>
    <d v="2016-11-30T00:00:00"/>
  </r>
  <r>
    <x v="1"/>
    <x v="4"/>
    <x v="2025"/>
    <x v="46"/>
    <s v="Standard order"/>
    <x v="1912"/>
    <x v="1883"/>
    <s v="2570"/>
    <s v="BTS 2570"/>
    <s v="5002553"/>
    <s v="2570 BTS PB LRG"/>
    <n v="48"/>
    <n v="0"/>
    <n v="48"/>
    <x v="4"/>
    <s v="EZNS"/>
    <s v="LARGE"/>
    <s v="307"/>
    <s v="4.0 UN"/>
    <s v="STANDARD"/>
    <s v="N"/>
    <s v="Y"/>
    <s v="N"/>
    <s v="N"/>
    <s v="N"/>
    <s v="N"/>
    <s v="N"/>
    <s v="N"/>
    <s v="B049"/>
    <d v="2016-12-05T00:00:00"/>
    <s v="10"/>
    <s v="TAN"/>
    <s v="OR"/>
    <d v="2016-11-30T00:00:00"/>
    <s v="ID"/>
    <s v="US"/>
    <s v="ZR"/>
    <d v="2016-11-30T00:00:00"/>
  </r>
  <r>
    <x v="1"/>
    <x v="4"/>
    <x v="2025"/>
    <x v="46"/>
    <s v="Standard order"/>
    <x v="1912"/>
    <x v="1883"/>
    <s v="6027"/>
    <s v="BTS 60RR27"/>
    <s v="5002617"/>
    <s v="6027 BTS PB LRG IDH"/>
    <n v="48"/>
    <n v="0"/>
    <n v="48"/>
    <x v="4"/>
    <s v="APMC"/>
    <s v="LARGE"/>
    <s v="307"/>
    <s v="4.0 UN"/>
    <s v="STANDARD"/>
    <s v="N"/>
    <s v="Y"/>
    <s v="N"/>
    <s v="N"/>
    <s v="N"/>
    <s v="N"/>
    <s v="N"/>
    <s v="N"/>
    <s v="B049"/>
    <d v="2016-12-05T00:00:00"/>
    <s v="20"/>
    <s v="TAN"/>
    <s v="OR"/>
    <d v="2016-11-30T00:00:00"/>
    <s v="ID"/>
    <s v="US"/>
    <s v="ZR"/>
    <d v="2016-11-30T00:00:00"/>
  </r>
  <r>
    <x v="1"/>
    <x v="4"/>
    <x v="2025"/>
    <x v="46"/>
    <s v="Standard order"/>
    <x v="1912"/>
    <x v="1883"/>
    <s v="2125"/>
    <s v="BTS 21RR25"/>
    <s v="5002387"/>
    <s v="2125 BTS PB LRG"/>
    <n v="24"/>
    <n v="0"/>
    <n v="24"/>
    <x v="4"/>
    <s v="AP92"/>
    <s v="LARGE"/>
    <s v="307"/>
    <s v="4.0 UN"/>
    <s v="STANDARD"/>
    <s v="N"/>
    <s v="Y"/>
    <s v="N"/>
    <s v="N"/>
    <s v="N"/>
    <s v="N"/>
    <s v="N"/>
    <s v="N"/>
    <s v="B049"/>
    <d v="2016-12-05T00:00:00"/>
    <s v="30"/>
    <s v="TAN"/>
    <s v="OR"/>
    <d v="2016-11-30T00:00:00"/>
    <s v="ID"/>
    <s v="US"/>
    <s v="ZR"/>
    <d v="2016-11-30T00:00:00"/>
  </r>
  <r>
    <x v="1"/>
    <x v="7"/>
    <x v="2026"/>
    <x v="38"/>
    <s v="Standard order"/>
    <x v="1913"/>
    <x v="1884"/>
    <s v="8337"/>
    <s v="BTS 8337"/>
    <s v="5002799"/>
    <s v="8337 BTS T35 SYSTIVA RP"/>
    <n v="96"/>
    <n v="0"/>
    <n v="96"/>
    <x v="7"/>
    <s v="DHMC"/>
    <s v="RP"/>
    <s v="334"/>
    <s v="4.0 UN"/>
    <s v="STANDARD"/>
    <s v="N"/>
    <s v="N"/>
    <s v="N"/>
    <s v="T35"/>
    <s v="Y"/>
    <s v="N"/>
    <s v="Y"/>
    <s v="N"/>
    <s v="B031"/>
    <d v="2016-12-05T00:00:00"/>
    <s v="10"/>
    <s v="TAN"/>
    <s v="OR"/>
    <d v="2016-11-30T00:00:00"/>
    <s v="MN"/>
    <s v="US"/>
    <s v="ZR"/>
    <d v="2016-11-30T00:00:00"/>
  </r>
  <r>
    <x v="1"/>
    <x v="7"/>
    <x v="2026"/>
    <x v="38"/>
    <s v="Standard order"/>
    <x v="1913"/>
    <x v="1884"/>
    <s v="8524"/>
    <s v="BTS 8524"/>
    <s v="5002900"/>
    <s v="8524 BTS T35 SYSTIVA RP"/>
    <n v="36"/>
    <n v="0"/>
    <n v="36"/>
    <x v="7"/>
    <s v="FWND"/>
    <s v="RP"/>
    <s v="334"/>
    <s v="4.0 UN"/>
    <s v="STANDARD"/>
    <s v="N"/>
    <s v="N"/>
    <s v="N"/>
    <s v="T35"/>
    <s v="Y"/>
    <s v="N"/>
    <s v="Y"/>
    <s v="N"/>
    <s v="B031"/>
    <d v="2016-12-05T00:00:00"/>
    <s v="20"/>
    <s v="TAN"/>
    <s v="OR"/>
    <d v="2016-11-30T00:00:00"/>
    <s v="MN"/>
    <s v="US"/>
    <s v="ZR"/>
    <d v="2016-11-30T00:00:00"/>
  </r>
  <r>
    <x v="1"/>
    <x v="5"/>
    <x v="2027"/>
    <x v="13"/>
    <s v="Standard order"/>
    <x v="1914"/>
    <x v="1885"/>
    <s v="336N"/>
    <s v="BTS 336N"/>
    <s v="5002400"/>
    <s v="336N BTS T20 PB SYSTIVA RP"/>
    <n v="40"/>
    <n v="0"/>
    <n v="40"/>
    <x v="5"/>
    <s v="EEMG"/>
    <s v="RP"/>
    <s v="322"/>
    <s v="4.0 UN"/>
    <s v="STANDARD"/>
    <s v="N"/>
    <s v="N"/>
    <s v="N"/>
    <s v="T20"/>
    <s v="Y"/>
    <s v="N"/>
    <s v="N"/>
    <s v="N"/>
    <s v="B015"/>
    <d v="2016-12-05T00:00:00"/>
    <s v="10"/>
    <s v="TAN"/>
    <s v="OR"/>
    <d v="2016-11-30T00:00:00"/>
    <s v="MT"/>
    <s v="US"/>
    <s v="ZR"/>
    <d v="2016-11-30T00:00:00"/>
  </r>
  <r>
    <x v="1"/>
    <x v="5"/>
    <x v="2027"/>
    <x v="13"/>
    <s v="Standard order"/>
    <x v="1914"/>
    <x v="1885"/>
    <s v="398N"/>
    <s v="BTS 39RR8N"/>
    <s v="5002572"/>
    <s v="39RR8N RP BetaShield PLUS"/>
    <n v="28"/>
    <n v="0"/>
    <n v="28"/>
    <x v="5"/>
    <s v="2771"/>
    <s v="RP"/>
    <s v="322"/>
    <s v="4.0 UN"/>
    <s v="STANDARD"/>
    <s v="N"/>
    <s v="Y"/>
    <s v="N"/>
    <s v="T20"/>
    <s v="Y"/>
    <s v="N"/>
    <s v="N"/>
    <s v="N"/>
    <s v=""/>
    <d v="2016-12-05T00:00:00"/>
    <s v="30"/>
    <s v="TAN"/>
    <s v="OR"/>
    <d v="2016-11-30T00:00:00"/>
    <s v="MT"/>
    <s v="US"/>
    <s v="ZR"/>
    <d v="2016-11-30T00:00:00"/>
  </r>
  <r>
    <x v="1"/>
    <x v="7"/>
    <x v="2028"/>
    <x v="41"/>
    <s v="Standard order"/>
    <x v="1915"/>
    <x v="1886"/>
    <s v="8512"/>
    <s v="BTS 8512"/>
    <s v="5002875"/>
    <s v="8512 BTS T35 PB SYSTIVA P200"/>
    <n v="92"/>
    <n v="0"/>
    <n v="92"/>
    <x v="7"/>
    <s v="FX73"/>
    <s v="PRO 200"/>
    <s v="333"/>
    <s v="4.0 UN"/>
    <s v="STANDARD"/>
    <s v="N"/>
    <s v="Y"/>
    <s v="N"/>
    <s v="T35"/>
    <s v="Y"/>
    <s v="N"/>
    <s v="Y"/>
    <s v="N"/>
    <s v="B032"/>
    <d v="2016-12-05T00:00:00"/>
    <s v="10"/>
    <s v="TAN"/>
    <s v="OR"/>
    <d v="2016-11-30T00:00:00"/>
    <s v="MN"/>
    <s v="US"/>
    <s v="ZR"/>
    <d v="2016-11-30T00:00:00"/>
  </r>
  <r>
    <x v="1"/>
    <x v="7"/>
    <x v="2029"/>
    <x v="41"/>
    <s v="Standard order"/>
    <x v="1916"/>
    <x v="1887"/>
    <s v="8500"/>
    <s v="BTS 8500"/>
    <s v="5002844"/>
    <s v="8500 BTS T20 SYSTIVA MP"/>
    <n v="48"/>
    <n v="0"/>
    <n v="48"/>
    <x v="7"/>
    <s v="FTND"/>
    <s v="MP"/>
    <s v="326"/>
    <s v="4.0 UN"/>
    <s v="STANDARD"/>
    <s v="N"/>
    <s v="N"/>
    <s v="N"/>
    <s v="T20"/>
    <s v="Y"/>
    <s v="N"/>
    <s v="Y"/>
    <s v="N"/>
    <s v="B032"/>
    <d v="2016-12-05T00:00:00"/>
    <s v="10"/>
    <s v="TAN"/>
    <s v="OR"/>
    <d v="2016-11-30T00:00:00"/>
    <s v="ND"/>
    <s v="US"/>
    <s v="ZR"/>
    <d v="2016-11-30T00:00:00"/>
  </r>
  <r>
    <x v="1"/>
    <x v="0"/>
    <x v="2030"/>
    <x v="29"/>
    <s v="Standard order"/>
    <x v="1917"/>
    <x v="1888"/>
    <s v="149N"/>
    <s v="BTS 149N"/>
    <s v="5002368"/>
    <s v="149N BTS T20 Kabina RP"/>
    <n v="104"/>
    <n v="0"/>
    <n v="104"/>
    <x v="0"/>
    <s v="EEND"/>
    <s v="RP"/>
    <s v="380"/>
    <s v="4.0 UN"/>
    <s v="STANDARD"/>
    <s v="N"/>
    <s v="N"/>
    <s v="Y"/>
    <s v="T20"/>
    <s v="N"/>
    <s v="N"/>
    <s v="N"/>
    <s v="N"/>
    <s v="B005"/>
    <d v="2016-12-05T00:00:00"/>
    <s v="10"/>
    <s v="TAN"/>
    <s v="OR"/>
    <d v="2016-11-30T00:00:00"/>
    <s v="MI"/>
    <s v="US"/>
    <s v="ZR"/>
    <d v="2016-11-30T00:00:00"/>
  </r>
  <r>
    <x v="1"/>
    <x v="0"/>
    <x v="2030"/>
    <x v="29"/>
    <s v="Standard order"/>
    <x v="1917"/>
    <x v="1888"/>
    <s v="122N"/>
    <s v="BTS 12RR2N"/>
    <s v="5002317"/>
    <s v="122N BTS T20 SYSTIVA RP"/>
    <n v="40"/>
    <n v="0"/>
    <n v="40"/>
    <x v="0"/>
    <s v="4TBG"/>
    <s v="RP"/>
    <s v="326"/>
    <s v="4.0 UN"/>
    <s v="STANDARD"/>
    <s v="N"/>
    <s v="N"/>
    <s v="N"/>
    <s v="T20"/>
    <s v="Y"/>
    <s v="N"/>
    <s v="Y"/>
    <s v="N"/>
    <s v="B005"/>
    <d v="2016-12-05T00:00:00"/>
    <s v="20"/>
    <s v="TAN"/>
    <s v="OR"/>
    <d v="2016-11-30T00:00:00"/>
    <s v="MI"/>
    <s v="US"/>
    <s v="ZR"/>
    <d v="2016-11-30T00:00:00"/>
  </r>
  <r>
    <x v="1"/>
    <x v="0"/>
    <x v="2030"/>
    <x v="29"/>
    <s v="Standard order"/>
    <x v="1917"/>
    <x v="1888"/>
    <s v="122N"/>
    <s v="BTS 12RR2N"/>
    <s v="5002311"/>
    <s v="122N BTS T20 Kabina RP"/>
    <n v="88"/>
    <n v="0"/>
    <n v="88"/>
    <x v="0"/>
    <s v="4TBG"/>
    <s v="RP"/>
    <s v="380"/>
    <s v="4.0 UN"/>
    <s v="STANDARD"/>
    <s v="N"/>
    <s v="N"/>
    <s v="Y"/>
    <s v="T20"/>
    <s v="N"/>
    <s v="N"/>
    <s v="N"/>
    <s v="N"/>
    <s v="B005"/>
    <d v="2016-12-05T00:00:00"/>
    <s v="30"/>
    <s v="TAN"/>
    <s v="OR"/>
    <d v="2016-11-30T00:00:00"/>
    <s v="MI"/>
    <s v="US"/>
    <s v="ZR"/>
    <d v="2016-11-30T00:00:00"/>
  </r>
  <r>
    <x v="1"/>
    <x v="0"/>
    <x v="2030"/>
    <x v="29"/>
    <s v="Standard order"/>
    <x v="1917"/>
    <x v="1888"/>
    <s v="1399"/>
    <s v="BTS 1399"/>
    <s v="5002348"/>
    <s v="1399 BTS T20 Kabina RP"/>
    <n v="228"/>
    <n v="0"/>
    <n v="228"/>
    <x v="0"/>
    <s v="EG74"/>
    <s v="RP"/>
    <s v="380"/>
    <s v="4.0 UN"/>
    <s v="STANDARD"/>
    <s v="N"/>
    <s v="N"/>
    <s v="Y"/>
    <s v="T20"/>
    <s v="N"/>
    <s v="N"/>
    <s v="N"/>
    <s v="N"/>
    <s v="B005"/>
    <d v="2016-12-05T00:00:00"/>
    <s v="40"/>
    <s v="TAN"/>
    <s v="OR"/>
    <d v="2016-11-30T00:00:00"/>
    <s v="MI"/>
    <s v="US"/>
    <s v="ZR"/>
    <d v="2016-11-30T00:00:00"/>
  </r>
  <r>
    <x v="1"/>
    <x v="5"/>
    <x v="2031"/>
    <x v="9"/>
    <s v="Standard order"/>
    <x v="1918"/>
    <x v="49"/>
    <s v="398N"/>
    <s v="BTS 39RR8N"/>
    <s v="5002572"/>
    <s v="39RR8N RP BetaShield PLUS"/>
    <n v="88"/>
    <n v="0"/>
    <n v="88"/>
    <x v="5"/>
    <s v="2771"/>
    <s v="RP"/>
    <s v="322"/>
    <s v="4.0 UN"/>
    <s v="STANDARD"/>
    <s v="N"/>
    <s v="Y"/>
    <s v="N"/>
    <s v="T20"/>
    <s v="Y"/>
    <s v="N"/>
    <s v="N"/>
    <s v="N"/>
    <s v=""/>
    <d v="2016-12-05T00:00:00"/>
    <s v="20"/>
    <s v="TAN"/>
    <s v="OR"/>
    <d v="2016-11-30T00:00:00"/>
    <s v="WY"/>
    <s v="US"/>
    <s v="ZR"/>
    <d v="2016-11-30T00:00:00"/>
  </r>
  <r>
    <x v="1"/>
    <x v="5"/>
    <x v="2032"/>
    <x v="14"/>
    <s v="Standard order"/>
    <x v="1919"/>
    <x v="1889"/>
    <s v="398N"/>
    <s v="BTS 39RR8N"/>
    <s v="5002568"/>
    <s v="39RR8N MP BetaShield PLUS"/>
    <n v="120"/>
    <n v="0"/>
    <n v="120"/>
    <x v="5"/>
    <s v="2771"/>
    <s v="MP"/>
    <s v="322"/>
    <s v="4.0 UN"/>
    <s v="STANDARD"/>
    <s v="N"/>
    <s v="Y"/>
    <s v="N"/>
    <s v="T20"/>
    <s v="Y"/>
    <s v="N"/>
    <s v="N"/>
    <s v="N"/>
    <s v=""/>
    <d v="2016-12-05T00:00:00"/>
    <s v="20"/>
    <s v="TAN"/>
    <s v="OR"/>
    <d v="2016-11-30T00:00:00"/>
    <s v="WY"/>
    <s v="US"/>
    <s v="ZR"/>
    <d v="2016-11-30T00:00:00"/>
  </r>
  <r>
    <x v="1"/>
    <x v="0"/>
    <x v="2033"/>
    <x v="45"/>
    <s v="Standard order"/>
    <x v="1920"/>
    <x v="1890"/>
    <s v="1399"/>
    <s v="BTS 1399"/>
    <s v="5002356"/>
    <s v="1399 BTS T20 PB Kabina RP"/>
    <n v="16"/>
    <n v="0"/>
    <n v="16"/>
    <x v="0"/>
    <s v="EG74"/>
    <s v="RP"/>
    <s v="382"/>
    <s v="4.0 UN"/>
    <s v="STANDARD"/>
    <s v="N"/>
    <s v="Y"/>
    <s v="Y"/>
    <s v="T20"/>
    <s v="N"/>
    <s v="N"/>
    <s v="N"/>
    <s v="N"/>
    <s v="B003"/>
    <d v="2016-12-05T00:00:00"/>
    <s v="10"/>
    <s v="TAN"/>
    <s v="OR"/>
    <d v="2016-11-30T00:00:00"/>
    <s v="MI"/>
    <s v="US"/>
    <s v="ZR"/>
    <d v="2016-11-30T00:00:00"/>
  </r>
  <r>
    <x v="1"/>
    <x v="0"/>
    <x v="2033"/>
    <x v="45"/>
    <s v="Standard order"/>
    <x v="1920"/>
    <x v="1890"/>
    <s v="122N"/>
    <s v="BTS 12RR2N"/>
    <s v="5002311"/>
    <s v="122N BTS T20 Kabina RP"/>
    <n v="20"/>
    <n v="0"/>
    <n v="20"/>
    <x v="0"/>
    <s v="4TBG"/>
    <s v="RP"/>
    <s v="380"/>
    <s v="4.0 UN"/>
    <s v="STANDARD"/>
    <s v="N"/>
    <s v="N"/>
    <s v="Y"/>
    <s v="T20"/>
    <s v="N"/>
    <s v="N"/>
    <s v="N"/>
    <s v="N"/>
    <s v="B003"/>
    <d v="2016-12-05T00:00:00"/>
    <s v="20"/>
    <s v="TAN"/>
    <s v="OR"/>
    <d v="2016-11-30T00:00:00"/>
    <s v="MI"/>
    <s v="US"/>
    <s v="ZR"/>
    <d v="2016-11-30T00:00:00"/>
  </r>
  <r>
    <x v="1"/>
    <x v="0"/>
    <x v="2033"/>
    <x v="45"/>
    <s v="Standard order"/>
    <x v="1920"/>
    <x v="1890"/>
    <s v="149N"/>
    <s v="BTS 149N"/>
    <s v="5002368"/>
    <s v="149N BTS T20 Kabina RP"/>
    <n v="8"/>
    <n v="0"/>
    <n v="8"/>
    <x v="0"/>
    <s v="EEND"/>
    <s v="RP"/>
    <s v="380"/>
    <s v="4.0 UN"/>
    <s v="STANDARD"/>
    <s v="N"/>
    <s v="N"/>
    <s v="Y"/>
    <s v="T20"/>
    <s v="N"/>
    <s v="N"/>
    <s v="N"/>
    <s v="N"/>
    <s v="B003"/>
    <d v="2016-12-05T00:00:00"/>
    <s v="30"/>
    <s v="TAN"/>
    <s v="OR"/>
    <d v="2016-11-30T00:00:00"/>
    <s v="MI"/>
    <s v="US"/>
    <s v="ZR"/>
    <d v="2016-11-30T00:00:00"/>
  </r>
  <r>
    <x v="1"/>
    <x v="5"/>
    <x v="2034"/>
    <x v="13"/>
    <s v="Standard order"/>
    <x v="1921"/>
    <x v="1891"/>
    <s v="398N"/>
    <s v="BTS 39RR8N"/>
    <s v="5002572"/>
    <s v="39RR8N RP BetaShield PLUS"/>
    <n v="60"/>
    <n v="0"/>
    <n v="60"/>
    <x v="5"/>
    <s v="2771"/>
    <s v="RP"/>
    <s v="322"/>
    <s v="4.0 UN"/>
    <s v="STANDARD"/>
    <s v="N"/>
    <s v="Y"/>
    <s v="N"/>
    <s v="T20"/>
    <s v="Y"/>
    <s v="N"/>
    <s v="N"/>
    <s v="N"/>
    <s v=""/>
    <d v="2016-12-05T00:00:00"/>
    <s v="30"/>
    <s v="TAN"/>
    <s v="OR"/>
    <d v="2016-11-30T00:00:00"/>
    <s v="MT"/>
    <s v="US"/>
    <s v="ZR"/>
    <d v="2016-11-30T00:00:00"/>
  </r>
  <r>
    <x v="1"/>
    <x v="5"/>
    <x v="2034"/>
    <x v="13"/>
    <s v="Standard order"/>
    <x v="1921"/>
    <x v="1891"/>
    <s v="336N"/>
    <s v="BTS 336N"/>
    <s v="5002400"/>
    <s v="336N BTS T20 PB SYSTIVA RP"/>
    <n v="52"/>
    <n v="0"/>
    <n v="52"/>
    <x v="5"/>
    <s v="EEMG"/>
    <s v="RP"/>
    <s v="322"/>
    <s v="4.0 UN"/>
    <s v="STANDARD"/>
    <s v="N"/>
    <s v="N"/>
    <s v="N"/>
    <s v="T20"/>
    <s v="Y"/>
    <s v="N"/>
    <s v="N"/>
    <s v="N"/>
    <s v="B015"/>
    <d v="2016-12-05T00:00:00"/>
    <s v="10"/>
    <s v="TAN"/>
    <s v="OR"/>
    <d v="2016-11-30T00:00:00"/>
    <s v="MT"/>
    <s v="US"/>
    <s v="ZR"/>
    <d v="2016-11-30T00:00:00"/>
  </r>
  <r>
    <x v="1"/>
    <x v="7"/>
    <x v="2035"/>
    <x v="38"/>
    <s v="Standard order"/>
    <x v="1922"/>
    <x v="1892"/>
    <s v="8337"/>
    <s v="BTS 8337"/>
    <s v="5002783"/>
    <s v="8337 BTS T20 SYSTIVA MP"/>
    <n v="48"/>
    <n v="0"/>
    <n v="48"/>
    <x v="7"/>
    <s v="DHMC"/>
    <s v="MP"/>
    <s v="326"/>
    <s v="4.0 UN"/>
    <s v="STANDARD"/>
    <s v="N"/>
    <s v="N"/>
    <s v="N"/>
    <s v="T20"/>
    <s v="Y"/>
    <s v="N"/>
    <s v="Y"/>
    <s v="N"/>
    <s v="B031"/>
    <d v="2016-12-05T00:00:00"/>
    <s v="10"/>
    <s v="TAN"/>
    <s v="OR"/>
    <d v="2016-11-30T00:00:00"/>
    <s v="MN"/>
    <s v="US"/>
    <s v="ZR"/>
    <d v="2016-11-30T00:00:00"/>
  </r>
  <r>
    <x v="1"/>
    <x v="7"/>
    <x v="2036"/>
    <x v="38"/>
    <s v="Standard order"/>
    <x v="1923"/>
    <x v="1893"/>
    <s v="8052"/>
    <s v="BTS 80RR52"/>
    <s v="5002738"/>
    <s v="8052 BTS T35 SYSTIVA P200"/>
    <n v="52"/>
    <n v="0"/>
    <n v="52"/>
    <x v="7"/>
    <s v="AP82"/>
    <s v="PRO 200"/>
    <s v="334"/>
    <s v="4.0 UN"/>
    <s v="STANDARD"/>
    <s v="N"/>
    <s v="N"/>
    <s v="N"/>
    <s v="T35"/>
    <s v="Y"/>
    <s v="N"/>
    <s v="Y"/>
    <s v="N"/>
    <s v="B031"/>
    <d v="2016-12-05T00:00:00"/>
    <s v="10"/>
    <s v="TAN"/>
    <s v="OR"/>
    <d v="2016-11-30T00:00:00"/>
    <s v="MN"/>
    <s v="US"/>
    <s v="ZR"/>
    <d v="2016-11-30T00:00:00"/>
  </r>
  <r>
    <x v="1"/>
    <x v="6"/>
    <x v="2037"/>
    <x v="48"/>
    <s v="Standard order"/>
    <x v="1924"/>
    <x v="179"/>
    <s v="428N"/>
    <s v="BTS 42RR8N"/>
    <s v="5002595"/>
    <s v="428N BTS T20 PB SYSTIVA P100"/>
    <n v="36"/>
    <n v="0"/>
    <n v="36"/>
    <x v="6"/>
    <s v="4TBG"/>
    <s v="PRO 100"/>
    <s v="322"/>
    <s v="4.0 UN"/>
    <s v="STANDARD"/>
    <s v="N"/>
    <s v="N"/>
    <s v="N"/>
    <s v="T20"/>
    <s v="Y"/>
    <s v="N"/>
    <s v="Y"/>
    <s v="N"/>
    <s v="B012"/>
    <d v="2016-12-05T00:00:00"/>
    <s v="10"/>
    <s v="TAN"/>
    <s v="OR"/>
    <d v="2016-11-29T00:00:00"/>
    <s v="MT"/>
    <s v="US"/>
    <s v="ZR"/>
    <d v="2016-11-30T00:00:00"/>
  </r>
  <r>
    <x v="1"/>
    <x v="6"/>
    <x v="2037"/>
    <x v="48"/>
    <s v="Standard order"/>
    <x v="1924"/>
    <x v="179"/>
    <s v="437N"/>
    <s v="BTS 437N"/>
    <s v="5002208"/>
    <s v="437N BTS T20 PB SYSTIVA P100"/>
    <n v="48"/>
    <n v="0"/>
    <n v="48"/>
    <x v="6"/>
    <s v="EE73"/>
    <s v="PRO 100"/>
    <s v="322"/>
    <s v="4.0 UN"/>
    <s v="STANDARD"/>
    <s v="N"/>
    <s v="N"/>
    <s v="N"/>
    <s v="T20"/>
    <s v="Y"/>
    <s v="N"/>
    <s v="Y"/>
    <s v="N"/>
    <s v="B012"/>
    <d v="2016-12-05T00:00:00"/>
    <s v="20"/>
    <s v="TAN"/>
    <s v="OR"/>
    <d v="2016-11-29T00:00:00"/>
    <s v="MT"/>
    <s v="US"/>
    <s v="ZR"/>
    <d v="2016-11-30T00:00:00"/>
  </r>
  <r>
    <x v="1"/>
    <x v="6"/>
    <x v="2037"/>
    <x v="48"/>
    <s v="Standard order"/>
    <x v="1924"/>
    <x v="179"/>
    <s v="444N"/>
    <s v="BTS 444N"/>
    <s v="5002226"/>
    <s v="444N BTS T20 PB SYSTIVA P100"/>
    <n v="28"/>
    <n v="0"/>
    <n v="28"/>
    <x v="6"/>
    <s v="DVND"/>
    <s v="PRO 100"/>
    <s v="322"/>
    <s v="4.0 UN"/>
    <s v="STANDARD"/>
    <s v="N"/>
    <s v="N"/>
    <s v="N"/>
    <s v="T20"/>
    <s v="Y"/>
    <s v="N"/>
    <s v="Y"/>
    <s v="N"/>
    <s v="B012"/>
    <d v="2016-12-05T00:00:00"/>
    <s v="30"/>
    <s v="TAN"/>
    <s v="OR"/>
    <d v="2016-11-29T00:00:00"/>
    <s v="MT"/>
    <s v="US"/>
    <s v="ZR"/>
    <d v="2016-11-30T00:00:00"/>
  </r>
  <r>
    <x v="1"/>
    <x v="6"/>
    <x v="2037"/>
    <x v="48"/>
    <s v="Standard order"/>
    <x v="1924"/>
    <x v="179"/>
    <s v="459N"/>
    <s v="BTS 459N"/>
    <s v="5002256"/>
    <s v="459N BTS T20 PB SYSTIVA P100"/>
    <n v="28"/>
    <n v="0"/>
    <n v="28"/>
    <x v="6"/>
    <s v="DVNU"/>
    <s v="PRO 100"/>
    <s v="322"/>
    <s v="4.0 UN"/>
    <s v="STANDARD"/>
    <s v="N"/>
    <s v="N"/>
    <s v="N"/>
    <s v="T20"/>
    <s v="Y"/>
    <s v="N"/>
    <s v="Y"/>
    <s v="N"/>
    <s v="B012"/>
    <d v="2016-12-05T00:00:00"/>
    <s v="40"/>
    <s v="TAN"/>
    <s v="OR"/>
    <d v="2016-11-29T00:00:00"/>
    <s v="MT"/>
    <s v="US"/>
    <s v="ZR"/>
    <d v="2016-11-30T00:00:00"/>
  </r>
  <r>
    <x v="1"/>
    <x v="7"/>
    <x v="2038"/>
    <x v="28"/>
    <s v="Standard order"/>
    <x v="1925"/>
    <x v="1894"/>
    <s v="8052"/>
    <s v="BTS 80RR52"/>
    <s v="5002723"/>
    <s v="8052 BTS T20 SYSTIVA MP"/>
    <n v="160"/>
    <n v="0"/>
    <n v="160"/>
    <x v="7"/>
    <s v="AP82"/>
    <s v="MP"/>
    <s v="326"/>
    <s v="4.0 UN"/>
    <s v="STANDARD"/>
    <s v="N"/>
    <s v="N"/>
    <s v="N"/>
    <s v="T20"/>
    <s v="Y"/>
    <s v="N"/>
    <s v="Y"/>
    <s v="N"/>
    <s v="B056"/>
    <d v="2016-12-05T00:00:00"/>
    <s v="10"/>
    <s v="TAN"/>
    <s v="OR"/>
    <d v="2016-11-30T00:00:00"/>
    <s v="ND"/>
    <s v="US"/>
    <s v="ZR"/>
    <d v="2016-11-30T00:00:00"/>
  </r>
  <r>
    <x v="1"/>
    <x v="7"/>
    <x v="2038"/>
    <x v="28"/>
    <s v="Standard order"/>
    <x v="1925"/>
    <x v="1894"/>
    <s v="8337"/>
    <s v="BTS 8337"/>
    <s v="5002783"/>
    <s v="8337 BTS T20 SYSTIVA MP"/>
    <n v="56"/>
    <n v="0"/>
    <n v="56"/>
    <x v="7"/>
    <s v="DHMC"/>
    <s v="MP"/>
    <s v="326"/>
    <s v="4.0 UN"/>
    <s v="STANDARD"/>
    <s v="N"/>
    <s v="N"/>
    <s v="N"/>
    <s v="T20"/>
    <s v="Y"/>
    <s v="N"/>
    <s v="Y"/>
    <s v="N"/>
    <s v="B056"/>
    <d v="2016-12-05T00:00:00"/>
    <s v="20"/>
    <s v="TAN"/>
    <s v="OR"/>
    <d v="2016-11-30T00:00:00"/>
    <s v="ND"/>
    <s v="US"/>
    <s v="ZR"/>
    <d v="2016-11-30T00:00:00"/>
  </r>
  <r>
    <x v="1"/>
    <x v="4"/>
    <x v="2039"/>
    <x v="47"/>
    <s v="Standard order"/>
    <x v="1926"/>
    <x v="87"/>
    <s v="2125"/>
    <s v="BTS 21RR25"/>
    <s v="5002395"/>
    <s v="2125 BTS PB XL"/>
    <n v="36"/>
    <n v="0"/>
    <n v="36"/>
    <x v="4"/>
    <s v="AP92"/>
    <s v="X-LARGE"/>
    <s v="307"/>
    <s v="4.0 UN"/>
    <s v="STANDARD"/>
    <s v="N"/>
    <s v="Y"/>
    <s v="N"/>
    <s v="N"/>
    <s v="N"/>
    <s v="N"/>
    <s v="N"/>
    <s v="N"/>
    <s v="B050"/>
    <d v="2016-12-05T00:00:00"/>
    <s v="10"/>
    <s v="TAN"/>
    <s v="OR"/>
    <d v="2016-11-30T00:00:00"/>
    <s v="ID"/>
    <s v="US"/>
    <s v="ZR"/>
    <d v="2016-11-30T00:00:00"/>
  </r>
  <r>
    <x v="1"/>
    <x v="4"/>
    <x v="2039"/>
    <x v="47"/>
    <s v="Standard order"/>
    <x v="1926"/>
    <x v="87"/>
    <s v="2559"/>
    <s v="BTS 2559"/>
    <s v="5002563"/>
    <s v="2559 BTS PB XL"/>
    <n v="36"/>
    <n v="0"/>
    <n v="36"/>
    <x v="4"/>
    <s v="FGNE"/>
    <s v="X-LARGE"/>
    <s v="307"/>
    <s v="4.0 UN"/>
    <s v="STANDARD"/>
    <s v="N"/>
    <s v="Y"/>
    <s v="N"/>
    <s v="N"/>
    <s v="N"/>
    <s v="N"/>
    <s v="N"/>
    <s v="N"/>
    <s v="B050"/>
    <d v="2016-12-05T00:00:00"/>
    <s v="20"/>
    <s v="TAN"/>
    <s v="OR"/>
    <d v="2016-11-30T00:00:00"/>
    <s v="ID"/>
    <s v="US"/>
    <s v="ZR"/>
    <d v="2016-11-30T00:00:00"/>
  </r>
  <r>
    <x v="1"/>
    <x v="5"/>
    <x v="2040"/>
    <x v="12"/>
    <s v="Standard order"/>
    <x v="1927"/>
    <x v="53"/>
    <s v="353N"/>
    <s v="BTS 353N"/>
    <s v="5002522"/>
    <s v="353N BTS T20 PB SYSTIVA P200"/>
    <n v="4"/>
    <n v="0"/>
    <n v="4"/>
    <x v="5"/>
    <s v="EENZ"/>
    <s v="PRO 200"/>
    <s v="322"/>
    <s v="4.0 UN"/>
    <s v="STANDARD"/>
    <s v="N"/>
    <s v="Y"/>
    <s v="N"/>
    <s v="T20"/>
    <s v="Y"/>
    <s v="N"/>
    <s v="N"/>
    <s v="N"/>
    <s v="B014"/>
    <d v="2016-12-05T00:00:00"/>
    <s v="10"/>
    <s v="TAN"/>
    <s v="OR"/>
    <d v="2016-11-30T00:00:00"/>
    <s v="MT"/>
    <s v="US"/>
    <s v="ZR"/>
    <d v="2016-11-30T00:00:00"/>
  </r>
  <r>
    <x v="1"/>
    <x v="7"/>
    <x v="2041"/>
    <x v="36"/>
    <s v="Standard order"/>
    <x v="1928"/>
    <x v="1895"/>
    <s v="8500"/>
    <s v="BTS 8500"/>
    <s v="5002855"/>
    <s v="8500 BTS T35 PB SYSTIVA P200"/>
    <n v="60"/>
    <n v="0"/>
    <n v="60"/>
    <x v="7"/>
    <s v="FTND"/>
    <s v="PRO 200"/>
    <s v="333"/>
    <s v="4.0 UN"/>
    <s v="STANDARD"/>
    <s v="N"/>
    <s v="Y"/>
    <s v="N"/>
    <s v="T35"/>
    <s v="Y"/>
    <s v="N"/>
    <s v="Y"/>
    <s v="N"/>
    <s v="B027"/>
    <d v="2016-12-05T00:00:00"/>
    <s v="10"/>
    <s v="TAN"/>
    <s v="OR"/>
    <d v="2016-11-30T00:00:00"/>
    <s v="MN"/>
    <s v="US"/>
    <s v="ZR"/>
    <d v="2016-11-30T00:00:00"/>
  </r>
  <r>
    <x v="1"/>
    <x v="0"/>
    <x v="2042"/>
    <x v="29"/>
    <s v="Standard order"/>
    <x v="1929"/>
    <x v="1896"/>
    <s v="149N"/>
    <s v="BTS 149N"/>
    <s v="5002368"/>
    <s v="149N BTS T20 Kabina RP"/>
    <n v="80"/>
    <n v="0"/>
    <n v="80"/>
    <x v="0"/>
    <s v="EEND"/>
    <s v="RP"/>
    <s v="380"/>
    <s v="4.0 UN"/>
    <s v="STANDARD"/>
    <s v="N"/>
    <s v="N"/>
    <s v="Y"/>
    <s v="T20"/>
    <s v="N"/>
    <s v="N"/>
    <s v="N"/>
    <s v="N"/>
    <s v="B005"/>
    <d v="2016-12-05T00:00:00"/>
    <s v="10"/>
    <s v="TAN"/>
    <s v="OR"/>
    <d v="2016-11-30T00:00:00"/>
    <s v="MI"/>
    <s v="US"/>
    <s v="ZR"/>
    <d v="2016-11-30T00:00:00"/>
  </r>
  <r>
    <x v="1"/>
    <x v="0"/>
    <x v="2043"/>
    <x v="29"/>
    <s v="Standard order"/>
    <x v="1930"/>
    <x v="1897"/>
    <s v="122N"/>
    <s v="BTS 12RR2N"/>
    <s v="5002317"/>
    <s v="122N BTS T20 SYSTIVA RP"/>
    <n v="40"/>
    <n v="0"/>
    <n v="40"/>
    <x v="0"/>
    <s v="4TBG"/>
    <s v="RP"/>
    <s v="326"/>
    <s v="4.0 UN"/>
    <s v="STANDARD"/>
    <s v="N"/>
    <s v="N"/>
    <s v="N"/>
    <s v="T20"/>
    <s v="Y"/>
    <s v="N"/>
    <s v="Y"/>
    <s v="N"/>
    <s v="B005"/>
    <d v="2016-12-05T00:00:00"/>
    <s v="10"/>
    <s v="TAN"/>
    <s v="OR"/>
    <d v="2016-11-30T00:00:00"/>
    <s v="MI"/>
    <s v="US"/>
    <s v="ZR"/>
    <d v="2016-11-30T00:00:00"/>
  </r>
  <r>
    <x v="1"/>
    <x v="0"/>
    <x v="2043"/>
    <x v="29"/>
    <s v="Standard order"/>
    <x v="1930"/>
    <x v="1897"/>
    <s v="122N"/>
    <s v="BTS 12RR2N"/>
    <s v="5002311"/>
    <s v="122N BTS T20 Kabina RP"/>
    <n v="40"/>
    <n v="0"/>
    <n v="40"/>
    <x v="0"/>
    <s v="4TBG"/>
    <s v="RP"/>
    <s v="380"/>
    <s v="4.0 UN"/>
    <s v="STANDARD"/>
    <s v="N"/>
    <s v="N"/>
    <s v="Y"/>
    <s v="T20"/>
    <s v="N"/>
    <s v="N"/>
    <s v="N"/>
    <s v="N"/>
    <s v="B005"/>
    <d v="2016-12-05T00:00:00"/>
    <s v="20"/>
    <s v="TAN"/>
    <s v="OR"/>
    <d v="2016-11-30T00:00:00"/>
    <s v="MI"/>
    <s v="US"/>
    <s v="ZR"/>
    <d v="2016-11-30T00:00:00"/>
  </r>
  <r>
    <x v="1"/>
    <x v="0"/>
    <x v="2043"/>
    <x v="29"/>
    <s v="Standard order"/>
    <x v="1930"/>
    <x v="1897"/>
    <s v="1399"/>
    <s v="BTS 1399"/>
    <s v="5002348"/>
    <s v="1399 BTS T20 Kabina RP"/>
    <n v="44"/>
    <n v="0"/>
    <n v="44"/>
    <x v="0"/>
    <s v="EG74"/>
    <s v="RP"/>
    <s v="380"/>
    <s v="4.0 UN"/>
    <s v="STANDARD"/>
    <s v="N"/>
    <s v="N"/>
    <s v="Y"/>
    <s v="T20"/>
    <s v="N"/>
    <s v="N"/>
    <s v="N"/>
    <s v="N"/>
    <s v="B005"/>
    <d v="2016-12-05T00:00:00"/>
    <s v="30"/>
    <s v="TAN"/>
    <s v="OR"/>
    <d v="2016-11-30T00:00:00"/>
    <s v="MI"/>
    <s v="US"/>
    <s v="ZR"/>
    <d v="2016-11-30T00:00:00"/>
  </r>
  <r>
    <x v="1"/>
    <x v="6"/>
    <x v="2044"/>
    <x v="48"/>
    <s v="Standard order"/>
    <x v="1931"/>
    <x v="300"/>
    <s v="459N"/>
    <s v="BTS 459N"/>
    <s v="5002256"/>
    <s v="459N BTS T20 PB SYSTIVA P100"/>
    <n v="8"/>
    <n v="0"/>
    <n v="8"/>
    <x v="6"/>
    <s v="DVNU"/>
    <s v="PRO 100"/>
    <s v="322"/>
    <s v="4.0 UN"/>
    <s v="STANDARD"/>
    <s v="N"/>
    <s v="N"/>
    <s v="N"/>
    <s v="T20"/>
    <s v="Y"/>
    <s v="N"/>
    <s v="Y"/>
    <s v="N"/>
    <s v="B012"/>
    <d v="2016-12-05T00:00:00"/>
    <s v="10"/>
    <s v="TAN"/>
    <s v="OR"/>
    <d v="2016-11-30T00:00:00"/>
    <s v="MT"/>
    <s v="US"/>
    <s v="ZR"/>
    <d v="2016-11-30T00:00:00"/>
  </r>
  <r>
    <x v="1"/>
    <x v="6"/>
    <x v="2044"/>
    <x v="48"/>
    <s v="Standard order"/>
    <x v="1931"/>
    <x v="300"/>
    <s v="444N"/>
    <s v="BTS 444N"/>
    <s v="5002226"/>
    <s v="444N BTS T20 PB SYSTIVA P100"/>
    <n v="24"/>
    <n v="0"/>
    <n v="24"/>
    <x v="6"/>
    <s v="DVND"/>
    <s v="PRO 100"/>
    <s v="322"/>
    <s v="4.0 UN"/>
    <s v="STANDARD"/>
    <s v="N"/>
    <s v="N"/>
    <s v="N"/>
    <s v="T20"/>
    <s v="Y"/>
    <s v="N"/>
    <s v="Y"/>
    <s v="N"/>
    <s v="B012"/>
    <d v="2016-12-05T00:00:00"/>
    <s v="20"/>
    <s v="TAN"/>
    <s v="OR"/>
    <d v="2016-11-30T00:00:00"/>
    <s v="MT"/>
    <s v="US"/>
    <s v="ZR"/>
    <d v="2016-11-30T00:00:00"/>
  </r>
  <r>
    <x v="1"/>
    <x v="6"/>
    <x v="2044"/>
    <x v="48"/>
    <s v="Standard order"/>
    <x v="1931"/>
    <x v="300"/>
    <s v="4265"/>
    <s v="BTS 42RR65"/>
    <s v="5002583"/>
    <s v="4265 BTS T20 PB SYSTIVA P100"/>
    <n v="16"/>
    <n v="0"/>
    <n v="16"/>
    <x v="6"/>
    <s v="BR73"/>
    <s v="PRO 100"/>
    <s v="322"/>
    <s v="4.0 UN"/>
    <s v="STANDARD"/>
    <s v="N"/>
    <s v="N"/>
    <s v="N"/>
    <s v="T20"/>
    <s v="Y"/>
    <s v="N"/>
    <s v="Y"/>
    <s v="N"/>
    <s v="B012"/>
    <d v="2016-12-05T00:00:00"/>
    <s v="30"/>
    <s v="TAN"/>
    <s v="OR"/>
    <d v="2016-11-30T00:00:00"/>
    <s v="MT"/>
    <s v="US"/>
    <s v="ZR"/>
    <d v="2016-11-30T00:00:00"/>
  </r>
  <r>
    <x v="1"/>
    <x v="6"/>
    <x v="2044"/>
    <x v="48"/>
    <s v="Standard order"/>
    <x v="1931"/>
    <x v="300"/>
    <s v="4548"/>
    <s v="BTS 4548"/>
    <s v="5002244"/>
    <s v="4548 BTS T20 PB SYSTIVA P100"/>
    <n v="8"/>
    <n v="0"/>
    <n v="8"/>
    <x v="6"/>
    <s v="FENR"/>
    <s v="PRO 100"/>
    <s v="322"/>
    <s v="4.0 UN"/>
    <s v="STANDARD"/>
    <s v="N"/>
    <s v="N"/>
    <s v="N"/>
    <s v="T20"/>
    <s v="Y"/>
    <s v="N"/>
    <s v="Y"/>
    <s v="N"/>
    <s v="B012"/>
    <d v="2016-12-05T00:00:00"/>
    <s v="40"/>
    <s v="TAN"/>
    <s v="OR"/>
    <d v="2016-11-30T00:00:00"/>
    <s v="MT"/>
    <s v="US"/>
    <s v="ZR"/>
    <d v="2016-11-30T00:00:00"/>
  </r>
  <r>
    <x v="1"/>
    <x v="5"/>
    <x v="2045"/>
    <x v="12"/>
    <s v="Standard order"/>
    <x v="1932"/>
    <x v="54"/>
    <s v="398N"/>
    <s v="BTS 39RR8N"/>
    <s v="5002572"/>
    <s v="39RR8N RP BetaShield PLUS"/>
    <n v="80"/>
    <n v="0"/>
    <n v="80"/>
    <x v="5"/>
    <s v="2771"/>
    <s v="RP"/>
    <s v="322"/>
    <s v="4.0 UN"/>
    <s v="STANDARD"/>
    <s v="N"/>
    <s v="Y"/>
    <s v="N"/>
    <s v="T20"/>
    <s v="Y"/>
    <s v="N"/>
    <s v="N"/>
    <s v="N"/>
    <s v=""/>
    <d v="2016-12-05T00:00:00"/>
    <s v="30"/>
    <s v="TAN"/>
    <s v="OR"/>
    <d v="2016-11-29T00:00:00"/>
    <s v="MT"/>
    <s v="US"/>
    <s v="ZR"/>
    <d v="2016-11-30T00:00:00"/>
  </r>
  <r>
    <x v="1"/>
    <x v="5"/>
    <x v="2045"/>
    <x v="12"/>
    <s v="Standard order"/>
    <x v="1932"/>
    <x v="54"/>
    <s v="336N"/>
    <s v="BTS 336N"/>
    <s v="5002400"/>
    <s v="336N BTS T20 PB SYSTIVA RP"/>
    <n v="12"/>
    <n v="0"/>
    <n v="12"/>
    <x v="5"/>
    <s v="EEMG"/>
    <s v="RP"/>
    <s v="322"/>
    <s v="4.0 UN"/>
    <s v="STANDARD"/>
    <s v="N"/>
    <s v="N"/>
    <s v="N"/>
    <s v="T20"/>
    <s v="Y"/>
    <s v="N"/>
    <s v="N"/>
    <s v="N"/>
    <s v="B014"/>
    <d v="2016-12-05T00:00:00"/>
    <s v="10"/>
    <s v="TAN"/>
    <s v="OR"/>
    <d v="2016-11-29T00:00:00"/>
    <s v="MT"/>
    <s v="US"/>
    <s v="ZR"/>
    <d v="2016-11-30T00:00:00"/>
  </r>
  <r>
    <x v="1"/>
    <x v="4"/>
    <x v="2046"/>
    <x v="46"/>
    <s v="Standard order"/>
    <x v="1933"/>
    <x v="1898"/>
    <s v="2125"/>
    <s v="BTS 21RR25"/>
    <s v="5002387"/>
    <s v="2125 BTS PB LRG"/>
    <n v="72"/>
    <n v="0"/>
    <n v="72"/>
    <x v="4"/>
    <s v="AP92"/>
    <s v="LARGE"/>
    <s v="307"/>
    <s v="4.0 UN"/>
    <s v="STANDARD"/>
    <s v="N"/>
    <s v="Y"/>
    <s v="N"/>
    <s v="N"/>
    <s v="N"/>
    <s v="N"/>
    <s v="N"/>
    <s v="N"/>
    <s v="B049"/>
    <d v="2016-12-05T00:00:00"/>
    <s v="10"/>
    <s v="TAN"/>
    <s v="OR"/>
    <d v="2016-11-29T00:00:00"/>
    <s v="ID"/>
    <s v="US"/>
    <s v="ZR"/>
    <d v="2016-11-30T00:00:00"/>
  </r>
  <r>
    <x v="1"/>
    <x v="4"/>
    <x v="2046"/>
    <x v="46"/>
    <s v="Standard order"/>
    <x v="1933"/>
    <x v="1898"/>
    <s v="2559"/>
    <s v="BTS 2559"/>
    <s v="5002561"/>
    <s v="2559 BTS PB LRG"/>
    <n v="72"/>
    <n v="0"/>
    <n v="72"/>
    <x v="4"/>
    <s v="FGNE"/>
    <s v="LARGE"/>
    <s v="307"/>
    <s v="4.0 UN"/>
    <s v="STANDARD"/>
    <s v="N"/>
    <s v="Y"/>
    <s v="N"/>
    <s v="N"/>
    <s v="N"/>
    <s v="N"/>
    <s v="N"/>
    <s v="N"/>
    <s v="B049"/>
    <d v="2016-12-05T00:00:00"/>
    <s v="20"/>
    <s v="TAN"/>
    <s v="OR"/>
    <d v="2016-11-29T00:00:00"/>
    <s v="ID"/>
    <s v="US"/>
    <s v="ZR"/>
    <d v="2016-11-30T00:00:00"/>
  </r>
  <r>
    <x v="1"/>
    <x v="4"/>
    <x v="2046"/>
    <x v="46"/>
    <s v="Standard order"/>
    <x v="1933"/>
    <x v="1898"/>
    <s v="4933"/>
    <s v="BTS 49RR33"/>
    <s v="5002272"/>
    <s v="4933 BTS PB LRG IDH"/>
    <n v="68"/>
    <n v="0"/>
    <n v="68"/>
    <x v="4"/>
    <s v="AKMC"/>
    <s v="LARGE"/>
    <s v="307"/>
    <s v="4.0 UN"/>
    <s v="STANDARD"/>
    <s v="N"/>
    <s v="Y"/>
    <s v="N"/>
    <s v="N"/>
    <s v="N"/>
    <s v="N"/>
    <s v="N"/>
    <s v="N"/>
    <s v="B049"/>
    <d v="2016-12-05T00:00:00"/>
    <s v="30"/>
    <s v="TAN"/>
    <s v="OR"/>
    <d v="2016-11-29T00:00:00"/>
    <s v="ID"/>
    <s v="US"/>
    <s v="ZR"/>
    <d v="2016-11-30T00:00:00"/>
  </r>
  <r>
    <x v="1"/>
    <x v="4"/>
    <x v="2046"/>
    <x v="46"/>
    <s v="Standard order"/>
    <x v="1933"/>
    <x v="1898"/>
    <s v="6027"/>
    <s v="BTS 60RR27"/>
    <s v="5002617"/>
    <s v="6027 BTS PB LRG IDH"/>
    <n v="32"/>
    <n v="0"/>
    <n v="32"/>
    <x v="4"/>
    <s v="APMC"/>
    <s v="LARGE"/>
    <s v="307"/>
    <s v="4.0 UN"/>
    <s v="STANDARD"/>
    <s v="N"/>
    <s v="Y"/>
    <s v="N"/>
    <s v="N"/>
    <s v="N"/>
    <s v="N"/>
    <s v="N"/>
    <s v="N"/>
    <s v="B049"/>
    <d v="2016-12-05T00:00:00"/>
    <s v="40"/>
    <s v="TAN"/>
    <s v="OR"/>
    <d v="2016-11-29T00:00:00"/>
    <s v="ID"/>
    <s v="US"/>
    <s v="ZR"/>
    <d v="2016-11-30T00:00:00"/>
  </r>
  <r>
    <x v="1"/>
    <x v="4"/>
    <x v="2047"/>
    <x v="50"/>
    <s v="Standard order"/>
    <x v="1934"/>
    <x v="66"/>
    <s v="2570"/>
    <s v="BTS 2570"/>
    <s v="5002555"/>
    <s v="2570 BTS PB XL"/>
    <n v="8"/>
    <n v="0"/>
    <n v="8"/>
    <x v="4"/>
    <s v="EZNS"/>
    <s v="X-LARGE"/>
    <s v="307"/>
    <s v="4.0 UN"/>
    <s v="STANDARD"/>
    <s v="N"/>
    <s v="Y"/>
    <s v="N"/>
    <s v="N"/>
    <s v="N"/>
    <s v="N"/>
    <s v="N"/>
    <s v="N"/>
    <s v="B047"/>
    <d v="2016-12-05T00:00:00"/>
    <s v="20"/>
    <s v="TAN"/>
    <s v="OR"/>
    <d v="2016-11-29T00:00:00"/>
    <s v="ID"/>
    <s v="US"/>
    <s v="ZR"/>
    <d v="2016-11-30T00:00:00"/>
  </r>
  <r>
    <x v="1"/>
    <x v="4"/>
    <x v="2048"/>
    <x v="44"/>
    <s v="Standard order"/>
    <x v="1935"/>
    <x v="200"/>
    <s v="2125"/>
    <s v="BTS 21RR25"/>
    <s v="5002385"/>
    <s v="2125 BTS PB Kabina XL"/>
    <n v="28"/>
    <n v="0"/>
    <n v="28"/>
    <x v="4"/>
    <s v="AP92"/>
    <s v="X-LARGE"/>
    <s v="384"/>
    <s v="4.0 UN"/>
    <s v="STANDARD"/>
    <s v="N"/>
    <s v="Y"/>
    <s v="Y"/>
    <s v="N"/>
    <s v="N"/>
    <s v="N"/>
    <s v="N"/>
    <s v="N"/>
    <s v="MB13"/>
    <d v="2016-12-05T00:00:00"/>
    <s v="10"/>
    <s v="TAN"/>
    <s v="OR"/>
    <d v="2016-11-29T00:00:00"/>
    <s v="ID"/>
    <s v="US"/>
    <s v="ZR"/>
    <d v="2016-11-30T00:00:00"/>
  </r>
  <r>
    <x v="1"/>
    <x v="4"/>
    <x v="2048"/>
    <x v="44"/>
    <s v="Standard order"/>
    <x v="1935"/>
    <x v="200"/>
    <s v="2570"/>
    <s v="BTS 2570"/>
    <s v="5003285"/>
    <s v="2570 BTS PB Kabina XL"/>
    <n v="8"/>
    <n v="0"/>
    <n v="8"/>
    <x v="4"/>
    <s v="EZNS"/>
    <s v="X-LARGE"/>
    <s v="384"/>
    <s v="4.0 UN"/>
    <s v="STANDARD"/>
    <s v="N"/>
    <s v="Y"/>
    <s v="Y"/>
    <s v="N"/>
    <s v="N"/>
    <s v="N"/>
    <s v="N"/>
    <s v="N"/>
    <s v="MB13"/>
    <d v="2016-12-05T00:00:00"/>
    <s v="20"/>
    <s v="TAN"/>
    <s v="OR"/>
    <d v="2016-11-29T00:00:00"/>
    <s v="ID"/>
    <s v="US"/>
    <s v="ZR"/>
    <d v="2016-11-30T00:00:00"/>
  </r>
  <r>
    <x v="1"/>
    <x v="4"/>
    <x v="2049"/>
    <x v="46"/>
    <s v="Standard order"/>
    <x v="1936"/>
    <x v="1899"/>
    <s v="6027"/>
    <s v="BTS 60RR27"/>
    <s v="5002617"/>
    <s v="6027 BTS PB LRG IDH"/>
    <n v="32"/>
    <n v="0"/>
    <n v="32"/>
    <x v="4"/>
    <s v="APMC"/>
    <s v="LARGE"/>
    <s v="307"/>
    <s v="4.0 UN"/>
    <s v="STANDARD"/>
    <s v="N"/>
    <s v="Y"/>
    <s v="N"/>
    <s v="N"/>
    <s v="N"/>
    <s v="N"/>
    <s v="N"/>
    <s v="N"/>
    <s v="B049"/>
    <d v="2016-12-05T00:00:00"/>
    <s v="10"/>
    <s v="TAN"/>
    <s v="OR"/>
    <d v="2016-11-29T00:00:00"/>
    <s v="ID"/>
    <s v="US"/>
    <s v="ZR"/>
    <d v="2016-11-30T00:00:00"/>
  </r>
  <r>
    <x v="1"/>
    <x v="4"/>
    <x v="2049"/>
    <x v="46"/>
    <s v="Standard order"/>
    <x v="1936"/>
    <x v="1899"/>
    <s v="2523"/>
    <s v="BTS 2523"/>
    <s v="5002527"/>
    <s v="2523 BTS PB LRG"/>
    <n v="24"/>
    <n v="0"/>
    <n v="24"/>
    <x v="4"/>
    <s v="EZPC"/>
    <s v="LARGE"/>
    <s v="307"/>
    <s v="4.0 UN"/>
    <s v="STANDARD"/>
    <s v="N"/>
    <s v="Y"/>
    <s v="N"/>
    <s v="N"/>
    <s v="N"/>
    <s v="N"/>
    <s v="N"/>
    <s v="N"/>
    <s v="B049"/>
    <d v="2016-12-05T00:00:00"/>
    <s v="20"/>
    <s v="TAN"/>
    <s v="OR"/>
    <d v="2016-11-29T00:00:00"/>
    <s v="ID"/>
    <s v="US"/>
    <s v="ZR"/>
    <d v="2016-11-30T00:00:00"/>
  </r>
  <r>
    <x v="1"/>
    <x v="4"/>
    <x v="2050"/>
    <x v="46"/>
    <s v="Standard order"/>
    <x v="1937"/>
    <x v="1900"/>
    <s v="2125"/>
    <s v="BTS 21RR25"/>
    <s v="5002387"/>
    <s v="2125 BTS PB LRG"/>
    <n v="32"/>
    <n v="0"/>
    <n v="32"/>
    <x v="4"/>
    <s v="AP92"/>
    <s v="LARGE"/>
    <s v="307"/>
    <s v="4.0 UN"/>
    <s v="STANDARD"/>
    <s v="N"/>
    <s v="Y"/>
    <s v="N"/>
    <s v="N"/>
    <s v="N"/>
    <s v="N"/>
    <s v="N"/>
    <s v="N"/>
    <s v="B049"/>
    <d v="2016-12-05T00:00:00"/>
    <s v="10"/>
    <s v="TAN"/>
    <s v="OR"/>
    <d v="2016-11-29T00:00:00"/>
    <s v="ID"/>
    <s v="US"/>
    <s v="ZR"/>
    <d v="2016-11-30T00:00:00"/>
  </r>
  <r>
    <x v="1"/>
    <x v="4"/>
    <x v="2050"/>
    <x v="46"/>
    <s v="Standard order"/>
    <x v="1937"/>
    <x v="1900"/>
    <s v="2570"/>
    <s v="BTS 2570"/>
    <s v="5002553"/>
    <s v="2570 BTS PB LRG"/>
    <n v="32"/>
    <n v="0"/>
    <n v="32"/>
    <x v="4"/>
    <s v="EZNS"/>
    <s v="LARGE"/>
    <s v="307"/>
    <s v="4.0 UN"/>
    <s v="STANDARD"/>
    <s v="N"/>
    <s v="Y"/>
    <s v="N"/>
    <s v="N"/>
    <s v="N"/>
    <s v="N"/>
    <s v="N"/>
    <s v="N"/>
    <s v="B049"/>
    <d v="2016-12-05T00:00:00"/>
    <s v="20"/>
    <s v="TAN"/>
    <s v="OR"/>
    <d v="2016-11-29T00:00:00"/>
    <s v="ID"/>
    <s v="US"/>
    <s v="ZR"/>
    <d v="2016-11-30T00:00:00"/>
  </r>
  <r>
    <x v="1"/>
    <x v="4"/>
    <x v="2051"/>
    <x v="50"/>
    <s v="Standard order"/>
    <x v="1938"/>
    <x v="116"/>
    <s v="2559"/>
    <s v="BTS 2559"/>
    <s v="5002561"/>
    <s v="2559 BTS PB LRG"/>
    <n v="68"/>
    <n v="0"/>
    <n v="68"/>
    <x v="4"/>
    <s v="FGNE"/>
    <s v="LARGE"/>
    <s v="307"/>
    <s v="4.0 UN"/>
    <s v="STANDARD"/>
    <s v="N"/>
    <s v="Y"/>
    <s v="N"/>
    <s v="N"/>
    <s v="N"/>
    <s v="N"/>
    <s v="N"/>
    <s v="N"/>
    <s v="B047"/>
    <d v="2016-12-05T00:00:00"/>
    <s v="20"/>
    <s v="TAN"/>
    <s v="OR"/>
    <d v="2016-11-29T00:00:00"/>
    <s v="ID"/>
    <s v="US"/>
    <s v="ZR"/>
    <d v="2016-11-30T00:00:00"/>
  </r>
  <r>
    <x v="1"/>
    <x v="4"/>
    <x v="2051"/>
    <x v="50"/>
    <s v="Standard order"/>
    <x v="1938"/>
    <x v="116"/>
    <s v="2523"/>
    <s v="BTS 2523"/>
    <s v="5002527"/>
    <s v="2523 BTS PB LRG"/>
    <n v="192"/>
    <n v="0"/>
    <n v="192"/>
    <x v="4"/>
    <s v="EZPC"/>
    <s v="LARGE"/>
    <s v="307"/>
    <s v="4.0 UN"/>
    <s v="STANDARD"/>
    <s v="N"/>
    <s v="Y"/>
    <s v="N"/>
    <s v="N"/>
    <s v="N"/>
    <s v="N"/>
    <s v="N"/>
    <s v="N"/>
    <s v="B047"/>
    <d v="2016-12-05T00:00:00"/>
    <s v="10"/>
    <s v="TAN"/>
    <s v="OR"/>
    <d v="2016-11-29T00:00:00"/>
    <s v="ID"/>
    <s v="US"/>
    <s v="ZR"/>
    <d v="2016-11-30T00:00:00"/>
  </r>
  <r>
    <x v="1"/>
    <x v="4"/>
    <x v="2052"/>
    <x v="50"/>
    <s v="Standard order"/>
    <x v="1939"/>
    <x v="1901"/>
    <s v="2559"/>
    <s v="BTS 2559"/>
    <s v="5002561"/>
    <s v="2559 BTS PB LRG"/>
    <n v="28"/>
    <n v="0"/>
    <n v="28"/>
    <x v="4"/>
    <s v="FGNE"/>
    <s v="LARGE"/>
    <s v="307"/>
    <s v="4.0 UN"/>
    <s v="STANDARD"/>
    <s v="N"/>
    <s v="Y"/>
    <s v="N"/>
    <s v="N"/>
    <s v="N"/>
    <s v="N"/>
    <s v="N"/>
    <s v="N"/>
    <s v="B047"/>
    <d v="2016-12-05T00:00:00"/>
    <s v="10"/>
    <s v="TAN"/>
    <s v="OR"/>
    <d v="2016-11-29T00:00:00"/>
    <s v="ID"/>
    <s v="US"/>
    <s v="ZR"/>
    <d v="2016-11-30T00:00:00"/>
  </r>
  <r>
    <x v="1"/>
    <x v="4"/>
    <x v="2052"/>
    <x v="50"/>
    <s v="Standard order"/>
    <x v="1939"/>
    <x v="1901"/>
    <s v="2523"/>
    <s v="BTS 2523"/>
    <s v="5002527"/>
    <s v="2523 BTS PB LRG"/>
    <n v="44"/>
    <n v="0"/>
    <n v="44"/>
    <x v="4"/>
    <s v="EZPC"/>
    <s v="LARGE"/>
    <s v="307"/>
    <s v="4.0 UN"/>
    <s v="STANDARD"/>
    <s v="N"/>
    <s v="Y"/>
    <s v="N"/>
    <s v="N"/>
    <s v="N"/>
    <s v="N"/>
    <s v="N"/>
    <s v="N"/>
    <s v="B047"/>
    <d v="2016-12-05T00:00:00"/>
    <s v="20"/>
    <s v="TAN"/>
    <s v="OR"/>
    <d v="2016-11-29T00:00:00"/>
    <s v="ID"/>
    <s v="US"/>
    <s v="ZR"/>
    <d v="2016-11-30T00:00:00"/>
  </r>
  <r>
    <x v="1"/>
    <x v="7"/>
    <x v="2053"/>
    <x v="41"/>
    <s v="Standard order"/>
    <x v="1940"/>
    <x v="1902"/>
    <s v="8500"/>
    <s v="BTS 8500"/>
    <s v="5002856"/>
    <s v="8500 BTS T35 PB SYSTIVA RP"/>
    <n v="116"/>
    <n v="0"/>
    <n v="116"/>
    <x v="7"/>
    <s v="FTND"/>
    <s v="RP"/>
    <s v="333"/>
    <s v="4.0 UN"/>
    <s v="STANDARD"/>
    <s v="N"/>
    <s v="Y"/>
    <s v="N"/>
    <s v="T35"/>
    <s v="Y"/>
    <s v="N"/>
    <s v="Y"/>
    <s v="N"/>
    <s v="B032"/>
    <d v="2016-12-05T00:00:00"/>
    <s v="10"/>
    <s v="TAN"/>
    <s v="OR"/>
    <d v="2016-11-30T00:00:00"/>
    <s v="MN"/>
    <s v="US"/>
    <s v="ZR"/>
    <d v="2016-11-30T00:00:00"/>
  </r>
  <r>
    <x v="1"/>
    <x v="7"/>
    <x v="2053"/>
    <x v="41"/>
    <s v="Standard order"/>
    <x v="1940"/>
    <x v="1902"/>
    <s v="8512"/>
    <s v="BTS 8512"/>
    <s v="5002876"/>
    <s v="8512 BTS T35 PB SYSTIVA RP"/>
    <n v="76"/>
    <n v="0"/>
    <n v="76"/>
    <x v="7"/>
    <s v="FX73"/>
    <s v="RP"/>
    <s v="333"/>
    <s v="4.0 UN"/>
    <s v="STANDARD"/>
    <s v="N"/>
    <s v="Y"/>
    <s v="N"/>
    <s v="T35"/>
    <s v="Y"/>
    <s v="N"/>
    <s v="Y"/>
    <s v="N"/>
    <s v="B032"/>
    <d v="2016-12-05T00:00:00"/>
    <s v="20"/>
    <s v="TAN"/>
    <s v="OR"/>
    <d v="2016-11-30T00:00:00"/>
    <s v="MN"/>
    <s v="US"/>
    <s v="ZR"/>
    <d v="2016-11-30T00:00:00"/>
  </r>
  <r>
    <x v="1"/>
    <x v="7"/>
    <x v="2054"/>
    <x v="41"/>
    <s v="Standard order"/>
    <x v="1941"/>
    <x v="1903"/>
    <s v="8500"/>
    <s v="BTS 8500"/>
    <s v="5002856"/>
    <s v="8500 BTS T35 PB SYSTIVA RP"/>
    <n v="120"/>
    <n v="0"/>
    <n v="120"/>
    <x v="7"/>
    <s v="FTND"/>
    <s v="RP"/>
    <s v="333"/>
    <s v="4.0 UN"/>
    <s v="STANDARD"/>
    <s v="N"/>
    <s v="Y"/>
    <s v="N"/>
    <s v="T35"/>
    <s v="Y"/>
    <s v="N"/>
    <s v="Y"/>
    <s v="N"/>
    <s v="B032"/>
    <d v="2016-12-05T00:00:00"/>
    <s v="10"/>
    <s v="TAN"/>
    <s v="OR"/>
    <d v="2016-11-30T00:00:00"/>
    <s v="MN"/>
    <s v="US"/>
    <s v="ZR"/>
    <d v="2016-11-30T00:00:00"/>
  </r>
  <r>
    <x v="1"/>
    <x v="7"/>
    <x v="2054"/>
    <x v="41"/>
    <s v="Standard order"/>
    <x v="1941"/>
    <x v="1903"/>
    <s v="8052"/>
    <s v="BTS 80RR52"/>
    <s v="5002735"/>
    <s v="8052 BTS T35 PB SYSTIVA RP"/>
    <n v="120"/>
    <n v="0"/>
    <n v="120"/>
    <x v="7"/>
    <s v="AP82"/>
    <s v="RP"/>
    <s v="333"/>
    <s v="4.0 UN"/>
    <s v="STANDARD"/>
    <s v="N"/>
    <s v="Y"/>
    <s v="N"/>
    <s v="T35"/>
    <s v="Y"/>
    <s v="N"/>
    <s v="Y"/>
    <s v="N"/>
    <s v="B032"/>
    <d v="2016-12-05T00:00:00"/>
    <s v="20"/>
    <s v="TAN"/>
    <s v="OR"/>
    <d v="2016-11-30T00:00:00"/>
    <s v="MN"/>
    <s v="US"/>
    <s v="ZR"/>
    <d v="2016-11-30T00:00:00"/>
  </r>
  <r>
    <x v="1"/>
    <x v="5"/>
    <x v="2055"/>
    <x v="13"/>
    <s v="Standard order"/>
    <x v="1942"/>
    <x v="46"/>
    <s v="336N"/>
    <s v="BTS 336N"/>
    <s v="5002400"/>
    <s v="336N BTS T20 PB SYSTIVA RP"/>
    <n v="56"/>
    <n v="0"/>
    <n v="56"/>
    <x v="5"/>
    <s v="EEMG"/>
    <s v="RP"/>
    <s v="322"/>
    <s v="4.0 UN"/>
    <s v="STANDARD"/>
    <s v="N"/>
    <s v="N"/>
    <s v="N"/>
    <s v="T20"/>
    <s v="Y"/>
    <s v="N"/>
    <s v="N"/>
    <s v="N"/>
    <s v="B015"/>
    <d v="2016-12-05T00:00:00"/>
    <s v="10"/>
    <s v="TAN"/>
    <s v="OR"/>
    <d v="2016-11-30T00:00:00"/>
    <s v="MT"/>
    <s v="US"/>
    <s v="ZR"/>
    <d v="2016-11-30T00:00:00"/>
  </r>
  <r>
    <x v="1"/>
    <x v="4"/>
    <x v="2056"/>
    <x v="47"/>
    <s v="Standard order"/>
    <x v="1943"/>
    <x v="62"/>
    <s v="2570"/>
    <s v="BTS 2570"/>
    <s v="5002555"/>
    <s v="2570 BTS PB XL"/>
    <n v="40"/>
    <n v="0"/>
    <n v="40"/>
    <x v="4"/>
    <s v="EZNS"/>
    <s v="X-LARGE"/>
    <s v="307"/>
    <s v="4.0 UN"/>
    <s v="STANDARD"/>
    <s v="N"/>
    <s v="Y"/>
    <s v="N"/>
    <s v="N"/>
    <s v="N"/>
    <s v="N"/>
    <s v="N"/>
    <s v="N"/>
    <s v="B050"/>
    <d v="2016-12-05T00:00:00"/>
    <s v="10"/>
    <s v="TAN"/>
    <s v="OR"/>
    <d v="2016-11-30T00:00:00"/>
    <s v="ID"/>
    <s v="US"/>
    <s v="ZR"/>
    <d v="2016-11-30T00:00:00"/>
  </r>
  <r>
    <x v="1"/>
    <x v="4"/>
    <x v="2056"/>
    <x v="47"/>
    <s v="Standard order"/>
    <x v="1943"/>
    <x v="62"/>
    <s v="2523"/>
    <s v="BTS 2523"/>
    <s v="5002529"/>
    <s v="2523 BTS PB XL"/>
    <n v="176"/>
    <n v="0"/>
    <n v="176"/>
    <x v="4"/>
    <s v="EZPC"/>
    <s v="X-LARGE"/>
    <s v="307"/>
    <s v="4.0 UN"/>
    <s v="STANDARD"/>
    <s v="N"/>
    <s v="Y"/>
    <s v="N"/>
    <s v="N"/>
    <s v="N"/>
    <s v="N"/>
    <s v="N"/>
    <s v="N"/>
    <s v="B050"/>
    <d v="2016-12-05T00:00:00"/>
    <s v="20"/>
    <s v="TAN"/>
    <s v="OR"/>
    <d v="2016-11-30T00:00:00"/>
    <s v="ID"/>
    <s v="US"/>
    <s v="ZR"/>
    <d v="2016-11-30T00:00:00"/>
  </r>
  <r>
    <x v="1"/>
    <x v="6"/>
    <x v="2057"/>
    <x v="48"/>
    <s v="Standard order"/>
    <x v="1944"/>
    <x v="1904"/>
    <s v="437N"/>
    <s v="BTS 437N"/>
    <s v="5002210"/>
    <s v="437N BTS T20 PB SYSTIVA P50"/>
    <n v="48"/>
    <n v="0"/>
    <n v="48"/>
    <x v="6"/>
    <s v="EE73"/>
    <s v="PRO 50"/>
    <s v="322"/>
    <s v="4.0 UN"/>
    <s v="STANDARD"/>
    <s v="N"/>
    <s v="N"/>
    <s v="N"/>
    <s v="T20"/>
    <s v="Y"/>
    <s v="N"/>
    <s v="Y"/>
    <s v="N"/>
    <s v="B012"/>
    <d v="2016-12-05T00:00:00"/>
    <s v="10"/>
    <s v="TAN"/>
    <s v="OR"/>
    <d v="2016-11-30T00:00:00"/>
    <s v="ND"/>
    <s v="US"/>
    <s v="ZR"/>
    <d v="2016-11-30T00:00:00"/>
  </r>
  <r>
    <x v="1"/>
    <x v="6"/>
    <x v="2057"/>
    <x v="48"/>
    <s v="Standard order"/>
    <x v="1944"/>
    <x v="1904"/>
    <s v="444N"/>
    <s v="BTS 444N"/>
    <s v="5002228"/>
    <s v="444N BTS T20 PB SYSTIVA P50"/>
    <n v="48"/>
    <n v="0"/>
    <n v="48"/>
    <x v="6"/>
    <s v="DVND"/>
    <s v="PRO 50"/>
    <s v="322"/>
    <s v="4.0 UN"/>
    <s v="STANDARD"/>
    <s v="N"/>
    <s v="N"/>
    <s v="N"/>
    <s v="T20"/>
    <s v="Y"/>
    <s v="N"/>
    <s v="Y"/>
    <s v="N"/>
    <s v="B012"/>
    <d v="2016-12-05T00:00:00"/>
    <s v="20"/>
    <s v="TAN"/>
    <s v="OR"/>
    <d v="2016-11-30T00:00:00"/>
    <s v="ND"/>
    <s v="US"/>
    <s v="ZR"/>
    <d v="2016-11-30T00:00:00"/>
  </r>
  <r>
    <x v="1"/>
    <x v="6"/>
    <x v="2057"/>
    <x v="48"/>
    <s v="Standard order"/>
    <x v="1944"/>
    <x v="1904"/>
    <s v="459N"/>
    <s v="BTS 459N"/>
    <s v="5002258"/>
    <s v="459N BTS T20 PB SYSTIVA P50"/>
    <n v="36"/>
    <n v="0"/>
    <n v="36"/>
    <x v="6"/>
    <s v="DVNU"/>
    <s v="PRO 50"/>
    <s v="322"/>
    <s v="4.0 UN"/>
    <s v="STANDARD"/>
    <s v="N"/>
    <s v="N"/>
    <s v="N"/>
    <s v="T20"/>
    <s v="Y"/>
    <s v="N"/>
    <s v="Y"/>
    <s v="N"/>
    <s v="B012"/>
    <d v="2016-12-05T00:00:00"/>
    <s v="30"/>
    <s v="TAN"/>
    <s v="OR"/>
    <d v="2016-11-30T00:00:00"/>
    <s v="ND"/>
    <s v="US"/>
    <s v="ZR"/>
    <d v="2016-11-30T00:00:00"/>
  </r>
  <r>
    <x v="1"/>
    <x v="0"/>
    <x v="2058"/>
    <x v="45"/>
    <s v="Standard order"/>
    <x v="1909"/>
    <x v="76"/>
    <s v="1399"/>
    <s v="BTS 1399"/>
    <s v="5002347"/>
    <s v="1399 BTS T20 Kabina P200"/>
    <n v="20"/>
    <n v="0"/>
    <n v="20"/>
    <x v="0"/>
    <s v="EG74"/>
    <s v="PRO 200"/>
    <s v="380"/>
    <s v="4.0 UN"/>
    <s v="STANDARD"/>
    <s v="N"/>
    <s v="N"/>
    <s v="Y"/>
    <s v="T20"/>
    <s v="N"/>
    <s v="N"/>
    <s v="N"/>
    <s v="N"/>
    <s v="B003"/>
    <d v="2016-12-05T00:00:00"/>
    <s v="10"/>
    <s v="TAN"/>
    <s v="OR"/>
    <d v="2016-11-30T00:00:00"/>
    <s v="MI"/>
    <s v="US"/>
    <s v="ZR"/>
    <d v="2016-11-30T00:00:00"/>
  </r>
  <r>
    <x v="1"/>
    <x v="0"/>
    <x v="2058"/>
    <x v="45"/>
    <s v="Standard order"/>
    <x v="1909"/>
    <x v="76"/>
    <s v="133N"/>
    <s v="BTS 133N"/>
    <s v="5002328"/>
    <s v="133N BTS T20 Kabina P200"/>
    <n v="16"/>
    <n v="0"/>
    <n v="16"/>
    <x v="0"/>
    <s v="DW73"/>
    <s v="PRO 200"/>
    <s v="380"/>
    <s v="4.0 UN"/>
    <s v="STANDARD"/>
    <s v="N"/>
    <s v="N"/>
    <s v="Y"/>
    <s v="T20"/>
    <s v="N"/>
    <s v="N"/>
    <s v="N"/>
    <s v="N"/>
    <s v="B003"/>
    <d v="2016-12-05T00:00:00"/>
    <s v="20"/>
    <s v="TAN"/>
    <s v="OR"/>
    <d v="2016-11-30T00:00:00"/>
    <s v="MI"/>
    <s v="US"/>
    <s v="ZR"/>
    <d v="2016-11-30T00:00:00"/>
  </r>
  <r>
    <x v="1"/>
    <x v="7"/>
    <x v="2059"/>
    <x v="37"/>
    <s v="Standard order"/>
    <x v="1945"/>
    <x v="1905"/>
    <s v="8052"/>
    <s v="BTS 80RR52"/>
    <s v="5002735"/>
    <s v="8052 BTS T35 PB SYSTIVA RP"/>
    <n v="48"/>
    <n v="0"/>
    <n v="48"/>
    <x v="7"/>
    <s v="AP82"/>
    <s v="RP"/>
    <s v="333"/>
    <s v="4.0 UN"/>
    <s v="STANDARD"/>
    <s v="N"/>
    <s v="Y"/>
    <s v="N"/>
    <s v="T35"/>
    <s v="Y"/>
    <s v="N"/>
    <s v="Y"/>
    <s v="N"/>
    <s v="B033"/>
    <d v="2016-12-05T00:00:00"/>
    <s v="10"/>
    <s v="TAN"/>
    <s v="OR"/>
    <d v="2016-11-30T00:00:00"/>
    <s v="MN"/>
    <s v="US"/>
    <s v="ZR"/>
    <d v="2016-11-30T00:00:00"/>
  </r>
  <r>
    <x v="1"/>
    <x v="7"/>
    <x v="2059"/>
    <x v="37"/>
    <s v="Standard order"/>
    <x v="1945"/>
    <x v="1905"/>
    <s v="8500"/>
    <s v="BTS 8500"/>
    <s v="5002856"/>
    <s v="8500 BTS T35 PB SYSTIVA RP"/>
    <n v="48"/>
    <n v="0"/>
    <n v="48"/>
    <x v="7"/>
    <s v="FTND"/>
    <s v="RP"/>
    <s v="333"/>
    <s v="4.0 UN"/>
    <s v="STANDARD"/>
    <s v="N"/>
    <s v="Y"/>
    <s v="N"/>
    <s v="T35"/>
    <s v="Y"/>
    <s v="N"/>
    <s v="Y"/>
    <s v="N"/>
    <s v="B033"/>
    <d v="2016-12-05T00:00:00"/>
    <s v="20"/>
    <s v="TAN"/>
    <s v="OR"/>
    <d v="2016-11-30T00:00:00"/>
    <s v="MN"/>
    <s v="US"/>
    <s v="ZR"/>
    <d v="2016-11-30T00:00:00"/>
  </r>
  <r>
    <x v="1"/>
    <x v="4"/>
    <x v="2060"/>
    <x v="46"/>
    <s v="Standard order"/>
    <x v="1946"/>
    <x v="1906"/>
    <s v="6027"/>
    <s v="BTS 60RR27"/>
    <s v="5002617"/>
    <s v="6027 BTS PB LRG IDH"/>
    <n v="20"/>
    <n v="0"/>
    <n v="20"/>
    <x v="4"/>
    <s v="APMC"/>
    <s v="LARGE"/>
    <s v="307"/>
    <s v="4.0 UN"/>
    <s v="STANDARD"/>
    <s v="N"/>
    <s v="Y"/>
    <s v="N"/>
    <s v="N"/>
    <s v="N"/>
    <s v="N"/>
    <s v="N"/>
    <s v="N"/>
    <s v="B049"/>
    <d v="2016-12-05T00:00:00"/>
    <s v="10"/>
    <s v="TAN"/>
    <s v="OR"/>
    <d v="2016-11-29T00:00:00"/>
    <s v="ID"/>
    <s v="US"/>
    <s v="ZR"/>
    <d v="2016-11-30T00:00:00"/>
  </r>
  <r>
    <x v="1"/>
    <x v="4"/>
    <x v="2060"/>
    <x v="46"/>
    <s v="Standard order"/>
    <x v="1946"/>
    <x v="1906"/>
    <s v="2125"/>
    <s v="BTS 21RR25"/>
    <s v="5002387"/>
    <s v="2125 BTS PB LRG"/>
    <n v="24"/>
    <n v="0"/>
    <n v="24"/>
    <x v="4"/>
    <s v="AP92"/>
    <s v="LARGE"/>
    <s v="307"/>
    <s v="4.0 UN"/>
    <s v="STANDARD"/>
    <s v="N"/>
    <s v="Y"/>
    <s v="N"/>
    <s v="N"/>
    <s v="N"/>
    <s v="N"/>
    <s v="N"/>
    <s v="N"/>
    <s v="B049"/>
    <d v="2016-12-05T00:00:00"/>
    <s v="20"/>
    <s v="TAN"/>
    <s v="OR"/>
    <d v="2016-11-29T00:00:00"/>
    <s v="ID"/>
    <s v="US"/>
    <s v="ZR"/>
    <d v="2016-11-30T00:00:00"/>
  </r>
  <r>
    <x v="1"/>
    <x v="4"/>
    <x v="2060"/>
    <x v="46"/>
    <s v="Standard order"/>
    <x v="1946"/>
    <x v="1906"/>
    <s v="2570"/>
    <s v="BTS 2570"/>
    <s v="5002553"/>
    <s v="2570 BTS PB LRG"/>
    <n v="44"/>
    <n v="0"/>
    <n v="44"/>
    <x v="4"/>
    <s v="EZNS"/>
    <s v="LARGE"/>
    <s v="307"/>
    <s v="4.0 UN"/>
    <s v="STANDARD"/>
    <s v="N"/>
    <s v="Y"/>
    <s v="N"/>
    <s v="N"/>
    <s v="N"/>
    <s v="N"/>
    <s v="N"/>
    <s v="N"/>
    <s v="B049"/>
    <d v="2016-12-05T00:00:00"/>
    <s v="30"/>
    <s v="TAN"/>
    <s v="OR"/>
    <d v="2016-11-29T00:00:00"/>
    <s v="ID"/>
    <s v="US"/>
    <s v="ZR"/>
    <d v="2016-11-30T00:00:00"/>
  </r>
  <r>
    <x v="1"/>
    <x v="4"/>
    <x v="2061"/>
    <x v="46"/>
    <s v="Standard order"/>
    <x v="1947"/>
    <x v="188"/>
    <s v="2559"/>
    <s v="BTS 2559"/>
    <s v="5002563"/>
    <s v="2559 BTS PB XL"/>
    <n v="40"/>
    <n v="0"/>
    <n v="40"/>
    <x v="4"/>
    <s v="FGNE"/>
    <s v="X-LARGE"/>
    <s v="307"/>
    <s v="4.0 UN"/>
    <s v="STANDARD"/>
    <s v="N"/>
    <s v="Y"/>
    <s v="N"/>
    <s v="N"/>
    <s v="N"/>
    <s v="N"/>
    <s v="N"/>
    <s v="N"/>
    <s v="B049"/>
    <d v="2016-12-05T00:00:00"/>
    <s v="10"/>
    <s v="TAN"/>
    <s v="OR"/>
    <d v="2016-11-29T00:00:00"/>
    <s v="ID"/>
    <s v="US"/>
    <s v="ZR"/>
    <d v="2016-11-30T00:00:00"/>
  </r>
  <r>
    <x v="1"/>
    <x v="7"/>
    <x v="2062"/>
    <x v="36"/>
    <s v="Standard order"/>
    <x v="1948"/>
    <x v="1907"/>
    <s v="8052"/>
    <s v="BTS 80RR52"/>
    <s v="5002734"/>
    <s v="8052 BTS T35 PB SYSTIVA P200"/>
    <n v="96"/>
    <n v="0"/>
    <n v="96"/>
    <x v="7"/>
    <s v="AP82"/>
    <s v="PRO 200"/>
    <s v="333"/>
    <s v="4.0 UN"/>
    <s v="STANDARD"/>
    <s v="N"/>
    <s v="Y"/>
    <s v="N"/>
    <s v="T35"/>
    <s v="Y"/>
    <s v="N"/>
    <s v="Y"/>
    <s v="N"/>
    <s v="B027"/>
    <d v="2016-12-05T00:00:00"/>
    <s v="10"/>
    <s v="TAN"/>
    <s v="OR"/>
    <d v="2016-11-30T00:00:00"/>
    <s v="MN"/>
    <s v="US"/>
    <s v="ZR"/>
    <d v="2016-11-30T00:00:00"/>
  </r>
  <r>
    <x v="1"/>
    <x v="7"/>
    <x v="2063"/>
    <x v="33"/>
    <s v="Standard order"/>
    <x v="1949"/>
    <x v="1908"/>
    <s v="8524"/>
    <s v="BTS 8524"/>
    <s v="5002900"/>
    <s v="8524 BTS T35 SYSTIVA RP"/>
    <n v="60"/>
    <n v="0"/>
    <n v="60"/>
    <x v="7"/>
    <s v="FWND"/>
    <s v="RP"/>
    <s v="334"/>
    <s v="4.0 UN"/>
    <s v="STANDARD"/>
    <s v="N"/>
    <s v="N"/>
    <s v="N"/>
    <s v="T35"/>
    <s v="Y"/>
    <s v="N"/>
    <s v="Y"/>
    <s v="N"/>
    <s v="B026"/>
    <d v="2016-12-05T00:00:00"/>
    <s v="10"/>
    <s v="TAN"/>
    <s v="OR"/>
    <d v="2016-11-30T00:00:00"/>
    <s v="MN"/>
    <s v="US"/>
    <s v="ZR"/>
    <d v="2016-11-30T00:00:00"/>
  </r>
  <r>
    <x v="1"/>
    <x v="0"/>
    <x v="2064"/>
    <x v="29"/>
    <s v="Standard order"/>
    <x v="1950"/>
    <x v="1909"/>
    <s v="122N"/>
    <s v="BTS 12RR2N"/>
    <s v="5002311"/>
    <s v="122N BTS T20 Kabina RP"/>
    <n v="32"/>
    <n v="0"/>
    <n v="32"/>
    <x v="0"/>
    <s v="4TBG"/>
    <s v="RP"/>
    <s v="380"/>
    <s v="4.0 UN"/>
    <s v="STANDARD"/>
    <s v="N"/>
    <s v="N"/>
    <s v="Y"/>
    <s v="T20"/>
    <s v="N"/>
    <s v="N"/>
    <s v="N"/>
    <s v="N"/>
    <s v="B005"/>
    <d v="2016-12-05T00:00:00"/>
    <s v="10"/>
    <s v="TAN"/>
    <s v="OR"/>
    <d v="2016-11-29T00:00:00"/>
    <s v="MI"/>
    <s v="US"/>
    <s v="ZR"/>
    <d v="2016-11-30T00:00:00"/>
  </r>
  <r>
    <x v="1"/>
    <x v="0"/>
    <x v="2064"/>
    <x v="29"/>
    <s v="Standard order"/>
    <x v="1950"/>
    <x v="1909"/>
    <s v="1399"/>
    <s v="BTS 1399"/>
    <s v="5002348"/>
    <s v="1399 BTS T20 Kabina RP"/>
    <n v="36"/>
    <n v="0"/>
    <n v="36"/>
    <x v="0"/>
    <s v="EG74"/>
    <s v="RP"/>
    <s v="380"/>
    <s v="4.0 UN"/>
    <s v="STANDARD"/>
    <s v="N"/>
    <s v="N"/>
    <s v="Y"/>
    <s v="T20"/>
    <s v="N"/>
    <s v="N"/>
    <s v="N"/>
    <s v="N"/>
    <s v="B005"/>
    <d v="2016-12-05T00:00:00"/>
    <s v="20"/>
    <s v="TAN"/>
    <s v="OR"/>
    <d v="2016-11-29T00:00:00"/>
    <s v="MI"/>
    <s v="US"/>
    <s v="ZR"/>
    <d v="2016-11-30T00:00:00"/>
  </r>
  <r>
    <x v="1"/>
    <x v="7"/>
    <x v="2065"/>
    <x v="36"/>
    <s v="Standard order"/>
    <x v="1951"/>
    <x v="1910"/>
    <s v="8052"/>
    <s v="BTS 80RR52"/>
    <s v="5002735"/>
    <s v="8052 BTS T35 PB SYSTIVA RP"/>
    <n v="40"/>
    <n v="0"/>
    <n v="40"/>
    <x v="7"/>
    <s v="AP82"/>
    <s v="RP"/>
    <s v="333"/>
    <s v="4.0 UN"/>
    <s v="STANDARD"/>
    <s v="N"/>
    <s v="Y"/>
    <s v="N"/>
    <s v="T35"/>
    <s v="Y"/>
    <s v="N"/>
    <s v="Y"/>
    <s v="N"/>
    <s v="B027"/>
    <d v="2016-12-05T00:00:00"/>
    <s v="10"/>
    <s v="TAN"/>
    <s v="OR"/>
    <d v="2016-11-30T00:00:00"/>
    <s v="MN"/>
    <s v="US"/>
    <s v="ZR"/>
    <d v="2016-11-30T00:00:00"/>
  </r>
  <r>
    <x v="1"/>
    <x v="0"/>
    <x v="2066"/>
    <x v="42"/>
    <s v="Standard order"/>
    <x v="1952"/>
    <x v="1911"/>
    <s v="1399"/>
    <s v="BTS 1399"/>
    <s v="5002347"/>
    <s v="1399 BTS T20 Kabina P200"/>
    <n v="8"/>
    <n v="0"/>
    <n v="8"/>
    <x v="0"/>
    <s v="EG74"/>
    <s v="PRO 200"/>
    <s v="380"/>
    <s v="4.0 UN"/>
    <s v="STANDARD"/>
    <s v="N"/>
    <s v="N"/>
    <s v="Y"/>
    <s v="T20"/>
    <s v="N"/>
    <s v="N"/>
    <s v="N"/>
    <s v="N"/>
    <s v="B007"/>
    <d v="2016-12-05T00:00:00"/>
    <s v="20"/>
    <s v="TAN"/>
    <s v="OR"/>
    <d v="2016-11-29T00:00:00"/>
    <s v="MI"/>
    <s v="US"/>
    <s v="ZR"/>
    <d v="2016-11-30T00:00:00"/>
  </r>
  <r>
    <x v="1"/>
    <x v="0"/>
    <x v="2066"/>
    <x v="42"/>
    <s v="Standard order"/>
    <x v="1952"/>
    <x v="1911"/>
    <s v="1399"/>
    <s v="BTS 1399"/>
    <s v="5002347"/>
    <s v="1399 BTS T20 Kabina P200"/>
    <n v="24"/>
    <n v="0"/>
    <n v="24"/>
    <x v="0"/>
    <s v="EG74"/>
    <s v="PRO 200"/>
    <s v="380"/>
    <s v="4.0 UN"/>
    <s v="STANDARD"/>
    <s v="N"/>
    <s v="N"/>
    <s v="Y"/>
    <s v="T20"/>
    <s v="N"/>
    <s v="N"/>
    <s v="N"/>
    <s v="N"/>
    <s v="B007"/>
    <d v="2016-12-05T00:00:00"/>
    <s v="10"/>
    <s v="TAN"/>
    <s v="OR"/>
    <d v="2016-11-29T00:00:00"/>
    <s v="MI"/>
    <s v="US"/>
    <s v="ZR"/>
    <d v="2016-11-30T00:00:00"/>
  </r>
  <r>
    <x v="1"/>
    <x v="4"/>
    <x v="2067"/>
    <x v="50"/>
    <s v="Standard order"/>
    <x v="1953"/>
    <x v="1912"/>
    <s v="2125"/>
    <s v="BTS 21RR25"/>
    <s v="5002387"/>
    <s v="2125 BTS PB LRG"/>
    <n v="40"/>
    <n v="0"/>
    <n v="40"/>
    <x v="4"/>
    <s v="AP92"/>
    <s v="LARGE"/>
    <s v="307"/>
    <s v="4.0 UN"/>
    <s v="STANDARD"/>
    <s v="N"/>
    <s v="Y"/>
    <s v="N"/>
    <s v="N"/>
    <s v="N"/>
    <s v="N"/>
    <s v="N"/>
    <s v="N"/>
    <s v="B047"/>
    <d v="2016-12-05T00:00:00"/>
    <s v="10"/>
    <s v="TAN"/>
    <s v="OR"/>
    <d v="2016-11-29T00:00:00"/>
    <s v="ID"/>
    <s v="US"/>
    <s v="ZR"/>
    <d v="2016-11-30T00:00:00"/>
  </r>
  <r>
    <x v="1"/>
    <x v="4"/>
    <x v="2067"/>
    <x v="50"/>
    <s v="Standard order"/>
    <x v="1953"/>
    <x v="1912"/>
    <s v="2720"/>
    <s v="BTS 27RR20"/>
    <s v="5002134"/>
    <s v="2720 BTS PB LRG"/>
    <n v="40"/>
    <n v="0"/>
    <n v="40"/>
    <x v="4"/>
    <s v="4GAY"/>
    <s v="LARGE"/>
    <s v="307"/>
    <s v="4.0 UN"/>
    <s v="STANDARD"/>
    <s v="N"/>
    <s v="Y"/>
    <s v="N"/>
    <s v="N"/>
    <s v="N"/>
    <s v="N"/>
    <s v="N"/>
    <s v="N"/>
    <s v="B047"/>
    <d v="2016-12-05T00:00:00"/>
    <s v="20"/>
    <s v="TAN"/>
    <s v="OR"/>
    <d v="2016-11-29T00:00:00"/>
    <s v="ID"/>
    <s v="US"/>
    <s v="ZR"/>
    <d v="2016-11-30T00:00:00"/>
  </r>
  <r>
    <x v="1"/>
    <x v="5"/>
    <x v="2068"/>
    <x v="13"/>
    <s v="Standard order"/>
    <x v="1954"/>
    <x v="55"/>
    <s v="336N"/>
    <s v="BTS 336N"/>
    <s v="5002400"/>
    <s v="336N BTS T20 PB SYSTIVA RP"/>
    <n v="72"/>
    <n v="0"/>
    <n v="72"/>
    <x v="5"/>
    <s v="EEMG"/>
    <s v="RP"/>
    <s v="322"/>
    <s v="4.0 UN"/>
    <s v="STANDARD"/>
    <s v="N"/>
    <s v="N"/>
    <s v="N"/>
    <s v="T20"/>
    <s v="Y"/>
    <s v="N"/>
    <s v="N"/>
    <s v="N"/>
    <s v="B015"/>
    <d v="2016-12-05T00:00:00"/>
    <s v="10"/>
    <s v="TAN"/>
    <s v="OR"/>
    <d v="2016-11-30T00:00:00"/>
    <s v="MT"/>
    <s v="US"/>
    <s v="ZR"/>
    <d v="2016-11-30T00:00:00"/>
  </r>
  <r>
    <x v="1"/>
    <x v="7"/>
    <x v="2069"/>
    <x v="28"/>
    <s v="Standard order"/>
    <x v="1955"/>
    <x v="1913"/>
    <s v="8337"/>
    <s v="BTS 8337"/>
    <s v="5002782"/>
    <s v="8337 BTS T20 PB SYSTIVA MP"/>
    <n v="36"/>
    <n v="0"/>
    <n v="36"/>
    <x v="7"/>
    <s v="DHMC"/>
    <s v="MP"/>
    <s v="322"/>
    <s v="4.0 UN"/>
    <s v="STANDARD"/>
    <s v="N"/>
    <s v="N"/>
    <s v="N"/>
    <s v="T20"/>
    <s v="Y"/>
    <s v="N"/>
    <s v="Y"/>
    <s v="N"/>
    <s v="B056"/>
    <d v="2016-12-05T00:00:00"/>
    <s v="10"/>
    <s v="TAN"/>
    <s v="OR"/>
    <d v="2016-11-30T00:00:00"/>
    <s v="ND"/>
    <s v="US"/>
    <s v="ZR"/>
    <d v="2016-11-30T00:00:00"/>
  </r>
  <r>
    <x v="1"/>
    <x v="7"/>
    <x v="2069"/>
    <x v="28"/>
    <s v="Standard order"/>
    <x v="1955"/>
    <x v="1913"/>
    <s v="8512"/>
    <s v="BTS 8512"/>
    <s v="5002863"/>
    <s v="8512 BTS T20 PB SYSTIVA MP"/>
    <n v="36"/>
    <n v="0"/>
    <n v="36"/>
    <x v="7"/>
    <s v="FX73"/>
    <s v="MP"/>
    <s v="322"/>
    <s v="4.0 UN"/>
    <s v="STANDARD"/>
    <s v="N"/>
    <s v="N"/>
    <s v="N"/>
    <s v="T20"/>
    <s v="Y"/>
    <s v="N"/>
    <s v="Y"/>
    <s v="N"/>
    <s v="B056"/>
    <d v="2016-12-05T00:00:00"/>
    <s v="20"/>
    <s v="TAN"/>
    <s v="OR"/>
    <d v="2016-11-30T00:00:00"/>
    <s v="ND"/>
    <s v="US"/>
    <s v="ZR"/>
    <d v="2016-11-30T00:00:00"/>
  </r>
  <r>
    <x v="1"/>
    <x v="4"/>
    <x v="2070"/>
    <x v="50"/>
    <s v="Standard order"/>
    <x v="1956"/>
    <x v="1914"/>
    <s v="2720"/>
    <s v="BTS 27RR20"/>
    <s v="5002134"/>
    <s v="2720 BTS PB LRG"/>
    <n v="72"/>
    <n v="0"/>
    <n v="72"/>
    <x v="4"/>
    <s v="4GAY"/>
    <s v="LARGE"/>
    <s v="307"/>
    <s v="4.0 UN"/>
    <s v="STANDARD"/>
    <s v="N"/>
    <s v="Y"/>
    <s v="N"/>
    <s v="N"/>
    <s v="N"/>
    <s v="N"/>
    <s v="N"/>
    <s v="N"/>
    <s v="B047"/>
    <d v="2016-12-05T00:00:00"/>
    <s v="10"/>
    <s v="TAN"/>
    <s v="OR"/>
    <d v="2016-11-30T00:00:00"/>
    <s v="ID"/>
    <s v="US"/>
    <s v="ZR"/>
    <d v="2016-11-30T00:00:00"/>
  </r>
  <r>
    <x v="1"/>
    <x v="4"/>
    <x v="2070"/>
    <x v="50"/>
    <s v="Standard order"/>
    <x v="1956"/>
    <x v="1914"/>
    <s v="225N"/>
    <s v="BTS 22RR5N"/>
    <s v="5002111"/>
    <s v="225N BTS PB LRG"/>
    <n v="24"/>
    <n v="0"/>
    <n v="24"/>
    <x v="4"/>
    <s v="4TBD"/>
    <s v="LARGE"/>
    <s v="307"/>
    <s v="4.0 UN"/>
    <s v="STANDARD"/>
    <s v="N"/>
    <s v="Y"/>
    <s v="N"/>
    <s v="N"/>
    <s v="N"/>
    <s v="N"/>
    <s v="N"/>
    <s v="N"/>
    <s v="B047"/>
    <d v="2016-12-05T00:00:00"/>
    <s v="20"/>
    <s v="TAN"/>
    <s v="OR"/>
    <d v="2016-11-30T00:00:00"/>
    <s v="ID"/>
    <s v="US"/>
    <s v="ZR"/>
    <d v="2016-11-30T00:00:00"/>
  </r>
  <r>
    <x v="1"/>
    <x v="7"/>
    <x v="2071"/>
    <x v="38"/>
    <s v="Standard order"/>
    <x v="1957"/>
    <x v="1915"/>
    <s v="8052"/>
    <s v="BTS 80RR52"/>
    <s v="5002735"/>
    <s v="8052 BTS T35 PB SYSTIVA RP"/>
    <n v="56"/>
    <n v="0"/>
    <n v="56"/>
    <x v="7"/>
    <s v="AP82"/>
    <s v="RP"/>
    <s v="333"/>
    <s v="4.0 UN"/>
    <s v="STANDARD"/>
    <s v="N"/>
    <s v="Y"/>
    <s v="N"/>
    <s v="T35"/>
    <s v="Y"/>
    <s v="N"/>
    <s v="Y"/>
    <s v="N"/>
    <s v="B031"/>
    <d v="2016-12-05T00:00:00"/>
    <s v="10"/>
    <s v="TAN"/>
    <s v="OR"/>
    <d v="2016-11-30T00:00:00"/>
    <s v="ND"/>
    <s v="US"/>
    <s v="ZR"/>
    <d v="2016-11-30T00:00:00"/>
  </r>
  <r>
    <x v="1"/>
    <x v="7"/>
    <x v="2071"/>
    <x v="38"/>
    <s v="Standard order"/>
    <x v="1957"/>
    <x v="1915"/>
    <s v="8337"/>
    <s v="BTS 8337"/>
    <s v="5002795"/>
    <s v="8337 BTS T35 PB SYSTIVA RP"/>
    <n v="56"/>
    <n v="0"/>
    <n v="56"/>
    <x v="7"/>
    <s v="DHMC"/>
    <s v="RP"/>
    <s v="333"/>
    <s v="4.0 UN"/>
    <s v="STANDARD"/>
    <s v="N"/>
    <s v="Y"/>
    <s v="N"/>
    <s v="T35"/>
    <s v="Y"/>
    <s v="N"/>
    <s v="Y"/>
    <s v="N"/>
    <s v="B031"/>
    <d v="2016-12-05T00:00:00"/>
    <s v="20"/>
    <s v="TAN"/>
    <s v="OR"/>
    <d v="2016-11-30T00:00:00"/>
    <s v="ND"/>
    <s v="US"/>
    <s v="ZR"/>
    <d v="2016-11-30T00:00:00"/>
  </r>
  <r>
    <x v="1"/>
    <x v="7"/>
    <x v="2071"/>
    <x v="38"/>
    <s v="Standard order"/>
    <x v="1957"/>
    <x v="1915"/>
    <s v="8363"/>
    <s v="BTS 8363"/>
    <s v="5002816"/>
    <s v="8363 BTS T35 PB SYSTIVA RP"/>
    <n v="56"/>
    <n v="0"/>
    <n v="56"/>
    <x v="7"/>
    <s v="DMMZ"/>
    <s v="RP"/>
    <s v="333"/>
    <s v="4.0 UN"/>
    <s v="STANDARD"/>
    <s v="N"/>
    <s v="Y"/>
    <s v="N"/>
    <s v="T35"/>
    <s v="Y"/>
    <s v="N"/>
    <s v="Y"/>
    <s v="N"/>
    <s v="B031"/>
    <d v="2016-12-05T00:00:00"/>
    <s v="30"/>
    <s v="TAN"/>
    <s v="OR"/>
    <d v="2016-11-30T00:00:00"/>
    <s v="ND"/>
    <s v="US"/>
    <s v="ZR"/>
    <d v="2016-11-30T00:00:00"/>
  </r>
  <r>
    <x v="1"/>
    <x v="7"/>
    <x v="2071"/>
    <x v="38"/>
    <s v="Standard order"/>
    <x v="1957"/>
    <x v="1915"/>
    <s v="8500"/>
    <s v="BTS 8500"/>
    <s v="5002856"/>
    <s v="8500 BTS T35 PB SYSTIVA RP"/>
    <n v="56"/>
    <n v="0"/>
    <n v="56"/>
    <x v="7"/>
    <s v="FTND"/>
    <s v="RP"/>
    <s v="333"/>
    <s v="4.0 UN"/>
    <s v="STANDARD"/>
    <s v="N"/>
    <s v="Y"/>
    <s v="N"/>
    <s v="T35"/>
    <s v="Y"/>
    <s v="N"/>
    <s v="Y"/>
    <s v="N"/>
    <s v="B031"/>
    <d v="2016-12-05T00:00:00"/>
    <s v="40"/>
    <s v="TAN"/>
    <s v="OR"/>
    <d v="2016-11-30T00:00:00"/>
    <s v="ND"/>
    <s v="US"/>
    <s v="ZR"/>
    <d v="2016-11-30T00:00:00"/>
  </r>
  <r>
    <x v="1"/>
    <x v="7"/>
    <x v="2072"/>
    <x v="28"/>
    <s v="Standard order"/>
    <x v="1958"/>
    <x v="1916"/>
    <s v="8337"/>
    <s v="BTS 8337"/>
    <s v="5002782"/>
    <s v="8337 BTS T20 PB SYSTIVA MP"/>
    <n v="24"/>
    <n v="0"/>
    <n v="24"/>
    <x v="7"/>
    <s v="DHMC"/>
    <s v="MP"/>
    <s v="322"/>
    <s v="4.0 UN"/>
    <s v="STANDARD"/>
    <s v="N"/>
    <s v="N"/>
    <s v="N"/>
    <s v="T20"/>
    <s v="Y"/>
    <s v="N"/>
    <s v="Y"/>
    <s v="N"/>
    <s v="B056"/>
    <d v="2016-12-05T00:00:00"/>
    <s v="10"/>
    <s v="TAN"/>
    <s v="OR"/>
    <d v="2016-11-30T00:00:00"/>
    <s v="ND"/>
    <s v="US"/>
    <s v="ZR"/>
    <d v="2016-11-30T00:00:00"/>
  </r>
  <r>
    <x v="1"/>
    <x v="7"/>
    <x v="2073"/>
    <x v="28"/>
    <s v="Standard order"/>
    <x v="1959"/>
    <x v="1917"/>
    <s v="8337"/>
    <s v="BTS 8337"/>
    <s v="5002782"/>
    <s v="8337 BTS T20 PB SYSTIVA MP"/>
    <n v="36"/>
    <n v="0"/>
    <n v="36"/>
    <x v="7"/>
    <s v="DHMC"/>
    <s v="MP"/>
    <s v="322"/>
    <s v="4.0 UN"/>
    <s v="STANDARD"/>
    <s v="N"/>
    <s v="N"/>
    <s v="N"/>
    <s v="T20"/>
    <s v="Y"/>
    <s v="N"/>
    <s v="Y"/>
    <s v="N"/>
    <s v="B056"/>
    <d v="2016-12-05T00:00:00"/>
    <s v="10"/>
    <s v="TAN"/>
    <s v="OR"/>
    <d v="2016-11-30T00:00:00"/>
    <s v="ND"/>
    <s v="US"/>
    <s v="ZR"/>
    <d v="2016-11-30T00:00:00"/>
  </r>
  <r>
    <x v="1"/>
    <x v="7"/>
    <x v="2073"/>
    <x v="28"/>
    <s v="Standard order"/>
    <x v="1959"/>
    <x v="1917"/>
    <s v="8512"/>
    <s v="BTS 8512"/>
    <s v="5002863"/>
    <s v="8512 BTS T20 PB SYSTIVA MP"/>
    <n v="36"/>
    <n v="0"/>
    <n v="36"/>
    <x v="7"/>
    <s v="FX73"/>
    <s v="MP"/>
    <s v="322"/>
    <s v="4.0 UN"/>
    <s v="STANDARD"/>
    <s v="N"/>
    <s v="N"/>
    <s v="N"/>
    <s v="T20"/>
    <s v="Y"/>
    <s v="N"/>
    <s v="Y"/>
    <s v="N"/>
    <s v="B056"/>
    <d v="2016-12-05T00:00:00"/>
    <s v="20"/>
    <s v="TAN"/>
    <s v="OR"/>
    <d v="2016-11-30T00:00:00"/>
    <s v="ND"/>
    <s v="US"/>
    <s v="ZR"/>
    <d v="2016-11-30T00:00:00"/>
  </r>
  <r>
    <x v="1"/>
    <x v="7"/>
    <x v="2074"/>
    <x v="28"/>
    <s v="Standard order"/>
    <x v="1960"/>
    <x v="1918"/>
    <s v="8052"/>
    <s v="BTS 80RR52"/>
    <s v="5002722"/>
    <s v="8052 BTS T20 PB SYSTIVA MP"/>
    <n v="48"/>
    <n v="0"/>
    <n v="48"/>
    <x v="7"/>
    <s v="AP82"/>
    <s v="MP"/>
    <s v="322"/>
    <s v="4.0 UN"/>
    <s v="STANDARD"/>
    <s v="N"/>
    <s v="N"/>
    <s v="N"/>
    <s v="T20"/>
    <s v="Y"/>
    <s v="N"/>
    <s v="Y"/>
    <s v="N"/>
    <s v="B056"/>
    <d v="2016-12-05T00:00:00"/>
    <s v="10"/>
    <s v="TAN"/>
    <s v="OR"/>
    <d v="2016-11-30T00:00:00"/>
    <s v="ND"/>
    <s v="US"/>
    <s v="ZR"/>
    <d v="2016-11-30T00:00:00"/>
  </r>
  <r>
    <x v="1"/>
    <x v="7"/>
    <x v="2074"/>
    <x v="28"/>
    <s v="Standard order"/>
    <x v="1960"/>
    <x v="1918"/>
    <s v="8512"/>
    <s v="BTS 8512"/>
    <s v="5002863"/>
    <s v="8512 BTS T20 PB SYSTIVA MP"/>
    <n v="96"/>
    <n v="0"/>
    <n v="96"/>
    <x v="7"/>
    <s v="FX73"/>
    <s v="MP"/>
    <s v="322"/>
    <s v="4.0 UN"/>
    <s v="STANDARD"/>
    <s v="N"/>
    <s v="N"/>
    <s v="N"/>
    <s v="T20"/>
    <s v="Y"/>
    <s v="N"/>
    <s v="Y"/>
    <s v="N"/>
    <s v="B056"/>
    <d v="2016-12-05T00:00:00"/>
    <s v="20"/>
    <s v="TAN"/>
    <s v="OR"/>
    <d v="2016-11-30T00:00:00"/>
    <s v="ND"/>
    <s v="US"/>
    <s v="ZR"/>
    <d v="2016-11-30T00:00:00"/>
  </r>
  <r>
    <x v="1"/>
    <x v="7"/>
    <x v="2075"/>
    <x v="36"/>
    <s v="Standard order"/>
    <x v="1961"/>
    <x v="1919"/>
    <s v="8500"/>
    <s v="BTS 8500"/>
    <s v="5002856"/>
    <s v="8500 BTS T35 PB SYSTIVA RP"/>
    <n v="24"/>
    <n v="0"/>
    <n v="24"/>
    <x v="7"/>
    <s v="FTND"/>
    <s v="RP"/>
    <s v="333"/>
    <s v="4.0 UN"/>
    <s v="STANDARD"/>
    <s v="N"/>
    <s v="Y"/>
    <s v="N"/>
    <s v="T35"/>
    <s v="Y"/>
    <s v="N"/>
    <s v="Y"/>
    <s v="N"/>
    <s v="B027"/>
    <d v="2016-12-05T00:00:00"/>
    <s v="10"/>
    <s v="TAN"/>
    <s v="OR"/>
    <d v="2016-11-30T00:00:00"/>
    <s v="MN"/>
    <s v="US"/>
    <s v="ZR"/>
    <d v="2016-11-30T00:00:00"/>
  </r>
  <r>
    <x v="1"/>
    <x v="4"/>
    <x v="2076"/>
    <x v="46"/>
    <s v="Standard order"/>
    <x v="1962"/>
    <x v="1920"/>
    <s v="6027"/>
    <s v="BTS 60RR27"/>
    <s v="5002617"/>
    <s v="6027 BTS PB LRG IDH"/>
    <n v="120"/>
    <n v="0"/>
    <n v="120"/>
    <x v="4"/>
    <s v="APMC"/>
    <s v="LARGE"/>
    <s v="307"/>
    <s v="4.0 UN"/>
    <s v="STANDARD"/>
    <s v="N"/>
    <s v="Y"/>
    <s v="N"/>
    <s v="N"/>
    <s v="N"/>
    <s v="N"/>
    <s v="N"/>
    <s v="N"/>
    <s v="B049"/>
    <d v="2016-12-05T00:00:00"/>
    <s v="10"/>
    <s v="TAN"/>
    <s v="OR"/>
    <d v="2016-11-30T00:00:00"/>
    <s v="ID"/>
    <s v="US"/>
    <s v="ZR"/>
    <d v="2016-11-30T00:00:00"/>
  </r>
  <r>
    <x v="1"/>
    <x v="4"/>
    <x v="2076"/>
    <x v="46"/>
    <s v="Standard order"/>
    <x v="1962"/>
    <x v="1920"/>
    <s v="2559"/>
    <s v="BTS 2559"/>
    <s v="5002561"/>
    <s v="2559 BTS PB LRG"/>
    <n v="96"/>
    <n v="0"/>
    <n v="96"/>
    <x v="4"/>
    <s v="FGNE"/>
    <s v="LARGE"/>
    <s v="307"/>
    <s v="4.0 UN"/>
    <s v="STANDARD"/>
    <s v="N"/>
    <s v="Y"/>
    <s v="N"/>
    <s v="N"/>
    <s v="N"/>
    <s v="N"/>
    <s v="N"/>
    <s v="N"/>
    <s v="B049"/>
    <d v="2016-12-05T00:00:00"/>
    <s v="20"/>
    <s v="TAN"/>
    <s v="OR"/>
    <d v="2016-11-30T00:00:00"/>
    <s v="ID"/>
    <s v="US"/>
    <s v="ZR"/>
    <d v="2016-11-30T00:00:00"/>
  </r>
  <r>
    <x v="1"/>
    <x v="4"/>
    <x v="2076"/>
    <x v="46"/>
    <s v="Standard order"/>
    <x v="1962"/>
    <x v="1920"/>
    <s v="2570"/>
    <s v="BTS 2570"/>
    <s v="5002553"/>
    <s v="2570 BTS PB LRG"/>
    <n v="72"/>
    <n v="0"/>
    <n v="72"/>
    <x v="4"/>
    <s v="EZNS"/>
    <s v="LARGE"/>
    <s v="307"/>
    <s v="4.0 UN"/>
    <s v="STANDARD"/>
    <s v="N"/>
    <s v="Y"/>
    <s v="N"/>
    <s v="N"/>
    <s v="N"/>
    <s v="N"/>
    <s v="N"/>
    <s v="N"/>
    <s v="B049"/>
    <d v="2016-12-05T00:00:00"/>
    <s v="30"/>
    <s v="TAN"/>
    <s v="OR"/>
    <d v="2016-11-30T00:00:00"/>
    <s v="ID"/>
    <s v="US"/>
    <s v="ZR"/>
    <d v="2016-11-30T00:00:00"/>
  </r>
  <r>
    <x v="1"/>
    <x v="4"/>
    <x v="2076"/>
    <x v="46"/>
    <s v="Standard order"/>
    <x v="1962"/>
    <x v="1920"/>
    <s v="2125"/>
    <s v="BTS 21RR25"/>
    <s v="5002387"/>
    <s v="2125 BTS PB LRG"/>
    <n v="140"/>
    <n v="0"/>
    <n v="140"/>
    <x v="4"/>
    <s v="AP92"/>
    <s v="LARGE"/>
    <s v="307"/>
    <s v="4.0 UN"/>
    <s v="STANDARD"/>
    <s v="N"/>
    <s v="Y"/>
    <s v="N"/>
    <s v="N"/>
    <s v="N"/>
    <s v="N"/>
    <s v="N"/>
    <s v="N"/>
    <s v="B049"/>
    <d v="2016-12-05T00:00:00"/>
    <s v="40"/>
    <s v="TAN"/>
    <s v="OR"/>
    <d v="2016-11-30T00:00:00"/>
    <s v="ID"/>
    <s v="US"/>
    <s v="ZR"/>
    <d v="2016-11-30T00:00:00"/>
  </r>
  <r>
    <x v="1"/>
    <x v="4"/>
    <x v="2076"/>
    <x v="46"/>
    <s v="Standard order"/>
    <x v="1962"/>
    <x v="1920"/>
    <s v="4933"/>
    <s v="BTS 49RR33"/>
    <s v="5002272"/>
    <s v="4933 BTS PB LRG IDH"/>
    <n v="72"/>
    <n v="0"/>
    <n v="72"/>
    <x v="4"/>
    <s v="AKMC"/>
    <s v="LARGE"/>
    <s v="307"/>
    <s v="4.0 UN"/>
    <s v="STANDARD"/>
    <s v="N"/>
    <s v="Y"/>
    <s v="N"/>
    <s v="N"/>
    <s v="N"/>
    <s v="N"/>
    <s v="N"/>
    <s v="N"/>
    <s v="B049"/>
    <d v="2016-12-05T00:00:00"/>
    <s v="50"/>
    <s v="TAN"/>
    <s v="OR"/>
    <d v="2016-11-30T00:00:00"/>
    <s v="ID"/>
    <s v="US"/>
    <s v="ZR"/>
    <d v="2016-11-30T00:00:00"/>
  </r>
  <r>
    <x v="1"/>
    <x v="4"/>
    <x v="2077"/>
    <x v="46"/>
    <s v="Standard order"/>
    <x v="1963"/>
    <x v="171"/>
    <s v="4933"/>
    <s v="BTS 49RR33"/>
    <s v="5002280"/>
    <s v="4933 BTS PB XL IDH"/>
    <n v="432"/>
    <n v="0"/>
    <n v="432"/>
    <x v="4"/>
    <s v="AKMC"/>
    <s v="X-LARGE"/>
    <s v="307"/>
    <s v="4.0 UN"/>
    <s v="STANDARD"/>
    <s v="N"/>
    <s v="Y"/>
    <s v="N"/>
    <s v="N"/>
    <s v="N"/>
    <s v="N"/>
    <s v="N"/>
    <s v="N"/>
    <s v="B049"/>
    <d v="2016-12-05T00:00:00"/>
    <s v="10"/>
    <s v="TAN"/>
    <s v="OR"/>
    <d v="2016-11-30T00:00:00"/>
    <s v="ID"/>
    <s v="US"/>
    <s v="ZR"/>
    <d v="2016-11-30T00:00:00"/>
  </r>
  <r>
    <x v="1"/>
    <x v="4"/>
    <x v="2077"/>
    <x v="46"/>
    <s v="Standard order"/>
    <x v="1963"/>
    <x v="171"/>
    <s v="2559"/>
    <s v="BTS 2559"/>
    <s v="5002563"/>
    <s v="2559 BTS PB XL"/>
    <n v="96"/>
    <n v="0"/>
    <n v="96"/>
    <x v="4"/>
    <s v="FGNE"/>
    <s v="X-LARGE"/>
    <s v="307"/>
    <s v="4.0 UN"/>
    <s v="STANDARD"/>
    <s v="N"/>
    <s v="Y"/>
    <s v="N"/>
    <s v="N"/>
    <s v="N"/>
    <s v="N"/>
    <s v="N"/>
    <s v="N"/>
    <s v="B049"/>
    <d v="2016-12-05T00:00:00"/>
    <s v="20"/>
    <s v="TAN"/>
    <s v="OR"/>
    <d v="2016-11-30T00:00:00"/>
    <s v="ID"/>
    <s v="US"/>
    <s v="ZR"/>
    <d v="2016-11-30T00:00:00"/>
  </r>
  <r>
    <x v="1"/>
    <x v="7"/>
    <x v="2078"/>
    <x v="28"/>
    <s v="Standard order"/>
    <x v="1964"/>
    <x v="1921"/>
    <s v="8052"/>
    <s v="BTS 80RR52"/>
    <s v="5002739"/>
    <s v="8052 BTS T35 SYSTIVA RP"/>
    <n v="192"/>
    <n v="0"/>
    <n v="192"/>
    <x v="7"/>
    <s v="AP82"/>
    <s v="RP"/>
    <s v="334"/>
    <s v="4.0 UN"/>
    <s v="STANDARD"/>
    <s v="N"/>
    <s v="N"/>
    <s v="N"/>
    <s v="T35"/>
    <s v="Y"/>
    <s v="N"/>
    <s v="Y"/>
    <s v="N"/>
    <s v="B056"/>
    <d v="2016-12-05T00:00:00"/>
    <s v="30"/>
    <s v="TAN"/>
    <s v="OR"/>
    <d v="2016-11-30T00:00:00"/>
    <s v="ND"/>
    <s v="US"/>
    <s v="ZR"/>
    <d v="2016-11-30T00:00:00"/>
  </r>
  <r>
    <x v="1"/>
    <x v="7"/>
    <x v="2078"/>
    <x v="28"/>
    <s v="Standard order"/>
    <x v="1964"/>
    <x v="1921"/>
    <s v="8512"/>
    <s v="BTS 8512"/>
    <s v="5002880"/>
    <s v="8512 BTS T35 SYSTIVA RP"/>
    <n v="96"/>
    <n v="0"/>
    <n v="96"/>
    <x v="7"/>
    <s v="FX73"/>
    <s v="RP"/>
    <s v="334"/>
    <s v="4.0 UN"/>
    <s v="STANDARD"/>
    <s v="N"/>
    <s v="N"/>
    <s v="N"/>
    <s v="T35"/>
    <s v="Y"/>
    <s v="N"/>
    <s v="Y"/>
    <s v="N"/>
    <s v="B056"/>
    <d v="2016-12-05T00:00:00"/>
    <s v="40"/>
    <s v="TAN"/>
    <s v="OR"/>
    <d v="2016-11-30T00:00:00"/>
    <s v="ND"/>
    <s v="US"/>
    <s v="ZR"/>
    <d v="2016-11-30T00:00:00"/>
  </r>
  <r>
    <x v="1"/>
    <x v="7"/>
    <x v="2079"/>
    <x v="37"/>
    <s v="Standard order"/>
    <x v="1965"/>
    <x v="1345"/>
    <s v="8500"/>
    <s v="BTS 8500"/>
    <s v="5002860"/>
    <s v="8500 BTS T35 SYSTIVA RP"/>
    <n v="192"/>
    <n v="0"/>
    <n v="192"/>
    <x v="7"/>
    <s v="FTND"/>
    <s v="RP"/>
    <s v="334"/>
    <s v="4.0 UN"/>
    <s v="STANDARD"/>
    <s v="N"/>
    <s v="N"/>
    <s v="N"/>
    <s v="T35"/>
    <s v="Y"/>
    <s v="N"/>
    <s v="Y"/>
    <s v="N"/>
    <s v="B033"/>
    <d v="2016-12-05T00:00:00"/>
    <s v="10"/>
    <s v="TAN"/>
    <s v="OR"/>
    <d v="2016-11-30T00:00:00"/>
    <s v="MN"/>
    <s v="US"/>
    <s v="ZR"/>
    <d v="2016-11-30T00:00:00"/>
  </r>
  <r>
    <x v="1"/>
    <x v="7"/>
    <x v="2079"/>
    <x v="37"/>
    <s v="Standard order"/>
    <x v="1965"/>
    <x v="1345"/>
    <s v="8052"/>
    <s v="BTS 80RR52"/>
    <s v="5002739"/>
    <s v="8052 BTS T35 SYSTIVA RP"/>
    <n v="96"/>
    <n v="0"/>
    <n v="96"/>
    <x v="7"/>
    <s v="AP82"/>
    <s v="RP"/>
    <s v="334"/>
    <s v="4.0 UN"/>
    <s v="STANDARD"/>
    <s v="N"/>
    <s v="N"/>
    <s v="N"/>
    <s v="T35"/>
    <s v="Y"/>
    <s v="N"/>
    <s v="Y"/>
    <s v="N"/>
    <s v="B033"/>
    <d v="2016-12-05T00:00:00"/>
    <s v="20"/>
    <s v="TAN"/>
    <s v="OR"/>
    <d v="2016-11-30T00:00:00"/>
    <s v="MN"/>
    <s v="US"/>
    <s v="ZR"/>
    <d v="2016-11-30T00:00:00"/>
  </r>
  <r>
    <x v="1"/>
    <x v="5"/>
    <x v="2080"/>
    <x v="13"/>
    <s v="Standard order"/>
    <x v="1966"/>
    <x v="59"/>
    <s v="398N"/>
    <s v="BTS 39RR8N"/>
    <s v="5002572"/>
    <s v="39RR8N RP BetaShield PLUS"/>
    <n v="52"/>
    <n v="0"/>
    <n v="52"/>
    <x v="5"/>
    <s v="2771"/>
    <s v="RP"/>
    <s v="322"/>
    <s v="4.0 UN"/>
    <s v="STANDARD"/>
    <s v="N"/>
    <s v="Y"/>
    <s v="N"/>
    <s v="T20"/>
    <s v="Y"/>
    <s v="N"/>
    <s v="N"/>
    <s v="N"/>
    <s v=""/>
    <d v="2016-12-05T00:00:00"/>
    <s v="40"/>
    <s v="TAN"/>
    <s v="OR"/>
    <d v="2016-11-30T00:00:00"/>
    <s v="MT"/>
    <s v="US"/>
    <s v="ZR"/>
    <d v="2016-11-30T00:00:00"/>
  </r>
  <r>
    <x v="1"/>
    <x v="5"/>
    <x v="2080"/>
    <x v="13"/>
    <s v="Standard order"/>
    <x v="1966"/>
    <x v="59"/>
    <s v="353N"/>
    <s v="BTS 353N"/>
    <s v="5002520"/>
    <s v="353N BTS T20 PB SYSTIVA MP"/>
    <n v="24"/>
    <n v="0"/>
    <n v="24"/>
    <x v="5"/>
    <s v="EENZ"/>
    <s v="MP"/>
    <s v="322"/>
    <s v="4.0 UN"/>
    <s v="STANDARD"/>
    <s v="N"/>
    <s v="Y"/>
    <s v="N"/>
    <s v="T20"/>
    <s v="Y"/>
    <s v="N"/>
    <s v="N"/>
    <s v="N"/>
    <s v="B015"/>
    <d v="2016-12-05T00:00:00"/>
    <s v="10"/>
    <s v="TAN"/>
    <s v="OR"/>
    <d v="2016-11-30T00:00:00"/>
    <s v="MT"/>
    <s v="US"/>
    <s v="ZR"/>
    <d v="2016-11-30T00:00:00"/>
  </r>
  <r>
    <x v="1"/>
    <x v="5"/>
    <x v="2080"/>
    <x v="13"/>
    <s v="Standard order"/>
    <x v="1966"/>
    <x v="59"/>
    <s v="336N"/>
    <s v="BTS 336N"/>
    <s v="5002400"/>
    <s v="336N BTS T20 PB SYSTIVA RP"/>
    <n v="152"/>
    <n v="0"/>
    <n v="152"/>
    <x v="5"/>
    <s v="EEMG"/>
    <s v="RP"/>
    <s v="322"/>
    <s v="4.0 UN"/>
    <s v="STANDARD"/>
    <s v="N"/>
    <s v="N"/>
    <s v="N"/>
    <s v="T20"/>
    <s v="Y"/>
    <s v="N"/>
    <s v="N"/>
    <s v="N"/>
    <s v="B015"/>
    <d v="2016-12-05T00:00:00"/>
    <s v="20"/>
    <s v="TAN"/>
    <s v="OR"/>
    <d v="2016-11-30T00:00:00"/>
    <s v="MT"/>
    <s v="US"/>
    <s v="ZR"/>
    <d v="2016-11-30T00:00:00"/>
  </r>
  <r>
    <x v="1"/>
    <x v="4"/>
    <x v="2081"/>
    <x v="47"/>
    <s v="Standard order"/>
    <x v="1967"/>
    <x v="1922"/>
    <s v="251N"/>
    <s v="BTS 251N"/>
    <s v="5002196"/>
    <s v="251N BTS PB XL"/>
    <n v="36"/>
    <n v="0"/>
    <n v="36"/>
    <x v="4"/>
    <s v="5HBR"/>
    <s v="X-LARGE"/>
    <s v="307"/>
    <s v="4.0 UN"/>
    <s v="STANDARD"/>
    <s v="N"/>
    <s v="Y"/>
    <s v="N"/>
    <s v="N"/>
    <s v="N"/>
    <s v="N"/>
    <s v="N"/>
    <s v="N"/>
    <s v="B050"/>
    <d v="2016-12-05T00:00:00"/>
    <s v="10"/>
    <s v="TAN"/>
    <s v="OR"/>
    <d v="2016-11-30T00:00:00"/>
    <s v="ID"/>
    <s v="US"/>
    <s v="ZR"/>
    <d v="2016-11-30T00:00:00"/>
  </r>
  <r>
    <x v="1"/>
    <x v="5"/>
    <x v="2082"/>
    <x v="12"/>
    <s v="Standard order"/>
    <x v="1968"/>
    <x v="1923"/>
    <s v="353N"/>
    <s v="BTS 353N"/>
    <s v="5002522"/>
    <s v="353N BTS T20 PB SYSTIVA P200"/>
    <n v="24"/>
    <n v="0"/>
    <n v="24"/>
    <x v="5"/>
    <s v="EENZ"/>
    <s v="PRO 200"/>
    <s v="322"/>
    <s v="4.0 UN"/>
    <s v="STANDARD"/>
    <s v="N"/>
    <s v="Y"/>
    <s v="N"/>
    <s v="T20"/>
    <s v="Y"/>
    <s v="N"/>
    <s v="N"/>
    <s v="N"/>
    <s v="B014"/>
    <d v="2016-12-05T00:00:00"/>
    <s v="10"/>
    <s v="TAN"/>
    <s v="OR"/>
    <d v="2016-11-30T00:00:00"/>
    <s v="MT"/>
    <s v="US"/>
    <s v="ZR"/>
    <d v="2016-11-30T00:00:00"/>
  </r>
  <r>
    <x v="1"/>
    <x v="5"/>
    <x v="2082"/>
    <x v="12"/>
    <s v="Standard order"/>
    <x v="1968"/>
    <x v="1923"/>
    <s v="336N"/>
    <s v="BTS 336N"/>
    <s v="5002199"/>
    <s v="336N BTS T20 PB SYSTIVA P200"/>
    <n v="208"/>
    <n v="0"/>
    <n v="208"/>
    <x v="5"/>
    <s v="EEMG"/>
    <s v="PRO 200"/>
    <s v="322"/>
    <s v="4.0 UN"/>
    <s v="STANDARD"/>
    <s v="N"/>
    <s v="N"/>
    <s v="N"/>
    <s v="T20"/>
    <s v="Y"/>
    <s v="N"/>
    <s v="N"/>
    <s v="N"/>
    <s v="B014"/>
    <d v="2016-12-05T00:00:00"/>
    <s v="20"/>
    <s v="TAN"/>
    <s v="OR"/>
    <d v="2016-11-30T00:00:00"/>
    <s v="MT"/>
    <s v="US"/>
    <s v="ZR"/>
    <d v="2016-11-30T00:00:00"/>
  </r>
  <r>
    <x v="1"/>
    <x v="7"/>
    <x v="2083"/>
    <x v="33"/>
    <s v="Standard order"/>
    <x v="1969"/>
    <x v="1924"/>
    <s v="8052"/>
    <s v="BTS 80RR52"/>
    <s v="5002735"/>
    <s v="8052 BTS T35 PB SYSTIVA RP"/>
    <n v="48"/>
    <n v="0"/>
    <n v="48"/>
    <x v="7"/>
    <s v="AP82"/>
    <s v="RP"/>
    <s v="333"/>
    <s v="4.0 UN"/>
    <s v="STANDARD"/>
    <s v="N"/>
    <s v="Y"/>
    <s v="N"/>
    <s v="T35"/>
    <s v="Y"/>
    <s v="N"/>
    <s v="Y"/>
    <s v="N"/>
    <s v="B026"/>
    <d v="2016-12-05T00:00:00"/>
    <s v="10"/>
    <s v="TAN"/>
    <s v="OR"/>
    <d v="2016-11-30T00:00:00"/>
    <s v="ND"/>
    <s v="US"/>
    <s v="ZR"/>
    <d v="2016-11-30T00:00:00"/>
  </r>
  <r>
    <x v="1"/>
    <x v="7"/>
    <x v="2083"/>
    <x v="33"/>
    <s v="Standard order"/>
    <x v="1969"/>
    <x v="1924"/>
    <s v="8500"/>
    <s v="BTS 8500"/>
    <s v="5002856"/>
    <s v="8500 BTS T35 PB SYSTIVA RP"/>
    <n v="108"/>
    <n v="0"/>
    <n v="108"/>
    <x v="7"/>
    <s v="FTND"/>
    <s v="RP"/>
    <s v="333"/>
    <s v="4.0 UN"/>
    <s v="STANDARD"/>
    <s v="N"/>
    <s v="Y"/>
    <s v="N"/>
    <s v="T35"/>
    <s v="Y"/>
    <s v="N"/>
    <s v="Y"/>
    <s v="N"/>
    <s v="B026"/>
    <d v="2016-12-05T00:00:00"/>
    <s v="20"/>
    <s v="TAN"/>
    <s v="OR"/>
    <d v="2016-11-30T00:00:00"/>
    <s v="ND"/>
    <s v="US"/>
    <s v="ZR"/>
    <d v="2016-11-30T00:00:00"/>
  </r>
  <r>
    <x v="1"/>
    <x v="7"/>
    <x v="2084"/>
    <x v="38"/>
    <s v="Standard order"/>
    <x v="1970"/>
    <x v="1925"/>
    <s v="8337"/>
    <s v="BTS 8337"/>
    <s v="5002795"/>
    <s v="8337 BTS T35 PB SYSTIVA RP"/>
    <n v="48"/>
    <n v="0"/>
    <n v="48"/>
    <x v="7"/>
    <s v="DHMC"/>
    <s v="RP"/>
    <s v="333"/>
    <s v="4.0 UN"/>
    <s v="STANDARD"/>
    <s v="N"/>
    <s v="Y"/>
    <s v="N"/>
    <s v="T35"/>
    <s v="Y"/>
    <s v="N"/>
    <s v="Y"/>
    <s v="N"/>
    <s v="B031"/>
    <d v="2016-12-05T00:00:00"/>
    <s v="10"/>
    <s v="TAN"/>
    <s v="OR"/>
    <d v="2016-11-30T00:00:00"/>
    <s v="MN"/>
    <s v="US"/>
    <s v="ZR"/>
    <d v="2016-11-30T00:00:00"/>
  </r>
  <r>
    <x v="1"/>
    <x v="7"/>
    <x v="2084"/>
    <x v="38"/>
    <s v="Standard order"/>
    <x v="1970"/>
    <x v="1925"/>
    <s v="8363"/>
    <s v="BTS 8363"/>
    <s v="5002816"/>
    <s v="8363 BTS T35 PB SYSTIVA RP"/>
    <n v="48"/>
    <n v="0"/>
    <n v="48"/>
    <x v="7"/>
    <s v="DMMZ"/>
    <s v="RP"/>
    <s v="333"/>
    <s v="4.0 UN"/>
    <s v="STANDARD"/>
    <s v="N"/>
    <s v="Y"/>
    <s v="N"/>
    <s v="T35"/>
    <s v="Y"/>
    <s v="N"/>
    <s v="Y"/>
    <s v="N"/>
    <s v="B031"/>
    <d v="2016-12-05T00:00:00"/>
    <s v="20"/>
    <s v="TAN"/>
    <s v="OR"/>
    <d v="2016-11-30T00:00:00"/>
    <s v="MN"/>
    <s v="US"/>
    <s v="ZR"/>
    <d v="2016-11-30T00:00:00"/>
  </r>
  <r>
    <x v="1"/>
    <x v="5"/>
    <x v="2085"/>
    <x v="13"/>
    <s v="Standard order"/>
    <x v="1971"/>
    <x v="1926"/>
    <s v="353N"/>
    <s v="BTS 353N"/>
    <s v="5002524"/>
    <s v="353N BTS T20 PB SYSTIVA RP"/>
    <n v="120"/>
    <n v="0"/>
    <n v="120"/>
    <x v="5"/>
    <s v="EENZ"/>
    <s v="RP"/>
    <s v="322"/>
    <s v="4.0 UN"/>
    <s v="STANDARD"/>
    <s v="N"/>
    <s v="Y"/>
    <s v="N"/>
    <s v="T20"/>
    <s v="Y"/>
    <s v="N"/>
    <s v="N"/>
    <s v="N"/>
    <s v="B015"/>
    <d v="2016-12-06T00:00:00"/>
    <s v="10"/>
    <s v="TAN"/>
    <s v="OR"/>
    <d v="2016-12-01T00:00:00"/>
    <s v="MT"/>
    <s v="US"/>
    <s v="ZR"/>
    <d v="2016-12-01T00:00:00"/>
  </r>
  <r>
    <x v="1"/>
    <x v="5"/>
    <x v="2085"/>
    <x v="13"/>
    <s v="Standard order"/>
    <x v="1971"/>
    <x v="1926"/>
    <s v="336N"/>
    <s v="BTS 336N"/>
    <s v="5002400"/>
    <s v="336N BTS T20 PB SYSTIVA RP"/>
    <n v="140"/>
    <n v="0"/>
    <n v="140"/>
    <x v="5"/>
    <s v="EEMG"/>
    <s v="RP"/>
    <s v="322"/>
    <s v="4.0 UN"/>
    <s v="STANDARD"/>
    <s v="N"/>
    <s v="N"/>
    <s v="N"/>
    <s v="T20"/>
    <s v="Y"/>
    <s v="N"/>
    <s v="N"/>
    <s v="N"/>
    <s v="B015"/>
    <d v="2016-12-06T00:00:00"/>
    <s v="20"/>
    <s v="TAN"/>
    <s v="OR"/>
    <d v="2016-12-01T00:00:00"/>
    <s v="MT"/>
    <s v="US"/>
    <s v="ZR"/>
    <d v="2016-12-01T00:00:00"/>
  </r>
  <r>
    <x v="1"/>
    <x v="5"/>
    <x v="2086"/>
    <x v="13"/>
    <s v="Standard order"/>
    <x v="1972"/>
    <x v="1927"/>
    <s v="398N"/>
    <s v="BTS 39RR8N"/>
    <s v="5002572"/>
    <s v="39RR8N RP BetaShield PLUS"/>
    <n v="160"/>
    <n v="0"/>
    <n v="160"/>
    <x v="5"/>
    <s v="2771"/>
    <s v="RP"/>
    <s v="322"/>
    <s v="4.0 UN"/>
    <s v="STANDARD"/>
    <s v="N"/>
    <s v="Y"/>
    <s v="N"/>
    <s v="T20"/>
    <s v="Y"/>
    <s v="N"/>
    <s v="N"/>
    <s v="N"/>
    <s v=""/>
    <d v="2016-12-06T00:00:00"/>
    <s v="20"/>
    <s v="TAN"/>
    <s v="OR"/>
    <d v="2016-12-01T00:00:00"/>
    <s v="MT"/>
    <s v="US"/>
    <s v="ZR"/>
    <d v="2016-12-01T00:00:00"/>
  </r>
  <r>
    <x v="1"/>
    <x v="5"/>
    <x v="2087"/>
    <x v="13"/>
    <s v="Standard order"/>
    <x v="1973"/>
    <x v="1928"/>
    <s v="336N"/>
    <s v="BTS 336N"/>
    <s v="5002400"/>
    <s v="336N BTS T20 PB SYSTIVA RP"/>
    <n v="156"/>
    <n v="0"/>
    <n v="156"/>
    <x v="5"/>
    <s v="EEMG"/>
    <s v="RP"/>
    <s v="322"/>
    <s v="4.0 UN"/>
    <s v="STANDARD"/>
    <s v="N"/>
    <s v="N"/>
    <s v="N"/>
    <s v="T20"/>
    <s v="Y"/>
    <s v="N"/>
    <s v="N"/>
    <s v="N"/>
    <s v="B015"/>
    <d v="2016-12-06T00:00:00"/>
    <s v="10"/>
    <s v="TAN"/>
    <s v="OR"/>
    <d v="2016-12-01T00:00:00"/>
    <s v="MT"/>
    <s v="US"/>
    <s v="ZR"/>
    <d v="2016-12-01T00:00:00"/>
  </r>
  <r>
    <x v="1"/>
    <x v="6"/>
    <x v="2088"/>
    <x v="51"/>
    <s v="Standard order"/>
    <x v="1974"/>
    <x v="1929"/>
    <s v="444N"/>
    <s v="BTS 444N"/>
    <s v="5002228"/>
    <s v="444N BTS T20 PB SYSTIVA P50"/>
    <n v="8"/>
    <n v="0"/>
    <n v="8"/>
    <x v="6"/>
    <s v="DVND"/>
    <s v="PRO 50"/>
    <s v="322"/>
    <s v="4.0 UN"/>
    <s v="STANDARD"/>
    <s v="N"/>
    <s v="N"/>
    <s v="N"/>
    <s v="T20"/>
    <s v="Y"/>
    <s v="N"/>
    <s v="Y"/>
    <s v="N"/>
    <s v="B011"/>
    <d v="2016-12-06T00:00:00"/>
    <s v="10"/>
    <s v="TAN"/>
    <s v="OR"/>
    <d v="2016-12-01T00:00:00"/>
    <s v="MT"/>
    <s v="US"/>
    <s v="ZR"/>
    <d v="2016-12-01T00:00:00"/>
  </r>
  <r>
    <x v="1"/>
    <x v="5"/>
    <x v="2089"/>
    <x v="13"/>
    <s v="Standard order"/>
    <x v="1975"/>
    <x v="1930"/>
    <s v="398N"/>
    <s v="BTS 39RR8N"/>
    <s v="5002568"/>
    <s v="39RR8N MP BetaShield PLUS"/>
    <n v="72"/>
    <n v="0"/>
    <n v="72"/>
    <x v="5"/>
    <s v="2771"/>
    <s v="MP"/>
    <s v="322"/>
    <s v="4.0 UN"/>
    <s v="STANDARD"/>
    <s v="N"/>
    <s v="Y"/>
    <s v="N"/>
    <s v="T20"/>
    <s v="Y"/>
    <s v="N"/>
    <s v="N"/>
    <s v="N"/>
    <s v=""/>
    <d v="2016-12-06T00:00:00"/>
    <s v="30"/>
    <s v="TAN"/>
    <s v="OR"/>
    <d v="2016-12-01T00:00:00"/>
    <s v="MT"/>
    <s v="US"/>
    <s v="ZR"/>
    <d v="2016-12-01T00:00:00"/>
  </r>
  <r>
    <x v="1"/>
    <x v="5"/>
    <x v="2089"/>
    <x v="13"/>
    <s v="Standard order"/>
    <x v="1975"/>
    <x v="1930"/>
    <s v="336N"/>
    <s v="BTS 336N"/>
    <s v="5002400"/>
    <s v="336N BTS T20 PB SYSTIVA RP"/>
    <n v="76"/>
    <n v="0"/>
    <n v="76"/>
    <x v="5"/>
    <s v="EEMG"/>
    <s v="RP"/>
    <s v="322"/>
    <s v="4.0 UN"/>
    <s v="STANDARD"/>
    <s v="N"/>
    <s v="N"/>
    <s v="N"/>
    <s v="T20"/>
    <s v="Y"/>
    <s v="N"/>
    <s v="N"/>
    <s v="N"/>
    <s v="B015"/>
    <d v="2016-12-06T00:00:00"/>
    <s v="10"/>
    <s v="TAN"/>
    <s v="OR"/>
    <d v="2016-12-01T00:00:00"/>
    <s v="MT"/>
    <s v="US"/>
    <s v="ZR"/>
    <d v="2016-12-01T00:00:00"/>
  </r>
  <r>
    <x v="1"/>
    <x v="4"/>
    <x v="2090"/>
    <x v="44"/>
    <s v="Standard order"/>
    <x v="1976"/>
    <x v="918"/>
    <s v="4933"/>
    <s v="BTS 49RR33"/>
    <s v="5002293"/>
    <s v="4933 BTS T20 PB MP IDH"/>
    <n v="72"/>
    <n v="0"/>
    <n v="72"/>
    <x v="4"/>
    <s v="AKMC"/>
    <s v="MP"/>
    <s v="308"/>
    <s v="4.0 UN"/>
    <s v="STANDARD"/>
    <s v="N"/>
    <s v="Y"/>
    <s v="N"/>
    <s v="T20"/>
    <s v="N"/>
    <s v="N"/>
    <s v="N"/>
    <s v="N"/>
    <s v="MB13"/>
    <d v="2016-12-06T00:00:00"/>
    <s v="10"/>
    <s v="TAN"/>
    <s v="OR"/>
    <d v="2016-12-01T00:00:00"/>
    <s v="OR"/>
    <s v="US"/>
    <s v="ZR"/>
    <d v="2016-12-01T00:00:00"/>
  </r>
  <r>
    <x v="1"/>
    <x v="4"/>
    <x v="2090"/>
    <x v="44"/>
    <s v="Standard order"/>
    <x v="1976"/>
    <x v="918"/>
    <s v="2559"/>
    <s v="BTS 2559"/>
    <s v="5002182"/>
    <s v="2559 BTS T20 PB MP"/>
    <n v="24"/>
    <n v="0"/>
    <n v="24"/>
    <x v="4"/>
    <s v="FGNE"/>
    <s v="MP"/>
    <s v="308"/>
    <s v="4.0 UN"/>
    <s v="STANDARD"/>
    <s v="N"/>
    <s v="Y"/>
    <s v="N"/>
    <s v="T20"/>
    <s v="N"/>
    <s v="N"/>
    <s v="N"/>
    <s v="N"/>
    <s v="MB13"/>
    <d v="2016-12-06T00:00:00"/>
    <s v="20"/>
    <s v="TAN"/>
    <s v="OR"/>
    <d v="2016-12-01T00:00:00"/>
    <s v="OR"/>
    <s v="US"/>
    <s v="ZR"/>
    <d v="2016-12-01T00:00:00"/>
  </r>
  <r>
    <x v="1"/>
    <x v="4"/>
    <x v="2091"/>
    <x v="44"/>
    <s v="Standard order"/>
    <x v="1977"/>
    <x v="52"/>
    <s v="225N"/>
    <s v="BTS 22RR5N"/>
    <s v="5002111"/>
    <s v="225N BTS PB LRG"/>
    <n v="96"/>
    <n v="0"/>
    <n v="96"/>
    <x v="4"/>
    <s v="4TBD"/>
    <s v="LARGE"/>
    <s v="307"/>
    <s v="4.0 UN"/>
    <s v="STANDARD"/>
    <s v="N"/>
    <s v="Y"/>
    <s v="N"/>
    <s v="N"/>
    <s v="N"/>
    <s v="N"/>
    <s v="N"/>
    <s v="N"/>
    <s v="MB13"/>
    <d v="2016-12-06T00:00:00"/>
    <s v="10"/>
    <s v="TAN"/>
    <s v="OR"/>
    <d v="2016-12-01T00:00:00"/>
    <s v="ID"/>
    <s v="US"/>
    <s v="ZR"/>
    <d v="2016-12-01T00:00:00"/>
  </r>
  <r>
    <x v="1"/>
    <x v="4"/>
    <x v="2091"/>
    <x v="44"/>
    <s v="Standard order"/>
    <x v="1977"/>
    <x v="52"/>
    <s v="2125"/>
    <s v="BTS 21RR25"/>
    <s v="5002387"/>
    <s v="2125 BTS PB LRG"/>
    <n v="24"/>
    <n v="0"/>
    <n v="24"/>
    <x v="4"/>
    <s v="AP92"/>
    <s v="LARGE"/>
    <s v="307"/>
    <s v="4.0 UN"/>
    <s v="STANDARD"/>
    <s v="N"/>
    <s v="Y"/>
    <s v="N"/>
    <s v="N"/>
    <s v="N"/>
    <s v="N"/>
    <s v="N"/>
    <s v="N"/>
    <s v="MB13"/>
    <d v="2016-12-06T00:00:00"/>
    <s v="20"/>
    <s v="TAN"/>
    <s v="OR"/>
    <d v="2016-12-01T00:00:00"/>
    <s v="ID"/>
    <s v="US"/>
    <s v="ZR"/>
    <d v="2016-12-01T00:00:00"/>
  </r>
  <r>
    <x v="1"/>
    <x v="4"/>
    <x v="2091"/>
    <x v="44"/>
    <s v="Standard order"/>
    <x v="1977"/>
    <x v="52"/>
    <s v="251N"/>
    <s v="BTS 251N"/>
    <s v="5002194"/>
    <s v="251N BTS PB LRG"/>
    <n v="24"/>
    <n v="0"/>
    <n v="24"/>
    <x v="4"/>
    <s v="5HBR"/>
    <s v="LARGE"/>
    <s v="307"/>
    <s v="4.0 UN"/>
    <s v="STANDARD"/>
    <s v="N"/>
    <s v="Y"/>
    <s v="N"/>
    <s v="N"/>
    <s v="N"/>
    <s v="N"/>
    <s v="N"/>
    <s v="N"/>
    <s v="MB13"/>
    <d v="2016-12-06T00:00:00"/>
    <s v="30"/>
    <s v="TAN"/>
    <s v="OR"/>
    <d v="2016-12-01T00:00:00"/>
    <s v="ID"/>
    <s v="US"/>
    <s v="ZR"/>
    <d v="2016-12-01T00:00:00"/>
  </r>
  <r>
    <x v="1"/>
    <x v="4"/>
    <x v="2091"/>
    <x v="44"/>
    <s v="Standard order"/>
    <x v="1977"/>
    <x v="52"/>
    <s v="2523"/>
    <s v="BTS 2523"/>
    <s v="5002527"/>
    <s v="2523 BTS PB LRG"/>
    <n v="24"/>
    <n v="0"/>
    <n v="24"/>
    <x v="4"/>
    <s v="EZPC"/>
    <s v="LARGE"/>
    <s v="307"/>
    <s v="4.0 UN"/>
    <s v="STANDARD"/>
    <s v="N"/>
    <s v="Y"/>
    <s v="N"/>
    <s v="N"/>
    <s v="N"/>
    <s v="N"/>
    <s v="N"/>
    <s v="N"/>
    <s v="MB13"/>
    <d v="2016-12-06T00:00:00"/>
    <s v="40"/>
    <s v="TAN"/>
    <s v="OR"/>
    <d v="2016-12-01T00:00:00"/>
    <s v="ID"/>
    <s v="US"/>
    <s v="ZR"/>
    <d v="2016-12-01T00:00:00"/>
  </r>
  <r>
    <x v="1"/>
    <x v="4"/>
    <x v="2091"/>
    <x v="44"/>
    <s v="Standard order"/>
    <x v="1977"/>
    <x v="52"/>
    <s v="2559"/>
    <s v="BTS 2559"/>
    <s v="5002561"/>
    <s v="2559 BTS PB LRG"/>
    <n v="24"/>
    <n v="0"/>
    <n v="24"/>
    <x v="4"/>
    <s v="FGNE"/>
    <s v="LARGE"/>
    <s v="307"/>
    <s v="4.0 UN"/>
    <s v="STANDARD"/>
    <s v="N"/>
    <s v="Y"/>
    <s v="N"/>
    <s v="N"/>
    <s v="N"/>
    <s v="N"/>
    <s v="N"/>
    <s v="N"/>
    <s v="MB13"/>
    <d v="2016-12-06T00:00:00"/>
    <s v="50"/>
    <s v="TAN"/>
    <s v="OR"/>
    <d v="2016-12-01T00:00:00"/>
    <s v="ID"/>
    <s v="US"/>
    <s v="ZR"/>
    <d v="2016-12-01T00:00:00"/>
  </r>
  <r>
    <x v="1"/>
    <x v="0"/>
    <x v="2092"/>
    <x v="49"/>
    <s v="Standard order"/>
    <x v="1978"/>
    <x v="1079"/>
    <s v="122N"/>
    <s v="BTS 12RR2N"/>
    <s v="5002316"/>
    <s v="122N BTS T20 SYSTIVA P200"/>
    <n v="56"/>
    <n v="0"/>
    <n v="56"/>
    <x v="0"/>
    <s v="4TBG"/>
    <s v="PRO 200"/>
    <s v="326"/>
    <s v="4.0 UN"/>
    <s v="STANDARD"/>
    <s v="N"/>
    <s v="N"/>
    <s v="N"/>
    <s v="T20"/>
    <s v="Y"/>
    <s v="N"/>
    <s v="Y"/>
    <s v="N"/>
    <s v="B004"/>
    <d v="2016-12-06T00:00:00"/>
    <s v="10"/>
    <s v="TAN"/>
    <s v="OR"/>
    <d v="2016-12-01T00:00:00"/>
    <s v="MI"/>
    <s v="US"/>
    <s v="ZR"/>
    <d v="2016-12-01T00:00:00"/>
  </r>
  <r>
    <x v="1"/>
    <x v="0"/>
    <x v="2092"/>
    <x v="49"/>
    <s v="Standard order"/>
    <x v="1978"/>
    <x v="1079"/>
    <s v="149N"/>
    <s v="BTS 149N"/>
    <s v="5002367"/>
    <s v="149N BTS T20 Kabina P200"/>
    <n v="28"/>
    <n v="0"/>
    <n v="28"/>
    <x v="0"/>
    <s v="EEND"/>
    <s v="PRO 200"/>
    <s v="380"/>
    <s v="4.0 UN"/>
    <s v="STANDARD"/>
    <s v="N"/>
    <s v="N"/>
    <s v="Y"/>
    <s v="T20"/>
    <s v="N"/>
    <s v="N"/>
    <s v="N"/>
    <s v="N"/>
    <s v="B004"/>
    <d v="2016-12-06T00:00:00"/>
    <s v="20"/>
    <s v="TAN"/>
    <s v="OR"/>
    <d v="2016-12-01T00:00:00"/>
    <s v="MI"/>
    <s v="US"/>
    <s v="ZR"/>
    <d v="2016-12-01T00:00:00"/>
  </r>
  <r>
    <x v="1"/>
    <x v="0"/>
    <x v="2092"/>
    <x v="49"/>
    <s v="Standard order"/>
    <x v="1978"/>
    <x v="1079"/>
    <s v="1399"/>
    <s v="BTS 1399"/>
    <s v="5002347"/>
    <s v="1399 BTS T20 Kabina P200"/>
    <n v="28"/>
    <n v="0"/>
    <n v="28"/>
    <x v="0"/>
    <s v="EG74"/>
    <s v="PRO 200"/>
    <s v="380"/>
    <s v="4.0 UN"/>
    <s v="STANDARD"/>
    <s v="N"/>
    <s v="N"/>
    <s v="Y"/>
    <s v="T20"/>
    <s v="N"/>
    <s v="N"/>
    <s v="N"/>
    <s v="N"/>
    <s v="B004"/>
    <d v="2016-12-06T00:00:00"/>
    <s v="30"/>
    <s v="TAN"/>
    <s v="OR"/>
    <d v="2016-12-01T00:00:00"/>
    <s v="MI"/>
    <s v="US"/>
    <s v="ZR"/>
    <d v="2016-12-01T00:00:00"/>
  </r>
  <r>
    <x v="1"/>
    <x v="0"/>
    <x v="2092"/>
    <x v="49"/>
    <s v="Standard order"/>
    <x v="1978"/>
    <x v="1079"/>
    <s v="133N"/>
    <s v="BTS 133N"/>
    <s v="5002328"/>
    <s v="133N BTS T20 Kabina P200"/>
    <n v="56"/>
    <n v="0"/>
    <n v="56"/>
    <x v="0"/>
    <s v="DW73"/>
    <s v="PRO 200"/>
    <s v="380"/>
    <s v="4.0 UN"/>
    <s v="STANDARD"/>
    <s v="N"/>
    <s v="N"/>
    <s v="Y"/>
    <s v="T20"/>
    <s v="N"/>
    <s v="N"/>
    <s v="N"/>
    <s v="N"/>
    <s v="B004"/>
    <d v="2016-12-06T00:00:00"/>
    <s v="40"/>
    <s v="TAN"/>
    <s v="OR"/>
    <d v="2016-12-01T00:00:00"/>
    <s v="MI"/>
    <s v="US"/>
    <s v="ZR"/>
    <d v="2016-12-01T00:00:00"/>
  </r>
  <r>
    <x v="1"/>
    <x v="2"/>
    <x v="2093"/>
    <x v="6"/>
    <s v="Standard order"/>
    <x v="1979"/>
    <x v="1931"/>
    <s v="64SN"/>
    <s v="BTS 64SN"/>
    <s v="5002421"/>
    <s v="64SN BTS T20 PB SYSTIVA P200"/>
    <n v="32"/>
    <n v="0"/>
    <n v="32"/>
    <x v="2"/>
    <s v="DVNB"/>
    <s v="PRO 200"/>
    <s v="322"/>
    <s v="4.0 UN"/>
    <s v="STANDARD"/>
    <s v="N"/>
    <s v="N"/>
    <s v="N"/>
    <s v="T20"/>
    <s v="Y"/>
    <s v="N"/>
    <s v="Y"/>
    <s v="N"/>
    <s v="B025"/>
    <d v="2016-12-06T00:00:00"/>
    <s v="10"/>
    <s v="TAN"/>
    <s v="OR"/>
    <d v="2016-12-01T00:00:00"/>
    <s v="NE"/>
    <s v="US"/>
    <s v="ZR"/>
    <d v="2016-12-01T00:00:00"/>
  </r>
  <r>
    <x v="1"/>
    <x v="5"/>
    <x v="2094"/>
    <x v="13"/>
    <s v="Standard order"/>
    <x v="1980"/>
    <x v="1932"/>
    <s v="353N"/>
    <s v="BTS 353N"/>
    <s v="5002524"/>
    <s v="353N BTS T20 PB SYSTIVA RP"/>
    <n v="8"/>
    <n v="0"/>
    <n v="8"/>
    <x v="5"/>
    <s v="EENZ"/>
    <s v="RP"/>
    <s v="322"/>
    <s v="4.0 UN"/>
    <s v="STANDARD"/>
    <s v="N"/>
    <s v="Y"/>
    <s v="N"/>
    <s v="T20"/>
    <s v="Y"/>
    <s v="N"/>
    <s v="N"/>
    <s v="N"/>
    <s v="B015"/>
    <d v="2016-12-06T00:00:00"/>
    <s v="10"/>
    <s v="TAN"/>
    <s v="OR"/>
    <d v="2016-12-01T00:00:00"/>
    <s v="MT"/>
    <s v="US"/>
    <s v="ZR"/>
    <d v="2016-12-01T00:00:00"/>
  </r>
  <r>
    <x v="1"/>
    <x v="5"/>
    <x v="2094"/>
    <x v="13"/>
    <s v="Standard order"/>
    <x v="1980"/>
    <x v="1932"/>
    <s v="336N"/>
    <s v="BTS 336N"/>
    <s v="5002400"/>
    <s v="336N BTS T20 PB SYSTIVA RP"/>
    <n v="56"/>
    <n v="0"/>
    <n v="56"/>
    <x v="5"/>
    <s v="EEMG"/>
    <s v="RP"/>
    <s v="322"/>
    <s v="4.0 UN"/>
    <s v="STANDARD"/>
    <s v="N"/>
    <s v="N"/>
    <s v="N"/>
    <s v="T20"/>
    <s v="Y"/>
    <s v="N"/>
    <s v="N"/>
    <s v="N"/>
    <s v="B015"/>
    <d v="2016-12-06T00:00:00"/>
    <s v="20"/>
    <s v="TAN"/>
    <s v="OR"/>
    <d v="2016-12-01T00:00:00"/>
    <s v="MT"/>
    <s v="US"/>
    <s v="ZR"/>
    <d v="2016-12-01T00:00:00"/>
  </r>
  <r>
    <x v="1"/>
    <x v="7"/>
    <x v="2095"/>
    <x v="37"/>
    <s v="Standard order"/>
    <x v="1981"/>
    <x v="1933"/>
    <s v="8052"/>
    <s v="BTS 80RR52"/>
    <s v="5002739"/>
    <s v="8052 BTS T35 SYSTIVA RP"/>
    <n v="40"/>
    <n v="0"/>
    <n v="40"/>
    <x v="7"/>
    <s v="AP82"/>
    <s v="RP"/>
    <s v="334"/>
    <s v="4.0 UN"/>
    <s v="STANDARD"/>
    <s v="N"/>
    <s v="N"/>
    <s v="N"/>
    <s v="T35"/>
    <s v="Y"/>
    <s v="N"/>
    <s v="Y"/>
    <s v="N"/>
    <s v="B033"/>
    <d v="2016-12-06T00:00:00"/>
    <s v="10"/>
    <s v="TAN"/>
    <s v="OR"/>
    <d v="2016-11-30T00:00:00"/>
    <s v="ND"/>
    <s v="US"/>
    <s v="ZR"/>
    <d v="2016-12-01T00:00:00"/>
  </r>
  <r>
    <x v="1"/>
    <x v="7"/>
    <x v="2095"/>
    <x v="37"/>
    <s v="Standard order"/>
    <x v="1981"/>
    <x v="1933"/>
    <s v="8500"/>
    <s v="BTS 8500"/>
    <s v="5002860"/>
    <s v="8500 BTS T35 SYSTIVA RP"/>
    <n v="40"/>
    <n v="0"/>
    <n v="40"/>
    <x v="7"/>
    <s v="FTND"/>
    <s v="RP"/>
    <s v="334"/>
    <s v="4.0 UN"/>
    <s v="STANDARD"/>
    <s v="N"/>
    <s v="N"/>
    <s v="N"/>
    <s v="T35"/>
    <s v="Y"/>
    <s v="N"/>
    <s v="Y"/>
    <s v="N"/>
    <s v="B033"/>
    <d v="2016-12-06T00:00:00"/>
    <s v="20"/>
    <s v="TAN"/>
    <s v="OR"/>
    <d v="2016-11-30T00:00:00"/>
    <s v="ND"/>
    <s v="US"/>
    <s v="ZR"/>
    <d v="2016-12-01T00:00:00"/>
  </r>
  <r>
    <x v="1"/>
    <x v="7"/>
    <x v="2096"/>
    <x v="37"/>
    <s v="Standard order"/>
    <x v="1982"/>
    <x v="1934"/>
    <s v="8052"/>
    <s v="BTS 80RR52"/>
    <s v="5002735"/>
    <s v="8052 BTS T35 PB SYSTIVA RP"/>
    <n v="152"/>
    <n v="0"/>
    <n v="152"/>
    <x v="7"/>
    <s v="AP82"/>
    <s v="RP"/>
    <s v="333"/>
    <s v="4.0 UN"/>
    <s v="STANDARD"/>
    <s v="N"/>
    <s v="Y"/>
    <s v="N"/>
    <s v="T35"/>
    <s v="Y"/>
    <s v="N"/>
    <s v="Y"/>
    <s v="N"/>
    <s v="B033"/>
    <d v="2016-12-06T00:00:00"/>
    <s v="10"/>
    <s v="TAN"/>
    <s v="OR"/>
    <d v="2016-11-30T00:00:00"/>
    <s v="MN"/>
    <s v="US"/>
    <s v="ZR"/>
    <d v="2016-12-01T00:00:00"/>
  </r>
  <r>
    <x v="1"/>
    <x v="7"/>
    <x v="2096"/>
    <x v="37"/>
    <s v="Standard order"/>
    <x v="1982"/>
    <x v="1934"/>
    <s v="8233"/>
    <s v="BTS 82RR33"/>
    <s v="5002775"/>
    <s v="8233 BTS T35 PB SYSTIVA RP"/>
    <n v="176"/>
    <n v="0"/>
    <n v="176"/>
    <x v="7"/>
    <s v="DRMC"/>
    <s v="RP"/>
    <s v="333"/>
    <s v="4.0 UN"/>
    <s v="STANDARD"/>
    <s v="N"/>
    <s v="Y"/>
    <s v="N"/>
    <s v="T35"/>
    <s v="Y"/>
    <s v="N"/>
    <s v="Y"/>
    <s v="N"/>
    <s v="B033"/>
    <d v="2016-12-06T00:00:00"/>
    <s v="20"/>
    <s v="TAN"/>
    <s v="OR"/>
    <d v="2016-11-30T00:00:00"/>
    <s v="MN"/>
    <s v="US"/>
    <s v="ZR"/>
    <d v="2016-12-01T00:00:00"/>
  </r>
  <r>
    <x v="1"/>
    <x v="7"/>
    <x v="2096"/>
    <x v="37"/>
    <s v="Standard order"/>
    <x v="1982"/>
    <x v="1934"/>
    <s v="8337"/>
    <s v="BTS 8337"/>
    <s v="5002795"/>
    <s v="8337 BTS T35 PB SYSTIVA RP"/>
    <n v="176"/>
    <n v="0"/>
    <n v="176"/>
    <x v="7"/>
    <s v="DHMC"/>
    <s v="RP"/>
    <s v="333"/>
    <s v="4.0 UN"/>
    <s v="STANDARD"/>
    <s v="N"/>
    <s v="Y"/>
    <s v="N"/>
    <s v="T35"/>
    <s v="Y"/>
    <s v="N"/>
    <s v="Y"/>
    <s v="N"/>
    <s v="B033"/>
    <d v="2016-12-06T00:00:00"/>
    <s v="30"/>
    <s v="TAN"/>
    <s v="OR"/>
    <d v="2016-11-30T00:00:00"/>
    <s v="MN"/>
    <s v="US"/>
    <s v="ZR"/>
    <d v="2016-12-01T00:00:00"/>
  </r>
  <r>
    <x v="1"/>
    <x v="7"/>
    <x v="2096"/>
    <x v="37"/>
    <s v="Standard order"/>
    <x v="1982"/>
    <x v="1934"/>
    <s v="8524"/>
    <s v="BTS 8524"/>
    <s v="5002896"/>
    <s v="8524 BTS T35 PB SYSTIVA RP"/>
    <n v="96"/>
    <n v="0"/>
    <n v="96"/>
    <x v="7"/>
    <s v="FWND"/>
    <s v="RP"/>
    <s v="333"/>
    <s v="4.0 UN"/>
    <s v="STANDARD"/>
    <s v="N"/>
    <s v="Y"/>
    <s v="N"/>
    <s v="T35"/>
    <s v="Y"/>
    <s v="N"/>
    <s v="Y"/>
    <s v="N"/>
    <s v="B033"/>
    <d v="2016-12-06T00:00:00"/>
    <s v="40"/>
    <s v="TAN"/>
    <s v="OR"/>
    <d v="2016-11-30T00:00:00"/>
    <s v="MN"/>
    <s v="US"/>
    <s v="ZR"/>
    <d v="2016-12-01T00:00:00"/>
  </r>
  <r>
    <x v="1"/>
    <x v="7"/>
    <x v="2097"/>
    <x v="37"/>
    <s v="Standard order"/>
    <x v="1983"/>
    <x v="1935"/>
    <s v="8337"/>
    <s v="BTS 8337"/>
    <s v="5002795"/>
    <s v="8337 BTS T35 PB SYSTIVA RP"/>
    <n v="72"/>
    <n v="0"/>
    <n v="72"/>
    <x v="7"/>
    <s v="DHMC"/>
    <s v="RP"/>
    <s v="333"/>
    <s v="4.0 UN"/>
    <s v="STANDARD"/>
    <s v="N"/>
    <s v="Y"/>
    <s v="N"/>
    <s v="T35"/>
    <s v="Y"/>
    <s v="N"/>
    <s v="Y"/>
    <s v="N"/>
    <s v="B033"/>
    <d v="2016-12-06T00:00:00"/>
    <s v="10"/>
    <s v="TAN"/>
    <s v="OR"/>
    <d v="2016-11-30T00:00:00"/>
    <s v="MN"/>
    <s v="US"/>
    <s v="ZR"/>
    <d v="2016-12-01T00:00:00"/>
  </r>
  <r>
    <x v="1"/>
    <x v="7"/>
    <x v="2097"/>
    <x v="37"/>
    <s v="Standard order"/>
    <x v="1983"/>
    <x v="1935"/>
    <s v="8524"/>
    <s v="BTS 8524"/>
    <s v="5002896"/>
    <s v="8524 BTS T35 PB SYSTIVA RP"/>
    <n v="64"/>
    <n v="0"/>
    <n v="64"/>
    <x v="7"/>
    <s v="FWND"/>
    <s v="RP"/>
    <s v="333"/>
    <s v="4.0 UN"/>
    <s v="STANDARD"/>
    <s v="N"/>
    <s v="Y"/>
    <s v="N"/>
    <s v="T35"/>
    <s v="Y"/>
    <s v="N"/>
    <s v="Y"/>
    <s v="N"/>
    <s v="B033"/>
    <d v="2016-12-06T00:00:00"/>
    <s v="20"/>
    <s v="TAN"/>
    <s v="OR"/>
    <d v="2016-11-30T00:00:00"/>
    <s v="MN"/>
    <s v="US"/>
    <s v="ZR"/>
    <d v="2016-12-01T00:00:00"/>
  </r>
  <r>
    <x v="1"/>
    <x v="7"/>
    <x v="2098"/>
    <x v="37"/>
    <s v="Standard order"/>
    <x v="1984"/>
    <x v="1936"/>
    <s v="8512"/>
    <s v="BTS 8512"/>
    <s v="5002876"/>
    <s v="8512 BTS T35 PB SYSTIVA RP"/>
    <n v="64"/>
    <n v="0"/>
    <n v="64"/>
    <x v="7"/>
    <s v="FX73"/>
    <s v="RP"/>
    <s v="333"/>
    <s v="4.0 UN"/>
    <s v="STANDARD"/>
    <s v="N"/>
    <s v="Y"/>
    <s v="N"/>
    <s v="T35"/>
    <s v="Y"/>
    <s v="N"/>
    <s v="Y"/>
    <s v="N"/>
    <s v="B033"/>
    <d v="2016-12-06T00:00:00"/>
    <s v="10"/>
    <s v="TAN"/>
    <s v="OR"/>
    <d v="2016-11-30T00:00:00"/>
    <s v="ND"/>
    <s v="US"/>
    <s v="ZR"/>
    <d v="2016-12-01T00:00:00"/>
  </r>
  <r>
    <x v="1"/>
    <x v="7"/>
    <x v="2098"/>
    <x v="37"/>
    <s v="Standard order"/>
    <x v="1984"/>
    <x v="1936"/>
    <s v="8500"/>
    <s v="BTS 8500"/>
    <s v="5002856"/>
    <s v="8500 BTS T35 PB SYSTIVA RP"/>
    <n v="64"/>
    <n v="0"/>
    <n v="64"/>
    <x v="7"/>
    <s v="FTND"/>
    <s v="RP"/>
    <s v="333"/>
    <s v="4.0 UN"/>
    <s v="STANDARD"/>
    <s v="N"/>
    <s v="Y"/>
    <s v="N"/>
    <s v="T35"/>
    <s v="Y"/>
    <s v="N"/>
    <s v="Y"/>
    <s v="N"/>
    <s v="B033"/>
    <d v="2016-12-06T00:00:00"/>
    <s v="20"/>
    <s v="TAN"/>
    <s v="OR"/>
    <d v="2016-11-30T00:00:00"/>
    <s v="ND"/>
    <s v="US"/>
    <s v="ZR"/>
    <d v="2016-12-01T00:00:00"/>
  </r>
  <r>
    <x v="1"/>
    <x v="5"/>
    <x v="2099"/>
    <x v="14"/>
    <s v="Standard order"/>
    <x v="1985"/>
    <x v="1937"/>
    <s v="336N"/>
    <s v="BTS 336N"/>
    <s v="5002197"/>
    <s v="336N BTS T20 PB SYSTIVA MP"/>
    <n v="28"/>
    <n v="0"/>
    <n v="28"/>
    <x v="5"/>
    <s v="EEMG"/>
    <s v="MP"/>
    <s v="322"/>
    <s v="4.0 UN"/>
    <s v="STANDARD"/>
    <s v="N"/>
    <s v="N"/>
    <s v="N"/>
    <s v="T20"/>
    <s v="Y"/>
    <s v="N"/>
    <s v="N"/>
    <s v="N"/>
    <s v="B017"/>
    <d v="2016-12-06T00:00:00"/>
    <s v="10"/>
    <s v="TAN"/>
    <s v="OR"/>
    <d v="2016-11-30T00:00:00"/>
    <s v="WY"/>
    <s v="US"/>
    <s v="ZR"/>
    <d v="2016-12-01T00:00:00"/>
  </r>
  <r>
    <x v="1"/>
    <x v="5"/>
    <x v="2099"/>
    <x v="14"/>
    <s v="Standard order"/>
    <x v="1985"/>
    <x v="1937"/>
    <s v="353N"/>
    <s v="BTS 353N"/>
    <s v="5002520"/>
    <s v="353N BTS T20 PB SYSTIVA MP"/>
    <n v="8"/>
    <n v="0"/>
    <n v="8"/>
    <x v="5"/>
    <s v="EENZ"/>
    <s v="MP"/>
    <s v="322"/>
    <s v="4.0 UN"/>
    <s v="STANDARD"/>
    <s v="N"/>
    <s v="Y"/>
    <s v="N"/>
    <s v="T20"/>
    <s v="Y"/>
    <s v="N"/>
    <s v="N"/>
    <s v="N"/>
    <s v="B017"/>
    <d v="2016-12-06T00:00:00"/>
    <s v="20"/>
    <s v="TAN"/>
    <s v="OR"/>
    <d v="2016-11-30T00:00:00"/>
    <s v="WY"/>
    <s v="US"/>
    <s v="ZR"/>
    <d v="2016-12-01T00:00:00"/>
  </r>
  <r>
    <x v="1"/>
    <x v="4"/>
    <x v="2100"/>
    <x v="44"/>
    <s v="Standard order"/>
    <x v="1986"/>
    <x v="722"/>
    <s v="225N"/>
    <s v="BTS 22RR5N"/>
    <s v="5002119"/>
    <s v="225N BTS PB XL"/>
    <n v="528"/>
    <n v="0"/>
    <n v="528"/>
    <x v="4"/>
    <s v="4TBD"/>
    <s v="X-LARGE"/>
    <s v="307"/>
    <s v="4.0 UN"/>
    <s v="STANDARD"/>
    <s v="N"/>
    <s v="Y"/>
    <s v="N"/>
    <s v="N"/>
    <s v="N"/>
    <s v="N"/>
    <s v="N"/>
    <s v="N"/>
    <s v="MB13"/>
    <d v="2016-12-06T00:00:00"/>
    <s v="10"/>
    <s v="TAN"/>
    <s v="OR"/>
    <d v="2016-11-30T00:00:00"/>
    <s v="OR"/>
    <s v="US"/>
    <s v="ZR"/>
    <d v="2016-12-01T00:00:00"/>
  </r>
  <r>
    <x v="1"/>
    <x v="4"/>
    <x v="2100"/>
    <x v="44"/>
    <s v="Standard order"/>
    <x v="1986"/>
    <x v="722"/>
    <s v="251N"/>
    <s v="BTS 251N"/>
    <s v="5002196"/>
    <s v="251N BTS PB XL"/>
    <n v="120"/>
    <n v="0"/>
    <n v="120"/>
    <x v="4"/>
    <s v="5HBR"/>
    <s v="X-LARGE"/>
    <s v="307"/>
    <s v="4.0 UN"/>
    <s v="STANDARD"/>
    <s v="N"/>
    <s v="Y"/>
    <s v="N"/>
    <s v="N"/>
    <s v="N"/>
    <s v="N"/>
    <s v="N"/>
    <s v="N"/>
    <s v="MB13"/>
    <d v="2016-12-06T00:00:00"/>
    <s v="20"/>
    <s v="TAN"/>
    <s v="OR"/>
    <d v="2016-11-30T00:00:00"/>
    <s v="OR"/>
    <s v="US"/>
    <s v="ZR"/>
    <d v="2016-12-01T00:00:00"/>
  </r>
  <r>
    <x v="1"/>
    <x v="0"/>
    <x v="2101"/>
    <x v="45"/>
    <s v="Standard order"/>
    <x v="1987"/>
    <x v="1938"/>
    <s v="1399"/>
    <s v="BTS 1399"/>
    <s v="5002348"/>
    <s v="1399 BTS T20 Kabina RP"/>
    <n v="16"/>
    <n v="0"/>
    <n v="16"/>
    <x v="0"/>
    <s v="EG74"/>
    <s v="RP"/>
    <s v="380"/>
    <s v="4.0 UN"/>
    <s v="STANDARD"/>
    <s v="N"/>
    <s v="N"/>
    <s v="Y"/>
    <s v="T20"/>
    <s v="N"/>
    <s v="N"/>
    <s v="N"/>
    <s v="N"/>
    <s v="B003"/>
    <d v="2016-12-06T00:00:00"/>
    <s v="10"/>
    <s v="TAN"/>
    <s v="OR"/>
    <d v="2016-12-01T00:00:00"/>
    <s v="MI"/>
    <s v="US"/>
    <s v="ZR"/>
    <d v="2016-12-01T00:00:00"/>
  </r>
  <r>
    <x v="1"/>
    <x v="6"/>
    <x v="2102"/>
    <x v="48"/>
    <s v="Standard order"/>
    <x v="1988"/>
    <x v="1939"/>
    <s v="444N"/>
    <s v="BTS 444N"/>
    <s v="5002226"/>
    <s v="444N BTS T20 PB SYSTIVA P100"/>
    <n v="128"/>
    <n v="0"/>
    <n v="128"/>
    <x v="6"/>
    <s v="DVND"/>
    <s v="PRO 100"/>
    <s v="322"/>
    <s v="4.0 UN"/>
    <s v="STANDARD"/>
    <s v="N"/>
    <s v="N"/>
    <s v="N"/>
    <s v="T20"/>
    <s v="Y"/>
    <s v="N"/>
    <s v="Y"/>
    <s v="N"/>
    <s v="B012"/>
    <d v="2016-12-06T00:00:00"/>
    <s v="10"/>
    <s v="TAN"/>
    <s v="OR"/>
    <d v="2016-12-01T00:00:00"/>
    <s v="MT"/>
    <s v="US"/>
    <s v="ZR"/>
    <d v="2016-12-01T00:00:00"/>
  </r>
  <r>
    <x v="1"/>
    <x v="6"/>
    <x v="2102"/>
    <x v="48"/>
    <s v="Standard order"/>
    <x v="1988"/>
    <x v="1939"/>
    <s v="428N"/>
    <s v="BTS 42RR8N"/>
    <s v="5002595"/>
    <s v="428N BTS T20 PB SYSTIVA P100"/>
    <n v="112"/>
    <n v="0"/>
    <n v="112"/>
    <x v="6"/>
    <s v="4TBG"/>
    <s v="PRO 100"/>
    <s v="322"/>
    <s v="4.0 UN"/>
    <s v="STANDARD"/>
    <s v="N"/>
    <s v="N"/>
    <s v="N"/>
    <s v="T20"/>
    <s v="Y"/>
    <s v="N"/>
    <s v="Y"/>
    <s v="N"/>
    <s v="B012"/>
    <d v="2016-12-06T00:00:00"/>
    <s v="20"/>
    <s v="TAN"/>
    <s v="OR"/>
    <d v="2016-12-01T00:00:00"/>
    <s v="MT"/>
    <s v="US"/>
    <s v="ZR"/>
    <d v="2016-12-01T00:00:00"/>
  </r>
  <r>
    <x v="1"/>
    <x v="6"/>
    <x v="2103"/>
    <x v="48"/>
    <s v="Standard order"/>
    <x v="1989"/>
    <x v="1940"/>
    <s v="444N"/>
    <s v="BTS 444N"/>
    <s v="5002228"/>
    <s v="444N BTS T20 PB SYSTIVA P50"/>
    <n v="96"/>
    <n v="0"/>
    <n v="96"/>
    <x v="6"/>
    <s v="DVND"/>
    <s v="PRO 50"/>
    <s v="322"/>
    <s v="4.0 UN"/>
    <s v="STANDARD"/>
    <s v="N"/>
    <s v="N"/>
    <s v="N"/>
    <s v="T20"/>
    <s v="Y"/>
    <s v="N"/>
    <s v="Y"/>
    <s v="N"/>
    <s v="B012"/>
    <d v="2016-12-06T00:00:00"/>
    <s v="10"/>
    <s v="TAN"/>
    <s v="OR"/>
    <d v="2016-12-01T00:00:00"/>
    <s v="MT"/>
    <s v="US"/>
    <s v="ZR"/>
    <d v="2016-12-01T00:00:00"/>
  </r>
  <r>
    <x v="1"/>
    <x v="6"/>
    <x v="2103"/>
    <x v="48"/>
    <s v="Standard order"/>
    <x v="1989"/>
    <x v="1940"/>
    <s v="428N"/>
    <s v="BTS 42RR8N"/>
    <s v="5002597"/>
    <s v="428N BTS T20 PB SYSTIVA P50"/>
    <n v="48"/>
    <n v="0"/>
    <n v="48"/>
    <x v="6"/>
    <s v="4TBG"/>
    <s v="PRO 50"/>
    <s v="322"/>
    <s v="4.0 UN"/>
    <s v="STANDARD"/>
    <s v="N"/>
    <s v="N"/>
    <s v="N"/>
    <s v="T20"/>
    <s v="Y"/>
    <s v="N"/>
    <s v="Y"/>
    <s v="N"/>
    <s v="B012"/>
    <d v="2016-12-06T00:00:00"/>
    <s v="20"/>
    <s v="TAN"/>
    <s v="OR"/>
    <d v="2016-12-01T00:00:00"/>
    <s v="MT"/>
    <s v="US"/>
    <s v="ZR"/>
    <d v="2016-12-01T00:00:00"/>
  </r>
  <r>
    <x v="1"/>
    <x v="6"/>
    <x v="2103"/>
    <x v="48"/>
    <s v="Standard order"/>
    <x v="1989"/>
    <x v="1940"/>
    <s v="437N"/>
    <s v="BTS 437N"/>
    <s v="5002210"/>
    <s v="437N BTS T20 PB SYSTIVA P50"/>
    <n v="24"/>
    <n v="0"/>
    <n v="24"/>
    <x v="6"/>
    <s v="EE73"/>
    <s v="PRO 50"/>
    <s v="322"/>
    <s v="4.0 UN"/>
    <s v="STANDARD"/>
    <s v="N"/>
    <s v="N"/>
    <s v="N"/>
    <s v="T20"/>
    <s v="Y"/>
    <s v="N"/>
    <s v="Y"/>
    <s v="N"/>
    <s v="B012"/>
    <d v="2016-12-06T00:00:00"/>
    <s v="30"/>
    <s v="TAN"/>
    <s v="OR"/>
    <d v="2016-12-01T00:00:00"/>
    <s v="MT"/>
    <s v="US"/>
    <s v="ZR"/>
    <d v="2016-12-01T00:00:00"/>
  </r>
  <r>
    <x v="1"/>
    <x v="0"/>
    <x v="2104"/>
    <x v="45"/>
    <s v="Standard order"/>
    <x v="1990"/>
    <x v="1941"/>
    <s v="1399"/>
    <s v="BTS 1399"/>
    <s v="5002348"/>
    <s v="1399 BTS T20 Kabina RP"/>
    <n v="24"/>
    <n v="0"/>
    <n v="24"/>
    <x v="0"/>
    <s v="EG74"/>
    <s v="RP"/>
    <s v="380"/>
    <s v="4.0 UN"/>
    <s v="STANDARD"/>
    <s v="N"/>
    <s v="N"/>
    <s v="Y"/>
    <s v="T20"/>
    <s v="N"/>
    <s v="N"/>
    <s v="N"/>
    <s v="N"/>
    <s v="B003"/>
    <d v="2016-12-06T00:00:00"/>
    <s v="10"/>
    <s v="TAN"/>
    <s v="OR"/>
    <d v="2016-12-01T00:00:00"/>
    <s v="MI"/>
    <s v="US"/>
    <s v="ZR"/>
    <d v="2016-12-01T00:00:00"/>
  </r>
  <r>
    <x v="1"/>
    <x v="2"/>
    <x v="2105"/>
    <x v="6"/>
    <s v="Standard order"/>
    <x v="1991"/>
    <x v="1942"/>
    <s v="628N"/>
    <s v="BTS 62RR8N"/>
    <s v="5002683"/>
    <s v="628N BTS T20 PB SYSTIVA P100"/>
    <n v="88"/>
    <n v="0"/>
    <n v="88"/>
    <x v="2"/>
    <s v="BL73"/>
    <s v="PRO 100"/>
    <s v="322"/>
    <s v="4.0 UN"/>
    <s v="STANDARD"/>
    <s v="N"/>
    <s v="N"/>
    <s v="N"/>
    <s v="T20"/>
    <s v="Y"/>
    <s v="N"/>
    <s v="Y"/>
    <s v="N"/>
    <s v="B025"/>
    <d v="2016-12-06T00:00:00"/>
    <s v="10"/>
    <s v="TAN"/>
    <s v="OR"/>
    <d v="2016-12-01T00:00:00"/>
    <s v="NE"/>
    <s v="US"/>
    <s v="ZR"/>
    <d v="2016-12-01T00:00:00"/>
  </r>
  <r>
    <x v="1"/>
    <x v="2"/>
    <x v="2105"/>
    <x v="6"/>
    <s v="Standard order"/>
    <x v="1991"/>
    <x v="1942"/>
    <s v="64SN"/>
    <s v="BTS 64SN"/>
    <s v="5002420"/>
    <s v="64SN BTS T20 PB SYSTIVA P100"/>
    <n v="32"/>
    <n v="0"/>
    <n v="32"/>
    <x v="2"/>
    <s v="DVNB"/>
    <s v="PRO 100"/>
    <s v="322"/>
    <s v="4.0 UN"/>
    <s v="STANDARD"/>
    <s v="N"/>
    <s v="N"/>
    <s v="N"/>
    <s v="T20"/>
    <s v="Y"/>
    <s v="N"/>
    <s v="Y"/>
    <s v="N"/>
    <s v="B025"/>
    <d v="2016-12-06T00:00:00"/>
    <s v="20"/>
    <s v="TAN"/>
    <s v="OR"/>
    <d v="2016-12-01T00:00:00"/>
    <s v="NE"/>
    <s v="US"/>
    <s v="ZR"/>
    <d v="2016-12-01T00:00:00"/>
  </r>
  <r>
    <x v="1"/>
    <x v="4"/>
    <x v="2106"/>
    <x v="44"/>
    <s v="Standard order"/>
    <x v="1992"/>
    <x v="241"/>
    <s v="225N"/>
    <s v="BTS 22RR5N"/>
    <s v="5002119"/>
    <s v="225N BTS PB XL"/>
    <n v="64"/>
    <n v="0"/>
    <n v="64"/>
    <x v="4"/>
    <s v="4TBD"/>
    <s v="X-LARGE"/>
    <s v="307"/>
    <s v="4.0 UN"/>
    <s v="STANDARD"/>
    <s v="N"/>
    <s v="Y"/>
    <s v="N"/>
    <s v="N"/>
    <s v="N"/>
    <s v="N"/>
    <s v="N"/>
    <s v="N"/>
    <s v="MB13"/>
    <d v="2016-12-06T00:00:00"/>
    <s v="10"/>
    <s v="TAN"/>
    <s v="OR"/>
    <d v="2016-12-01T00:00:00"/>
    <s v="OR"/>
    <s v="US"/>
    <s v="ZR"/>
    <d v="2016-12-01T00:00:00"/>
  </r>
  <r>
    <x v="1"/>
    <x v="4"/>
    <x v="2106"/>
    <x v="44"/>
    <s v="Standard order"/>
    <x v="1992"/>
    <x v="241"/>
    <s v="251N"/>
    <s v="BTS 251N"/>
    <s v="5002196"/>
    <s v="251N BTS PB XL"/>
    <n v="48"/>
    <n v="0"/>
    <n v="48"/>
    <x v="4"/>
    <s v="5HBR"/>
    <s v="X-LARGE"/>
    <s v="307"/>
    <s v="4.0 UN"/>
    <s v="STANDARD"/>
    <s v="N"/>
    <s v="Y"/>
    <s v="N"/>
    <s v="N"/>
    <s v="N"/>
    <s v="N"/>
    <s v="N"/>
    <s v="N"/>
    <s v="MB13"/>
    <d v="2016-12-06T00:00:00"/>
    <s v="20"/>
    <s v="TAN"/>
    <s v="OR"/>
    <d v="2016-12-01T00:00:00"/>
    <s v="OR"/>
    <s v="US"/>
    <s v="ZR"/>
    <d v="2016-12-01T00:00:00"/>
  </r>
  <r>
    <x v="1"/>
    <x v="4"/>
    <x v="2107"/>
    <x v="52"/>
    <s v="Standard order"/>
    <x v="1993"/>
    <x v="1943"/>
    <s v="225N"/>
    <s v="BTS 22RR5N"/>
    <s v="5002107"/>
    <s v="225N BTS PB Kabina MED"/>
    <n v="28"/>
    <n v="0"/>
    <n v="28"/>
    <x v="4"/>
    <s v="4TBD"/>
    <s v="MEDIUM"/>
    <s v="384"/>
    <s v="4.0 UN"/>
    <s v="STANDARD"/>
    <s v="N"/>
    <s v="Y"/>
    <s v="Y"/>
    <s v="N"/>
    <s v="N"/>
    <s v="N"/>
    <s v="N"/>
    <s v="N"/>
    <s v="B048"/>
    <d v="2016-12-06T00:00:00"/>
    <s v="10"/>
    <s v="TAN"/>
    <s v="OR"/>
    <d v="2016-12-01T00:00:00"/>
    <s v="ID"/>
    <s v="US"/>
    <s v="ZR"/>
    <d v="2016-12-01T00:00:00"/>
  </r>
  <r>
    <x v="1"/>
    <x v="4"/>
    <x v="2107"/>
    <x v="52"/>
    <s v="Standard order"/>
    <x v="1993"/>
    <x v="1943"/>
    <s v="2559"/>
    <s v="BTS 2559"/>
    <s v="5002569"/>
    <s v="2559 BTS PB Kabina MED"/>
    <n v="8"/>
    <n v="0"/>
    <n v="8"/>
    <x v="4"/>
    <s v="FGNE"/>
    <s v="MEDIUM"/>
    <s v="384"/>
    <s v="4.0 UN"/>
    <s v="STANDARD"/>
    <s v="N"/>
    <s v="Y"/>
    <s v="Y"/>
    <s v="N"/>
    <s v="N"/>
    <s v="N"/>
    <s v="N"/>
    <s v="N"/>
    <s v="B048"/>
    <d v="2016-12-06T00:00:00"/>
    <s v="20"/>
    <s v="TAN"/>
    <s v="OR"/>
    <d v="2016-12-01T00:00:00"/>
    <s v="ID"/>
    <s v="US"/>
    <s v="ZR"/>
    <d v="2016-12-01T00:00:00"/>
  </r>
  <r>
    <x v="1"/>
    <x v="7"/>
    <x v="2108"/>
    <x v="41"/>
    <s v="Standard order"/>
    <x v="1994"/>
    <x v="1944"/>
    <s v="8052"/>
    <s v="BTS 80RR52"/>
    <s v="5002735"/>
    <s v="8052 BTS T35 PB SYSTIVA RP"/>
    <n v="84"/>
    <n v="0"/>
    <n v="84"/>
    <x v="7"/>
    <s v="AP82"/>
    <s v="RP"/>
    <s v="333"/>
    <s v="4.0 UN"/>
    <s v="STANDARD"/>
    <s v="N"/>
    <s v="Y"/>
    <s v="N"/>
    <s v="T35"/>
    <s v="Y"/>
    <s v="N"/>
    <s v="Y"/>
    <s v="N"/>
    <s v="B032"/>
    <d v="2016-12-06T00:00:00"/>
    <s v="10"/>
    <s v="TAN"/>
    <s v="OR"/>
    <d v="2016-11-30T00:00:00"/>
    <s v="MN"/>
    <s v="US"/>
    <s v="ZR"/>
    <d v="2016-12-01T00:00:00"/>
  </r>
  <r>
    <x v="1"/>
    <x v="7"/>
    <x v="2108"/>
    <x v="41"/>
    <s v="Standard order"/>
    <x v="1994"/>
    <x v="1944"/>
    <s v="83CN"/>
    <s v="BTS 83CN"/>
    <s v="5002836"/>
    <s v="83CN BTS T35 PB SYSTIVA RP"/>
    <n v="192"/>
    <n v="0"/>
    <n v="192"/>
    <x v="7"/>
    <s v="EE73"/>
    <s v="RP"/>
    <s v="333"/>
    <s v="4.0 UN"/>
    <s v="STANDARD"/>
    <s v="N"/>
    <s v="Y"/>
    <s v="N"/>
    <s v="T35"/>
    <s v="Y"/>
    <s v="N"/>
    <s v="Y"/>
    <s v="N"/>
    <s v="B032"/>
    <d v="2016-12-06T00:00:00"/>
    <s v="20"/>
    <s v="TAN"/>
    <s v="OR"/>
    <d v="2016-11-30T00:00:00"/>
    <s v="MN"/>
    <s v="US"/>
    <s v="ZR"/>
    <d v="2016-12-01T00:00:00"/>
  </r>
  <r>
    <x v="1"/>
    <x v="7"/>
    <x v="2108"/>
    <x v="41"/>
    <s v="Standard order"/>
    <x v="1994"/>
    <x v="1944"/>
    <s v="8512"/>
    <s v="BTS 8512"/>
    <s v="5002876"/>
    <s v="8512 BTS T35 PB SYSTIVA RP"/>
    <n v="60"/>
    <n v="0"/>
    <n v="60"/>
    <x v="7"/>
    <s v="FX73"/>
    <s v="RP"/>
    <s v="333"/>
    <s v="4.0 UN"/>
    <s v="STANDARD"/>
    <s v="N"/>
    <s v="Y"/>
    <s v="N"/>
    <s v="T35"/>
    <s v="Y"/>
    <s v="N"/>
    <s v="Y"/>
    <s v="N"/>
    <s v="B032"/>
    <d v="2016-12-06T00:00:00"/>
    <s v="30"/>
    <s v="TAN"/>
    <s v="OR"/>
    <d v="2016-11-30T00:00:00"/>
    <s v="MN"/>
    <s v="US"/>
    <s v="ZR"/>
    <d v="2016-12-01T00:00:00"/>
  </r>
  <r>
    <x v="1"/>
    <x v="5"/>
    <x v="2109"/>
    <x v="12"/>
    <s v="Standard order"/>
    <x v="1995"/>
    <x v="1945"/>
    <s v="336N"/>
    <s v="BTS 336N"/>
    <s v="5002400"/>
    <s v="336N BTS T20 PB SYSTIVA RP"/>
    <n v="192"/>
    <n v="0"/>
    <n v="192"/>
    <x v="5"/>
    <s v="EEMG"/>
    <s v="RP"/>
    <s v="322"/>
    <s v="4.0 UN"/>
    <s v="STANDARD"/>
    <s v="N"/>
    <s v="N"/>
    <s v="N"/>
    <s v="T20"/>
    <s v="Y"/>
    <s v="N"/>
    <s v="N"/>
    <s v="N"/>
    <s v="B014"/>
    <d v="2016-12-06T00:00:00"/>
    <s v="10"/>
    <s v="TAN"/>
    <s v="OR"/>
    <d v="2016-12-01T00:00:00"/>
    <s v="MT"/>
    <s v="US"/>
    <s v="ZR"/>
    <d v="2016-12-01T00:00:00"/>
  </r>
  <r>
    <x v="1"/>
    <x v="5"/>
    <x v="2109"/>
    <x v="12"/>
    <s v="Standard order"/>
    <x v="1995"/>
    <x v="1945"/>
    <s v="353N"/>
    <s v="BTS 353N"/>
    <s v="5002524"/>
    <s v="353N BTS T20 PB SYSTIVA RP"/>
    <n v="20"/>
    <n v="0"/>
    <n v="20"/>
    <x v="5"/>
    <s v="EENZ"/>
    <s v="RP"/>
    <s v="322"/>
    <s v="4.0 UN"/>
    <s v="STANDARD"/>
    <s v="N"/>
    <s v="Y"/>
    <s v="N"/>
    <s v="T20"/>
    <s v="Y"/>
    <s v="N"/>
    <s v="N"/>
    <s v="N"/>
    <s v="B014"/>
    <d v="2016-12-06T00:00:00"/>
    <s v="20"/>
    <s v="TAN"/>
    <s v="OR"/>
    <d v="2016-12-01T00:00:00"/>
    <s v="MT"/>
    <s v="US"/>
    <s v="ZR"/>
    <d v="2016-12-01T00:00:00"/>
  </r>
  <r>
    <x v="1"/>
    <x v="8"/>
    <x v="2110"/>
    <x v="34"/>
    <s v="Returns Standard SAP"/>
    <x v="1376"/>
    <x v="1371"/>
    <s v="5245"/>
    <s v="BTS 52RR45"/>
    <s v="5002600"/>
    <s v="5245 BTS P50"/>
    <n v="-24"/>
    <n v="-24"/>
    <n v="0"/>
    <x v="8"/>
    <s v="4D15"/>
    <s v="PRO 50"/>
    <s v="306"/>
    <s v="4.0 UN"/>
    <s v="STANDARD"/>
    <s v="N"/>
    <s v="N"/>
    <s v="N"/>
    <s v="N"/>
    <s v="N"/>
    <s v="N"/>
    <s v="N"/>
    <s v="N"/>
    <s v="B052"/>
    <m/>
    <s v="10"/>
    <s v="ZSRE"/>
    <s v="ZSRE"/>
    <d v="2016-12-07T00:00:00"/>
    <s v="CA"/>
    <s v="US"/>
    <s v="ZR"/>
    <d v="2016-12-01T00:00:00"/>
  </r>
  <r>
    <x v="1"/>
    <x v="5"/>
    <x v="2111"/>
    <x v="13"/>
    <s v="Standard order"/>
    <x v="1996"/>
    <x v="1946"/>
    <s v="336N"/>
    <s v="BTS 336N"/>
    <s v="5002400"/>
    <s v="336N BTS T20 PB SYSTIVA RP"/>
    <n v="36"/>
    <n v="0"/>
    <n v="36"/>
    <x v="5"/>
    <s v="EEMG"/>
    <s v="RP"/>
    <s v="322"/>
    <s v="4.0 UN"/>
    <s v="STANDARD"/>
    <s v="N"/>
    <s v="N"/>
    <s v="N"/>
    <s v="T20"/>
    <s v="Y"/>
    <s v="N"/>
    <s v="N"/>
    <s v="N"/>
    <s v="B015"/>
    <d v="2016-12-06T00:00:00"/>
    <s v="10"/>
    <s v="TAN"/>
    <s v="OR"/>
    <d v="2016-12-01T00:00:00"/>
    <s v="MT"/>
    <s v="US"/>
    <s v="ZR"/>
    <d v="2016-12-01T00:00:00"/>
  </r>
  <r>
    <x v="1"/>
    <x v="7"/>
    <x v="2112"/>
    <x v="37"/>
    <s v="Standard order"/>
    <x v="1997"/>
    <x v="1947"/>
    <s v="8500"/>
    <s v="BTS 8500"/>
    <s v="5002856"/>
    <s v="8500 BTS T35 PB SYSTIVA RP"/>
    <n v="24"/>
    <n v="0"/>
    <n v="24"/>
    <x v="7"/>
    <s v="FTND"/>
    <s v="RP"/>
    <s v="333"/>
    <s v="4.0 UN"/>
    <s v="STANDARD"/>
    <s v="N"/>
    <s v="Y"/>
    <s v="N"/>
    <s v="T35"/>
    <s v="Y"/>
    <s v="N"/>
    <s v="Y"/>
    <s v="N"/>
    <s v="B033"/>
    <d v="2016-12-06T00:00:00"/>
    <s v="10"/>
    <s v="TAN"/>
    <s v="OR"/>
    <d v="2016-11-30T00:00:00"/>
    <s v="ND"/>
    <s v="US"/>
    <s v="ZR"/>
    <d v="2016-12-01T00:00:00"/>
  </r>
  <r>
    <x v="1"/>
    <x v="4"/>
    <x v="2113"/>
    <x v="44"/>
    <s v="Standard order"/>
    <x v="1998"/>
    <x v="1948"/>
    <s v="2559"/>
    <s v="BTS 2559"/>
    <s v="5002182"/>
    <s v="2559 BTS T20 PB MP"/>
    <n v="8"/>
    <n v="0"/>
    <n v="8"/>
    <x v="4"/>
    <s v="FGNE"/>
    <s v="MP"/>
    <s v="308"/>
    <s v="4.0 UN"/>
    <s v="STANDARD"/>
    <s v="N"/>
    <s v="Y"/>
    <s v="N"/>
    <s v="T20"/>
    <s v="N"/>
    <s v="N"/>
    <s v="N"/>
    <s v="N"/>
    <s v="MB13"/>
    <d v="2016-12-06T00:00:00"/>
    <s v="20"/>
    <s v="TAN"/>
    <s v="OR"/>
    <d v="2016-11-30T00:00:00"/>
    <s v="ID"/>
    <s v="US"/>
    <s v="ZR"/>
    <d v="2016-12-01T00:00:00"/>
  </r>
  <r>
    <x v="1"/>
    <x v="4"/>
    <x v="2113"/>
    <x v="44"/>
    <s v="Standard order"/>
    <x v="1998"/>
    <x v="1948"/>
    <s v="225N"/>
    <s v="BTS 22RR5N"/>
    <s v="5002113"/>
    <s v="225N BTS PB MP"/>
    <n v="32"/>
    <n v="0"/>
    <n v="32"/>
    <x v="4"/>
    <s v="4TBD"/>
    <s v="MP"/>
    <s v="307"/>
    <s v="4.0 UN"/>
    <s v="STANDARD"/>
    <s v="N"/>
    <s v="Y"/>
    <s v="N"/>
    <s v="N"/>
    <s v="N"/>
    <s v="N"/>
    <s v="N"/>
    <s v="N"/>
    <s v="MB13"/>
    <d v="2016-12-06T00:00:00"/>
    <s v="10"/>
    <s v="TAN"/>
    <s v="OR"/>
    <d v="2016-11-30T00:00:00"/>
    <s v="ID"/>
    <s v="US"/>
    <s v="ZR"/>
    <d v="2016-12-01T00:00:00"/>
  </r>
  <r>
    <x v="1"/>
    <x v="8"/>
    <x v="2114"/>
    <x v="34"/>
    <s v="Returns Standard SAP"/>
    <x v="1351"/>
    <x v="1346"/>
    <s v="5499"/>
    <s v="BTS 5499"/>
    <s v="5002606"/>
    <s v="5499 P50"/>
    <n v="-20"/>
    <n v="-20"/>
    <n v="0"/>
    <x v="8"/>
    <s v="DRMG"/>
    <s v="PRO 50"/>
    <s v="306"/>
    <s v="4.0 UN"/>
    <s v="STANDARD"/>
    <s v="N"/>
    <s v="N"/>
    <s v="N"/>
    <s v="N"/>
    <s v="N"/>
    <s v="N"/>
    <s v="N"/>
    <s v="N"/>
    <s v=""/>
    <m/>
    <s v="10"/>
    <s v="ZSRE"/>
    <s v="ZSRE"/>
    <d v="2016-12-07T00:00:00"/>
    <s v="CA"/>
    <s v="US"/>
    <s v="ZR"/>
    <d v="2016-12-01T00:00:00"/>
  </r>
  <r>
    <x v="1"/>
    <x v="7"/>
    <x v="2115"/>
    <x v="41"/>
    <s v="Standard order"/>
    <x v="1999"/>
    <x v="1480"/>
    <s v="83CN"/>
    <s v="BTS 83CN"/>
    <s v="5002839"/>
    <s v="83CN BTS T35 SYSTIVA P200"/>
    <n v="28"/>
    <n v="0"/>
    <n v="28"/>
    <x v="7"/>
    <s v="EE73"/>
    <s v="PRO 200"/>
    <s v="334"/>
    <s v="4.0 UN"/>
    <s v="STANDARD"/>
    <s v="N"/>
    <s v="N"/>
    <s v="N"/>
    <s v="T35"/>
    <s v="Y"/>
    <s v="N"/>
    <s v="Y"/>
    <s v="N"/>
    <s v="B032"/>
    <d v="2016-12-06T00:00:00"/>
    <s v="10"/>
    <s v="TAN"/>
    <s v="OR"/>
    <d v="2016-11-30T00:00:00"/>
    <s v="ND"/>
    <s v="US"/>
    <s v="ZR"/>
    <d v="2016-12-01T00:00:00"/>
  </r>
  <r>
    <x v="1"/>
    <x v="7"/>
    <x v="2116"/>
    <x v="41"/>
    <s v="Standard order"/>
    <x v="2000"/>
    <x v="1949"/>
    <s v="8512"/>
    <s v="BTS 8512"/>
    <s v="5002876"/>
    <s v="8512 BTS T35 PB SYSTIVA RP"/>
    <n v="56"/>
    <n v="0"/>
    <n v="56"/>
    <x v="7"/>
    <s v="FX73"/>
    <s v="RP"/>
    <s v="333"/>
    <s v="4.0 UN"/>
    <s v="STANDARD"/>
    <s v="N"/>
    <s v="Y"/>
    <s v="N"/>
    <s v="T35"/>
    <s v="Y"/>
    <s v="N"/>
    <s v="Y"/>
    <s v="N"/>
    <s v="B032"/>
    <d v="2016-12-06T00:00:00"/>
    <s v="10"/>
    <s v="TAN"/>
    <s v="OR"/>
    <d v="2016-11-30T00:00:00"/>
    <s v="MN"/>
    <s v="US"/>
    <s v="ZR"/>
    <d v="2016-12-01T00:00:00"/>
  </r>
  <r>
    <x v="1"/>
    <x v="4"/>
    <x v="2117"/>
    <x v="44"/>
    <s v="Standard order"/>
    <x v="2001"/>
    <x v="1950"/>
    <s v="225N"/>
    <s v="BTS 22RR5N"/>
    <s v="5002119"/>
    <s v="225N BTS PB XL"/>
    <n v="72"/>
    <n v="0"/>
    <n v="72"/>
    <x v="4"/>
    <s v="4TBD"/>
    <s v="X-LARGE"/>
    <s v="307"/>
    <s v="4.0 UN"/>
    <s v="STANDARD"/>
    <s v="N"/>
    <s v="Y"/>
    <s v="N"/>
    <s v="N"/>
    <s v="N"/>
    <s v="N"/>
    <s v="N"/>
    <s v="N"/>
    <s v="MB13"/>
    <d v="2016-12-06T00:00:00"/>
    <s v="10"/>
    <s v="TAN"/>
    <s v="OR"/>
    <d v="2016-11-30T00:00:00"/>
    <s v="ID"/>
    <s v="US"/>
    <s v="ZR"/>
    <d v="2016-12-01T00:00:00"/>
  </r>
  <r>
    <x v="1"/>
    <x v="4"/>
    <x v="2117"/>
    <x v="44"/>
    <s v="Standard order"/>
    <x v="2001"/>
    <x v="1950"/>
    <s v="251N"/>
    <s v="BTS 251N"/>
    <s v="5002196"/>
    <s v="251N BTS PB XL"/>
    <n v="40"/>
    <n v="0"/>
    <n v="40"/>
    <x v="4"/>
    <s v="5HBR"/>
    <s v="X-LARGE"/>
    <s v="307"/>
    <s v="4.0 UN"/>
    <s v="STANDARD"/>
    <s v="N"/>
    <s v="Y"/>
    <s v="N"/>
    <s v="N"/>
    <s v="N"/>
    <s v="N"/>
    <s v="N"/>
    <s v="N"/>
    <s v="MB13"/>
    <d v="2016-12-06T00:00:00"/>
    <s v="20"/>
    <s v="TAN"/>
    <s v="OR"/>
    <d v="2016-11-30T00:00:00"/>
    <s v="ID"/>
    <s v="US"/>
    <s v="ZR"/>
    <d v="2016-12-01T00:00:00"/>
  </r>
  <r>
    <x v="1"/>
    <x v="8"/>
    <x v="2118"/>
    <x v="34"/>
    <s v="Returns Standard SAP"/>
    <x v="1358"/>
    <x v="1353"/>
    <s v="5499"/>
    <s v="BTS 5499"/>
    <s v="5002606"/>
    <s v="5499 P50"/>
    <n v="-24"/>
    <n v="-24"/>
    <n v="0"/>
    <x v="8"/>
    <s v="DRMG"/>
    <s v="PRO 50"/>
    <s v="306"/>
    <s v="4.0 UN"/>
    <s v="STANDARD"/>
    <s v="N"/>
    <s v="N"/>
    <s v="N"/>
    <s v="N"/>
    <s v="N"/>
    <s v="N"/>
    <s v="N"/>
    <s v="N"/>
    <s v=""/>
    <m/>
    <s v="10"/>
    <s v="ZSRE"/>
    <s v="ZSRE"/>
    <d v="2016-12-12T00:00:00"/>
    <s v="CA"/>
    <s v="US"/>
    <s v="ZR"/>
    <d v="2016-12-01T00:00:00"/>
  </r>
  <r>
    <x v="1"/>
    <x v="8"/>
    <x v="2118"/>
    <x v="34"/>
    <s v="Returns Standard SAP"/>
    <x v="1358"/>
    <x v="1353"/>
    <s v="5245"/>
    <s v="BTS 52RR45"/>
    <s v="5002600"/>
    <s v="52RR45 P50"/>
    <n v="-12"/>
    <n v="-12"/>
    <n v="0"/>
    <x v="8"/>
    <s v="4D15"/>
    <s v="PRO 50"/>
    <s v="306"/>
    <s v="4.0 UN"/>
    <s v="STANDARD"/>
    <s v="N"/>
    <s v="N"/>
    <s v="N"/>
    <s v="N"/>
    <s v="N"/>
    <s v="N"/>
    <s v="N"/>
    <s v="N"/>
    <s v=""/>
    <m/>
    <s v="20"/>
    <s v="ZSRE"/>
    <s v="ZSRE"/>
    <d v="2016-12-12T00:00:00"/>
    <s v="CA"/>
    <s v="US"/>
    <s v="ZR"/>
    <d v="2016-12-01T00:00:00"/>
  </r>
  <r>
    <x v="1"/>
    <x v="4"/>
    <x v="2119"/>
    <x v="53"/>
    <s v="Standard order"/>
    <x v="2002"/>
    <x v="112"/>
    <s v="225N"/>
    <s v="BTS 22RR5N"/>
    <s v="5002119"/>
    <s v="225N BTS PB XL"/>
    <n v="120"/>
    <n v="0"/>
    <n v="120"/>
    <x v="4"/>
    <s v="4TBD"/>
    <s v="X-LARGE"/>
    <s v="307"/>
    <s v="4.0 UN"/>
    <s v="STANDARD"/>
    <s v="N"/>
    <s v="Y"/>
    <s v="N"/>
    <s v="N"/>
    <s v="N"/>
    <s v="N"/>
    <s v="N"/>
    <s v="N"/>
    <s v="B051"/>
    <d v="2016-12-06T00:00:00"/>
    <s v="10"/>
    <s v="TAN"/>
    <s v="OR"/>
    <d v="2016-12-01T00:00:00"/>
    <s v="ID"/>
    <s v="US"/>
    <s v="ZR"/>
    <d v="2016-12-01T00:00:00"/>
  </r>
  <r>
    <x v="1"/>
    <x v="4"/>
    <x v="2119"/>
    <x v="53"/>
    <s v="Standard order"/>
    <x v="2002"/>
    <x v="112"/>
    <s v="2720"/>
    <s v="BTS 27RR20"/>
    <s v="5002142"/>
    <s v="2720 BTS PB XL"/>
    <n v="32"/>
    <n v="0"/>
    <n v="32"/>
    <x v="4"/>
    <s v="4GAY"/>
    <s v="X-LARGE"/>
    <s v="307"/>
    <s v="4.0 UN"/>
    <s v="STANDARD"/>
    <s v="N"/>
    <s v="Y"/>
    <s v="N"/>
    <s v="N"/>
    <s v="N"/>
    <s v="N"/>
    <s v="N"/>
    <s v="N"/>
    <s v="B051"/>
    <d v="2016-12-06T00:00:00"/>
    <s v="20"/>
    <s v="TAN"/>
    <s v="OR"/>
    <d v="2016-12-01T00:00:00"/>
    <s v="ID"/>
    <s v="US"/>
    <s v="ZR"/>
    <d v="2016-12-01T00:00:00"/>
  </r>
  <r>
    <x v="1"/>
    <x v="4"/>
    <x v="2119"/>
    <x v="53"/>
    <s v="Standard order"/>
    <x v="2002"/>
    <x v="112"/>
    <s v="2570"/>
    <s v="BTS 2570"/>
    <s v="5002555"/>
    <s v="2570 BTS PB XL"/>
    <n v="40"/>
    <n v="0"/>
    <n v="40"/>
    <x v="4"/>
    <s v="EZNS"/>
    <s v="X-LARGE"/>
    <s v="307"/>
    <s v="4.0 UN"/>
    <s v="STANDARD"/>
    <s v="N"/>
    <s v="Y"/>
    <s v="N"/>
    <s v="N"/>
    <s v="N"/>
    <s v="N"/>
    <s v="N"/>
    <s v="N"/>
    <s v="B051"/>
    <d v="2016-12-06T00:00:00"/>
    <s v="30"/>
    <s v="TAN"/>
    <s v="OR"/>
    <d v="2016-12-01T00:00:00"/>
    <s v="ID"/>
    <s v="US"/>
    <s v="ZR"/>
    <d v="2016-12-01T00:00:00"/>
  </r>
  <r>
    <x v="1"/>
    <x v="7"/>
    <x v="2120"/>
    <x v="36"/>
    <s v="Standard order"/>
    <x v="2003"/>
    <x v="1951"/>
    <s v="8052"/>
    <s v="BTS 80RR52"/>
    <s v="5002734"/>
    <s v="8052 BTS T35 PB SYSTIVA P200"/>
    <n v="12"/>
    <n v="0"/>
    <n v="12"/>
    <x v="7"/>
    <s v="AP82"/>
    <s v="PRO 200"/>
    <s v="333"/>
    <s v="4.0 UN"/>
    <s v="STANDARD"/>
    <s v="N"/>
    <s v="Y"/>
    <s v="N"/>
    <s v="T35"/>
    <s v="Y"/>
    <s v="N"/>
    <s v="Y"/>
    <s v="N"/>
    <s v="B027"/>
    <d v="2016-12-06T00:00:00"/>
    <s v="10"/>
    <s v="TAN"/>
    <s v="OR"/>
    <d v="2016-12-01T00:00:00"/>
    <s v="MN"/>
    <s v="US"/>
    <s v="ZR"/>
    <d v="2016-12-01T00:00:00"/>
  </r>
  <r>
    <x v="1"/>
    <x v="7"/>
    <x v="2120"/>
    <x v="36"/>
    <s v="Standard order"/>
    <x v="2003"/>
    <x v="1951"/>
    <s v="8500"/>
    <s v="BTS 8500"/>
    <s v="5002855"/>
    <s v="8500 BTS T35 PB SYSTIVA P200"/>
    <n v="68"/>
    <n v="0"/>
    <n v="68"/>
    <x v="7"/>
    <s v="FTND"/>
    <s v="PRO 200"/>
    <s v="333"/>
    <s v="4.0 UN"/>
    <s v="STANDARD"/>
    <s v="N"/>
    <s v="Y"/>
    <s v="N"/>
    <s v="T35"/>
    <s v="Y"/>
    <s v="N"/>
    <s v="Y"/>
    <s v="N"/>
    <s v="B027"/>
    <d v="2016-12-06T00:00:00"/>
    <s v="20"/>
    <s v="TAN"/>
    <s v="OR"/>
    <d v="2016-12-01T00:00:00"/>
    <s v="MN"/>
    <s v="US"/>
    <s v="ZR"/>
    <d v="2016-12-01T00:00:00"/>
  </r>
  <r>
    <x v="1"/>
    <x v="0"/>
    <x v="2121"/>
    <x v="49"/>
    <s v="Standard order"/>
    <x v="2004"/>
    <x v="1952"/>
    <s v="1399"/>
    <s v="BTS 1399"/>
    <s v="5002347"/>
    <s v="1399 BTS T20 Kabina P200"/>
    <n v="20"/>
    <n v="0"/>
    <n v="20"/>
    <x v="0"/>
    <s v="EG74"/>
    <s v="PRO 200"/>
    <s v="380"/>
    <s v="4.0 UN"/>
    <s v="STANDARD"/>
    <s v="N"/>
    <s v="N"/>
    <s v="Y"/>
    <s v="T20"/>
    <s v="N"/>
    <s v="N"/>
    <s v="N"/>
    <s v="N"/>
    <s v="B004"/>
    <d v="2016-12-06T00:00:00"/>
    <s v="10"/>
    <s v="TAN"/>
    <s v="OR"/>
    <d v="2016-12-01T00:00:00"/>
    <s v="MI"/>
    <s v="US"/>
    <s v="ZR"/>
    <d v="2016-12-01T00:00:00"/>
  </r>
  <r>
    <x v="1"/>
    <x v="7"/>
    <x v="2122"/>
    <x v="28"/>
    <s v="Standard order"/>
    <x v="2005"/>
    <x v="1953"/>
    <s v="8512"/>
    <s v="BTS 8512"/>
    <s v="5002875"/>
    <s v="8512 BTS T35 PB SYSTIVA P200"/>
    <n v="88"/>
    <n v="0"/>
    <n v="88"/>
    <x v="7"/>
    <s v="FX73"/>
    <s v="PRO 200"/>
    <s v="333"/>
    <s v="4.0 UN"/>
    <s v="STANDARD"/>
    <s v="N"/>
    <s v="Y"/>
    <s v="N"/>
    <s v="T35"/>
    <s v="Y"/>
    <s v="N"/>
    <s v="Y"/>
    <s v="N"/>
    <s v="B056"/>
    <d v="2016-12-06T00:00:00"/>
    <s v="10"/>
    <s v="TAN"/>
    <s v="OR"/>
    <d v="2016-12-01T00:00:00"/>
    <s v="ND"/>
    <s v="US"/>
    <s v="ZR"/>
    <d v="2016-12-01T00:00:00"/>
  </r>
  <r>
    <x v="1"/>
    <x v="2"/>
    <x v="2123"/>
    <x v="6"/>
    <s v="Standard order"/>
    <x v="2006"/>
    <x v="1954"/>
    <s v="628N"/>
    <s v="BTS 62RR8N"/>
    <s v="5002685"/>
    <s v="628N BTS T20 PB SYSTIVA P50"/>
    <n v="36"/>
    <n v="0"/>
    <n v="36"/>
    <x v="2"/>
    <s v="BL73"/>
    <s v="PRO 50"/>
    <s v="322"/>
    <s v="4.0 UN"/>
    <s v="STANDARD"/>
    <s v="N"/>
    <s v="N"/>
    <s v="N"/>
    <s v="T20"/>
    <s v="Y"/>
    <s v="N"/>
    <s v="Y"/>
    <s v="N"/>
    <s v="B025"/>
    <d v="2016-12-06T00:00:00"/>
    <s v="10"/>
    <s v="TAN"/>
    <s v="OR"/>
    <d v="2016-12-01T00:00:00"/>
    <s v="NE"/>
    <s v="US"/>
    <s v="ZR"/>
    <d v="2016-12-01T00:00:00"/>
  </r>
  <r>
    <x v="1"/>
    <x v="5"/>
    <x v="2124"/>
    <x v="12"/>
    <s v="Standard order"/>
    <x v="2007"/>
    <x v="107"/>
    <s v="336N"/>
    <s v="BTS 336N"/>
    <s v="5002400"/>
    <s v="336N BTS T20 PB SYSTIVA RP"/>
    <n v="56"/>
    <n v="0"/>
    <n v="56"/>
    <x v="5"/>
    <s v="EEMG"/>
    <s v="RP"/>
    <s v="322"/>
    <s v="4.0 UN"/>
    <s v="STANDARD"/>
    <s v="N"/>
    <s v="N"/>
    <s v="N"/>
    <s v="T20"/>
    <s v="Y"/>
    <s v="N"/>
    <s v="N"/>
    <s v="N"/>
    <s v="B014"/>
    <d v="2016-12-06T00:00:00"/>
    <s v="10"/>
    <s v="TAN"/>
    <s v="OR"/>
    <d v="2016-12-01T00:00:00"/>
    <s v="MT"/>
    <s v="US"/>
    <s v="ZR"/>
    <d v="2016-12-01T00:00:00"/>
  </r>
  <r>
    <x v="1"/>
    <x v="5"/>
    <x v="2124"/>
    <x v="12"/>
    <s v="Standard order"/>
    <x v="2007"/>
    <x v="107"/>
    <s v="353N"/>
    <s v="BTS 353N"/>
    <s v="5002524"/>
    <s v="353N BTS T20 PB SYSTIVA RP"/>
    <n v="12"/>
    <n v="0"/>
    <n v="12"/>
    <x v="5"/>
    <s v="EENZ"/>
    <s v="RP"/>
    <s v="322"/>
    <s v="4.0 UN"/>
    <s v="STANDARD"/>
    <s v="N"/>
    <s v="Y"/>
    <s v="N"/>
    <s v="T20"/>
    <s v="Y"/>
    <s v="N"/>
    <s v="N"/>
    <s v="N"/>
    <s v="B014"/>
    <d v="2016-12-06T00:00:00"/>
    <s v="30"/>
    <s v="TAN"/>
    <s v="OR"/>
    <d v="2016-12-01T00:00:00"/>
    <s v="MT"/>
    <s v="US"/>
    <s v="ZR"/>
    <d v="2016-12-01T00:00:00"/>
  </r>
  <r>
    <x v="1"/>
    <x v="5"/>
    <x v="2124"/>
    <x v="12"/>
    <s v="Standard order"/>
    <x v="2007"/>
    <x v="107"/>
    <s v="398N"/>
    <s v="BTS 39RR8N"/>
    <s v="5002572"/>
    <s v="39RR8N RP BetaShield PLUS"/>
    <n v="56"/>
    <n v="0"/>
    <n v="56"/>
    <x v="5"/>
    <s v="2771"/>
    <s v="RP"/>
    <s v="322"/>
    <s v="4.0 UN"/>
    <s v="STANDARD"/>
    <s v="N"/>
    <s v="Y"/>
    <s v="N"/>
    <s v="T20"/>
    <s v="Y"/>
    <s v="N"/>
    <s v="N"/>
    <s v="N"/>
    <s v=""/>
    <d v="2016-12-06T00:00:00"/>
    <s v="40"/>
    <s v="TAN"/>
    <s v="OR"/>
    <d v="2016-12-01T00:00:00"/>
    <s v="MT"/>
    <s v="US"/>
    <s v="ZR"/>
    <d v="2016-12-01T00:00:00"/>
  </r>
  <r>
    <x v="1"/>
    <x v="0"/>
    <x v="2125"/>
    <x v="45"/>
    <s v="Standard order"/>
    <x v="2008"/>
    <x v="1955"/>
    <s v="1399"/>
    <s v="BTS 1399"/>
    <s v="5002346"/>
    <s v="1399 BTS T20 Kabina MP"/>
    <n v="8"/>
    <n v="0"/>
    <n v="8"/>
    <x v="0"/>
    <s v="EG74"/>
    <s v="MP"/>
    <s v="380"/>
    <s v="4.0 UN"/>
    <s v="STANDARD"/>
    <s v="N"/>
    <s v="N"/>
    <s v="Y"/>
    <s v="T20"/>
    <s v="N"/>
    <s v="N"/>
    <s v="N"/>
    <s v="N"/>
    <s v="B003"/>
    <d v="2016-12-06T00:00:00"/>
    <s v="10"/>
    <s v="TAN"/>
    <s v="OR"/>
    <d v="2016-12-01T00:00:00"/>
    <s v="MI"/>
    <s v="US"/>
    <s v="ZR"/>
    <d v="2016-12-01T00:00:00"/>
  </r>
  <r>
    <x v="1"/>
    <x v="4"/>
    <x v="2126"/>
    <x v="47"/>
    <s v="Standard order"/>
    <x v="2009"/>
    <x v="1956"/>
    <s v="2125"/>
    <s v="BTS 21RR25"/>
    <s v="5002379"/>
    <s v="2125 BTS LRG"/>
    <n v="336"/>
    <n v="0"/>
    <n v="336"/>
    <x v="4"/>
    <s v="AP92"/>
    <s v="LARGE"/>
    <s v="306"/>
    <s v="4.0 UN"/>
    <s v="STANDARD"/>
    <s v="N"/>
    <s v="N"/>
    <s v="N"/>
    <s v="N"/>
    <s v="N"/>
    <s v="N"/>
    <s v="N"/>
    <s v="N"/>
    <s v="B050"/>
    <d v="2016-12-06T00:00:00"/>
    <s v="10"/>
    <s v="TAN"/>
    <s v="OR"/>
    <d v="2016-12-01T00:00:00"/>
    <s v="ID"/>
    <s v="US"/>
    <s v="ZR"/>
    <d v="2016-12-01T00:00:00"/>
  </r>
  <r>
    <x v="1"/>
    <x v="4"/>
    <x v="2126"/>
    <x v="47"/>
    <s v="Standard order"/>
    <x v="2009"/>
    <x v="1956"/>
    <s v="2523"/>
    <s v="BTS 2523"/>
    <s v="5002527"/>
    <s v="2523 BTS PB LRG"/>
    <n v="72"/>
    <n v="0"/>
    <n v="72"/>
    <x v="4"/>
    <s v="EZPC"/>
    <s v="LARGE"/>
    <s v="307"/>
    <s v="4.0 UN"/>
    <s v="STANDARD"/>
    <s v="N"/>
    <s v="Y"/>
    <s v="N"/>
    <s v="N"/>
    <s v="N"/>
    <s v="N"/>
    <s v="N"/>
    <s v="N"/>
    <s v="B050"/>
    <d v="2016-12-06T00:00:00"/>
    <s v="20"/>
    <s v="TAN"/>
    <s v="OR"/>
    <d v="2016-12-01T00:00:00"/>
    <s v="ID"/>
    <s v="US"/>
    <s v="ZR"/>
    <d v="2016-12-01T00:00:00"/>
  </r>
  <r>
    <x v="1"/>
    <x v="4"/>
    <x v="2126"/>
    <x v="47"/>
    <s v="Standard order"/>
    <x v="2009"/>
    <x v="1956"/>
    <s v="2570"/>
    <s v="BTS 2570"/>
    <s v="5002553"/>
    <s v="2570 BTS PB LRG"/>
    <n v="72"/>
    <n v="0"/>
    <n v="72"/>
    <x v="4"/>
    <s v="EZNS"/>
    <s v="LARGE"/>
    <s v="307"/>
    <s v="4.0 UN"/>
    <s v="STANDARD"/>
    <s v="N"/>
    <s v="Y"/>
    <s v="N"/>
    <s v="N"/>
    <s v="N"/>
    <s v="N"/>
    <s v="N"/>
    <s v="N"/>
    <s v="B050"/>
    <d v="2016-12-06T00:00:00"/>
    <s v="30"/>
    <s v="TAN"/>
    <s v="OR"/>
    <d v="2016-12-01T00:00:00"/>
    <s v="ID"/>
    <s v="US"/>
    <s v="ZR"/>
    <d v="2016-12-01T00:00:00"/>
  </r>
  <r>
    <x v="1"/>
    <x v="4"/>
    <x v="2127"/>
    <x v="47"/>
    <s v="Standard order"/>
    <x v="2010"/>
    <x v="259"/>
    <s v="251N"/>
    <s v="BTS 251N"/>
    <s v="5002196"/>
    <s v="251N BTS PB XL"/>
    <n v="24"/>
    <n v="0"/>
    <n v="24"/>
    <x v="4"/>
    <s v="5HBR"/>
    <s v="X-LARGE"/>
    <s v="307"/>
    <s v="4.0 UN"/>
    <s v="STANDARD"/>
    <s v="N"/>
    <s v="Y"/>
    <s v="N"/>
    <s v="N"/>
    <s v="N"/>
    <s v="N"/>
    <s v="N"/>
    <s v="N"/>
    <s v="B050"/>
    <d v="2016-12-06T00:00:00"/>
    <s v="10"/>
    <s v="TAN"/>
    <s v="OR"/>
    <d v="2016-12-01T00:00:00"/>
    <s v="ID"/>
    <s v="US"/>
    <s v="ZR"/>
    <d v="2016-12-01T00:00:00"/>
  </r>
  <r>
    <x v="1"/>
    <x v="4"/>
    <x v="2127"/>
    <x v="47"/>
    <s v="Standard order"/>
    <x v="2010"/>
    <x v="259"/>
    <s v="2523"/>
    <s v="BTS 2523"/>
    <s v="5002529"/>
    <s v="2523 BTS PB XL"/>
    <n v="40"/>
    <n v="0"/>
    <n v="40"/>
    <x v="4"/>
    <s v="EZPC"/>
    <s v="X-LARGE"/>
    <s v="307"/>
    <s v="4.0 UN"/>
    <s v="STANDARD"/>
    <s v="N"/>
    <s v="Y"/>
    <s v="N"/>
    <s v="N"/>
    <s v="N"/>
    <s v="N"/>
    <s v="N"/>
    <s v="N"/>
    <s v="B050"/>
    <d v="2016-12-06T00:00:00"/>
    <s v="20"/>
    <s v="TAN"/>
    <s v="OR"/>
    <d v="2016-12-01T00:00:00"/>
    <s v="ID"/>
    <s v="US"/>
    <s v="ZR"/>
    <d v="2016-12-01T00:00:00"/>
  </r>
  <r>
    <x v="1"/>
    <x v="0"/>
    <x v="2128"/>
    <x v="45"/>
    <s v="Standard order"/>
    <x v="2011"/>
    <x v="1241"/>
    <s v="122N"/>
    <s v="BTS 12RR2N"/>
    <s v="5002317"/>
    <s v="122N BTS T20 SYSTIVA RP"/>
    <n v="20"/>
    <n v="0"/>
    <n v="20"/>
    <x v="0"/>
    <s v="4TBG"/>
    <s v="RP"/>
    <s v="326"/>
    <s v="4.0 UN"/>
    <s v="STANDARD"/>
    <s v="N"/>
    <s v="N"/>
    <s v="N"/>
    <s v="T20"/>
    <s v="Y"/>
    <s v="N"/>
    <s v="Y"/>
    <s v="N"/>
    <s v="B003"/>
    <d v="2016-12-06T00:00:00"/>
    <s v="10"/>
    <s v="TAN"/>
    <s v="OR"/>
    <d v="2016-12-01T00:00:00"/>
    <s v="MI"/>
    <s v="US"/>
    <s v="ZR"/>
    <d v="2016-12-01T00:00:00"/>
  </r>
  <r>
    <x v="1"/>
    <x v="5"/>
    <x v="2129"/>
    <x v="13"/>
    <s v="Standard order"/>
    <x v="2012"/>
    <x v="1957"/>
    <s v="398N"/>
    <s v="BTS 39RR8N"/>
    <s v="5002572"/>
    <s v="39RR8N RP BetaShield PLUS"/>
    <n v="60"/>
    <n v="0"/>
    <n v="60"/>
    <x v="5"/>
    <s v="2771"/>
    <s v="RP"/>
    <s v="322"/>
    <s v="4.0 UN"/>
    <s v="STANDARD"/>
    <s v="N"/>
    <s v="Y"/>
    <s v="N"/>
    <s v="T20"/>
    <s v="Y"/>
    <s v="N"/>
    <s v="N"/>
    <s v="N"/>
    <s v=""/>
    <d v="2016-12-06T00:00:00"/>
    <s v="20"/>
    <s v="TAN"/>
    <s v="OR"/>
    <d v="2016-12-01T00:00:00"/>
    <s v="MT"/>
    <s v="US"/>
    <s v="ZR"/>
    <d v="2016-12-01T00:00:00"/>
  </r>
  <r>
    <x v="1"/>
    <x v="5"/>
    <x v="2130"/>
    <x v="13"/>
    <s v="Standard order"/>
    <x v="2013"/>
    <x v="1958"/>
    <s v="398N"/>
    <s v="BTS 39RR8N"/>
    <s v="5002572"/>
    <s v="39RR8N RP BetaShield PLUS"/>
    <n v="196"/>
    <n v="0"/>
    <n v="196"/>
    <x v="5"/>
    <s v="2771"/>
    <s v="RP"/>
    <s v="322"/>
    <s v="4.0 UN"/>
    <s v="STANDARD"/>
    <s v="N"/>
    <s v="Y"/>
    <s v="N"/>
    <s v="T20"/>
    <s v="Y"/>
    <s v="N"/>
    <s v="N"/>
    <s v="N"/>
    <s v=""/>
    <d v="2016-12-06T00:00:00"/>
    <s v="20"/>
    <s v="TAN"/>
    <s v="OR"/>
    <d v="2016-12-01T00:00:00"/>
    <s v="MT"/>
    <s v="US"/>
    <s v="ZR"/>
    <d v="2016-12-01T00:00:00"/>
  </r>
  <r>
    <x v="1"/>
    <x v="4"/>
    <x v="2131"/>
    <x v="46"/>
    <s v="Standard order"/>
    <x v="2014"/>
    <x v="1959"/>
    <s v="4933"/>
    <s v="BTS 49RR33"/>
    <s v="5002280"/>
    <s v="4933 BTS PB XL IDH"/>
    <n v="72"/>
    <n v="0"/>
    <n v="72"/>
    <x v="4"/>
    <s v="AKMC"/>
    <s v="X-LARGE"/>
    <s v="307"/>
    <s v="4.0 UN"/>
    <s v="STANDARD"/>
    <s v="N"/>
    <s v="Y"/>
    <s v="N"/>
    <s v="N"/>
    <s v="N"/>
    <s v="N"/>
    <s v="N"/>
    <s v="N"/>
    <s v="B049"/>
    <d v="2016-12-06T00:00:00"/>
    <s v="10"/>
    <s v="TAN"/>
    <s v="OR"/>
    <d v="2016-12-01T00:00:00"/>
    <s v="ID"/>
    <s v="US"/>
    <s v="ZR"/>
    <d v="2016-12-01T00:00:00"/>
  </r>
  <r>
    <x v="1"/>
    <x v="4"/>
    <x v="2131"/>
    <x v="46"/>
    <s v="Standard order"/>
    <x v="2014"/>
    <x v="1959"/>
    <s v="2559"/>
    <s v="BTS 2559"/>
    <s v="5002563"/>
    <s v="2559 BTS PB XL"/>
    <n v="40"/>
    <n v="0"/>
    <n v="40"/>
    <x v="4"/>
    <s v="FGNE"/>
    <s v="X-LARGE"/>
    <s v="307"/>
    <s v="4.0 UN"/>
    <s v="STANDARD"/>
    <s v="N"/>
    <s v="Y"/>
    <s v="N"/>
    <s v="N"/>
    <s v="N"/>
    <s v="N"/>
    <s v="N"/>
    <s v="N"/>
    <s v="B049"/>
    <d v="2016-12-06T00:00:00"/>
    <s v="20"/>
    <s v="TAN"/>
    <s v="OR"/>
    <d v="2016-12-01T00:00:00"/>
    <s v="ID"/>
    <s v="US"/>
    <s v="ZR"/>
    <d v="2016-12-01T00:00:00"/>
  </r>
  <r>
    <x v="1"/>
    <x v="4"/>
    <x v="2131"/>
    <x v="46"/>
    <s v="Standard order"/>
    <x v="2014"/>
    <x v="1959"/>
    <s v="2570"/>
    <s v="BTS 2570"/>
    <s v="5002555"/>
    <s v="2570 BTS PB XL"/>
    <n v="48"/>
    <n v="0"/>
    <n v="48"/>
    <x v="4"/>
    <s v="EZNS"/>
    <s v="X-LARGE"/>
    <s v="307"/>
    <s v="4.0 UN"/>
    <s v="STANDARD"/>
    <s v="N"/>
    <s v="Y"/>
    <s v="N"/>
    <s v="N"/>
    <s v="N"/>
    <s v="N"/>
    <s v="N"/>
    <s v="N"/>
    <s v="B049"/>
    <d v="2016-12-06T00:00:00"/>
    <s v="30"/>
    <s v="TAN"/>
    <s v="OR"/>
    <d v="2016-12-01T00:00:00"/>
    <s v="ID"/>
    <s v="US"/>
    <s v="ZR"/>
    <d v="2016-12-01T00:00:00"/>
  </r>
  <r>
    <x v="1"/>
    <x v="4"/>
    <x v="2132"/>
    <x v="46"/>
    <s v="Standard order"/>
    <x v="2015"/>
    <x v="1960"/>
    <s v="4933"/>
    <s v="BTS 49RR33"/>
    <s v="5002280"/>
    <s v="4933 BTS PB XL IDH"/>
    <n v="72"/>
    <n v="0"/>
    <n v="72"/>
    <x v="4"/>
    <s v="AKMC"/>
    <s v="X-LARGE"/>
    <s v="307"/>
    <s v="4.0 UN"/>
    <s v="STANDARD"/>
    <s v="N"/>
    <s v="Y"/>
    <s v="N"/>
    <s v="N"/>
    <s v="N"/>
    <s v="N"/>
    <s v="N"/>
    <s v="N"/>
    <s v="B049"/>
    <d v="2016-12-06T00:00:00"/>
    <s v="10"/>
    <s v="TAN"/>
    <s v="OR"/>
    <d v="2016-12-01T00:00:00"/>
    <s v="ID"/>
    <s v="US"/>
    <s v="ZR"/>
    <d v="2016-12-01T00:00:00"/>
  </r>
  <r>
    <x v="1"/>
    <x v="4"/>
    <x v="2132"/>
    <x v="46"/>
    <s v="Standard order"/>
    <x v="2015"/>
    <x v="1960"/>
    <s v="2523"/>
    <s v="BTS 2523"/>
    <s v="5002529"/>
    <s v="2523 BTS PB XL"/>
    <n v="48"/>
    <n v="0"/>
    <n v="48"/>
    <x v="4"/>
    <s v="EZPC"/>
    <s v="X-LARGE"/>
    <s v="307"/>
    <s v="4.0 UN"/>
    <s v="STANDARD"/>
    <s v="N"/>
    <s v="Y"/>
    <s v="N"/>
    <s v="N"/>
    <s v="N"/>
    <s v="N"/>
    <s v="N"/>
    <s v="N"/>
    <s v="B049"/>
    <d v="2016-12-06T00:00:00"/>
    <s v="20"/>
    <s v="TAN"/>
    <s v="OR"/>
    <d v="2016-12-01T00:00:00"/>
    <s v="ID"/>
    <s v="US"/>
    <s v="ZR"/>
    <d v="2016-12-01T00:00:00"/>
  </r>
  <r>
    <x v="1"/>
    <x v="4"/>
    <x v="2132"/>
    <x v="46"/>
    <s v="Standard order"/>
    <x v="2015"/>
    <x v="1960"/>
    <s v="2559"/>
    <s v="BTS 2559"/>
    <s v="5002563"/>
    <s v="2559 BTS PB XL"/>
    <n v="40"/>
    <n v="0"/>
    <n v="40"/>
    <x v="4"/>
    <s v="FGNE"/>
    <s v="X-LARGE"/>
    <s v="307"/>
    <s v="4.0 UN"/>
    <s v="STANDARD"/>
    <s v="N"/>
    <s v="Y"/>
    <s v="N"/>
    <s v="N"/>
    <s v="N"/>
    <s v="N"/>
    <s v="N"/>
    <s v="N"/>
    <s v="B049"/>
    <d v="2016-12-06T00:00:00"/>
    <s v="30"/>
    <s v="TAN"/>
    <s v="OR"/>
    <d v="2016-12-01T00:00:00"/>
    <s v="ID"/>
    <s v="US"/>
    <s v="ZR"/>
    <d v="2016-12-01T00:00:00"/>
  </r>
  <r>
    <x v="1"/>
    <x v="4"/>
    <x v="2133"/>
    <x v="44"/>
    <s v="Standard order"/>
    <x v="2016"/>
    <x v="108"/>
    <s v="225N"/>
    <s v="BTS 22RR5N"/>
    <s v="5002111"/>
    <s v="225N BTS PB LRG"/>
    <n v="12"/>
    <n v="0"/>
    <n v="12"/>
    <x v="4"/>
    <s v="4TBD"/>
    <s v="LARGE"/>
    <s v="307"/>
    <s v="4.0 UN"/>
    <s v="STANDARD"/>
    <s v="N"/>
    <s v="Y"/>
    <s v="N"/>
    <s v="N"/>
    <s v="N"/>
    <s v="N"/>
    <s v="N"/>
    <s v="N"/>
    <s v="MB13"/>
    <d v="2016-12-06T00:00:00"/>
    <s v="10"/>
    <s v="TAN"/>
    <s v="OR"/>
    <d v="2016-12-01T00:00:00"/>
    <s v="OR"/>
    <s v="US"/>
    <s v="ZR"/>
    <d v="2016-12-01T00:00:00"/>
  </r>
  <r>
    <x v="1"/>
    <x v="4"/>
    <x v="2134"/>
    <x v="46"/>
    <s v="Standard order"/>
    <x v="2017"/>
    <x v="1961"/>
    <s v="2125"/>
    <s v="BTS 21RR25"/>
    <s v="5002395"/>
    <s v="2125 BTS PB XL"/>
    <n v="168"/>
    <n v="0"/>
    <n v="168"/>
    <x v="4"/>
    <s v="AP92"/>
    <s v="X-LARGE"/>
    <s v="307"/>
    <s v="4.0 UN"/>
    <s v="STANDARD"/>
    <s v="N"/>
    <s v="Y"/>
    <s v="N"/>
    <s v="N"/>
    <s v="N"/>
    <s v="N"/>
    <s v="N"/>
    <s v="N"/>
    <s v="B049"/>
    <d v="2016-12-06T00:00:00"/>
    <s v="10"/>
    <s v="TAN"/>
    <s v="OR"/>
    <d v="2016-12-01T00:00:00"/>
    <s v="ID"/>
    <s v="US"/>
    <s v="ZR"/>
    <d v="2016-12-01T00:00:00"/>
  </r>
  <r>
    <x v="1"/>
    <x v="4"/>
    <x v="2134"/>
    <x v="46"/>
    <s v="Standard order"/>
    <x v="2017"/>
    <x v="1961"/>
    <s v="4933"/>
    <s v="BTS 49RR33"/>
    <s v="5002280"/>
    <s v="4933 BTS PB XL IDH"/>
    <n v="180"/>
    <n v="0"/>
    <n v="180"/>
    <x v="4"/>
    <s v="AKMC"/>
    <s v="X-LARGE"/>
    <s v="307"/>
    <s v="4.0 UN"/>
    <s v="STANDARD"/>
    <s v="N"/>
    <s v="Y"/>
    <s v="N"/>
    <s v="N"/>
    <s v="N"/>
    <s v="N"/>
    <s v="N"/>
    <s v="N"/>
    <s v="B049"/>
    <d v="2016-12-06T00:00:00"/>
    <s v="20"/>
    <s v="TAN"/>
    <s v="OR"/>
    <d v="2016-12-01T00:00:00"/>
    <s v="ID"/>
    <s v="US"/>
    <s v="ZR"/>
    <d v="2016-12-01T00:00:00"/>
  </r>
  <r>
    <x v="1"/>
    <x v="4"/>
    <x v="2134"/>
    <x v="46"/>
    <s v="Standard order"/>
    <x v="2017"/>
    <x v="1961"/>
    <s v="6027"/>
    <s v="BTS 60RR27"/>
    <s v="5002625"/>
    <s v="6027 BTS PB XL IDH"/>
    <n v="48"/>
    <n v="0"/>
    <n v="48"/>
    <x v="4"/>
    <s v="APMC"/>
    <s v="X-LARGE"/>
    <s v="307"/>
    <s v="4.0 UN"/>
    <s v="STANDARD"/>
    <s v="N"/>
    <s v="Y"/>
    <s v="N"/>
    <s v="N"/>
    <s v="N"/>
    <s v="N"/>
    <s v="N"/>
    <s v="N"/>
    <s v="B049"/>
    <d v="2016-12-06T00:00:00"/>
    <s v="30"/>
    <s v="TAN"/>
    <s v="OR"/>
    <d v="2016-12-01T00:00:00"/>
    <s v="ID"/>
    <s v="US"/>
    <s v="ZR"/>
    <d v="2016-12-01T00:00:00"/>
  </r>
  <r>
    <x v="1"/>
    <x v="4"/>
    <x v="2134"/>
    <x v="46"/>
    <s v="Standard order"/>
    <x v="2017"/>
    <x v="1961"/>
    <s v="2559"/>
    <s v="BTS 2559"/>
    <s v="5002563"/>
    <s v="2559 BTS PB XL"/>
    <n v="76"/>
    <n v="0"/>
    <n v="76"/>
    <x v="4"/>
    <s v="FGNE"/>
    <s v="X-LARGE"/>
    <s v="307"/>
    <s v="4.0 UN"/>
    <s v="STANDARD"/>
    <s v="N"/>
    <s v="Y"/>
    <s v="N"/>
    <s v="N"/>
    <s v="N"/>
    <s v="N"/>
    <s v="N"/>
    <s v="N"/>
    <s v="B049"/>
    <d v="2016-12-06T00:00:00"/>
    <s v="40"/>
    <s v="TAN"/>
    <s v="OR"/>
    <d v="2016-12-01T00:00:00"/>
    <s v="ID"/>
    <s v="US"/>
    <s v="ZR"/>
    <d v="2016-12-01T00:00:00"/>
  </r>
  <r>
    <x v="1"/>
    <x v="4"/>
    <x v="2134"/>
    <x v="46"/>
    <s v="Standard order"/>
    <x v="2017"/>
    <x v="1961"/>
    <s v="2570"/>
    <s v="BTS 2570"/>
    <s v="5002555"/>
    <s v="2570 BTS PB XL"/>
    <n v="64"/>
    <n v="0"/>
    <n v="64"/>
    <x v="4"/>
    <s v="EZNS"/>
    <s v="X-LARGE"/>
    <s v="307"/>
    <s v="4.0 UN"/>
    <s v="STANDARD"/>
    <s v="N"/>
    <s v="Y"/>
    <s v="N"/>
    <s v="N"/>
    <s v="N"/>
    <s v="N"/>
    <s v="N"/>
    <s v="N"/>
    <s v="B049"/>
    <d v="2016-12-06T00:00:00"/>
    <s v="50"/>
    <s v="TAN"/>
    <s v="OR"/>
    <d v="2016-12-01T00:00:00"/>
    <s v="ID"/>
    <s v="US"/>
    <s v="ZR"/>
    <d v="2016-12-01T00:00:00"/>
  </r>
  <r>
    <x v="1"/>
    <x v="4"/>
    <x v="2134"/>
    <x v="46"/>
    <s v="Standard order"/>
    <x v="2017"/>
    <x v="1961"/>
    <s v="2523"/>
    <s v="BTS 2523"/>
    <s v="5002529"/>
    <s v="2523 BTS PB XL"/>
    <n v="24"/>
    <n v="0"/>
    <n v="24"/>
    <x v="4"/>
    <s v="EZPC"/>
    <s v="X-LARGE"/>
    <s v="307"/>
    <s v="4.0 UN"/>
    <s v="STANDARD"/>
    <s v="N"/>
    <s v="Y"/>
    <s v="N"/>
    <s v="N"/>
    <s v="N"/>
    <s v="N"/>
    <s v="N"/>
    <s v="N"/>
    <s v="B049"/>
    <d v="2016-12-06T00:00:00"/>
    <s v="60"/>
    <s v="TAN"/>
    <s v="OR"/>
    <d v="2016-12-01T00:00:00"/>
    <s v="ID"/>
    <s v="US"/>
    <s v="ZR"/>
    <d v="2016-12-01T00:00:00"/>
  </r>
  <r>
    <x v="1"/>
    <x v="8"/>
    <x v="2135"/>
    <x v="34"/>
    <s v="Returns Standard SAP"/>
    <x v="1342"/>
    <x v="1337"/>
    <s v="541N"/>
    <s v="BTS 541N"/>
    <s v="5002602"/>
    <s v="541N P50"/>
    <n v="-12"/>
    <n v="-12"/>
    <n v="0"/>
    <x v="8"/>
    <s v="BK71"/>
    <s v="PRO 50"/>
    <s v="306"/>
    <s v="4.0 UN"/>
    <s v="STANDARD"/>
    <s v="N"/>
    <s v="N"/>
    <s v="N"/>
    <s v="N"/>
    <s v="N"/>
    <s v="N"/>
    <s v="N"/>
    <s v="N"/>
    <s v=""/>
    <d v="2016-12-01T00:00:00"/>
    <s v="20"/>
    <s v="ZSRE"/>
    <s v="ZSRE"/>
    <d v="2017-01-03T00:00:00"/>
    <s v="CA"/>
    <s v="US"/>
    <s v="ZR"/>
    <d v="2016-12-01T00:00:00"/>
  </r>
  <r>
    <x v="1"/>
    <x v="8"/>
    <x v="2135"/>
    <x v="34"/>
    <s v="Returns Standard SAP"/>
    <x v="1342"/>
    <x v="1337"/>
    <s v="5499"/>
    <s v="BTS 5499"/>
    <s v="5002606"/>
    <s v="5499 P50"/>
    <n v="-4"/>
    <n v="-4"/>
    <n v="0"/>
    <x v="8"/>
    <s v="DRMG"/>
    <s v="PRO 50"/>
    <s v="306"/>
    <s v="4.0 UN"/>
    <s v="STANDARD"/>
    <s v="N"/>
    <s v="N"/>
    <s v="N"/>
    <s v="N"/>
    <s v="N"/>
    <s v="N"/>
    <s v="N"/>
    <s v="N"/>
    <s v=""/>
    <d v="2016-12-01T00:00:00"/>
    <s v="10"/>
    <s v="ZSRE"/>
    <s v="ZSRE"/>
    <d v="2017-01-03T00:00:00"/>
    <s v="CA"/>
    <s v="US"/>
    <s v="ZR"/>
    <d v="2016-12-01T00:00:00"/>
  </r>
  <r>
    <x v="1"/>
    <x v="7"/>
    <x v="2136"/>
    <x v="37"/>
    <s v="Standard order"/>
    <x v="2018"/>
    <x v="1962"/>
    <s v="8337"/>
    <s v="BTS 8337"/>
    <s v="5002795"/>
    <s v="8337 BTS T35 PB SYSTIVA RP"/>
    <n v="80"/>
    <n v="0"/>
    <n v="80"/>
    <x v="7"/>
    <s v="DHMC"/>
    <s v="RP"/>
    <s v="333"/>
    <s v="4.0 UN"/>
    <s v="STANDARD"/>
    <s v="N"/>
    <s v="Y"/>
    <s v="N"/>
    <s v="T35"/>
    <s v="Y"/>
    <s v="N"/>
    <s v="Y"/>
    <s v="N"/>
    <s v="B033"/>
    <d v="2016-12-06T00:00:00"/>
    <s v="10"/>
    <s v="TAN"/>
    <s v="OR"/>
    <d v="2016-11-30T00:00:00"/>
    <s v="ND"/>
    <s v="US"/>
    <s v="ZR"/>
    <d v="2016-12-01T00:00:00"/>
  </r>
  <r>
    <x v="1"/>
    <x v="4"/>
    <x v="2137"/>
    <x v="44"/>
    <s v="Standard order"/>
    <x v="2019"/>
    <x v="1963"/>
    <s v="225N"/>
    <s v="BTS 22RR5N"/>
    <s v="5002113"/>
    <s v="225N BTS PB MP"/>
    <n v="20"/>
    <n v="0"/>
    <n v="20"/>
    <x v="4"/>
    <s v="4TBD"/>
    <s v="MP"/>
    <s v="307"/>
    <s v="4.0 UN"/>
    <s v="STANDARD"/>
    <s v="N"/>
    <s v="Y"/>
    <s v="N"/>
    <s v="N"/>
    <s v="N"/>
    <s v="N"/>
    <s v="N"/>
    <s v="N"/>
    <s v="MB13"/>
    <d v="2016-12-06T00:00:00"/>
    <s v="10"/>
    <s v="TAN"/>
    <s v="OR"/>
    <d v="2016-11-30T00:00:00"/>
    <s v="ID"/>
    <s v="US"/>
    <s v="ZR"/>
    <d v="2016-12-01T00:00:00"/>
  </r>
  <r>
    <x v="1"/>
    <x v="4"/>
    <x v="2137"/>
    <x v="44"/>
    <s v="Standard order"/>
    <x v="2019"/>
    <x v="1963"/>
    <s v="2559"/>
    <s v="BTS 2559"/>
    <s v="5002182"/>
    <s v="2559 BTS T20 PB MP"/>
    <n v="8"/>
    <n v="0"/>
    <n v="8"/>
    <x v="4"/>
    <s v="FGNE"/>
    <s v="MP"/>
    <s v="308"/>
    <s v="4.0 UN"/>
    <s v="STANDARD"/>
    <s v="N"/>
    <s v="Y"/>
    <s v="N"/>
    <s v="T20"/>
    <s v="N"/>
    <s v="N"/>
    <s v="N"/>
    <s v="N"/>
    <s v="MB13"/>
    <d v="2016-12-06T00:00:00"/>
    <s v="20"/>
    <s v="TAN"/>
    <s v="OR"/>
    <d v="2016-11-30T00:00:00"/>
    <s v="ID"/>
    <s v="US"/>
    <s v="ZR"/>
    <d v="2016-12-01T00:00:00"/>
  </r>
  <r>
    <x v="1"/>
    <x v="0"/>
    <x v="2138"/>
    <x v="42"/>
    <s v="Standard order"/>
    <x v="2020"/>
    <x v="1964"/>
    <s v="122N"/>
    <s v="BTS 12RR2N"/>
    <s v="5002317"/>
    <s v="122N BTS T20 SYSTIVA RP"/>
    <n v="144"/>
    <n v="0"/>
    <n v="144"/>
    <x v="0"/>
    <s v="4TBG"/>
    <s v="RP"/>
    <s v="326"/>
    <s v="4.0 UN"/>
    <s v="STANDARD"/>
    <s v="N"/>
    <s v="N"/>
    <s v="N"/>
    <s v="T20"/>
    <s v="Y"/>
    <s v="N"/>
    <s v="Y"/>
    <s v="N"/>
    <s v="B007"/>
    <d v="2016-12-06T00:00:00"/>
    <s v="10"/>
    <s v="TAN"/>
    <s v="OR"/>
    <d v="2016-11-30T00:00:00"/>
    <s v="MI"/>
    <s v="US"/>
    <s v="ZR"/>
    <d v="2016-12-01T00:00:00"/>
  </r>
  <r>
    <x v="1"/>
    <x v="4"/>
    <x v="2139"/>
    <x v="44"/>
    <s v="Standard order"/>
    <x v="2021"/>
    <x v="1965"/>
    <s v="225N"/>
    <s v="BTS 22RR5N"/>
    <s v="5002119"/>
    <s v="225N BTS PB XL"/>
    <n v="64"/>
    <n v="0"/>
    <n v="64"/>
    <x v="4"/>
    <s v="4TBD"/>
    <s v="X-LARGE"/>
    <s v="307"/>
    <s v="4.0 UN"/>
    <s v="STANDARD"/>
    <s v="N"/>
    <s v="Y"/>
    <s v="N"/>
    <s v="N"/>
    <s v="N"/>
    <s v="N"/>
    <s v="N"/>
    <s v="N"/>
    <s v="MB13"/>
    <d v="2016-12-06T00:00:00"/>
    <s v="10"/>
    <s v="TAN"/>
    <s v="OR"/>
    <d v="2016-11-30T00:00:00"/>
    <s v="OR"/>
    <s v="US"/>
    <s v="ZR"/>
    <d v="2016-12-01T00:00:00"/>
  </r>
  <r>
    <x v="1"/>
    <x v="4"/>
    <x v="2139"/>
    <x v="44"/>
    <s v="Standard order"/>
    <x v="2021"/>
    <x v="1965"/>
    <s v="251N"/>
    <s v="BTS 251N"/>
    <s v="5002196"/>
    <s v="251N BTS PB XL"/>
    <n v="20"/>
    <n v="0"/>
    <n v="20"/>
    <x v="4"/>
    <s v="5HBR"/>
    <s v="X-LARGE"/>
    <s v="307"/>
    <s v="4.0 UN"/>
    <s v="STANDARD"/>
    <s v="N"/>
    <s v="Y"/>
    <s v="N"/>
    <s v="N"/>
    <s v="N"/>
    <s v="N"/>
    <s v="N"/>
    <s v="N"/>
    <s v="MB13"/>
    <d v="2016-12-06T00:00:00"/>
    <s v="20"/>
    <s v="TAN"/>
    <s v="OR"/>
    <d v="2016-11-30T00:00:00"/>
    <s v="OR"/>
    <s v="US"/>
    <s v="ZR"/>
    <d v="2016-12-01T00:00:00"/>
  </r>
  <r>
    <x v="1"/>
    <x v="2"/>
    <x v="2140"/>
    <x v="6"/>
    <s v="Standard order"/>
    <x v="2022"/>
    <x v="1966"/>
    <s v="628N"/>
    <s v="BTS 62RR8N"/>
    <s v="5002685"/>
    <s v="628N BTS T20 PB SYSTIVA P50"/>
    <n v="32"/>
    <n v="0"/>
    <n v="32"/>
    <x v="2"/>
    <s v="BL73"/>
    <s v="PRO 50"/>
    <s v="322"/>
    <s v="4.0 UN"/>
    <s v="STANDARD"/>
    <s v="N"/>
    <s v="N"/>
    <s v="N"/>
    <s v="T20"/>
    <s v="Y"/>
    <s v="N"/>
    <s v="Y"/>
    <s v="N"/>
    <s v="B025"/>
    <d v="2016-12-06T00:00:00"/>
    <s v="10"/>
    <s v="TAN"/>
    <s v="OR"/>
    <d v="2016-12-01T00:00:00"/>
    <s v="NE"/>
    <s v="US"/>
    <s v="ZR"/>
    <d v="2016-12-01T00:00:00"/>
  </r>
  <r>
    <x v="1"/>
    <x v="2"/>
    <x v="2140"/>
    <x v="6"/>
    <s v="Standard order"/>
    <x v="2022"/>
    <x v="1966"/>
    <s v="64SN"/>
    <s v="BTS 64SN"/>
    <s v="5002422"/>
    <s v="64SN BTS T20 PB SYSTIVA P50"/>
    <n v="16"/>
    <n v="0"/>
    <n v="16"/>
    <x v="2"/>
    <s v="DVNB"/>
    <s v="PRO 50"/>
    <s v="322"/>
    <s v="4.0 UN"/>
    <s v="STANDARD"/>
    <s v="N"/>
    <s v="N"/>
    <s v="N"/>
    <s v="T20"/>
    <s v="Y"/>
    <s v="N"/>
    <s v="Y"/>
    <s v="N"/>
    <s v="B025"/>
    <d v="2016-12-06T00:00:00"/>
    <s v="20"/>
    <s v="TAN"/>
    <s v="OR"/>
    <d v="2016-12-01T00:00:00"/>
    <s v="NE"/>
    <s v="US"/>
    <s v="ZR"/>
    <d v="2016-12-01T00:00:00"/>
  </r>
  <r>
    <x v="1"/>
    <x v="0"/>
    <x v="2141"/>
    <x v="54"/>
    <s v="Standard order"/>
    <x v="2023"/>
    <x v="1967"/>
    <s v="149N"/>
    <s v="BTS 149N"/>
    <s v="5002368"/>
    <s v="149N BTS T20 Kabina RP"/>
    <n v="64"/>
    <n v="0"/>
    <n v="64"/>
    <x v="0"/>
    <s v="EEND"/>
    <s v="RP"/>
    <s v="380"/>
    <s v="4.0 UN"/>
    <s v="STANDARD"/>
    <s v="N"/>
    <s v="N"/>
    <s v="Y"/>
    <s v="T20"/>
    <s v="N"/>
    <s v="N"/>
    <s v="N"/>
    <s v="N"/>
    <s v="B002"/>
    <d v="2016-12-06T00:00:00"/>
    <s v="10"/>
    <s v="TAN"/>
    <s v="OR"/>
    <d v="2016-12-01T00:00:00"/>
    <s v="MI"/>
    <s v="US"/>
    <s v="ZR"/>
    <d v="2016-12-01T00:00:00"/>
  </r>
  <r>
    <x v="1"/>
    <x v="0"/>
    <x v="2141"/>
    <x v="54"/>
    <s v="Standard order"/>
    <x v="2023"/>
    <x v="1967"/>
    <s v="122N"/>
    <s v="BTS 12RR2N"/>
    <s v="5002317"/>
    <s v="122N BTS T20 SYSTIVA RP"/>
    <n v="36"/>
    <n v="0"/>
    <n v="36"/>
    <x v="0"/>
    <s v="4TBG"/>
    <s v="RP"/>
    <s v="326"/>
    <s v="4.0 UN"/>
    <s v="STANDARD"/>
    <s v="N"/>
    <s v="N"/>
    <s v="N"/>
    <s v="T20"/>
    <s v="Y"/>
    <s v="N"/>
    <s v="Y"/>
    <s v="N"/>
    <s v="B002"/>
    <d v="2016-12-06T00:00:00"/>
    <s v="20"/>
    <s v="TAN"/>
    <s v="OR"/>
    <d v="2016-12-01T00:00:00"/>
    <s v="MI"/>
    <s v="US"/>
    <s v="ZR"/>
    <d v="2016-12-01T00:00:00"/>
  </r>
  <r>
    <x v="1"/>
    <x v="0"/>
    <x v="2142"/>
    <x v="29"/>
    <s v="Standard order"/>
    <x v="2024"/>
    <x v="150"/>
    <s v="122N"/>
    <s v="BTS 12RR2N"/>
    <s v="5002310"/>
    <s v="122N BTS T20 Kabina P200"/>
    <n v="88"/>
    <n v="0"/>
    <n v="88"/>
    <x v="0"/>
    <s v="4TBG"/>
    <s v="PRO 200"/>
    <s v="380"/>
    <s v="4.0 UN"/>
    <s v="STANDARD"/>
    <s v="N"/>
    <s v="N"/>
    <s v="Y"/>
    <s v="T20"/>
    <s v="N"/>
    <s v="N"/>
    <s v="N"/>
    <s v="N"/>
    <s v="B005"/>
    <d v="2016-12-07T00:00:00"/>
    <s v="10"/>
    <s v="TAN"/>
    <s v="OR"/>
    <d v="2016-12-01T00:00:00"/>
    <s v="MI"/>
    <s v="US"/>
    <s v="ZR"/>
    <d v="2016-12-02T00:00:00"/>
  </r>
  <r>
    <x v="1"/>
    <x v="0"/>
    <x v="2142"/>
    <x v="29"/>
    <s v="Standard order"/>
    <x v="2024"/>
    <x v="150"/>
    <s v="149N"/>
    <s v="BTS 149N"/>
    <s v="5002367"/>
    <s v="149N BTS T20 Kabina P200"/>
    <n v="88"/>
    <n v="0"/>
    <n v="88"/>
    <x v="0"/>
    <s v="EEND"/>
    <s v="PRO 200"/>
    <s v="380"/>
    <s v="4.0 UN"/>
    <s v="STANDARD"/>
    <s v="N"/>
    <s v="N"/>
    <s v="Y"/>
    <s v="T20"/>
    <s v="N"/>
    <s v="N"/>
    <s v="N"/>
    <s v="N"/>
    <s v="B005"/>
    <d v="2016-12-07T00:00:00"/>
    <s v="20"/>
    <s v="TAN"/>
    <s v="OR"/>
    <d v="2016-12-01T00:00:00"/>
    <s v="MI"/>
    <s v="US"/>
    <s v="ZR"/>
    <d v="2016-12-02T00:00:00"/>
  </r>
  <r>
    <x v="1"/>
    <x v="4"/>
    <x v="2143"/>
    <x v="46"/>
    <s v="Standard order"/>
    <x v="2025"/>
    <x v="1968"/>
    <s v="6027"/>
    <s v="BTS 60RR27"/>
    <s v="5002625"/>
    <s v="6027 BTS PB XL IDH"/>
    <n v="168"/>
    <n v="0"/>
    <n v="168"/>
    <x v="4"/>
    <s v="APMC"/>
    <s v="X-LARGE"/>
    <s v="307"/>
    <s v="4.0 UN"/>
    <s v="STANDARD"/>
    <s v="N"/>
    <s v="Y"/>
    <s v="N"/>
    <s v="N"/>
    <s v="N"/>
    <s v="N"/>
    <s v="N"/>
    <s v="N"/>
    <s v="B049"/>
    <d v="2016-12-07T00:00:00"/>
    <s v="10"/>
    <s v="TAN"/>
    <s v="OR"/>
    <d v="2016-12-01T00:00:00"/>
    <s v="NV"/>
    <s v="US"/>
    <s v="ZR"/>
    <d v="2016-12-02T00:00:00"/>
  </r>
  <r>
    <x v="1"/>
    <x v="4"/>
    <x v="2143"/>
    <x v="46"/>
    <s v="Standard order"/>
    <x v="2025"/>
    <x v="1968"/>
    <s v="2523"/>
    <s v="BTS 2523"/>
    <s v="5002529"/>
    <s v="2523 BTS PB XL"/>
    <n v="28"/>
    <n v="0"/>
    <n v="28"/>
    <x v="4"/>
    <s v="EZPC"/>
    <s v="X-LARGE"/>
    <s v="307"/>
    <s v="4.0 UN"/>
    <s v="STANDARD"/>
    <s v="N"/>
    <s v="Y"/>
    <s v="N"/>
    <s v="N"/>
    <s v="N"/>
    <s v="N"/>
    <s v="N"/>
    <s v="N"/>
    <s v="B049"/>
    <d v="2016-12-07T00:00:00"/>
    <s v="20"/>
    <s v="TAN"/>
    <s v="OR"/>
    <d v="2016-12-01T00:00:00"/>
    <s v="NV"/>
    <s v="US"/>
    <s v="ZR"/>
    <d v="2016-12-02T00:00:00"/>
  </r>
  <r>
    <x v="1"/>
    <x v="4"/>
    <x v="2143"/>
    <x v="46"/>
    <s v="Standard order"/>
    <x v="2025"/>
    <x v="1968"/>
    <s v="2570"/>
    <s v="BTS 2570"/>
    <s v="5002555"/>
    <s v="2570 BTS PB XL"/>
    <n v="24"/>
    <n v="0"/>
    <n v="24"/>
    <x v="4"/>
    <s v="EZNS"/>
    <s v="X-LARGE"/>
    <s v="307"/>
    <s v="4.0 UN"/>
    <s v="STANDARD"/>
    <s v="N"/>
    <s v="Y"/>
    <s v="N"/>
    <s v="N"/>
    <s v="N"/>
    <s v="N"/>
    <s v="N"/>
    <s v="N"/>
    <s v="B049"/>
    <d v="2016-12-07T00:00:00"/>
    <s v="30"/>
    <s v="TAN"/>
    <s v="OR"/>
    <d v="2016-12-01T00:00:00"/>
    <s v="NV"/>
    <s v="US"/>
    <s v="ZR"/>
    <d v="2016-12-02T00:00:00"/>
  </r>
  <r>
    <x v="1"/>
    <x v="6"/>
    <x v="2144"/>
    <x v="48"/>
    <s v="Standard order"/>
    <x v="2026"/>
    <x v="1969"/>
    <s v="4548"/>
    <s v="BTS 4548"/>
    <s v="5002245"/>
    <s v="4548 BTS T20 PB SYSTIVA P200"/>
    <n v="36"/>
    <n v="0"/>
    <n v="36"/>
    <x v="6"/>
    <s v="FENR"/>
    <s v="PRO 200"/>
    <s v="322"/>
    <s v="4.0 UN"/>
    <s v="STANDARD"/>
    <s v="N"/>
    <s v="N"/>
    <s v="N"/>
    <s v="T20"/>
    <s v="Y"/>
    <s v="N"/>
    <s v="Y"/>
    <s v="N"/>
    <s v="B012"/>
    <d v="2016-12-07T00:00:00"/>
    <s v="10"/>
    <s v="TAN"/>
    <s v="OR"/>
    <d v="2016-12-01T00:00:00"/>
    <s v="MT"/>
    <s v="US"/>
    <s v="ZR"/>
    <d v="2016-12-02T00:00:00"/>
  </r>
  <r>
    <x v="1"/>
    <x v="6"/>
    <x v="2144"/>
    <x v="48"/>
    <s v="Standard order"/>
    <x v="2026"/>
    <x v="1969"/>
    <s v="444N"/>
    <s v="BTS 444N"/>
    <s v="5002227"/>
    <s v="444N BTS T20 PB SYSTIVA P200"/>
    <n v="52"/>
    <n v="0"/>
    <n v="52"/>
    <x v="6"/>
    <s v="DVND"/>
    <s v="PRO 200"/>
    <s v="322"/>
    <s v="4.0 UN"/>
    <s v="STANDARD"/>
    <s v="N"/>
    <s v="N"/>
    <s v="N"/>
    <s v="T20"/>
    <s v="Y"/>
    <s v="N"/>
    <s v="Y"/>
    <s v="N"/>
    <s v="B012"/>
    <d v="2016-12-07T00:00:00"/>
    <s v="20"/>
    <s v="TAN"/>
    <s v="OR"/>
    <d v="2016-12-01T00:00:00"/>
    <s v="MT"/>
    <s v="US"/>
    <s v="ZR"/>
    <d v="2016-12-02T00:00:00"/>
  </r>
  <r>
    <x v="1"/>
    <x v="6"/>
    <x v="2144"/>
    <x v="48"/>
    <s v="Standard order"/>
    <x v="2026"/>
    <x v="1969"/>
    <s v="437N"/>
    <s v="BTS 437N"/>
    <s v="5002209"/>
    <s v="437N BTS T20 PB SYSTIVA P200"/>
    <n v="44"/>
    <n v="0"/>
    <n v="44"/>
    <x v="6"/>
    <s v="EE73"/>
    <s v="PRO 200"/>
    <s v="322"/>
    <s v="4.0 UN"/>
    <s v="STANDARD"/>
    <s v="N"/>
    <s v="N"/>
    <s v="N"/>
    <s v="T20"/>
    <s v="Y"/>
    <s v="N"/>
    <s v="Y"/>
    <s v="N"/>
    <s v="B012"/>
    <d v="2016-12-07T00:00:00"/>
    <s v="30"/>
    <s v="TAN"/>
    <s v="OR"/>
    <d v="2016-12-01T00:00:00"/>
    <s v="MT"/>
    <s v="US"/>
    <s v="ZR"/>
    <d v="2016-12-02T00:00:00"/>
  </r>
  <r>
    <x v="1"/>
    <x v="6"/>
    <x v="2144"/>
    <x v="48"/>
    <s v="Standard order"/>
    <x v="2026"/>
    <x v="1969"/>
    <s v="459N"/>
    <s v="BTS 459N"/>
    <s v="5002257"/>
    <s v="459N BTS T20 PB SYSTIVA P200"/>
    <n v="8"/>
    <n v="0"/>
    <n v="8"/>
    <x v="6"/>
    <s v="DVNU"/>
    <s v="PRO 200"/>
    <s v="322"/>
    <s v="4.0 UN"/>
    <s v="STANDARD"/>
    <s v="N"/>
    <s v="N"/>
    <s v="N"/>
    <s v="T20"/>
    <s v="Y"/>
    <s v="N"/>
    <s v="Y"/>
    <s v="N"/>
    <s v="B012"/>
    <d v="2016-12-07T00:00:00"/>
    <s v="40"/>
    <s v="TAN"/>
    <s v="OR"/>
    <d v="2016-12-01T00:00:00"/>
    <s v="MT"/>
    <s v="US"/>
    <s v="ZR"/>
    <d v="2016-12-02T00:00:00"/>
  </r>
  <r>
    <x v="1"/>
    <x v="7"/>
    <x v="2145"/>
    <x v="28"/>
    <s v="Standard order"/>
    <x v="2027"/>
    <x v="1970"/>
    <s v="8512"/>
    <s v="BTS 8512"/>
    <s v="5002876"/>
    <s v="8512 BTS T35 PB SYSTIVA RP"/>
    <n v="48"/>
    <n v="0"/>
    <n v="48"/>
    <x v="7"/>
    <s v="FX73"/>
    <s v="RP"/>
    <s v="333"/>
    <s v="4.0 UN"/>
    <s v="STANDARD"/>
    <s v="N"/>
    <s v="Y"/>
    <s v="N"/>
    <s v="T35"/>
    <s v="Y"/>
    <s v="N"/>
    <s v="Y"/>
    <s v="N"/>
    <s v="B056"/>
    <d v="2016-12-07T00:00:00"/>
    <s v="10"/>
    <s v="TAN"/>
    <s v="OR"/>
    <d v="2016-12-02T00:00:00"/>
    <s v="ND"/>
    <s v="US"/>
    <s v="ZR"/>
    <d v="2016-12-02T00:00:00"/>
  </r>
  <r>
    <x v="1"/>
    <x v="4"/>
    <x v="2146"/>
    <x v="44"/>
    <s v="Standard order"/>
    <x v="2028"/>
    <x v="11"/>
    <s v="4933"/>
    <s v="BTS 49RR33"/>
    <s v="5002293"/>
    <s v="4933 BTS T20 PB MP IDH"/>
    <n v="72"/>
    <n v="0"/>
    <n v="72"/>
    <x v="4"/>
    <s v="AKMC"/>
    <s v="MP"/>
    <s v="308"/>
    <s v="4.0 UN"/>
    <s v="STANDARD"/>
    <s v="N"/>
    <s v="Y"/>
    <s v="N"/>
    <s v="T20"/>
    <s v="N"/>
    <s v="N"/>
    <s v="N"/>
    <s v="N"/>
    <s v="MB13"/>
    <d v="2016-12-07T00:00:00"/>
    <s v="10"/>
    <s v="TAN"/>
    <s v="OR"/>
    <d v="2016-12-02T00:00:00"/>
    <s v="OR"/>
    <s v="US"/>
    <s v="ZR"/>
    <d v="2016-12-02T00:00:00"/>
  </r>
  <r>
    <x v="1"/>
    <x v="4"/>
    <x v="2147"/>
    <x v="46"/>
    <s v="Standard order"/>
    <x v="2029"/>
    <x v="1971"/>
    <s v="4933"/>
    <s v="BTS 49RR33"/>
    <s v="5002272"/>
    <s v="4933 BTS PB LRG IDH"/>
    <n v="56"/>
    <n v="0"/>
    <n v="56"/>
    <x v="4"/>
    <s v="AKMC"/>
    <s v="LARGE"/>
    <s v="307"/>
    <s v="4.0 UN"/>
    <s v="STANDARD"/>
    <s v="N"/>
    <s v="Y"/>
    <s v="N"/>
    <s v="N"/>
    <s v="N"/>
    <s v="N"/>
    <s v="N"/>
    <s v="N"/>
    <s v="B049"/>
    <d v="2016-12-07T00:00:00"/>
    <s v="10"/>
    <s v="TAN"/>
    <s v="OR"/>
    <d v="2016-12-02T00:00:00"/>
    <s v="ID"/>
    <s v="US"/>
    <s v="ZR"/>
    <d v="2016-12-02T00:00:00"/>
  </r>
  <r>
    <x v="1"/>
    <x v="4"/>
    <x v="2147"/>
    <x v="46"/>
    <s v="Standard order"/>
    <x v="2029"/>
    <x v="1971"/>
    <s v="2559"/>
    <s v="BTS 2559"/>
    <s v="5002561"/>
    <s v="2559 BTS PB LRG"/>
    <n v="40"/>
    <n v="0"/>
    <n v="40"/>
    <x v="4"/>
    <s v="FGNE"/>
    <s v="LARGE"/>
    <s v="307"/>
    <s v="4.0 UN"/>
    <s v="STANDARD"/>
    <s v="N"/>
    <s v="Y"/>
    <s v="N"/>
    <s v="N"/>
    <s v="N"/>
    <s v="N"/>
    <s v="N"/>
    <s v="N"/>
    <s v="B049"/>
    <d v="2016-12-07T00:00:00"/>
    <s v="20"/>
    <s v="TAN"/>
    <s v="OR"/>
    <d v="2016-12-02T00:00:00"/>
    <s v="ID"/>
    <s v="US"/>
    <s v="ZR"/>
    <d v="2016-12-02T00:00:00"/>
  </r>
  <r>
    <x v="1"/>
    <x v="4"/>
    <x v="2147"/>
    <x v="46"/>
    <s v="Standard order"/>
    <x v="2029"/>
    <x v="1971"/>
    <s v="2125"/>
    <s v="BTS 21RR25"/>
    <s v="5002387"/>
    <s v="2125 BTS PB LRG"/>
    <n v="48"/>
    <n v="0"/>
    <n v="48"/>
    <x v="4"/>
    <s v="AP92"/>
    <s v="LARGE"/>
    <s v="307"/>
    <s v="4.0 UN"/>
    <s v="STANDARD"/>
    <s v="N"/>
    <s v="Y"/>
    <s v="N"/>
    <s v="N"/>
    <s v="N"/>
    <s v="N"/>
    <s v="N"/>
    <s v="N"/>
    <s v="B049"/>
    <d v="2016-12-07T00:00:00"/>
    <s v="30"/>
    <s v="TAN"/>
    <s v="OR"/>
    <d v="2016-12-02T00:00:00"/>
    <s v="ID"/>
    <s v="US"/>
    <s v="ZR"/>
    <d v="2016-12-02T00:00:00"/>
  </r>
  <r>
    <x v="1"/>
    <x v="4"/>
    <x v="2148"/>
    <x v="47"/>
    <s v="Standard order"/>
    <x v="2030"/>
    <x v="253"/>
    <s v="251N"/>
    <s v="BTS 251N"/>
    <s v="5002194"/>
    <s v="251N BTS PB LRG"/>
    <n v="28"/>
    <n v="0"/>
    <n v="28"/>
    <x v="4"/>
    <s v="5HBR"/>
    <s v="LARGE"/>
    <s v="307"/>
    <s v="4.0 UN"/>
    <s v="STANDARD"/>
    <s v="N"/>
    <s v="Y"/>
    <s v="N"/>
    <s v="N"/>
    <s v="N"/>
    <s v="N"/>
    <s v="N"/>
    <s v="N"/>
    <s v="B050"/>
    <d v="2016-12-07T00:00:00"/>
    <s v="10"/>
    <s v="TAN"/>
    <s v="OR"/>
    <d v="2016-12-02T00:00:00"/>
    <s v="ID"/>
    <s v="US"/>
    <s v="ZR"/>
    <d v="2016-12-02T00:00:00"/>
  </r>
  <r>
    <x v="1"/>
    <x v="4"/>
    <x v="2148"/>
    <x v="47"/>
    <s v="Standard order"/>
    <x v="2030"/>
    <x v="253"/>
    <s v="225N"/>
    <s v="BTS 22RR5N"/>
    <s v="5002111"/>
    <s v="225N BTS PB LRG"/>
    <n v="72"/>
    <n v="0"/>
    <n v="72"/>
    <x v="4"/>
    <s v="4TBD"/>
    <s v="LARGE"/>
    <s v="307"/>
    <s v="4.0 UN"/>
    <s v="STANDARD"/>
    <s v="N"/>
    <s v="Y"/>
    <s v="N"/>
    <s v="N"/>
    <s v="N"/>
    <s v="N"/>
    <s v="N"/>
    <s v="N"/>
    <s v="B050"/>
    <d v="2016-12-07T00:00:00"/>
    <s v="20"/>
    <s v="TAN"/>
    <s v="OR"/>
    <d v="2016-12-02T00:00:00"/>
    <s v="ID"/>
    <s v="US"/>
    <s v="ZR"/>
    <d v="2016-12-02T00:00:00"/>
  </r>
  <r>
    <x v="1"/>
    <x v="5"/>
    <x v="2149"/>
    <x v="12"/>
    <s v="Standard order"/>
    <x v="2031"/>
    <x v="202"/>
    <s v="336N"/>
    <s v="BTS 336N"/>
    <s v="5002400"/>
    <s v="336N BTS T20 PB SYSTIVA RP"/>
    <n v="108"/>
    <n v="0"/>
    <n v="108"/>
    <x v="5"/>
    <s v="EEMG"/>
    <s v="RP"/>
    <s v="322"/>
    <s v="4.0 UN"/>
    <s v="STANDARD"/>
    <s v="N"/>
    <s v="N"/>
    <s v="N"/>
    <s v="T20"/>
    <s v="Y"/>
    <s v="N"/>
    <s v="N"/>
    <s v="N"/>
    <s v="B014"/>
    <d v="2016-12-07T00:00:00"/>
    <s v="10"/>
    <s v="TAN"/>
    <s v="OR"/>
    <d v="2016-12-02T00:00:00"/>
    <s v="MT"/>
    <s v="US"/>
    <s v="ZR"/>
    <d v="2016-12-02T00:00:00"/>
  </r>
  <r>
    <x v="1"/>
    <x v="5"/>
    <x v="2149"/>
    <x v="12"/>
    <s v="Standard order"/>
    <x v="2031"/>
    <x v="202"/>
    <s v="353N"/>
    <s v="BTS 353N"/>
    <s v="5002524"/>
    <s v="353N BTS T20 PB SYSTIVA RP"/>
    <n v="16"/>
    <n v="0"/>
    <n v="16"/>
    <x v="5"/>
    <s v="EENZ"/>
    <s v="RP"/>
    <s v="322"/>
    <s v="4.0 UN"/>
    <s v="STANDARD"/>
    <s v="N"/>
    <s v="Y"/>
    <s v="N"/>
    <s v="T20"/>
    <s v="Y"/>
    <s v="N"/>
    <s v="N"/>
    <s v="N"/>
    <s v="B014"/>
    <d v="2016-12-07T00:00:00"/>
    <s v="20"/>
    <s v="TAN"/>
    <s v="OR"/>
    <d v="2016-12-02T00:00:00"/>
    <s v="MT"/>
    <s v="US"/>
    <s v="ZR"/>
    <d v="2016-12-02T00:00:00"/>
  </r>
  <r>
    <x v="1"/>
    <x v="6"/>
    <x v="2150"/>
    <x v="48"/>
    <s v="Standard order"/>
    <x v="2032"/>
    <x v="385"/>
    <s v="444N"/>
    <s v="BTS 444N"/>
    <s v="5002226"/>
    <s v="444N BTS T20 PB SYSTIVA P100"/>
    <n v="48"/>
    <n v="0"/>
    <n v="48"/>
    <x v="6"/>
    <s v="DVND"/>
    <s v="PRO 100"/>
    <s v="322"/>
    <s v="4.0 UN"/>
    <s v="STANDARD"/>
    <s v="N"/>
    <s v="N"/>
    <s v="N"/>
    <s v="T20"/>
    <s v="Y"/>
    <s v="N"/>
    <s v="Y"/>
    <s v="N"/>
    <s v="B012"/>
    <d v="2016-12-07T00:00:00"/>
    <s v="10"/>
    <s v="TAN"/>
    <s v="OR"/>
    <d v="2016-12-02T00:00:00"/>
    <s v="ND"/>
    <s v="US"/>
    <s v="ZR"/>
    <d v="2016-12-02T00:00:00"/>
  </r>
  <r>
    <x v="1"/>
    <x v="6"/>
    <x v="2150"/>
    <x v="48"/>
    <s v="Standard order"/>
    <x v="2032"/>
    <x v="385"/>
    <s v="437N"/>
    <s v="BTS 437N"/>
    <s v="5002208"/>
    <s v="437N BTS T20 PB SYSTIVA P100"/>
    <n v="48"/>
    <n v="0"/>
    <n v="48"/>
    <x v="6"/>
    <s v="EE73"/>
    <s v="PRO 100"/>
    <s v="322"/>
    <s v="4.0 UN"/>
    <s v="STANDARD"/>
    <s v="N"/>
    <s v="N"/>
    <s v="N"/>
    <s v="T20"/>
    <s v="Y"/>
    <s v="N"/>
    <s v="Y"/>
    <s v="N"/>
    <s v="B012"/>
    <d v="2016-12-07T00:00:00"/>
    <s v="20"/>
    <s v="TAN"/>
    <s v="OR"/>
    <d v="2016-12-02T00:00:00"/>
    <s v="ND"/>
    <s v="US"/>
    <s v="ZR"/>
    <d v="2016-12-02T00:00:00"/>
  </r>
  <r>
    <x v="1"/>
    <x v="0"/>
    <x v="2151"/>
    <x v="29"/>
    <s v="Standard order"/>
    <x v="2033"/>
    <x v="1972"/>
    <s v="122N"/>
    <s v="BTS 12RR2N"/>
    <s v="5002317"/>
    <s v="122N BTS T20 SYSTIVA RP"/>
    <n v="32"/>
    <n v="0"/>
    <n v="32"/>
    <x v="0"/>
    <s v="4TBG"/>
    <s v="RP"/>
    <s v="326"/>
    <s v="4.0 UN"/>
    <s v="STANDARD"/>
    <s v="N"/>
    <s v="N"/>
    <s v="N"/>
    <s v="T20"/>
    <s v="Y"/>
    <s v="N"/>
    <s v="Y"/>
    <s v="N"/>
    <s v="B005"/>
    <d v="2016-12-07T00:00:00"/>
    <s v="10"/>
    <s v="TAN"/>
    <s v="OR"/>
    <d v="2016-12-02T00:00:00"/>
    <s v="MI"/>
    <s v="US"/>
    <s v="ZR"/>
    <d v="2016-12-02T00:00:00"/>
  </r>
  <r>
    <x v="1"/>
    <x v="0"/>
    <x v="2151"/>
    <x v="29"/>
    <s v="Standard order"/>
    <x v="2033"/>
    <x v="1972"/>
    <s v="122N"/>
    <s v="BTS 12RR2N"/>
    <s v="5002311"/>
    <s v="122N BTS T20 Kabina RP"/>
    <n v="20"/>
    <n v="0"/>
    <n v="20"/>
    <x v="0"/>
    <s v="4TBG"/>
    <s v="RP"/>
    <s v="380"/>
    <s v="4.0 UN"/>
    <s v="STANDARD"/>
    <s v="N"/>
    <s v="N"/>
    <s v="Y"/>
    <s v="T20"/>
    <s v="N"/>
    <s v="N"/>
    <s v="N"/>
    <s v="N"/>
    <s v="B005"/>
    <d v="2016-12-07T00:00:00"/>
    <s v="20"/>
    <s v="TAN"/>
    <s v="OR"/>
    <d v="2016-12-02T00:00:00"/>
    <s v="MI"/>
    <s v="US"/>
    <s v="ZR"/>
    <d v="2016-12-02T00:00:00"/>
  </r>
  <r>
    <x v="1"/>
    <x v="0"/>
    <x v="2151"/>
    <x v="29"/>
    <s v="Standard order"/>
    <x v="2033"/>
    <x v="1972"/>
    <s v="1399"/>
    <s v="BTS 1399"/>
    <s v="5002348"/>
    <s v="1399 BTS T20 Kabina RP"/>
    <n v="52"/>
    <n v="0"/>
    <n v="52"/>
    <x v="0"/>
    <s v="EG74"/>
    <s v="RP"/>
    <s v="380"/>
    <s v="4.0 UN"/>
    <s v="STANDARD"/>
    <s v="N"/>
    <s v="N"/>
    <s v="Y"/>
    <s v="T20"/>
    <s v="N"/>
    <s v="N"/>
    <s v="N"/>
    <s v="N"/>
    <s v="B005"/>
    <d v="2016-12-07T00:00:00"/>
    <s v="30"/>
    <s v="TAN"/>
    <s v="OR"/>
    <d v="2016-12-02T00:00:00"/>
    <s v="MI"/>
    <s v="US"/>
    <s v="ZR"/>
    <d v="2016-12-02T00:00:00"/>
  </r>
  <r>
    <x v="1"/>
    <x v="6"/>
    <x v="2152"/>
    <x v="48"/>
    <s v="Standard order"/>
    <x v="2034"/>
    <x v="302"/>
    <s v="459N"/>
    <s v="BTS 459N"/>
    <s v="5002256"/>
    <s v="459N BTS T20 PB SYSTIVA P100"/>
    <n v="44"/>
    <n v="0"/>
    <n v="44"/>
    <x v="6"/>
    <s v="DVNU"/>
    <s v="PRO 100"/>
    <s v="322"/>
    <s v="4.0 UN"/>
    <s v="STANDARD"/>
    <s v="N"/>
    <s v="N"/>
    <s v="N"/>
    <s v="T20"/>
    <s v="Y"/>
    <s v="N"/>
    <s v="Y"/>
    <s v="N"/>
    <s v="B012"/>
    <d v="2016-12-07T00:00:00"/>
    <s v="10"/>
    <s v="TAN"/>
    <s v="OR"/>
    <d v="2016-12-02T00:00:00"/>
    <s v="ND"/>
    <s v="US"/>
    <s v="ZR"/>
    <d v="2016-12-02T00:00:00"/>
  </r>
  <r>
    <x v="1"/>
    <x v="6"/>
    <x v="2152"/>
    <x v="48"/>
    <s v="Standard order"/>
    <x v="2034"/>
    <x v="302"/>
    <s v="444N"/>
    <s v="BTS 444N"/>
    <s v="5002226"/>
    <s v="444N BTS T20 PB SYSTIVA P100"/>
    <n v="20"/>
    <n v="0"/>
    <n v="20"/>
    <x v="6"/>
    <s v="DVND"/>
    <s v="PRO 100"/>
    <s v="322"/>
    <s v="4.0 UN"/>
    <s v="STANDARD"/>
    <s v="N"/>
    <s v="N"/>
    <s v="N"/>
    <s v="T20"/>
    <s v="Y"/>
    <s v="N"/>
    <s v="Y"/>
    <s v="N"/>
    <s v="B012"/>
    <d v="2016-12-07T00:00:00"/>
    <s v="20"/>
    <s v="TAN"/>
    <s v="OR"/>
    <d v="2016-12-02T00:00:00"/>
    <s v="ND"/>
    <s v="US"/>
    <s v="ZR"/>
    <d v="2016-12-02T00:00:00"/>
  </r>
  <r>
    <x v="1"/>
    <x v="5"/>
    <x v="2153"/>
    <x v="9"/>
    <s v="Standard order"/>
    <x v="2035"/>
    <x v="1973"/>
    <s v="353N"/>
    <s v="BTS 353N"/>
    <s v="5002524"/>
    <s v="353N BTS T20 PB SYSTIVA RP"/>
    <n v="20"/>
    <n v="0"/>
    <n v="20"/>
    <x v="5"/>
    <s v="EENZ"/>
    <s v="RP"/>
    <s v="322"/>
    <s v="4.0 UN"/>
    <s v="STANDARD"/>
    <s v="N"/>
    <s v="Y"/>
    <s v="N"/>
    <s v="T20"/>
    <s v="Y"/>
    <s v="N"/>
    <s v="N"/>
    <s v="N"/>
    <s v="B016"/>
    <d v="2016-12-07T00:00:00"/>
    <s v="10"/>
    <s v="TAN"/>
    <s v="OR"/>
    <d v="2016-12-02T00:00:00"/>
    <s v="WY"/>
    <s v="US"/>
    <s v="ZR"/>
    <d v="2016-12-02T00:00:00"/>
  </r>
  <r>
    <x v="1"/>
    <x v="5"/>
    <x v="2153"/>
    <x v="9"/>
    <s v="Standard order"/>
    <x v="2035"/>
    <x v="1973"/>
    <s v="336N"/>
    <s v="BTS 336N"/>
    <s v="5002400"/>
    <s v="336N BTS T20 PB SYSTIVA RP"/>
    <n v="100"/>
    <n v="0"/>
    <n v="100"/>
    <x v="5"/>
    <s v="EEMG"/>
    <s v="RP"/>
    <s v="322"/>
    <s v="4.0 UN"/>
    <s v="STANDARD"/>
    <s v="N"/>
    <s v="N"/>
    <s v="N"/>
    <s v="T20"/>
    <s v="Y"/>
    <s v="N"/>
    <s v="N"/>
    <s v="N"/>
    <s v="B016"/>
    <d v="2016-12-07T00:00:00"/>
    <s v="20"/>
    <s v="TAN"/>
    <s v="OR"/>
    <d v="2016-12-02T00:00:00"/>
    <s v="WY"/>
    <s v="US"/>
    <s v="ZR"/>
    <d v="2016-12-02T00:00:00"/>
  </r>
  <r>
    <x v="1"/>
    <x v="5"/>
    <x v="2154"/>
    <x v="13"/>
    <s v="Standard order"/>
    <x v="2036"/>
    <x v="1974"/>
    <s v="398N"/>
    <s v="BTS 39RR8N"/>
    <s v="5002572"/>
    <s v="39RR8N RP BetaShield PLUS"/>
    <n v="104"/>
    <n v="0"/>
    <n v="104"/>
    <x v="5"/>
    <s v="2771"/>
    <s v="RP"/>
    <s v="322"/>
    <s v="4.0 UN"/>
    <s v="STANDARD"/>
    <s v="N"/>
    <s v="Y"/>
    <s v="N"/>
    <s v="T20"/>
    <s v="Y"/>
    <s v="N"/>
    <s v="N"/>
    <s v="N"/>
    <s v=""/>
    <d v="2016-12-07T00:00:00"/>
    <s v="20"/>
    <s v="TAN"/>
    <s v="OR"/>
    <d v="2016-12-02T00:00:00"/>
    <s v="MT"/>
    <s v="US"/>
    <s v="ZR"/>
    <d v="2016-12-02T00:00:00"/>
  </r>
  <r>
    <x v="1"/>
    <x v="2"/>
    <x v="2155"/>
    <x v="6"/>
    <s v="Standard order"/>
    <x v="2037"/>
    <x v="1975"/>
    <s v="628N"/>
    <s v="BTS 62RR8N"/>
    <s v="5002683"/>
    <s v="628N BTS T20 PB SYSTIVA P100"/>
    <n v="56"/>
    <n v="0"/>
    <n v="56"/>
    <x v="2"/>
    <s v="BL73"/>
    <s v="PRO 100"/>
    <s v="322"/>
    <s v="4.0 UN"/>
    <s v="STANDARD"/>
    <s v="N"/>
    <s v="N"/>
    <s v="N"/>
    <s v="T20"/>
    <s v="Y"/>
    <s v="N"/>
    <s v="Y"/>
    <s v="N"/>
    <s v="B025"/>
    <d v="2016-12-07T00:00:00"/>
    <s v="10"/>
    <s v="TAN"/>
    <s v="OR"/>
    <d v="2016-12-02T00:00:00"/>
    <s v="NE"/>
    <s v="US"/>
    <s v="ZR"/>
    <d v="2016-12-02T00:00:00"/>
  </r>
  <r>
    <x v="1"/>
    <x v="2"/>
    <x v="2155"/>
    <x v="6"/>
    <s v="Standard order"/>
    <x v="2037"/>
    <x v="1975"/>
    <s v="64SN"/>
    <s v="BTS 64SN"/>
    <s v="5002420"/>
    <s v="64SN BTS T20 PB SYSTIVA P100"/>
    <n v="60"/>
    <n v="0"/>
    <n v="60"/>
    <x v="2"/>
    <s v="DVNB"/>
    <s v="PRO 100"/>
    <s v="322"/>
    <s v="4.0 UN"/>
    <s v="STANDARD"/>
    <s v="N"/>
    <s v="N"/>
    <s v="N"/>
    <s v="T20"/>
    <s v="Y"/>
    <s v="N"/>
    <s v="Y"/>
    <s v="N"/>
    <s v="B025"/>
    <d v="2016-12-07T00:00:00"/>
    <s v="20"/>
    <s v="TAN"/>
    <s v="OR"/>
    <d v="2016-12-02T00:00:00"/>
    <s v="NE"/>
    <s v="US"/>
    <s v="ZR"/>
    <d v="2016-12-02T00:00:00"/>
  </r>
  <r>
    <x v="1"/>
    <x v="0"/>
    <x v="2156"/>
    <x v="29"/>
    <s v="Standard order"/>
    <x v="2038"/>
    <x v="1976"/>
    <s v="1399"/>
    <s v="BTS 1399"/>
    <s v="5002356"/>
    <s v="1399 BTS T20 PB Kabina RP"/>
    <n v="24"/>
    <n v="0"/>
    <n v="24"/>
    <x v="0"/>
    <s v="EG74"/>
    <s v="RP"/>
    <s v="382"/>
    <s v="4.0 UN"/>
    <s v="STANDARD"/>
    <s v="N"/>
    <s v="Y"/>
    <s v="Y"/>
    <s v="T20"/>
    <s v="N"/>
    <s v="N"/>
    <s v="N"/>
    <s v="N"/>
    <s v="B005"/>
    <d v="2016-12-07T00:00:00"/>
    <s v="10"/>
    <s v="TAN"/>
    <s v="OR"/>
    <d v="2016-12-02T00:00:00"/>
    <s v="MI"/>
    <s v="US"/>
    <s v="ZR"/>
    <d v="2016-12-02T00:00:00"/>
  </r>
  <r>
    <x v="1"/>
    <x v="4"/>
    <x v="2157"/>
    <x v="47"/>
    <s v="Standard order"/>
    <x v="2039"/>
    <x v="425"/>
    <s v="2570"/>
    <s v="BTS 2570"/>
    <s v="5002555"/>
    <s v="2570 BTS PB XL"/>
    <n v="68"/>
    <n v="0"/>
    <n v="68"/>
    <x v="4"/>
    <s v="EZNS"/>
    <s v="X-LARGE"/>
    <s v="307"/>
    <s v="4.0 UN"/>
    <s v="STANDARD"/>
    <s v="N"/>
    <s v="Y"/>
    <s v="N"/>
    <s v="N"/>
    <s v="N"/>
    <s v="N"/>
    <s v="N"/>
    <s v="N"/>
    <s v="B050"/>
    <d v="2016-12-07T00:00:00"/>
    <s v="10"/>
    <s v="TAN"/>
    <s v="OR"/>
    <d v="2016-12-02T00:00:00"/>
    <s v="ID"/>
    <s v="US"/>
    <s v="ZR"/>
    <d v="2016-12-02T00:00:00"/>
  </r>
  <r>
    <x v="1"/>
    <x v="4"/>
    <x v="2157"/>
    <x v="47"/>
    <s v="Standard order"/>
    <x v="2039"/>
    <x v="425"/>
    <s v="251N"/>
    <s v="BTS 251N"/>
    <s v="5002196"/>
    <s v="251N BTS PB XL"/>
    <n v="52"/>
    <n v="0"/>
    <n v="52"/>
    <x v="4"/>
    <s v="5HBR"/>
    <s v="X-LARGE"/>
    <s v="307"/>
    <s v="4.0 UN"/>
    <s v="STANDARD"/>
    <s v="N"/>
    <s v="Y"/>
    <s v="N"/>
    <s v="N"/>
    <s v="N"/>
    <s v="N"/>
    <s v="N"/>
    <s v="N"/>
    <s v="B050"/>
    <d v="2016-12-07T00:00:00"/>
    <s v="20"/>
    <s v="TAN"/>
    <s v="OR"/>
    <d v="2016-12-02T00:00:00"/>
    <s v="ID"/>
    <s v="US"/>
    <s v="ZR"/>
    <d v="2016-12-02T00:00:00"/>
  </r>
  <r>
    <x v="1"/>
    <x v="4"/>
    <x v="2157"/>
    <x v="47"/>
    <s v="Standard order"/>
    <x v="2039"/>
    <x v="425"/>
    <s v="225N"/>
    <s v="BTS 22RR5N"/>
    <s v="5002119"/>
    <s v="225N BTS PB XL"/>
    <n v="120"/>
    <n v="0"/>
    <n v="120"/>
    <x v="4"/>
    <s v="4TBD"/>
    <s v="X-LARGE"/>
    <s v="307"/>
    <s v="4.0 UN"/>
    <s v="STANDARD"/>
    <s v="N"/>
    <s v="Y"/>
    <s v="N"/>
    <s v="N"/>
    <s v="N"/>
    <s v="N"/>
    <s v="N"/>
    <s v="N"/>
    <s v="B050"/>
    <d v="2016-12-07T00:00:00"/>
    <s v="30"/>
    <s v="TAN"/>
    <s v="OR"/>
    <d v="2016-12-02T00:00:00"/>
    <s v="ID"/>
    <s v="US"/>
    <s v="ZR"/>
    <d v="2016-12-02T00:00:00"/>
  </r>
  <r>
    <x v="1"/>
    <x v="4"/>
    <x v="2158"/>
    <x v="46"/>
    <s v="Standard order"/>
    <x v="2040"/>
    <x v="78"/>
    <s v="2570"/>
    <s v="BTS 2570"/>
    <s v="5002555"/>
    <s v="2570 BTS PB XL"/>
    <n v="60"/>
    <n v="0"/>
    <n v="60"/>
    <x v="4"/>
    <s v="EZNS"/>
    <s v="X-LARGE"/>
    <s v="307"/>
    <s v="4.0 UN"/>
    <s v="STANDARD"/>
    <s v="N"/>
    <s v="Y"/>
    <s v="N"/>
    <s v="N"/>
    <s v="N"/>
    <s v="N"/>
    <s v="N"/>
    <s v="N"/>
    <s v="B049"/>
    <d v="2016-12-07T00:00:00"/>
    <s v="10"/>
    <s v="TAN"/>
    <s v="OR"/>
    <d v="2016-12-02T00:00:00"/>
    <s v="ID"/>
    <s v="US"/>
    <s v="ZR"/>
    <d v="2016-12-02T00:00:00"/>
  </r>
  <r>
    <x v="1"/>
    <x v="4"/>
    <x v="2158"/>
    <x v="46"/>
    <s v="Standard order"/>
    <x v="2040"/>
    <x v="78"/>
    <s v="2559"/>
    <s v="BTS 2559"/>
    <s v="5002563"/>
    <s v="2559 BTS PB XL"/>
    <n v="40"/>
    <n v="0"/>
    <n v="40"/>
    <x v="4"/>
    <s v="FGNE"/>
    <s v="X-LARGE"/>
    <s v="307"/>
    <s v="4.0 UN"/>
    <s v="STANDARD"/>
    <s v="N"/>
    <s v="Y"/>
    <s v="N"/>
    <s v="N"/>
    <s v="N"/>
    <s v="N"/>
    <s v="N"/>
    <s v="N"/>
    <s v="B049"/>
    <d v="2016-12-07T00:00:00"/>
    <s v="20"/>
    <s v="TAN"/>
    <s v="OR"/>
    <d v="2016-12-02T00:00:00"/>
    <s v="ID"/>
    <s v="US"/>
    <s v="ZR"/>
    <d v="2016-12-02T00:00:00"/>
  </r>
  <r>
    <x v="1"/>
    <x v="4"/>
    <x v="2158"/>
    <x v="46"/>
    <s v="Standard order"/>
    <x v="2040"/>
    <x v="78"/>
    <s v="2523"/>
    <s v="BTS 2523"/>
    <s v="5002529"/>
    <s v="2523 BTS PB XL"/>
    <n v="32"/>
    <n v="0"/>
    <n v="32"/>
    <x v="4"/>
    <s v="EZPC"/>
    <s v="X-LARGE"/>
    <s v="307"/>
    <s v="4.0 UN"/>
    <s v="STANDARD"/>
    <s v="N"/>
    <s v="Y"/>
    <s v="N"/>
    <s v="N"/>
    <s v="N"/>
    <s v="N"/>
    <s v="N"/>
    <s v="N"/>
    <s v="B049"/>
    <d v="2016-12-07T00:00:00"/>
    <s v="30"/>
    <s v="TAN"/>
    <s v="OR"/>
    <d v="2016-12-02T00:00:00"/>
    <s v="ID"/>
    <s v="US"/>
    <s v="ZR"/>
    <d v="2016-12-02T00:00:00"/>
  </r>
  <r>
    <x v="1"/>
    <x v="0"/>
    <x v="2159"/>
    <x v="29"/>
    <s v="Standard order"/>
    <x v="2041"/>
    <x v="1977"/>
    <s v="1399"/>
    <s v="BTS 1399"/>
    <s v="5002348"/>
    <s v="1399 BTS T20 Kabina RP"/>
    <n v="216"/>
    <n v="0"/>
    <n v="216"/>
    <x v="0"/>
    <s v="EG74"/>
    <s v="RP"/>
    <s v="380"/>
    <s v="4.0 UN"/>
    <s v="STANDARD"/>
    <s v="N"/>
    <s v="N"/>
    <s v="Y"/>
    <s v="T20"/>
    <s v="N"/>
    <s v="N"/>
    <s v="N"/>
    <s v="N"/>
    <s v="B005"/>
    <d v="2016-12-07T00:00:00"/>
    <s v="10"/>
    <s v="TAN"/>
    <s v="OR"/>
    <d v="2016-12-01T00:00:00"/>
    <s v="MI"/>
    <s v="US"/>
    <s v="ZR"/>
    <d v="2016-12-02T00:00:00"/>
  </r>
  <r>
    <x v="1"/>
    <x v="6"/>
    <x v="2160"/>
    <x v="48"/>
    <s v="Standard order"/>
    <x v="2042"/>
    <x v="1978"/>
    <s v="444N"/>
    <s v="BTS 444N"/>
    <s v="5002226"/>
    <s v="444N BTS T20 PB SYSTIVA P100"/>
    <n v="40"/>
    <n v="0"/>
    <n v="40"/>
    <x v="6"/>
    <s v="DVND"/>
    <s v="PRO 100"/>
    <s v="322"/>
    <s v="4.0 UN"/>
    <s v="STANDARD"/>
    <s v="N"/>
    <s v="N"/>
    <s v="N"/>
    <s v="T20"/>
    <s v="Y"/>
    <s v="N"/>
    <s v="Y"/>
    <s v="N"/>
    <s v="B012"/>
    <d v="2016-12-07T00:00:00"/>
    <s v="10"/>
    <s v="TAN"/>
    <s v="OR"/>
    <d v="2016-12-02T00:00:00"/>
    <s v="ND"/>
    <s v="US"/>
    <s v="ZR"/>
    <d v="2016-12-02T00:00:00"/>
  </r>
  <r>
    <x v="1"/>
    <x v="6"/>
    <x v="2160"/>
    <x v="48"/>
    <s v="Standard order"/>
    <x v="2042"/>
    <x v="1978"/>
    <s v="437N"/>
    <s v="BTS 437N"/>
    <s v="5002208"/>
    <s v="437N BTS T20 PB SYSTIVA P100"/>
    <n v="40"/>
    <n v="0"/>
    <n v="40"/>
    <x v="6"/>
    <s v="EE73"/>
    <s v="PRO 100"/>
    <s v="322"/>
    <s v="4.0 UN"/>
    <s v="STANDARD"/>
    <s v="N"/>
    <s v="N"/>
    <s v="N"/>
    <s v="T20"/>
    <s v="Y"/>
    <s v="N"/>
    <s v="Y"/>
    <s v="N"/>
    <s v="B012"/>
    <d v="2016-12-07T00:00:00"/>
    <s v="20"/>
    <s v="TAN"/>
    <s v="OR"/>
    <d v="2016-12-02T00:00:00"/>
    <s v="ND"/>
    <s v="US"/>
    <s v="ZR"/>
    <d v="2016-12-02T00:00:00"/>
  </r>
  <r>
    <x v="1"/>
    <x v="7"/>
    <x v="2161"/>
    <x v="41"/>
    <s v="Standard order"/>
    <x v="2043"/>
    <x v="1979"/>
    <s v="8512"/>
    <s v="BTS 8512"/>
    <s v="5002876"/>
    <s v="8512 BTS T35 PB SYSTIVA RP"/>
    <n v="36"/>
    <n v="0"/>
    <n v="36"/>
    <x v="7"/>
    <s v="FX73"/>
    <s v="RP"/>
    <s v="333"/>
    <s v="4.0 UN"/>
    <s v="STANDARD"/>
    <s v="N"/>
    <s v="Y"/>
    <s v="N"/>
    <s v="T35"/>
    <s v="Y"/>
    <s v="N"/>
    <s v="Y"/>
    <s v="N"/>
    <s v="B032"/>
    <d v="2016-12-07T00:00:00"/>
    <s v="10"/>
    <s v="TAN"/>
    <s v="OR"/>
    <d v="2016-12-02T00:00:00"/>
    <s v="MN"/>
    <s v="US"/>
    <s v="ZR"/>
    <d v="2016-12-02T00:00:00"/>
  </r>
  <r>
    <x v="1"/>
    <x v="4"/>
    <x v="2162"/>
    <x v="50"/>
    <s v="Standard order"/>
    <x v="2044"/>
    <x v="344"/>
    <s v="2720"/>
    <s v="BTS 27RR20"/>
    <s v="5002142"/>
    <s v="2720 BTS PB XL"/>
    <n v="24"/>
    <n v="0"/>
    <n v="24"/>
    <x v="4"/>
    <s v="4GAY"/>
    <s v="X-LARGE"/>
    <s v="307"/>
    <s v="4.0 UN"/>
    <s v="STANDARD"/>
    <s v="N"/>
    <s v="Y"/>
    <s v="N"/>
    <s v="N"/>
    <s v="N"/>
    <s v="N"/>
    <s v="N"/>
    <s v="N"/>
    <s v="B047"/>
    <d v="2016-12-07T00:00:00"/>
    <s v="10"/>
    <s v="TAN"/>
    <s v="OR"/>
    <d v="2016-12-02T00:00:00"/>
    <s v="ID"/>
    <s v="US"/>
    <s v="ZR"/>
    <d v="2016-12-02T00:00:00"/>
  </r>
  <r>
    <x v="1"/>
    <x v="4"/>
    <x v="2162"/>
    <x v="50"/>
    <s v="Standard order"/>
    <x v="2044"/>
    <x v="344"/>
    <s v="225N"/>
    <s v="BTS 22RR5N"/>
    <s v="5002119"/>
    <s v="225N BTS PB XL"/>
    <n v="32"/>
    <n v="0"/>
    <n v="32"/>
    <x v="4"/>
    <s v="4TBD"/>
    <s v="X-LARGE"/>
    <s v="307"/>
    <s v="4.0 UN"/>
    <s v="STANDARD"/>
    <s v="N"/>
    <s v="Y"/>
    <s v="N"/>
    <s v="N"/>
    <s v="N"/>
    <s v="N"/>
    <s v="N"/>
    <s v="N"/>
    <s v="B047"/>
    <d v="2016-12-07T00:00:00"/>
    <s v="20"/>
    <s v="TAN"/>
    <s v="OR"/>
    <d v="2016-12-02T00:00:00"/>
    <s v="ID"/>
    <s v="US"/>
    <s v="ZR"/>
    <d v="2016-12-02T00:00:00"/>
  </r>
  <r>
    <x v="1"/>
    <x v="4"/>
    <x v="2162"/>
    <x v="50"/>
    <s v="Standard order"/>
    <x v="2044"/>
    <x v="344"/>
    <s v="2570"/>
    <s v="BTS 2570"/>
    <s v="5003285"/>
    <s v="2570 BTS PB Kabina XL"/>
    <n v="28"/>
    <n v="0"/>
    <n v="28"/>
    <x v="4"/>
    <s v="EZNS"/>
    <s v="X-LARGE"/>
    <s v="384"/>
    <s v="4.0 UN"/>
    <s v="STANDARD"/>
    <s v="N"/>
    <s v="Y"/>
    <s v="Y"/>
    <s v="N"/>
    <s v="N"/>
    <s v="N"/>
    <s v="N"/>
    <s v="N"/>
    <s v="B047"/>
    <d v="2016-12-07T00:00:00"/>
    <s v="30"/>
    <s v="TAN"/>
    <s v="OR"/>
    <d v="2016-12-02T00:00:00"/>
    <s v="ID"/>
    <s v="US"/>
    <s v="ZR"/>
    <d v="2016-12-02T00:00:00"/>
  </r>
  <r>
    <x v="1"/>
    <x v="5"/>
    <x v="2163"/>
    <x v="12"/>
    <s v="Standard order"/>
    <x v="2045"/>
    <x v="163"/>
    <s v="398N"/>
    <s v="BTS 39RR8N"/>
    <s v="5002570"/>
    <s v="39RR8N P200 BetaShield PLUS"/>
    <n v="152"/>
    <n v="0"/>
    <n v="152"/>
    <x v="5"/>
    <s v="2771"/>
    <s v="PRO 200"/>
    <s v="322"/>
    <s v="4.0 UN"/>
    <s v="STANDARD"/>
    <s v="N"/>
    <s v="Y"/>
    <s v="N"/>
    <s v="T20"/>
    <s v="Y"/>
    <s v="N"/>
    <s v="N"/>
    <s v="N"/>
    <s v=""/>
    <d v="2016-12-07T00:00:00"/>
    <s v="40"/>
    <s v="TAN"/>
    <s v="OR"/>
    <d v="2016-12-02T00:00:00"/>
    <s v="MT"/>
    <s v="US"/>
    <s v="ZR"/>
    <d v="2016-12-02T00:00:00"/>
  </r>
  <r>
    <x v="1"/>
    <x v="5"/>
    <x v="2163"/>
    <x v="12"/>
    <s v="Standard order"/>
    <x v="2045"/>
    <x v="163"/>
    <s v="336N"/>
    <s v="BTS 336N"/>
    <s v="5002199"/>
    <s v="336N BTS T20 PB SYSTIVA P200"/>
    <n v="152"/>
    <n v="0"/>
    <n v="152"/>
    <x v="5"/>
    <s v="EEMG"/>
    <s v="PRO 200"/>
    <s v="322"/>
    <s v="4.0 UN"/>
    <s v="STANDARD"/>
    <s v="N"/>
    <s v="N"/>
    <s v="N"/>
    <s v="T20"/>
    <s v="Y"/>
    <s v="N"/>
    <s v="N"/>
    <s v="N"/>
    <s v="B014"/>
    <d v="2016-12-07T00:00:00"/>
    <s v="10"/>
    <s v="TAN"/>
    <s v="OR"/>
    <d v="2016-12-02T00:00:00"/>
    <s v="MT"/>
    <s v="US"/>
    <s v="ZR"/>
    <d v="2016-12-02T00:00:00"/>
  </r>
  <r>
    <x v="1"/>
    <x v="5"/>
    <x v="2163"/>
    <x v="12"/>
    <s v="Standard order"/>
    <x v="2045"/>
    <x v="163"/>
    <s v="353N"/>
    <s v="BTS 353N"/>
    <s v="5002522"/>
    <s v="353N BTS T20 PB SYSTIVA P200"/>
    <n v="36"/>
    <n v="0"/>
    <n v="36"/>
    <x v="5"/>
    <s v="EENZ"/>
    <s v="PRO 200"/>
    <s v="322"/>
    <s v="4.0 UN"/>
    <s v="STANDARD"/>
    <s v="N"/>
    <s v="Y"/>
    <s v="N"/>
    <s v="T20"/>
    <s v="Y"/>
    <s v="N"/>
    <s v="N"/>
    <s v="N"/>
    <s v="B014"/>
    <d v="2016-12-07T00:00:00"/>
    <s v="30"/>
    <s v="TAN"/>
    <s v="OR"/>
    <d v="2016-12-02T00:00:00"/>
    <s v="MT"/>
    <s v="US"/>
    <s v="ZR"/>
    <d v="2016-12-02T00:00:00"/>
  </r>
  <r>
    <x v="1"/>
    <x v="0"/>
    <x v="2164"/>
    <x v="29"/>
    <s v="Standard order"/>
    <x v="2046"/>
    <x v="1980"/>
    <s v="1399"/>
    <s v="BTS 1399"/>
    <s v="5002348"/>
    <s v="1399 BTS T20 Kabina RP"/>
    <n v="96"/>
    <n v="0"/>
    <n v="96"/>
    <x v="0"/>
    <s v="EG74"/>
    <s v="RP"/>
    <s v="380"/>
    <s v="4.0 UN"/>
    <s v="STANDARD"/>
    <s v="N"/>
    <s v="N"/>
    <s v="Y"/>
    <s v="T20"/>
    <s v="N"/>
    <s v="N"/>
    <s v="N"/>
    <s v="N"/>
    <s v="B005"/>
    <d v="2016-12-07T00:00:00"/>
    <s v="10"/>
    <s v="TAN"/>
    <s v="OR"/>
    <d v="2016-12-01T00:00:00"/>
    <s v="MI"/>
    <s v="US"/>
    <s v="ZR"/>
    <d v="2016-12-02T00:00:00"/>
  </r>
  <r>
    <x v="1"/>
    <x v="0"/>
    <x v="2165"/>
    <x v="29"/>
    <s v="Standard order"/>
    <x v="2047"/>
    <x v="1981"/>
    <s v="1399"/>
    <s v="BTS 1399"/>
    <s v="5002346"/>
    <s v="1399 BTS T20 Kabina MP"/>
    <n v="108"/>
    <n v="0"/>
    <n v="108"/>
    <x v="0"/>
    <s v="EG74"/>
    <s v="MP"/>
    <s v="380"/>
    <s v="4.0 UN"/>
    <s v="STANDARD"/>
    <s v="N"/>
    <s v="N"/>
    <s v="Y"/>
    <s v="T20"/>
    <s v="N"/>
    <s v="N"/>
    <s v="N"/>
    <s v="N"/>
    <s v="B005"/>
    <d v="2016-12-07T00:00:00"/>
    <s v="10"/>
    <s v="TAN"/>
    <s v="OR"/>
    <d v="2016-12-01T00:00:00"/>
    <s v="MI"/>
    <s v="US"/>
    <s v="ZR"/>
    <d v="2016-12-02T00:00:00"/>
  </r>
  <r>
    <x v="1"/>
    <x v="0"/>
    <x v="2166"/>
    <x v="43"/>
    <s v="Standard order"/>
    <x v="2048"/>
    <x v="650"/>
    <s v="122N"/>
    <s v="BTS 12RR2N"/>
    <s v="5002311"/>
    <s v="122N BTS T20 Kabina RP"/>
    <n v="64"/>
    <n v="0"/>
    <n v="64"/>
    <x v="0"/>
    <s v="4TBG"/>
    <s v="RP"/>
    <s v="380"/>
    <s v="4.0 UN"/>
    <s v="STANDARD"/>
    <s v="N"/>
    <s v="N"/>
    <s v="Y"/>
    <s v="T20"/>
    <s v="N"/>
    <s v="N"/>
    <s v="N"/>
    <s v="N"/>
    <s v="B006"/>
    <d v="2016-12-07T00:00:00"/>
    <s v="10"/>
    <s v="TAN"/>
    <s v="OR"/>
    <d v="2016-12-02T00:00:00"/>
    <s v="MI"/>
    <s v="US"/>
    <s v="ZR"/>
    <d v="2016-12-02T00:00:00"/>
  </r>
  <r>
    <x v="1"/>
    <x v="0"/>
    <x v="2166"/>
    <x v="43"/>
    <s v="Standard order"/>
    <x v="2048"/>
    <x v="650"/>
    <s v="1399"/>
    <s v="BTS 1399"/>
    <s v="5002348"/>
    <s v="1399 BTS T20 Kabina RP"/>
    <n v="40"/>
    <n v="0"/>
    <n v="40"/>
    <x v="0"/>
    <s v="EG74"/>
    <s v="RP"/>
    <s v="380"/>
    <s v="4.0 UN"/>
    <s v="STANDARD"/>
    <s v="N"/>
    <s v="N"/>
    <s v="Y"/>
    <s v="T20"/>
    <s v="N"/>
    <s v="N"/>
    <s v="N"/>
    <s v="N"/>
    <s v="B006"/>
    <d v="2016-12-07T00:00:00"/>
    <s v="20"/>
    <s v="TAN"/>
    <s v="OR"/>
    <d v="2016-12-02T00:00:00"/>
    <s v="MI"/>
    <s v="US"/>
    <s v="ZR"/>
    <d v="2016-12-02T00:00:00"/>
  </r>
  <r>
    <x v="1"/>
    <x v="0"/>
    <x v="2166"/>
    <x v="43"/>
    <s v="Standard order"/>
    <x v="2048"/>
    <x v="650"/>
    <s v="149N"/>
    <s v="BTS 149N"/>
    <s v="5002368"/>
    <s v="149N BTS T20 Kabina RP"/>
    <n v="20"/>
    <n v="0"/>
    <n v="20"/>
    <x v="0"/>
    <s v="EEND"/>
    <s v="RP"/>
    <s v="380"/>
    <s v="4.0 UN"/>
    <s v="STANDARD"/>
    <s v="N"/>
    <s v="N"/>
    <s v="Y"/>
    <s v="T20"/>
    <s v="N"/>
    <s v="N"/>
    <s v="N"/>
    <s v="N"/>
    <s v="B006"/>
    <d v="2016-12-07T00:00:00"/>
    <s v="30"/>
    <s v="TAN"/>
    <s v="OR"/>
    <d v="2016-12-02T00:00:00"/>
    <s v="MI"/>
    <s v="US"/>
    <s v="ZR"/>
    <d v="2016-12-02T00:00:00"/>
  </r>
  <r>
    <x v="1"/>
    <x v="4"/>
    <x v="2167"/>
    <x v="44"/>
    <s v="Standard order"/>
    <x v="2049"/>
    <x v="1982"/>
    <s v="4933"/>
    <s v="BTS 49RR33"/>
    <s v="5002293"/>
    <s v="4933 BTS T20 PB MP IDH"/>
    <n v="36"/>
    <n v="0"/>
    <n v="36"/>
    <x v="4"/>
    <s v="AKMC"/>
    <s v="MP"/>
    <s v="308"/>
    <s v="4.0 UN"/>
    <s v="STANDARD"/>
    <s v="N"/>
    <s v="Y"/>
    <s v="N"/>
    <s v="T20"/>
    <s v="N"/>
    <s v="N"/>
    <s v="N"/>
    <s v="N"/>
    <s v="MB13"/>
    <d v="2016-12-07T00:00:00"/>
    <s v="10"/>
    <s v="TAN"/>
    <s v="OR"/>
    <d v="2016-12-02T00:00:00"/>
    <s v="OR"/>
    <s v="US"/>
    <s v="ZR"/>
    <d v="2016-12-02T00:00:00"/>
  </r>
  <r>
    <x v="1"/>
    <x v="5"/>
    <x v="2168"/>
    <x v="9"/>
    <s v="Standard order"/>
    <x v="2050"/>
    <x v="182"/>
    <s v="353N"/>
    <s v="BTS 353N"/>
    <s v="5002522"/>
    <s v="353N BTS T20 PB SYSTIVA P200"/>
    <n v="12"/>
    <n v="0"/>
    <n v="12"/>
    <x v="5"/>
    <s v="EENZ"/>
    <s v="PRO 200"/>
    <s v="322"/>
    <s v="4.0 UN"/>
    <s v="STANDARD"/>
    <s v="N"/>
    <s v="Y"/>
    <s v="N"/>
    <s v="T20"/>
    <s v="Y"/>
    <s v="N"/>
    <s v="N"/>
    <s v="N"/>
    <s v="B016"/>
    <d v="2016-12-07T00:00:00"/>
    <s v="10"/>
    <s v="TAN"/>
    <s v="OR"/>
    <d v="2016-12-01T00:00:00"/>
    <s v="WY"/>
    <s v="US"/>
    <s v="ZR"/>
    <d v="2016-12-02T00:00:00"/>
  </r>
  <r>
    <x v="1"/>
    <x v="5"/>
    <x v="2168"/>
    <x v="9"/>
    <s v="Standard order"/>
    <x v="2050"/>
    <x v="182"/>
    <s v="398N"/>
    <s v="BTS 39RR8N"/>
    <s v="5002570"/>
    <s v="39RR8N P200 BetaShield PLUS"/>
    <n v="16"/>
    <n v="0"/>
    <n v="16"/>
    <x v="5"/>
    <s v="2771"/>
    <s v="PRO 200"/>
    <s v="322"/>
    <s v="4.0 UN"/>
    <s v="STANDARD"/>
    <s v="N"/>
    <s v="Y"/>
    <s v="N"/>
    <s v="T20"/>
    <s v="Y"/>
    <s v="N"/>
    <s v="N"/>
    <s v="N"/>
    <s v=""/>
    <d v="2016-12-07T00:00:00"/>
    <s v="30"/>
    <s v="TAN"/>
    <s v="OR"/>
    <d v="2016-12-01T00:00:00"/>
    <s v="WY"/>
    <s v="US"/>
    <s v="ZR"/>
    <d v="2016-12-02T00:00:00"/>
  </r>
  <r>
    <x v="1"/>
    <x v="4"/>
    <x v="2169"/>
    <x v="46"/>
    <s v="Standard order"/>
    <x v="2051"/>
    <x v="260"/>
    <s v="251N"/>
    <s v="BTS 251N"/>
    <s v="5002196"/>
    <s v="251N BTS PB XL"/>
    <n v="96"/>
    <n v="0"/>
    <n v="96"/>
    <x v="4"/>
    <s v="5HBR"/>
    <s v="X-LARGE"/>
    <s v="307"/>
    <s v="4.0 UN"/>
    <s v="STANDARD"/>
    <s v="N"/>
    <s v="Y"/>
    <s v="N"/>
    <s v="N"/>
    <s v="N"/>
    <s v="N"/>
    <s v="N"/>
    <s v="N"/>
    <s v="B049"/>
    <d v="2016-12-07T00:00:00"/>
    <s v="10"/>
    <s v="TAN"/>
    <s v="OR"/>
    <d v="2016-12-02T00:00:00"/>
    <s v="ID"/>
    <s v="US"/>
    <s v="ZR"/>
    <d v="2016-12-02T00:00:00"/>
  </r>
  <r>
    <x v="1"/>
    <x v="4"/>
    <x v="2169"/>
    <x v="46"/>
    <s v="Standard order"/>
    <x v="2051"/>
    <x v="260"/>
    <s v="2523"/>
    <s v="BTS 2523"/>
    <s v="5002529"/>
    <s v="2523 BTS PB XL"/>
    <n v="96"/>
    <n v="0"/>
    <n v="96"/>
    <x v="4"/>
    <s v="EZPC"/>
    <s v="X-LARGE"/>
    <s v="307"/>
    <s v="4.0 UN"/>
    <s v="STANDARD"/>
    <s v="N"/>
    <s v="Y"/>
    <s v="N"/>
    <s v="N"/>
    <s v="N"/>
    <s v="N"/>
    <s v="N"/>
    <s v="N"/>
    <s v="B049"/>
    <d v="2016-12-07T00:00:00"/>
    <s v="20"/>
    <s v="TAN"/>
    <s v="OR"/>
    <d v="2016-12-02T00:00:00"/>
    <s v="ID"/>
    <s v="US"/>
    <s v="ZR"/>
    <d v="2016-12-02T00:00:00"/>
  </r>
  <r>
    <x v="1"/>
    <x v="4"/>
    <x v="2169"/>
    <x v="46"/>
    <s v="Standard order"/>
    <x v="2051"/>
    <x v="260"/>
    <s v="2570"/>
    <s v="BTS 2570"/>
    <s v="5002555"/>
    <s v="2570 BTS PB XL"/>
    <n v="144"/>
    <n v="0"/>
    <n v="144"/>
    <x v="4"/>
    <s v="EZNS"/>
    <s v="X-LARGE"/>
    <s v="307"/>
    <s v="4.0 UN"/>
    <s v="STANDARD"/>
    <s v="N"/>
    <s v="Y"/>
    <s v="N"/>
    <s v="N"/>
    <s v="N"/>
    <s v="N"/>
    <s v="N"/>
    <s v="N"/>
    <s v="B049"/>
    <d v="2016-12-07T00:00:00"/>
    <s v="30"/>
    <s v="TAN"/>
    <s v="OR"/>
    <d v="2016-12-02T00:00:00"/>
    <s v="ID"/>
    <s v="US"/>
    <s v="ZR"/>
    <d v="2016-12-02T00:00:00"/>
  </r>
  <r>
    <x v="1"/>
    <x v="4"/>
    <x v="2169"/>
    <x v="46"/>
    <s v="Standard order"/>
    <x v="2051"/>
    <x v="260"/>
    <s v="2559"/>
    <s v="BTS 2559"/>
    <s v="5002563"/>
    <s v="2559 BTS PB XL"/>
    <n v="96"/>
    <n v="0"/>
    <n v="96"/>
    <x v="4"/>
    <s v="FGNE"/>
    <s v="X-LARGE"/>
    <s v="307"/>
    <s v="4.0 UN"/>
    <s v="STANDARD"/>
    <s v="N"/>
    <s v="Y"/>
    <s v="N"/>
    <s v="N"/>
    <s v="N"/>
    <s v="N"/>
    <s v="N"/>
    <s v="N"/>
    <s v="B049"/>
    <d v="2016-12-07T00:00:00"/>
    <s v="40"/>
    <s v="TAN"/>
    <s v="OR"/>
    <d v="2016-12-02T00:00:00"/>
    <s v="ID"/>
    <s v="US"/>
    <s v="ZR"/>
    <d v="2016-12-02T00:00:00"/>
  </r>
  <r>
    <x v="1"/>
    <x v="4"/>
    <x v="2169"/>
    <x v="46"/>
    <s v="Standard order"/>
    <x v="2051"/>
    <x v="260"/>
    <s v="2125"/>
    <s v="BTS 21RR25"/>
    <s v="5002395"/>
    <s v="2125 BTS PB XL"/>
    <n v="384"/>
    <n v="0"/>
    <n v="384"/>
    <x v="4"/>
    <s v="AP92"/>
    <s v="X-LARGE"/>
    <s v="307"/>
    <s v="4.0 UN"/>
    <s v="STANDARD"/>
    <s v="N"/>
    <s v="Y"/>
    <s v="N"/>
    <s v="N"/>
    <s v="N"/>
    <s v="N"/>
    <s v="N"/>
    <s v="N"/>
    <s v="B049"/>
    <d v="2016-12-07T00:00:00"/>
    <s v="50"/>
    <s v="TAN"/>
    <s v="OR"/>
    <d v="2016-12-02T00:00:00"/>
    <s v="ID"/>
    <s v="US"/>
    <s v="ZR"/>
    <d v="2016-12-02T00:00:00"/>
  </r>
  <r>
    <x v="1"/>
    <x v="4"/>
    <x v="2169"/>
    <x v="46"/>
    <s v="Standard order"/>
    <x v="2051"/>
    <x v="260"/>
    <s v="4933"/>
    <s v="BTS 49RR33"/>
    <s v="5002280"/>
    <s v="4933 BTS PB XL IDH"/>
    <n v="144"/>
    <n v="0"/>
    <n v="144"/>
    <x v="4"/>
    <s v="AKMC"/>
    <s v="X-LARGE"/>
    <s v="307"/>
    <s v="4.0 UN"/>
    <s v="STANDARD"/>
    <s v="N"/>
    <s v="Y"/>
    <s v="N"/>
    <s v="N"/>
    <s v="N"/>
    <s v="N"/>
    <s v="N"/>
    <s v="N"/>
    <s v="B049"/>
    <d v="2016-12-07T00:00:00"/>
    <s v="60"/>
    <s v="TAN"/>
    <s v="OR"/>
    <d v="2016-12-02T00:00:00"/>
    <s v="ID"/>
    <s v="US"/>
    <s v="ZR"/>
    <d v="2016-12-02T00:00:00"/>
  </r>
  <r>
    <x v="1"/>
    <x v="0"/>
    <x v="2170"/>
    <x v="54"/>
    <s v="Standard order"/>
    <x v="2052"/>
    <x v="1983"/>
    <s v="122N"/>
    <s v="BTS 12RR2N"/>
    <s v="5002311"/>
    <s v="122N BTS T20 Kabina RP"/>
    <n v="32"/>
    <n v="0"/>
    <n v="32"/>
    <x v="0"/>
    <s v="4TBG"/>
    <s v="RP"/>
    <s v="380"/>
    <s v="4.0 UN"/>
    <s v="STANDARD"/>
    <s v="N"/>
    <s v="N"/>
    <s v="Y"/>
    <s v="T20"/>
    <s v="N"/>
    <s v="N"/>
    <s v="N"/>
    <s v="N"/>
    <s v="B002"/>
    <d v="2016-12-07T00:00:00"/>
    <s v="10"/>
    <s v="TAN"/>
    <s v="OR"/>
    <d v="2016-12-02T00:00:00"/>
    <s v="MI"/>
    <s v="US"/>
    <s v="ZR"/>
    <d v="2016-12-02T00:00:00"/>
  </r>
  <r>
    <x v="1"/>
    <x v="0"/>
    <x v="2170"/>
    <x v="54"/>
    <s v="Standard order"/>
    <x v="2052"/>
    <x v="1983"/>
    <s v="149N"/>
    <s v="BTS 149N"/>
    <s v="5002368"/>
    <s v="149N BTS T20 Kabina RP"/>
    <n v="28"/>
    <n v="0"/>
    <n v="28"/>
    <x v="0"/>
    <s v="EEND"/>
    <s v="RP"/>
    <s v="380"/>
    <s v="4.0 UN"/>
    <s v="STANDARD"/>
    <s v="N"/>
    <s v="N"/>
    <s v="Y"/>
    <s v="T20"/>
    <s v="N"/>
    <s v="N"/>
    <s v="N"/>
    <s v="N"/>
    <s v="B002"/>
    <d v="2016-12-07T00:00:00"/>
    <s v="20"/>
    <s v="TAN"/>
    <s v="OR"/>
    <d v="2016-12-02T00:00:00"/>
    <s v="MI"/>
    <s v="US"/>
    <s v="ZR"/>
    <d v="2016-12-02T00:00:00"/>
  </r>
  <r>
    <x v="1"/>
    <x v="5"/>
    <x v="2171"/>
    <x v="13"/>
    <s v="Standard order"/>
    <x v="2053"/>
    <x v="1984"/>
    <s v="336N"/>
    <s v="BTS 336N"/>
    <s v="5002400"/>
    <s v="336N BTS T20 PB SYSTIVA RP"/>
    <n v="40"/>
    <n v="0"/>
    <n v="40"/>
    <x v="5"/>
    <s v="EEMG"/>
    <s v="RP"/>
    <s v="322"/>
    <s v="4.0 UN"/>
    <s v="STANDARD"/>
    <s v="N"/>
    <s v="N"/>
    <s v="N"/>
    <s v="T20"/>
    <s v="Y"/>
    <s v="N"/>
    <s v="N"/>
    <s v="N"/>
    <s v="B015"/>
    <d v="2016-12-07T00:00:00"/>
    <s v="10"/>
    <s v="TAN"/>
    <s v="OR"/>
    <d v="2016-12-02T00:00:00"/>
    <s v="MT"/>
    <s v="US"/>
    <s v="ZR"/>
    <d v="2016-12-02T00:00:00"/>
  </r>
  <r>
    <x v="1"/>
    <x v="4"/>
    <x v="2172"/>
    <x v="46"/>
    <s v="Standard order"/>
    <x v="2054"/>
    <x v="869"/>
    <s v="2125"/>
    <s v="BTS 21RR25"/>
    <s v="5002395"/>
    <s v="2125 BTS PB XL"/>
    <n v="28"/>
    <n v="0"/>
    <n v="28"/>
    <x v="4"/>
    <s v="AP92"/>
    <s v="X-LARGE"/>
    <s v="307"/>
    <s v="4.0 UN"/>
    <s v="STANDARD"/>
    <s v="N"/>
    <s v="Y"/>
    <s v="N"/>
    <s v="N"/>
    <s v="N"/>
    <s v="N"/>
    <s v="N"/>
    <s v="N"/>
    <s v="B049"/>
    <d v="2016-12-07T00:00:00"/>
    <s v="10"/>
    <s v="TAN"/>
    <s v="OR"/>
    <d v="2016-12-01T00:00:00"/>
    <s v="ID"/>
    <s v="US"/>
    <s v="ZR"/>
    <d v="2016-12-02T00:00:00"/>
  </r>
  <r>
    <x v="1"/>
    <x v="4"/>
    <x v="2172"/>
    <x v="46"/>
    <s v="Standard order"/>
    <x v="2054"/>
    <x v="869"/>
    <s v="6027"/>
    <s v="BTS 60RR27"/>
    <s v="5002625"/>
    <s v="6027 BTS PB XL IDH"/>
    <n v="20"/>
    <n v="0"/>
    <n v="20"/>
    <x v="4"/>
    <s v="APMC"/>
    <s v="X-LARGE"/>
    <s v="307"/>
    <s v="4.0 UN"/>
    <s v="STANDARD"/>
    <s v="N"/>
    <s v="Y"/>
    <s v="N"/>
    <s v="N"/>
    <s v="N"/>
    <s v="N"/>
    <s v="N"/>
    <s v="N"/>
    <s v="B049"/>
    <d v="2016-12-07T00:00:00"/>
    <s v="20"/>
    <s v="TAN"/>
    <s v="OR"/>
    <d v="2016-12-01T00:00:00"/>
    <s v="ID"/>
    <s v="US"/>
    <s v="ZR"/>
    <d v="2016-12-02T00:00:00"/>
  </r>
  <r>
    <x v="1"/>
    <x v="4"/>
    <x v="2172"/>
    <x v="46"/>
    <s v="Standard order"/>
    <x v="2054"/>
    <x v="869"/>
    <s v="2523"/>
    <s v="BTS 2523"/>
    <s v="5002529"/>
    <s v="2523 BTS PB XL"/>
    <n v="28"/>
    <n v="0"/>
    <n v="28"/>
    <x v="4"/>
    <s v="EZPC"/>
    <s v="X-LARGE"/>
    <s v="307"/>
    <s v="4.0 UN"/>
    <s v="STANDARD"/>
    <s v="N"/>
    <s v="Y"/>
    <s v="N"/>
    <s v="N"/>
    <s v="N"/>
    <s v="N"/>
    <s v="N"/>
    <s v="N"/>
    <s v="B049"/>
    <d v="2016-12-07T00:00:00"/>
    <s v="30"/>
    <s v="TAN"/>
    <s v="OR"/>
    <d v="2016-12-01T00:00:00"/>
    <s v="ID"/>
    <s v="US"/>
    <s v="ZR"/>
    <d v="2016-12-02T00:00:00"/>
  </r>
  <r>
    <x v="1"/>
    <x v="4"/>
    <x v="2172"/>
    <x v="46"/>
    <s v="Standard order"/>
    <x v="2054"/>
    <x v="869"/>
    <s v="2570"/>
    <s v="BTS 2570"/>
    <s v="5002555"/>
    <s v="2570 BTS PB XL"/>
    <n v="32"/>
    <n v="0"/>
    <n v="32"/>
    <x v="4"/>
    <s v="EZNS"/>
    <s v="X-LARGE"/>
    <s v="307"/>
    <s v="4.0 UN"/>
    <s v="STANDARD"/>
    <s v="N"/>
    <s v="Y"/>
    <s v="N"/>
    <s v="N"/>
    <s v="N"/>
    <s v="N"/>
    <s v="N"/>
    <s v="N"/>
    <s v="B049"/>
    <d v="2016-12-07T00:00:00"/>
    <s v="40"/>
    <s v="TAN"/>
    <s v="OR"/>
    <d v="2016-12-01T00:00:00"/>
    <s v="ID"/>
    <s v="US"/>
    <s v="ZR"/>
    <d v="2016-12-02T00:00:00"/>
  </r>
  <r>
    <x v="1"/>
    <x v="4"/>
    <x v="2173"/>
    <x v="44"/>
    <s v="Standard order"/>
    <x v="2055"/>
    <x v="125"/>
    <s v="4933"/>
    <s v="BTS 49RR33"/>
    <s v="5002293"/>
    <s v="4933 BTS T20 PB MP IDH"/>
    <n v="72"/>
    <n v="0"/>
    <n v="72"/>
    <x v="4"/>
    <s v="AKMC"/>
    <s v="MP"/>
    <s v="308"/>
    <s v="4.0 UN"/>
    <s v="STANDARD"/>
    <s v="N"/>
    <s v="Y"/>
    <s v="N"/>
    <s v="T20"/>
    <s v="N"/>
    <s v="N"/>
    <s v="N"/>
    <s v="N"/>
    <s v="MB13"/>
    <d v="2016-12-07T00:00:00"/>
    <s v="10"/>
    <s v="TAN"/>
    <s v="OR"/>
    <d v="2016-12-01T00:00:00"/>
    <s v="OR"/>
    <s v="US"/>
    <s v="ZR"/>
    <d v="2016-12-02T00:00:00"/>
  </r>
  <r>
    <x v="1"/>
    <x v="4"/>
    <x v="2173"/>
    <x v="44"/>
    <s v="Standard order"/>
    <x v="2055"/>
    <x v="125"/>
    <s v="2559"/>
    <s v="BTS 2559"/>
    <s v="5002182"/>
    <s v="2559 BTS T20 PB MP"/>
    <n v="4"/>
    <n v="0"/>
    <n v="4"/>
    <x v="4"/>
    <s v="FGNE"/>
    <s v="MP"/>
    <s v="308"/>
    <s v="4.0 UN"/>
    <s v="STANDARD"/>
    <s v="N"/>
    <s v="Y"/>
    <s v="N"/>
    <s v="T20"/>
    <s v="N"/>
    <s v="N"/>
    <s v="N"/>
    <s v="N"/>
    <s v="MB13"/>
    <d v="2016-12-07T00:00:00"/>
    <s v="20"/>
    <s v="TAN"/>
    <s v="OR"/>
    <d v="2016-12-01T00:00:00"/>
    <s v="OR"/>
    <s v="US"/>
    <s v="ZR"/>
    <d v="2016-12-02T00:00:00"/>
  </r>
  <r>
    <x v="1"/>
    <x v="0"/>
    <x v="2174"/>
    <x v="29"/>
    <s v="Standard order"/>
    <x v="1347"/>
    <x v="1342"/>
    <s v="1399"/>
    <s v="BTS 1399"/>
    <s v="5002348"/>
    <s v="1399 BTS T20 Kabina RP"/>
    <n v="200"/>
    <n v="0"/>
    <n v="200"/>
    <x v="0"/>
    <s v="EG74"/>
    <s v="RP"/>
    <s v="380"/>
    <s v="4.0 UN"/>
    <s v="STANDARD"/>
    <s v="N"/>
    <s v="N"/>
    <s v="Y"/>
    <s v="T20"/>
    <s v="N"/>
    <s v="N"/>
    <s v="N"/>
    <s v="N"/>
    <s v="B005"/>
    <d v="2016-12-07T00:00:00"/>
    <s v="10"/>
    <s v="TAN"/>
    <s v="OR"/>
    <d v="2016-12-01T00:00:00"/>
    <s v="MI"/>
    <s v="US"/>
    <s v="ZR"/>
    <d v="2016-12-02T00:00:00"/>
  </r>
  <r>
    <x v="1"/>
    <x v="0"/>
    <x v="2174"/>
    <x v="29"/>
    <s v="Standard order"/>
    <x v="1347"/>
    <x v="1342"/>
    <s v="122N"/>
    <s v="BTS 12RR2N"/>
    <s v="5002311"/>
    <s v="122N BTS T20 Kabina RP"/>
    <n v="160"/>
    <n v="0"/>
    <n v="160"/>
    <x v="0"/>
    <s v="4TBG"/>
    <s v="RP"/>
    <s v="380"/>
    <s v="4.0 UN"/>
    <s v="STANDARD"/>
    <s v="N"/>
    <s v="N"/>
    <s v="Y"/>
    <s v="T20"/>
    <s v="N"/>
    <s v="N"/>
    <s v="N"/>
    <s v="N"/>
    <s v="B005"/>
    <d v="2016-12-07T00:00:00"/>
    <s v="20"/>
    <s v="TAN"/>
    <s v="OR"/>
    <d v="2016-12-01T00:00:00"/>
    <s v="MI"/>
    <s v="US"/>
    <s v="ZR"/>
    <d v="2016-12-02T00:00:00"/>
  </r>
  <r>
    <x v="1"/>
    <x v="5"/>
    <x v="2175"/>
    <x v="9"/>
    <s v="Standard order"/>
    <x v="2056"/>
    <x v="183"/>
    <s v="3650"/>
    <s v="BTS 36RR50"/>
    <s v="5002548"/>
    <s v="36RR50 RP BetaShield PLUS"/>
    <n v="108"/>
    <n v="0"/>
    <n v="108"/>
    <x v="5"/>
    <s v="4DAY"/>
    <s v="RP"/>
    <s v="322"/>
    <s v="4.0 UN"/>
    <s v="STANDARD"/>
    <s v="N"/>
    <s v="Y"/>
    <s v="N"/>
    <s v="T20"/>
    <s v="Y"/>
    <s v="N"/>
    <s v="N"/>
    <s v="N"/>
    <s v=""/>
    <d v="2016-12-07T00:00:00"/>
    <s v="40"/>
    <s v="TAN"/>
    <s v="OR"/>
    <d v="2016-12-01T00:00:00"/>
    <s v="WY"/>
    <s v="US"/>
    <s v="ZR"/>
    <d v="2016-12-02T00:00:00"/>
  </r>
  <r>
    <x v="1"/>
    <x v="5"/>
    <x v="2175"/>
    <x v="9"/>
    <s v="Standard order"/>
    <x v="2056"/>
    <x v="183"/>
    <s v="398N"/>
    <s v="BTS 39RR8N"/>
    <s v="5002572"/>
    <s v="39RR8N RP BetaShield PLUS"/>
    <n v="208"/>
    <n v="0"/>
    <n v="208"/>
    <x v="5"/>
    <s v="2771"/>
    <s v="RP"/>
    <s v="322"/>
    <s v="4.0 UN"/>
    <s v="STANDARD"/>
    <s v="N"/>
    <s v="Y"/>
    <s v="N"/>
    <s v="T20"/>
    <s v="Y"/>
    <s v="N"/>
    <s v="N"/>
    <s v="N"/>
    <s v=""/>
    <d v="2016-12-07T00:00:00"/>
    <s v="50"/>
    <s v="TAN"/>
    <s v="OR"/>
    <d v="2016-12-01T00:00:00"/>
    <s v="WY"/>
    <s v="US"/>
    <s v="ZR"/>
    <d v="2016-12-02T00:00:00"/>
  </r>
  <r>
    <x v="1"/>
    <x v="5"/>
    <x v="2176"/>
    <x v="9"/>
    <s v="Standard order"/>
    <x v="2057"/>
    <x v="184"/>
    <s v="398N"/>
    <s v="BTS 39RR8N"/>
    <s v="5002570"/>
    <s v="39RR8N P200 BetaShield PLUS"/>
    <n v="24"/>
    <n v="0"/>
    <n v="24"/>
    <x v="5"/>
    <s v="2771"/>
    <s v="PRO 200"/>
    <s v="322"/>
    <s v="4.0 UN"/>
    <s v="STANDARD"/>
    <s v="N"/>
    <s v="Y"/>
    <s v="N"/>
    <s v="T20"/>
    <s v="Y"/>
    <s v="N"/>
    <s v="N"/>
    <s v="N"/>
    <s v=""/>
    <d v="2016-12-07T00:00:00"/>
    <s v="40"/>
    <s v="TAN"/>
    <s v="OR"/>
    <d v="2016-12-01T00:00:00"/>
    <s v="WY"/>
    <s v="US"/>
    <s v="ZR"/>
    <d v="2016-12-02T00:00:00"/>
  </r>
  <r>
    <x v="1"/>
    <x v="5"/>
    <x v="2176"/>
    <x v="9"/>
    <s v="Standard order"/>
    <x v="2057"/>
    <x v="184"/>
    <s v="336N"/>
    <s v="BTS 336N"/>
    <s v="5002199"/>
    <s v="336N BTS T20 PB SYSTIVA P200"/>
    <n v="12"/>
    <n v="0"/>
    <n v="12"/>
    <x v="5"/>
    <s v="EEMG"/>
    <s v="PRO 200"/>
    <s v="322"/>
    <s v="4.0 UN"/>
    <s v="STANDARD"/>
    <s v="N"/>
    <s v="N"/>
    <s v="N"/>
    <s v="T20"/>
    <s v="Y"/>
    <s v="N"/>
    <s v="N"/>
    <s v="N"/>
    <s v="B016"/>
    <d v="2016-12-07T00:00:00"/>
    <s v="10"/>
    <s v="TAN"/>
    <s v="OR"/>
    <d v="2016-12-01T00:00:00"/>
    <s v="WY"/>
    <s v="US"/>
    <s v="ZR"/>
    <d v="2016-12-02T00:00:00"/>
  </r>
  <r>
    <x v="1"/>
    <x v="5"/>
    <x v="2176"/>
    <x v="9"/>
    <s v="Standard order"/>
    <x v="2057"/>
    <x v="184"/>
    <s v="353N"/>
    <s v="BTS 353N"/>
    <s v="5002522"/>
    <s v="353N BTS T20 PB SYSTIVA P200"/>
    <n v="12"/>
    <n v="0"/>
    <n v="12"/>
    <x v="5"/>
    <s v="EENZ"/>
    <s v="PRO 200"/>
    <s v="322"/>
    <s v="4.0 UN"/>
    <s v="STANDARD"/>
    <s v="N"/>
    <s v="Y"/>
    <s v="N"/>
    <s v="T20"/>
    <s v="Y"/>
    <s v="N"/>
    <s v="N"/>
    <s v="N"/>
    <s v="B016"/>
    <d v="2016-12-07T00:00:00"/>
    <s v="20"/>
    <s v="TAN"/>
    <s v="OR"/>
    <d v="2016-12-01T00:00:00"/>
    <s v="WY"/>
    <s v="US"/>
    <s v="ZR"/>
    <d v="2016-12-02T00:00:00"/>
  </r>
  <r>
    <x v="1"/>
    <x v="5"/>
    <x v="2177"/>
    <x v="9"/>
    <s v="Standard order"/>
    <x v="2058"/>
    <x v="190"/>
    <s v="353N"/>
    <s v="BTS 353N"/>
    <s v="5002524"/>
    <s v="353N BTS T20 PB SYSTIVA RP"/>
    <n v="20"/>
    <n v="0"/>
    <n v="20"/>
    <x v="5"/>
    <s v="EENZ"/>
    <s v="RP"/>
    <s v="322"/>
    <s v="4.0 UN"/>
    <s v="STANDARD"/>
    <s v="N"/>
    <s v="Y"/>
    <s v="N"/>
    <s v="T20"/>
    <s v="Y"/>
    <s v="N"/>
    <s v="N"/>
    <s v="N"/>
    <s v="B016"/>
    <d v="2016-12-07T00:00:00"/>
    <s v="10"/>
    <s v="TAN"/>
    <s v="OR"/>
    <d v="2016-12-01T00:00:00"/>
    <s v="WY"/>
    <s v="US"/>
    <s v="ZR"/>
    <d v="2016-12-02T00:00:00"/>
  </r>
  <r>
    <x v="1"/>
    <x v="0"/>
    <x v="2178"/>
    <x v="55"/>
    <s v="Standard order"/>
    <x v="2059"/>
    <x v="7"/>
    <s v="1399"/>
    <s v="BTS 1399"/>
    <s v="5002348"/>
    <s v="1399 BTS T20 Kabina RP"/>
    <n v="56"/>
    <n v="0"/>
    <n v="56"/>
    <x v="0"/>
    <s v="EG74"/>
    <s v="RP"/>
    <s v="380"/>
    <s v="4.0 UN"/>
    <s v="STANDARD"/>
    <s v="N"/>
    <s v="N"/>
    <s v="Y"/>
    <s v="T20"/>
    <s v="N"/>
    <s v="N"/>
    <s v="N"/>
    <s v="N"/>
    <s v="B009"/>
    <d v="2016-12-07T00:00:00"/>
    <s v="10"/>
    <s v="TAN"/>
    <s v="OR"/>
    <d v="2016-12-02T00:00:00"/>
    <s v="MI"/>
    <s v="US"/>
    <s v="ZR"/>
    <d v="2016-12-02T00:00:00"/>
  </r>
  <r>
    <x v="1"/>
    <x v="0"/>
    <x v="2178"/>
    <x v="55"/>
    <s v="Standard order"/>
    <x v="2059"/>
    <x v="7"/>
    <s v="149N"/>
    <s v="BTS 149N"/>
    <s v="5002368"/>
    <s v="149N BTS T20 Kabina RP"/>
    <n v="56"/>
    <n v="0"/>
    <n v="56"/>
    <x v="0"/>
    <s v="EEND"/>
    <s v="RP"/>
    <s v="380"/>
    <s v="4.0 UN"/>
    <s v="STANDARD"/>
    <s v="N"/>
    <s v="N"/>
    <s v="Y"/>
    <s v="T20"/>
    <s v="N"/>
    <s v="N"/>
    <s v="N"/>
    <s v="N"/>
    <s v="B009"/>
    <d v="2016-12-07T00:00:00"/>
    <s v="20"/>
    <s v="TAN"/>
    <s v="OR"/>
    <d v="2016-12-02T00:00:00"/>
    <s v="MI"/>
    <s v="US"/>
    <s v="ZR"/>
    <d v="2016-12-02T00:00:00"/>
  </r>
  <r>
    <x v="1"/>
    <x v="5"/>
    <x v="2179"/>
    <x v="12"/>
    <s v="Standard order"/>
    <x v="2060"/>
    <x v="146"/>
    <s v="336N"/>
    <s v="BTS 336N"/>
    <s v="5002400"/>
    <s v="336N BTS T20 PB SYSTIVA RP"/>
    <n v="276"/>
    <n v="0"/>
    <n v="276"/>
    <x v="5"/>
    <s v="EEMG"/>
    <s v="RP"/>
    <s v="322"/>
    <s v="4.0 UN"/>
    <s v="STANDARD"/>
    <s v="N"/>
    <s v="N"/>
    <s v="N"/>
    <s v="T20"/>
    <s v="Y"/>
    <s v="N"/>
    <s v="N"/>
    <s v="N"/>
    <s v="B014"/>
    <d v="2016-12-07T00:00:00"/>
    <s v="20"/>
    <s v="TAN"/>
    <s v="OR"/>
    <d v="2016-12-02T00:00:00"/>
    <s v="MT"/>
    <s v="US"/>
    <s v="ZR"/>
    <d v="2016-12-02T00:00:00"/>
  </r>
  <r>
    <x v="1"/>
    <x v="7"/>
    <x v="2180"/>
    <x v="39"/>
    <s v="Standard order"/>
    <x v="2061"/>
    <x v="1985"/>
    <s v="8512"/>
    <s v="BTS 8512"/>
    <s v="5002876"/>
    <s v="8512 BTS T35 PB SYSTIVA RP"/>
    <n v="56"/>
    <n v="0"/>
    <n v="56"/>
    <x v="7"/>
    <s v="FX73"/>
    <s v="RP"/>
    <s v="333"/>
    <s v="4.0 UN"/>
    <s v="STANDARD"/>
    <s v="N"/>
    <s v="Y"/>
    <s v="N"/>
    <s v="T35"/>
    <s v="Y"/>
    <s v="N"/>
    <s v="Y"/>
    <s v="N"/>
    <s v="B030"/>
    <d v="2016-12-07T00:00:00"/>
    <s v="10"/>
    <s v="TAN"/>
    <s v="OR"/>
    <d v="2016-12-02T00:00:00"/>
    <s v="MN"/>
    <s v="US"/>
    <s v="ZR"/>
    <d v="2016-12-02T00:00:00"/>
  </r>
  <r>
    <x v="1"/>
    <x v="4"/>
    <x v="2181"/>
    <x v="44"/>
    <s v="Standard order"/>
    <x v="2062"/>
    <x v="1986"/>
    <s v="4933"/>
    <s v="BTS 49RR33"/>
    <s v="5002293"/>
    <s v="4933 BTS T20 PB MP IDH"/>
    <n v="44"/>
    <n v="0"/>
    <n v="44"/>
    <x v="4"/>
    <s v="AKMC"/>
    <s v="MP"/>
    <s v="308"/>
    <s v="4.0 UN"/>
    <s v="STANDARD"/>
    <s v="N"/>
    <s v="Y"/>
    <s v="N"/>
    <s v="T20"/>
    <s v="N"/>
    <s v="N"/>
    <s v="N"/>
    <s v="N"/>
    <s v="MB13"/>
    <d v="2016-12-07T00:00:00"/>
    <s v="10"/>
    <s v="TAN"/>
    <s v="OR"/>
    <d v="2016-12-02T00:00:00"/>
    <s v="OR"/>
    <s v="US"/>
    <s v="ZR"/>
    <d v="2016-12-02T00:00:00"/>
  </r>
  <r>
    <x v="1"/>
    <x v="7"/>
    <x v="2182"/>
    <x v="33"/>
    <s v="Standard order"/>
    <x v="2063"/>
    <x v="1987"/>
    <s v="8052"/>
    <s v="BTS 80RR52"/>
    <s v="5002735"/>
    <s v="8052 BTS T35 PB SYSTIVA RP"/>
    <n v="72"/>
    <n v="0"/>
    <n v="72"/>
    <x v="7"/>
    <s v="AP82"/>
    <s v="RP"/>
    <s v="333"/>
    <s v="4.0 UN"/>
    <s v="STANDARD"/>
    <s v="N"/>
    <s v="Y"/>
    <s v="N"/>
    <s v="T35"/>
    <s v="Y"/>
    <s v="N"/>
    <s v="Y"/>
    <s v="N"/>
    <s v="B026"/>
    <d v="2016-12-07T00:00:00"/>
    <s v="10"/>
    <s v="TAN"/>
    <s v="OR"/>
    <d v="2016-12-02T00:00:00"/>
    <s v="MN"/>
    <s v="US"/>
    <s v="ZR"/>
    <d v="2016-12-02T00:00:00"/>
  </r>
  <r>
    <x v="1"/>
    <x v="7"/>
    <x v="2182"/>
    <x v="33"/>
    <s v="Standard order"/>
    <x v="2063"/>
    <x v="1987"/>
    <s v="8337"/>
    <s v="BTS 8337"/>
    <s v="5002795"/>
    <s v="8337 BTS T35 PB SYSTIVA RP"/>
    <n v="72"/>
    <n v="0"/>
    <n v="72"/>
    <x v="7"/>
    <s v="DHMC"/>
    <s v="RP"/>
    <s v="333"/>
    <s v="4.0 UN"/>
    <s v="STANDARD"/>
    <s v="N"/>
    <s v="Y"/>
    <s v="N"/>
    <s v="T35"/>
    <s v="Y"/>
    <s v="N"/>
    <s v="Y"/>
    <s v="N"/>
    <s v="B026"/>
    <d v="2016-12-07T00:00:00"/>
    <s v="20"/>
    <s v="TAN"/>
    <s v="OR"/>
    <d v="2016-12-02T00:00:00"/>
    <s v="MN"/>
    <s v="US"/>
    <s v="ZR"/>
    <d v="2016-12-02T00:00:00"/>
  </r>
  <r>
    <x v="1"/>
    <x v="4"/>
    <x v="2183"/>
    <x v="44"/>
    <s v="Standard order"/>
    <x v="2064"/>
    <x v="226"/>
    <s v="4933"/>
    <s v="BTS 49RR33"/>
    <s v="5002280"/>
    <s v="4933 BTS PB XL IDH"/>
    <n v="20"/>
    <n v="0"/>
    <n v="20"/>
    <x v="4"/>
    <s v="AKMC"/>
    <s v="X-LARGE"/>
    <s v="307"/>
    <s v="4.0 UN"/>
    <s v="STANDARD"/>
    <s v="N"/>
    <s v="Y"/>
    <s v="N"/>
    <s v="N"/>
    <s v="N"/>
    <s v="N"/>
    <s v="N"/>
    <s v="N"/>
    <s v="MB13"/>
    <d v="2016-12-07T00:00:00"/>
    <s v="10"/>
    <s v="TAN"/>
    <s v="OR"/>
    <d v="2016-12-02T00:00:00"/>
    <s v="OR"/>
    <s v="US"/>
    <s v="ZR"/>
    <d v="2016-12-02T00:00:00"/>
  </r>
  <r>
    <x v="1"/>
    <x v="4"/>
    <x v="2183"/>
    <x v="44"/>
    <s v="Standard order"/>
    <x v="2064"/>
    <x v="226"/>
    <s v="2559"/>
    <s v="BTS 2559"/>
    <s v="5002563"/>
    <s v="2559 BTS PB XL"/>
    <n v="8"/>
    <n v="0"/>
    <n v="8"/>
    <x v="4"/>
    <s v="FGNE"/>
    <s v="X-LARGE"/>
    <s v="307"/>
    <s v="4.0 UN"/>
    <s v="STANDARD"/>
    <s v="N"/>
    <s v="Y"/>
    <s v="N"/>
    <s v="N"/>
    <s v="N"/>
    <s v="N"/>
    <s v="N"/>
    <s v="N"/>
    <s v="MB13"/>
    <d v="2016-12-07T00:00:00"/>
    <s v="20"/>
    <s v="TAN"/>
    <s v="OR"/>
    <d v="2016-12-02T00:00:00"/>
    <s v="OR"/>
    <s v="US"/>
    <s v="ZR"/>
    <d v="2016-12-02T00:00:00"/>
  </r>
  <r>
    <x v="1"/>
    <x v="4"/>
    <x v="2184"/>
    <x v="47"/>
    <s v="Standard order"/>
    <x v="2065"/>
    <x v="147"/>
    <s v="251N"/>
    <s v="BTS 251N"/>
    <s v="5002196"/>
    <s v="251N BTS PB XL"/>
    <n v="60"/>
    <n v="0"/>
    <n v="60"/>
    <x v="4"/>
    <s v="5HBR"/>
    <s v="X-LARGE"/>
    <s v="307"/>
    <s v="4.0 UN"/>
    <s v="STANDARD"/>
    <s v="N"/>
    <s v="Y"/>
    <s v="N"/>
    <s v="N"/>
    <s v="N"/>
    <s v="N"/>
    <s v="N"/>
    <s v="N"/>
    <s v="B050"/>
    <d v="2016-12-07T00:00:00"/>
    <s v="10"/>
    <s v="TAN"/>
    <s v="OR"/>
    <d v="2016-12-02T00:00:00"/>
    <s v="ID"/>
    <s v="US"/>
    <s v="ZR"/>
    <d v="2016-12-02T00:00:00"/>
  </r>
  <r>
    <x v="1"/>
    <x v="4"/>
    <x v="2184"/>
    <x v="47"/>
    <s v="Standard order"/>
    <x v="2065"/>
    <x v="147"/>
    <s v="225N"/>
    <s v="BTS 22RR5N"/>
    <s v="5002119"/>
    <s v="225N BTS PB XL"/>
    <n v="348"/>
    <n v="0"/>
    <n v="348"/>
    <x v="4"/>
    <s v="4TBD"/>
    <s v="X-LARGE"/>
    <s v="307"/>
    <s v="4.0 UN"/>
    <s v="STANDARD"/>
    <s v="N"/>
    <s v="Y"/>
    <s v="N"/>
    <s v="N"/>
    <s v="N"/>
    <s v="N"/>
    <s v="N"/>
    <s v="N"/>
    <s v="B050"/>
    <d v="2016-12-07T00:00:00"/>
    <s v="20"/>
    <s v="TAN"/>
    <s v="OR"/>
    <d v="2016-12-02T00:00:00"/>
    <s v="ID"/>
    <s v="US"/>
    <s v="ZR"/>
    <d v="2016-12-02T00:00:00"/>
  </r>
  <r>
    <x v="1"/>
    <x v="6"/>
    <x v="2185"/>
    <x v="48"/>
    <s v="Standard order"/>
    <x v="2066"/>
    <x v="303"/>
    <s v="4548"/>
    <s v="BTS 4548"/>
    <s v="5002244"/>
    <s v="4548 BTS T20 PB SYSTIVA P100"/>
    <n v="28"/>
    <n v="0"/>
    <n v="28"/>
    <x v="6"/>
    <s v="FENR"/>
    <s v="PRO 100"/>
    <s v="322"/>
    <s v="4.0 UN"/>
    <s v="STANDARD"/>
    <s v="N"/>
    <s v="N"/>
    <s v="N"/>
    <s v="T20"/>
    <s v="Y"/>
    <s v="N"/>
    <s v="Y"/>
    <s v="N"/>
    <s v="B012"/>
    <d v="2016-12-07T00:00:00"/>
    <s v="10"/>
    <s v="TAN"/>
    <s v="OR"/>
    <d v="2016-12-02T00:00:00"/>
    <s v="ND"/>
    <s v="US"/>
    <s v="ZR"/>
    <d v="2016-12-02T00:00:00"/>
  </r>
  <r>
    <x v="1"/>
    <x v="0"/>
    <x v="2186"/>
    <x v="45"/>
    <s v="Standard order"/>
    <x v="2067"/>
    <x v="1988"/>
    <s v="149N"/>
    <s v="BTS 149N"/>
    <s v="5002368"/>
    <s v="149N BTS T20 Kabina RP"/>
    <n v="16"/>
    <n v="0"/>
    <n v="16"/>
    <x v="0"/>
    <s v="EEND"/>
    <s v="RP"/>
    <s v="380"/>
    <s v="4.0 UN"/>
    <s v="STANDARD"/>
    <s v="N"/>
    <s v="N"/>
    <s v="Y"/>
    <s v="T20"/>
    <s v="N"/>
    <s v="N"/>
    <s v="N"/>
    <s v="N"/>
    <s v="B003"/>
    <d v="2016-12-07T00:00:00"/>
    <s v="10"/>
    <s v="TAN"/>
    <s v="OR"/>
    <d v="2016-12-02T00:00:00"/>
    <s v="MI"/>
    <s v="US"/>
    <s v="ZR"/>
    <d v="2016-12-02T00:00:00"/>
  </r>
  <r>
    <x v="1"/>
    <x v="0"/>
    <x v="2186"/>
    <x v="45"/>
    <s v="Standard order"/>
    <x v="2067"/>
    <x v="1988"/>
    <s v="122N"/>
    <s v="BTS 12RR2N"/>
    <s v="5002311"/>
    <s v="122N BTS T20 Kabina RP"/>
    <n v="32"/>
    <n v="0"/>
    <n v="32"/>
    <x v="0"/>
    <s v="4TBG"/>
    <s v="RP"/>
    <s v="380"/>
    <s v="4.0 UN"/>
    <s v="STANDARD"/>
    <s v="N"/>
    <s v="N"/>
    <s v="Y"/>
    <s v="T20"/>
    <s v="N"/>
    <s v="N"/>
    <s v="N"/>
    <s v="N"/>
    <s v="B003"/>
    <d v="2016-12-07T00:00:00"/>
    <s v="20"/>
    <s v="TAN"/>
    <s v="OR"/>
    <d v="2016-12-02T00:00:00"/>
    <s v="MI"/>
    <s v="US"/>
    <s v="ZR"/>
    <d v="2016-12-02T00:00:00"/>
  </r>
  <r>
    <x v="1"/>
    <x v="0"/>
    <x v="2186"/>
    <x v="45"/>
    <s v="Standard order"/>
    <x v="2067"/>
    <x v="1988"/>
    <s v="1399"/>
    <s v="BTS 1399"/>
    <s v="5002348"/>
    <s v="1399 BTS T20 Kabina RP"/>
    <n v="20"/>
    <n v="0"/>
    <n v="20"/>
    <x v="0"/>
    <s v="EG74"/>
    <s v="RP"/>
    <s v="380"/>
    <s v="4.0 UN"/>
    <s v="STANDARD"/>
    <s v="N"/>
    <s v="N"/>
    <s v="Y"/>
    <s v="T20"/>
    <s v="N"/>
    <s v="N"/>
    <s v="N"/>
    <s v="N"/>
    <s v="B003"/>
    <d v="2016-12-07T00:00:00"/>
    <s v="30"/>
    <s v="TAN"/>
    <s v="OR"/>
    <d v="2016-12-02T00:00:00"/>
    <s v="MI"/>
    <s v="US"/>
    <s v="ZR"/>
    <d v="2016-12-02T00:00:00"/>
  </r>
  <r>
    <x v="1"/>
    <x v="0"/>
    <x v="2187"/>
    <x v="45"/>
    <s v="Standard order"/>
    <x v="2068"/>
    <x v="1989"/>
    <s v="1399"/>
    <s v="BTS 1399"/>
    <s v="5002348"/>
    <s v="1399 BTS T20 Kabina RP"/>
    <n v="44"/>
    <n v="0"/>
    <n v="44"/>
    <x v="0"/>
    <s v="EG74"/>
    <s v="RP"/>
    <s v="380"/>
    <s v="4.0 UN"/>
    <s v="STANDARD"/>
    <s v="N"/>
    <s v="N"/>
    <s v="Y"/>
    <s v="T20"/>
    <s v="N"/>
    <s v="N"/>
    <s v="N"/>
    <s v="N"/>
    <s v="B003"/>
    <d v="2016-12-07T00:00:00"/>
    <s v="10"/>
    <s v="TAN"/>
    <s v="OR"/>
    <d v="2016-12-02T00:00:00"/>
    <s v="MI"/>
    <s v="US"/>
    <s v="ZR"/>
    <d v="2016-12-02T00:00:00"/>
  </r>
  <r>
    <x v="1"/>
    <x v="5"/>
    <x v="2188"/>
    <x v="12"/>
    <s v="Standard order"/>
    <x v="2069"/>
    <x v="1990"/>
    <s v="336N"/>
    <s v="BTS 336N"/>
    <s v="5002199"/>
    <s v="336N BTS T20 PB SYSTIVA P200"/>
    <n v="84"/>
    <n v="0"/>
    <n v="84"/>
    <x v="5"/>
    <s v="EEMG"/>
    <s v="PRO 200"/>
    <s v="322"/>
    <s v="4.0 UN"/>
    <s v="STANDARD"/>
    <s v="N"/>
    <s v="N"/>
    <s v="N"/>
    <s v="T20"/>
    <s v="Y"/>
    <s v="N"/>
    <s v="N"/>
    <s v="N"/>
    <s v="B014"/>
    <d v="2016-12-07T00:00:00"/>
    <s v="10"/>
    <s v="TAN"/>
    <s v="OR"/>
    <d v="2016-12-02T00:00:00"/>
    <s v="MT"/>
    <s v="US"/>
    <s v="ZR"/>
    <d v="2016-12-02T00:00:00"/>
  </r>
  <r>
    <x v="1"/>
    <x v="5"/>
    <x v="2189"/>
    <x v="13"/>
    <s v="Standard order"/>
    <x v="2070"/>
    <x v="1991"/>
    <s v="336N"/>
    <s v="BTS 336N"/>
    <s v="5002400"/>
    <s v="336N BTS T20 PB SYSTIVA RP"/>
    <n v="112"/>
    <n v="0"/>
    <n v="112"/>
    <x v="5"/>
    <s v="EEMG"/>
    <s v="RP"/>
    <s v="322"/>
    <s v="4.0 UN"/>
    <s v="STANDARD"/>
    <s v="N"/>
    <s v="N"/>
    <s v="N"/>
    <s v="T20"/>
    <s v="Y"/>
    <s v="N"/>
    <s v="N"/>
    <s v="N"/>
    <s v="B015"/>
    <d v="2016-12-07T00:00:00"/>
    <s v="10"/>
    <s v="TAN"/>
    <s v="OR"/>
    <d v="2016-12-02T00:00:00"/>
    <s v="MT"/>
    <s v="US"/>
    <s v="ZR"/>
    <d v="2016-12-02T00:00:00"/>
  </r>
  <r>
    <x v="1"/>
    <x v="7"/>
    <x v="2190"/>
    <x v="28"/>
    <s v="Standard order"/>
    <x v="2071"/>
    <x v="1992"/>
    <s v="8572"/>
    <s v="BTS 8572"/>
    <s v="5003202"/>
    <s v="8572 BTS T20 PB SYSTIVA MP"/>
    <n v="48"/>
    <n v="0"/>
    <n v="48"/>
    <x v="7"/>
    <s v="FENB"/>
    <s v="MP"/>
    <s v="322"/>
    <s v="4.0 UN"/>
    <s v="STANDARD"/>
    <s v="N"/>
    <s v="N"/>
    <s v="N"/>
    <s v="T20"/>
    <s v="Y"/>
    <s v="N"/>
    <s v="Y"/>
    <s v="N"/>
    <s v="B056"/>
    <d v="2016-12-07T00:00:00"/>
    <s v="20"/>
    <s v="TAN"/>
    <s v="OR"/>
    <d v="2016-12-02T00:00:00"/>
    <s v="ND"/>
    <s v="US"/>
    <s v="ZR"/>
    <d v="2016-12-02T00:00:00"/>
  </r>
  <r>
    <x v="1"/>
    <x v="6"/>
    <x v="2191"/>
    <x v="48"/>
    <s v="Standard order"/>
    <x v="2072"/>
    <x v="1993"/>
    <s v="4548"/>
    <s v="BTS 4548"/>
    <s v="5002244"/>
    <s v="4548 BTS T20 PB SYSTIVA P100"/>
    <n v="64"/>
    <n v="0"/>
    <n v="64"/>
    <x v="6"/>
    <s v="FENR"/>
    <s v="PRO 100"/>
    <s v="322"/>
    <s v="4.0 UN"/>
    <s v="STANDARD"/>
    <s v="N"/>
    <s v="N"/>
    <s v="N"/>
    <s v="T20"/>
    <s v="Y"/>
    <s v="N"/>
    <s v="Y"/>
    <s v="N"/>
    <s v="B012"/>
    <d v="2016-12-07T00:00:00"/>
    <s v="10"/>
    <s v="TAN"/>
    <s v="OR"/>
    <d v="2016-12-02T00:00:00"/>
    <s v="MT"/>
    <s v="US"/>
    <s v="ZR"/>
    <d v="2016-12-02T00:00:00"/>
  </r>
  <r>
    <x v="1"/>
    <x v="6"/>
    <x v="2191"/>
    <x v="48"/>
    <s v="Standard order"/>
    <x v="2072"/>
    <x v="1993"/>
    <s v="444N"/>
    <s v="BTS 444N"/>
    <s v="5002226"/>
    <s v="444N BTS T20 PB SYSTIVA P100"/>
    <n v="68"/>
    <n v="0"/>
    <n v="68"/>
    <x v="6"/>
    <s v="DVND"/>
    <s v="PRO 100"/>
    <s v="322"/>
    <s v="4.0 UN"/>
    <s v="STANDARD"/>
    <s v="N"/>
    <s v="N"/>
    <s v="N"/>
    <s v="T20"/>
    <s v="Y"/>
    <s v="N"/>
    <s v="Y"/>
    <s v="N"/>
    <s v="B012"/>
    <d v="2016-12-07T00:00:00"/>
    <s v="20"/>
    <s v="TAN"/>
    <s v="OR"/>
    <d v="2016-12-02T00:00:00"/>
    <s v="MT"/>
    <s v="US"/>
    <s v="ZR"/>
    <d v="2016-12-02T00:00:00"/>
  </r>
  <r>
    <x v="1"/>
    <x v="6"/>
    <x v="2192"/>
    <x v="48"/>
    <s v="Standard order"/>
    <x v="2073"/>
    <x v="216"/>
    <s v="437N"/>
    <s v="BTS 437N"/>
    <s v="5002208"/>
    <s v="437N BTS T20 PB SYSTIVA P100"/>
    <n v="200"/>
    <n v="0"/>
    <n v="200"/>
    <x v="6"/>
    <s v="EE73"/>
    <s v="PRO 100"/>
    <s v="322"/>
    <s v="4.0 UN"/>
    <s v="STANDARD"/>
    <s v="N"/>
    <s v="N"/>
    <s v="N"/>
    <s v="T20"/>
    <s v="Y"/>
    <s v="N"/>
    <s v="Y"/>
    <s v="N"/>
    <s v="B012"/>
    <d v="2016-12-07T00:00:00"/>
    <s v="10"/>
    <s v="TAN"/>
    <s v="OR"/>
    <d v="2016-12-02T00:00:00"/>
    <s v="MT"/>
    <s v="US"/>
    <s v="ZR"/>
    <d v="2016-12-02T00:00:00"/>
  </r>
  <r>
    <x v="1"/>
    <x v="6"/>
    <x v="2192"/>
    <x v="48"/>
    <s v="Standard order"/>
    <x v="2073"/>
    <x v="216"/>
    <s v="444N"/>
    <s v="BTS 444N"/>
    <s v="5002226"/>
    <s v="444N BTS T20 PB SYSTIVA P100"/>
    <n v="44"/>
    <n v="0"/>
    <n v="44"/>
    <x v="6"/>
    <s v="DVND"/>
    <s v="PRO 100"/>
    <s v="322"/>
    <s v="4.0 UN"/>
    <s v="STANDARD"/>
    <s v="N"/>
    <s v="N"/>
    <s v="N"/>
    <s v="T20"/>
    <s v="Y"/>
    <s v="N"/>
    <s v="Y"/>
    <s v="N"/>
    <s v="B012"/>
    <d v="2016-12-07T00:00:00"/>
    <s v="20"/>
    <s v="TAN"/>
    <s v="OR"/>
    <d v="2016-12-02T00:00:00"/>
    <s v="MT"/>
    <s v="US"/>
    <s v="ZR"/>
    <d v="2016-12-02T00:00:00"/>
  </r>
  <r>
    <x v="1"/>
    <x v="6"/>
    <x v="2192"/>
    <x v="48"/>
    <s v="Standard order"/>
    <x v="2073"/>
    <x v="216"/>
    <s v="459N"/>
    <s v="BTS 459N"/>
    <s v="5002256"/>
    <s v="459N BTS T20 PB SYSTIVA P100"/>
    <n v="44"/>
    <n v="0"/>
    <n v="44"/>
    <x v="6"/>
    <s v="DVNU"/>
    <s v="PRO 100"/>
    <s v="322"/>
    <s v="4.0 UN"/>
    <s v="STANDARD"/>
    <s v="N"/>
    <s v="N"/>
    <s v="N"/>
    <s v="T20"/>
    <s v="Y"/>
    <s v="N"/>
    <s v="Y"/>
    <s v="N"/>
    <s v="B012"/>
    <d v="2016-12-07T00:00:00"/>
    <s v="30"/>
    <s v="TAN"/>
    <s v="OR"/>
    <d v="2016-12-02T00:00:00"/>
    <s v="MT"/>
    <s v="US"/>
    <s v="ZR"/>
    <d v="2016-12-02T00:00:00"/>
  </r>
  <r>
    <x v="1"/>
    <x v="4"/>
    <x v="2193"/>
    <x v="52"/>
    <s v="Standard order"/>
    <x v="2074"/>
    <x v="58"/>
    <s v="251N"/>
    <s v="BTS 251N"/>
    <s v="5002501"/>
    <s v="251N BTS PB Kabina MED"/>
    <n v="48"/>
    <n v="0"/>
    <n v="48"/>
    <x v="4"/>
    <s v="5HBR"/>
    <s v="MEDIUM"/>
    <s v="384"/>
    <s v="4.0 UN"/>
    <s v="STANDARD"/>
    <s v="N"/>
    <s v="Y"/>
    <s v="Y"/>
    <s v="N"/>
    <s v="N"/>
    <s v="N"/>
    <s v="N"/>
    <s v="N"/>
    <s v="B048"/>
    <d v="2016-12-07T00:00:00"/>
    <s v="10"/>
    <s v="TAN"/>
    <s v="OR"/>
    <d v="2016-12-02T00:00:00"/>
    <s v="ID"/>
    <s v="US"/>
    <s v="ZR"/>
    <d v="2016-12-02T00:00:00"/>
  </r>
  <r>
    <x v="1"/>
    <x v="7"/>
    <x v="2194"/>
    <x v="41"/>
    <s v="Standard order"/>
    <x v="2075"/>
    <x v="1994"/>
    <s v="8512"/>
    <s v="BTS 8512"/>
    <s v="5002876"/>
    <s v="8512 BTS T35 PB SYSTIVA RP"/>
    <n v="48"/>
    <n v="0"/>
    <n v="48"/>
    <x v="7"/>
    <s v="FX73"/>
    <s v="RP"/>
    <s v="333"/>
    <s v="4.0 UN"/>
    <s v="STANDARD"/>
    <s v="N"/>
    <s v="Y"/>
    <s v="N"/>
    <s v="T35"/>
    <s v="Y"/>
    <s v="N"/>
    <s v="Y"/>
    <s v="N"/>
    <s v="B032"/>
    <d v="2016-12-07T00:00:00"/>
    <s v="20"/>
    <s v="TAN"/>
    <s v="OR"/>
    <d v="2016-12-02T00:00:00"/>
    <s v="MN"/>
    <s v="US"/>
    <s v="ZR"/>
    <d v="2016-12-02T00:00:00"/>
  </r>
  <r>
    <x v="1"/>
    <x v="7"/>
    <x v="2194"/>
    <x v="41"/>
    <s v="Standard order"/>
    <x v="2075"/>
    <x v="1994"/>
    <s v="83CN"/>
    <s v="BTS 83CN"/>
    <s v="5002836"/>
    <s v="83CN BTS T35 PB SYSTIVA RP"/>
    <n v="48"/>
    <n v="0"/>
    <n v="48"/>
    <x v="7"/>
    <s v="EE73"/>
    <s v="RP"/>
    <s v="333"/>
    <s v="4.0 UN"/>
    <s v="STANDARD"/>
    <s v="N"/>
    <s v="Y"/>
    <s v="N"/>
    <s v="T35"/>
    <s v="Y"/>
    <s v="N"/>
    <s v="Y"/>
    <s v="N"/>
    <s v="B032"/>
    <d v="2016-12-07T00:00:00"/>
    <s v="10"/>
    <s v="TAN"/>
    <s v="OR"/>
    <d v="2016-12-02T00:00:00"/>
    <s v="MN"/>
    <s v="US"/>
    <s v="ZR"/>
    <d v="2016-12-02T00:00:00"/>
  </r>
  <r>
    <x v="1"/>
    <x v="2"/>
    <x v="2195"/>
    <x v="6"/>
    <s v="Standard order"/>
    <x v="2076"/>
    <x v="208"/>
    <s v="628N"/>
    <s v="BTS 62RR8N"/>
    <s v="5002683"/>
    <s v="628N BTS T20 PB SYSTIVA P100"/>
    <n v="16"/>
    <n v="0"/>
    <n v="16"/>
    <x v="2"/>
    <s v="BL73"/>
    <s v="PRO 100"/>
    <s v="322"/>
    <s v="4.0 UN"/>
    <s v="STANDARD"/>
    <s v="N"/>
    <s v="N"/>
    <s v="N"/>
    <s v="T20"/>
    <s v="Y"/>
    <s v="N"/>
    <s v="Y"/>
    <s v="N"/>
    <s v="B025"/>
    <d v="2016-12-07T00:00:00"/>
    <s v="10"/>
    <s v="TAN"/>
    <s v="OR"/>
    <d v="2016-12-02T00:00:00"/>
    <s v="NE"/>
    <s v="US"/>
    <s v="ZR"/>
    <d v="2016-12-02T00:00:00"/>
  </r>
  <r>
    <x v="1"/>
    <x v="4"/>
    <x v="2196"/>
    <x v="50"/>
    <s v="Standard order"/>
    <x v="2077"/>
    <x v="1995"/>
    <s v="2720"/>
    <s v="BTS 27RR20"/>
    <s v="5002142"/>
    <s v="2720 BTS PB XL"/>
    <n v="28"/>
    <n v="0"/>
    <n v="28"/>
    <x v="4"/>
    <s v="4GAY"/>
    <s v="X-LARGE"/>
    <s v="307"/>
    <s v="4.0 UN"/>
    <s v="STANDARD"/>
    <s v="N"/>
    <s v="Y"/>
    <s v="N"/>
    <s v="N"/>
    <s v="N"/>
    <s v="N"/>
    <s v="N"/>
    <s v="N"/>
    <s v="B047"/>
    <d v="2016-12-07T00:00:00"/>
    <s v="10"/>
    <s v="TAN"/>
    <s v="OR"/>
    <d v="2016-12-02T00:00:00"/>
    <s v="ID"/>
    <s v="US"/>
    <s v="ZR"/>
    <d v="2016-12-02T00:00:00"/>
  </r>
  <r>
    <x v="1"/>
    <x v="7"/>
    <x v="2197"/>
    <x v="38"/>
    <s v="Standard order"/>
    <x v="2078"/>
    <x v="1996"/>
    <s v="8337"/>
    <s v="BTS 8337"/>
    <s v="5002782"/>
    <s v="8337 BTS T20 PB SYSTIVA MP"/>
    <n v="24"/>
    <n v="0"/>
    <n v="24"/>
    <x v="7"/>
    <s v="DHMC"/>
    <s v="MP"/>
    <s v="322"/>
    <s v="4.0 UN"/>
    <s v="STANDARD"/>
    <s v="N"/>
    <s v="N"/>
    <s v="N"/>
    <s v="T20"/>
    <s v="Y"/>
    <s v="N"/>
    <s v="Y"/>
    <s v="N"/>
    <s v="B031"/>
    <d v="2016-12-07T00:00:00"/>
    <s v="10"/>
    <s v="TAN"/>
    <s v="OR"/>
    <d v="2016-12-03T00:00:00"/>
    <s v="MN"/>
    <s v="US"/>
    <s v="ZR"/>
    <d v="2016-12-03T00:00:00"/>
  </r>
  <r>
    <x v="1"/>
    <x v="7"/>
    <x v="2197"/>
    <x v="38"/>
    <s v="Standard order"/>
    <x v="2078"/>
    <x v="1996"/>
    <s v="8500"/>
    <s v="BTS 8500"/>
    <s v="5002843"/>
    <s v="8500 BTS T20 PB SYSTIVA MP"/>
    <n v="48"/>
    <n v="0"/>
    <n v="48"/>
    <x v="7"/>
    <s v="FTND"/>
    <s v="MP"/>
    <s v="322"/>
    <s v="4.0 UN"/>
    <s v="STANDARD"/>
    <s v="N"/>
    <s v="N"/>
    <s v="N"/>
    <s v="T20"/>
    <s v="Y"/>
    <s v="N"/>
    <s v="Y"/>
    <s v="N"/>
    <s v="B031"/>
    <d v="2016-12-07T00:00:00"/>
    <s v="20"/>
    <s v="TAN"/>
    <s v="OR"/>
    <d v="2016-12-03T00:00:00"/>
    <s v="MN"/>
    <s v="US"/>
    <s v="ZR"/>
    <d v="2016-12-03T00:00:00"/>
  </r>
  <r>
    <x v="1"/>
    <x v="0"/>
    <x v="2198"/>
    <x v="43"/>
    <s v="Standard order"/>
    <x v="2079"/>
    <x v="368"/>
    <s v="122N"/>
    <s v="BTS 12RR2N"/>
    <s v="5002311"/>
    <s v="122N BTS T20 Kabina RP"/>
    <n v="36"/>
    <n v="0"/>
    <n v="36"/>
    <x v="0"/>
    <s v="4TBG"/>
    <s v="RP"/>
    <s v="380"/>
    <s v="4.0 UN"/>
    <s v="STANDARD"/>
    <s v="N"/>
    <s v="N"/>
    <s v="Y"/>
    <s v="T20"/>
    <s v="N"/>
    <s v="N"/>
    <s v="N"/>
    <s v="N"/>
    <s v="B006"/>
    <d v="2016-12-07T00:00:00"/>
    <s v="10"/>
    <s v="TAN"/>
    <s v="OR"/>
    <d v="2016-12-03T00:00:00"/>
    <s v="MI"/>
    <s v="US"/>
    <s v="ZR"/>
    <d v="2016-12-03T00:00:00"/>
  </r>
  <r>
    <x v="1"/>
    <x v="0"/>
    <x v="2198"/>
    <x v="43"/>
    <s v="Standard order"/>
    <x v="2079"/>
    <x v="368"/>
    <s v="133N"/>
    <s v="BTS 133N"/>
    <s v="5002329"/>
    <s v="133N BTS T20 Kabina RP"/>
    <n v="36"/>
    <n v="0"/>
    <n v="36"/>
    <x v="0"/>
    <s v="DW73"/>
    <s v="RP"/>
    <s v="380"/>
    <s v="4.0 UN"/>
    <s v="STANDARD"/>
    <s v="N"/>
    <s v="N"/>
    <s v="Y"/>
    <s v="T20"/>
    <s v="N"/>
    <s v="N"/>
    <s v="N"/>
    <s v="N"/>
    <s v="B006"/>
    <d v="2016-12-07T00:00:00"/>
    <s v="20"/>
    <s v="TAN"/>
    <s v="OR"/>
    <d v="2016-12-03T00:00:00"/>
    <s v="MI"/>
    <s v="US"/>
    <s v="ZR"/>
    <d v="2016-12-03T00:00:00"/>
  </r>
  <r>
    <x v="1"/>
    <x v="0"/>
    <x v="2198"/>
    <x v="43"/>
    <s v="Standard order"/>
    <x v="2079"/>
    <x v="368"/>
    <s v="149N"/>
    <s v="BTS 149N"/>
    <s v="5002368"/>
    <s v="149N BTS T20 Kabina RP"/>
    <n v="16"/>
    <n v="0"/>
    <n v="16"/>
    <x v="0"/>
    <s v="EEND"/>
    <s v="RP"/>
    <s v="380"/>
    <s v="4.0 UN"/>
    <s v="STANDARD"/>
    <s v="N"/>
    <s v="N"/>
    <s v="Y"/>
    <s v="T20"/>
    <s v="N"/>
    <s v="N"/>
    <s v="N"/>
    <s v="N"/>
    <s v="B006"/>
    <d v="2016-12-07T00:00:00"/>
    <s v="30"/>
    <s v="TAN"/>
    <s v="OR"/>
    <d v="2016-12-03T00:00:00"/>
    <s v="MI"/>
    <s v="US"/>
    <s v="ZR"/>
    <d v="2016-12-03T00:00:00"/>
  </r>
  <r>
    <x v="1"/>
    <x v="0"/>
    <x v="2199"/>
    <x v="45"/>
    <s v="Standard order"/>
    <x v="2080"/>
    <x v="1997"/>
    <s v="122N"/>
    <s v="BTS 12RR2N"/>
    <s v="5002317"/>
    <s v="122N BTS T20 SYSTIVA RP"/>
    <n v="68"/>
    <n v="0"/>
    <n v="68"/>
    <x v="0"/>
    <s v="4TBG"/>
    <s v="RP"/>
    <s v="326"/>
    <s v="4.0 UN"/>
    <s v="STANDARD"/>
    <s v="N"/>
    <s v="N"/>
    <s v="N"/>
    <s v="T20"/>
    <s v="Y"/>
    <s v="N"/>
    <s v="Y"/>
    <s v="N"/>
    <s v="B003"/>
    <d v="2016-12-07T00:00:00"/>
    <s v="10"/>
    <s v="TAN"/>
    <s v="OR"/>
    <d v="2016-12-03T00:00:00"/>
    <s v="MI"/>
    <s v="US"/>
    <s v="ZR"/>
    <d v="2016-12-03T00:00:00"/>
  </r>
  <r>
    <x v="1"/>
    <x v="0"/>
    <x v="2199"/>
    <x v="45"/>
    <s v="Standard order"/>
    <x v="2080"/>
    <x v="1997"/>
    <s v="149N"/>
    <s v="BTS 149N"/>
    <s v="5002368"/>
    <s v="149N BTS T20 Kabina RP"/>
    <n v="32"/>
    <n v="0"/>
    <n v="32"/>
    <x v="0"/>
    <s v="EEND"/>
    <s v="RP"/>
    <s v="380"/>
    <s v="4.0 UN"/>
    <s v="STANDARD"/>
    <s v="N"/>
    <s v="N"/>
    <s v="Y"/>
    <s v="T20"/>
    <s v="N"/>
    <s v="N"/>
    <s v="N"/>
    <s v="N"/>
    <s v="B003"/>
    <d v="2016-12-07T00:00:00"/>
    <s v="20"/>
    <s v="TAN"/>
    <s v="OR"/>
    <d v="2016-12-03T00:00:00"/>
    <s v="MI"/>
    <s v="US"/>
    <s v="ZR"/>
    <d v="2016-12-03T00:00:00"/>
  </r>
  <r>
    <x v="1"/>
    <x v="0"/>
    <x v="2199"/>
    <x v="45"/>
    <s v="Standard order"/>
    <x v="2080"/>
    <x v="1997"/>
    <s v="133N"/>
    <s v="BTS 133N"/>
    <s v="5002329"/>
    <s v="133N BTS T20 Kabina RP"/>
    <n v="28"/>
    <n v="0"/>
    <n v="28"/>
    <x v="0"/>
    <s v="DW73"/>
    <s v="RP"/>
    <s v="380"/>
    <s v="4.0 UN"/>
    <s v="STANDARD"/>
    <s v="N"/>
    <s v="N"/>
    <s v="Y"/>
    <s v="T20"/>
    <s v="N"/>
    <s v="N"/>
    <s v="N"/>
    <s v="N"/>
    <s v="B003"/>
    <d v="2016-12-07T00:00:00"/>
    <s v="30"/>
    <s v="TAN"/>
    <s v="OR"/>
    <d v="2016-12-03T00:00:00"/>
    <s v="MI"/>
    <s v="US"/>
    <s v="ZR"/>
    <d v="2016-12-03T00:00:00"/>
  </r>
  <r>
    <x v="1"/>
    <x v="0"/>
    <x v="2200"/>
    <x v="45"/>
    <s v="Standard order"/>
    <x v="2081"/>
    <x v="1998"/>
    <s v="1399"/>
    <s v="BTS 1399"/>
    <s v="5002348"/>
    <s v="1399 BTS T20 Kabina RP"/>
    <n v="28"/>
    <n v="0"/>
    <n v="28"/>
    <x v="0"/>
    <s v="EG74"/>
    <s v="RP"/>
    <s v="380"/>
    <s v="4.0 UN"/>
    <s v="STANDARD"/>
    <s v="N"/>
    <s v="N"/>
    <s v="Y"/>
    <s v="T20"/>
    <s v="N"/>
    <s v="N"/>
    <s v="N"/>
    <s v="N"/>
    <s v="B003"/>
    <d v="2016-12-07T00:00:00"/>
    <s v="10"/>
    <s v="TAN"/>
    <s v="OR"/>
    <d v="2016-12-03T00:00:00"/>
    <s v="MI"/>
    <s v="US"/>
    <s v="ZR"/>
    <d v="2016-12-03T00:00:00"/>
  </r>
  <r>
    <x v="1"/>
    <x v="4"/>
    <x v="2201"/>
    <x v="47"/>
    <s v="Standard order"/>
    <x v="2082"/>
    <x v="1999"/>
    <s v="225N"/>
    <s v="BTS 22RR5N"/>
    <s v="5002111"/>
    <s v="225N BTS PB LRG"/>
    <n v="72"/>
    <n v="0"/>
    <n v="72"/>
    <x v="4"/>
    <s v="4TBD"/>
    <s v="LARGE"/>
    <s v="307"/>
    <s v="4.0 UN"/>
    <s v="STANDARD"/>
    <s v="N"/>
    <s v="Y"/>
    <s v="N"/>
    <s v="N"/>
    <s v="N"/>
    <s v="N"/>
    <s v="N"/>
    <s v="N"/>
    <s v="B050"/>
    <d v="2016-12-07T00:00:00"/>
    <s v="10"/>
    <s v="TAN"/>
    <s v="OR"/>
    <d v="2016-12-03T00:00:00"/>
    <s v="ID"/>
    <s v="US"/>
    <s v="ZR"/>
    <d v="2016-12-03T00:00:00"/>
  </r>
  <r>
    <x v="1"/>
    <x v="0"/>
    <x v="2202"/>
    <x v="43"/>
    <s v="Standard order"/>
    <x v="2083"/>
    <x v="366"/>
    <s v="1399"/>
    <s v="BTS 1399"/>
    <s v="5002348"/>
    <s v="1399 BTS T20 Kabina RP"/>
    <n v="360"/>
    <n v="0"/>
    <n v="360"/>
    <x v="0"/>
    <s v="EG74"/>
    <s v="RP"/>
    <s v="380"/>
    <s v="4.0 UN"/>
    <s v="STANDARD"/>
    <s v="N"/>
    <s v="N"/>
    <s v="Y"/>
    <s v="T20"/>
    <s v="N"/>
    <s v="N"/>
    <s v="N"/>
    <s v="N"/>
    <s v="B006"/>
    <d v="2016-12-07T00:00:00"/>
    <s v="10"/>
    <s v="TAN"/>
    <s v="OR"/>
    <d v="2016-12-03T00:00:00"/>
    <s v="MI"/>
    <s v="US"/>
    <s v="ZR"/>
    <d v="2016-12-03T00:00:00"/>
  </r>
  <r>
    <x v="1"/>
    <x v="0"/>
    <x v="2202"/>
    <x v="43"/>
    <s v="Standard order"/>
    <x v="2083"/>
    <x v="366"/>
    <s v="133N"/>
    <s v="BTS 133N"/>
    <s v="5002329"/>
    <s v="133N BTS T20 Kabina RP"/>
    <n v="148"/>
    <n v="0"/>
    <n v="148"/>
    <x v="0"/>
    <s v="DW73"/>
    <s v="RP"/>
    <s v="380"/>
    <s v="4.0 UN"/>
    <s v="STANDARD"/>
    <s v="N"/>
    <s v="N"/>
    <s v="Y"/>
    <s v="T20"/>
    <s v="N"/>
    <s v="N"/>
    <s v="N"/>
    <s v="N"/>
    <s v="B006"/>
    <d v="2016-12-07T00:00:00"/>
    <s v="20"/>
    <s v="TAN"/>
    <s v="OR"/>
    <d v="2016-12-03T00:00:00"/>
    <s v="MI"/>
    <s v="US"/>
    <s v="ZR"/>
    <d v="2016-12-03T00:00:00"/>
  </r>
  <r>
    <x v="1"/>
    <x v="0"/>
    <x v="2202"/>
    <x v="43"/>
    <s v="Standard order"/>
    <x v="2083"/>
    <x v="366"/>
    <s v="149N"/>
    <s v="BTS 149N"/>
    <s v="5002368"/>
    <s v="149N BTS T20 Kabina RP"/>
    <n v="92"/>
    <n v="0"/>
    <n v="92"/>
    <x v="0"/>
    <s v="EEND"/>
    <s v="RP"/>
    <s v="380"/>
    <s v="4.0 UN"/>
    <s v="STANDARD"/>
    <s v="N"/>
    <s v="N"/>
    <s v="Y"/>
    <s v="T20"/>
    <s v="N"/>
    <s v="N"/>
    <s v="N"/>
    <s v="N"/>
    <s v="B006"/>
    <d v="2016-12-07T00:00:00"/>
    <s v="30"/>
    <s v="TAN"/>
    <s v="OR"/>
    <d v="2016-12-03T00:00:00"/>
    <s v="MI"/>
    <s v="US"/>
    <s v="ZR"/>
    <d v="2016-12-03T00:00:00"/>
  </r>
  <r>
    <x v="1"/>
    <x v="0"/>
    <x v="2202"/>
    <x v="43"/>
    <s v="Standard order"/>
    <x v="2083"/>
    <x v="366"/>
    <s v="122N"/>
    <s v="BTS 12RR2N"/>
    <s v="5002317"/>
    <s v="122N BTS T20 SYSTIVA RP"/>
    <n v="92"/>
    <n v="0"/>
    <n v="92"/>
    <x v="0"/>
    <s v="4TBG"/>
    <s v="RP"/>
    <s v="326"/>
    <s v="4.0 UN"/>
    <s v="STANDARD"/>
    <s v="N"/>
    <s v="N"/>
    <s v="N"/>
    <s v="T20"/>
    <s v="Y"/>
    <s v="N"/>
    <s v="Y"/>
    <s v="N"/>
    <s v="B006"/>
    <d v="2016-12-07T00:00:00"/>
    <s v="40"/>
    <s v="TAN"/>
    <s v="OR"/>
    <d v="2016-12-03T00:00:00"/>
    <s v="MI"/>
    <s v="US"/>
    <s v="ZR"/>
    <d v="2016-12-03T00:00:00"/>
  </r>
  <r>
    <x v="1"/>
    <x v="0"/>
    <x v="2203"/>
    <x v="29"/>
    <s v="Standard order"/>
    <x v="2084"/>
    <x v="1031"/>
    <s v="122N"/>
    <s v="BTS 12RR2N"/>
    <s v="5002311"/>
    <s v="122N BTS T20 Kabina RP"/>
    <n v="20"/>
    <n v="0"/>
    <n v="20"/>
    <x v="0"/>
    <s v="4TBG"/>
    <s v="RP"/>
    <s v="380"/>
    <s v="4.0 UN"/>
    <s v="STANDARD"/>
    <s v="N"/>
    <s v="N"/>
    <s v="Y"/>
    <s v="T20"/>
    <s v="N"/>
    <s v="N"/>
    <s v="N"/>
    <s v="N"/>
    <s v="B005"/>
    <d v="2016-12-07T00:00:00"/>
    <s v="10"/>
    <s v="TAN"/>
    <s v="OR"/>
    <d v="2016-12-03T00:00:00"/>
    <s v="MI"/>
    <s v="US"/>
    <s v="ZR"/>
    <d v="2016-12-03T00:00:00"/>
  </r>
  <r>
    <x v="1"/>
    <x v="0"/>
    <x v="2203"/>
    <x v="29"/>
    <s v="Standard order"/>
    <x v="2084"/>
    <x v="1031"/>
    <s v="1399"/>
    <s v="BTS 1399"/>
    <s v="5002348"/>
    <s v="1399 BTS T20 Kabina RP"/>
    <n v="36"/>
    <n v="0"/>
    <n v="36"/>
    <x v="0"/>
    <s v="EG74"/>
    <s v="RP"/>
    <s v="380"/>
    <s v="4.0 UN"/>
    <s v="STANDARD"/>
    <s v="N"/>
    <s v="N"/>
    <s v="Y"/>
    <s v="T20"/>
    <s v="N"/>
    <s v="N"/>
    <s v="N"/>
    <s v="N"/>
    <s v="B005"/>
    <d v="2016-12-07T00:00:00"/>
    <s v="20"/>
    <s v="TAN"/>
    <s v="OR"/>
    <d v="2016-12-03T00:00:00"/>
    <s v="MI"/>
    <s v="US"/>
    <s v="ZR"/>
    <d v="2016-12-03T00:00:00"/>
  </r>
  <r>
    <x v="1"/>
    <x v="0"/>
    <x v="2204"/>
    <x v="29"/>
    <s v="Standard order"/>
    <x v="2085"/>
    <x v="224"/>
    <s v="1399"/>
    <s v="BTS 1399"/>
    <s v="5002347"/>
    <s v="1399 BTS T20 Kabina P200"/>
    <n v="40"/>
    <n v="0"/>
    <n v="40"/>
    <x v="0"/>
    <s v="EG74"/>
    <s v="PRO 200"/>
    <s v="380"/>
    <s v="4.0 UN"/>
    <s v="STANDARD"/>
    <s v="N"/>
    <s v="N"/>
    <s v="Y"/>
    <s v="T20"/>
    <s v="N"/>
    <s v="N"/>
    <s v="N"/>
    <s v="N"/>
    <s v="B005"/>
    <d v="2016-12-07T00:00:00"/>
    <s v="10"/>
    <s v="TAN"/>
    <s v="OR"/>
    <d v="2016-12-03T00:00:00"/>
    <s v="MI"/>
    <s v="US"/>
    <s v="ZR"/>
    <d v="2016-12-03T00:00:00"/>
  </r>
  <r>
    <x v="1"/>
    <x v="0"/>
    <x v="2204"/>
    <x v="29"/>
    <s v="Standard order"/>
    <x v="2085"/>
    <x v="224"/>
    <s v="122N"/>
    <s v="BTS 12RR2N"/>
    <s v="5002310"/>
    <s v="122N BTS T20 Kabina P200"/>
    <n v="28"/>
    <n v="0"/>
    <n v="28"/>
    <x v="0"/>
    <s v="4TBG"/>
    <s v="PRO 200"/>
    <s v="380"/>
    <s v="4.0 UN"/>
    <s v="STANDARD"/>
    <s v="N"/>
    <s v="N"/>
    <s v="Y"/>
    <s v="T20"/>
    <s v="N"/>
    <s v="N"/>
    <s v="N"/>
    <s v="N"/>
    <s v="B005"/>
    <d v="2016-12-07T00:00:00"/>
    <s v="20"/>
    <s v="TAN"/>
    <s v="OR"/>
    <d v="2016-12-03T00:00:00"/>
    <s v="MI"/>
    <s v="US"/>
    <s v="ZR"/>
    <d v="2016-12-03T00:00:00"/>
  </r>
  <r>
    <x v="1"/>
    <x v="0"/>
    <x v="2205"/>
    <x v="29"/>
    <s v="Standard order"/>
    <x v="2086"/>
    <x v="2000"/>
    <s v="1399"/>
    <s v="BTS 1399"/>
    <s v="5002346"/>
    <s v="1399 BTS T20 Kabina MP"/>
    <n v="64"/>
    <n v="0"/>
    <n v="64"/>
    <x v="0"/>
    <s v="EG74"/>
    <s v="MP"/>
    <s v="380"/>
    <s v="4.0 UN"/>
    <s v="STANDARD"/>
    <s v="N"/>
    <s v="N"/>
    <s v="Y"/>
    <s v="T20"/>
    <s v="N"/>
    <s v="N"/>
    <s v="N"/>
    <s v="N"/>
    <s v="B005"/>
    <d v="2016-12-07T00:00:00"/>
    <s v="10"/>
    <s v="TAN"/>
    <s v="OR"/>
    <d v="2016-12-02T00:00:00"/>
    <s v="MI"/>
    <s v="US"/>
    <s v="ZR"/>
    <d v="2016-12-03T00:00:00"/>
  </r>
  <r>
    <x v="1"/>
    <x v="5"/>
    <x v="2206"/>
    <x v="21"/>
    <s v="Standard order"/>
    <x v="2087"/>
    <x v="221"/>
    <s v="398N"/>
    <s v="BTS 39RR8N"/>
    <s v="5002572"/>
    <s v="39RR8N RP BetaShield PLUS"/>
    <n v="60"/>
    <n v="0"/>
    <n v="60"/>
    <x v="5"/>
    <s v="2771"/>
    <s v="RP"/>
    <s v="322"/>
    <s v="4.0 UN"/>
    <s v="STANDARD"/>
    <s v="N"/>
    <s v="Y"/>
    <s v="N"/>
    <s v="T20"/>
    <s v="Y"/>
    <s v="N"/>
    <s v="N"/>
    <s v="N"/>
    <s v=""/>
    <d v="2016-12-07T00:00:00"/>
    <s v="20"/>
    <s v="TAN"/>
    <s v="OR"/>
    <d v="2016-12-03T00:00:00"/>
    <s v="MT"/>
    <s v="US"/>
    <s v="ZR"/>
    <d v="2016-12-03T00:00:00"/>
  </r>
  <r>
    <x v="1"/>
    <x v="4"/>
    <x v="2207"/>
    <x v="50"/>
    <s v="Standard order"/>
    <x v="2088"/>
    <x v="292"/>
    <s v="2523"/>
    <s v="BTS 2523"/>
    <s v="5002529"/>
    <s v="2523 BTS PB XL"/>
    <n v="44"/>
    <n v="0"/>
    <n v="44"/>
    <x v="4"/>
    <s v="EZPC"/>
    <s v="X-LARGE"/>
    <s v="307"/>
    <s v="4.0 UN"/>
    <s v="STANDARD"/>
    <s v="N"/>
    <s v="Y"/>
    <s v="N"/>
    <s v="N"/>
    <s v="N"/>
    <s v="N"/>
    <s v="N"/>
    <s v="N"/>
    <s v="B047"/>
    <d v="2016-12-07T00:00:00"/>
    <s v="10"/>
    <s v="TAN"/>
    <s v="OR"/>
    <d v="2016-12-02T00:00:00"/>
    <s v="ID"/>
    <s v="US"/>
    <s v="ZR"/>
    <d v="2016-12-03T00:00:00"/>
  </r>
  <r>
    <x v="1"/>
    <x v="4"/>
    <x v="2208"/>
    <x v="50"/>
    <s v="Standard order"/>
    <x v="2089"/>
    <x v="2001"/>
    <s v="2720"/>
    <s v="BTS 27RR20"/>
    <s v="5002142"/>
    <s v="2720 BTS PB XL"/>
    <n v="72"/>
    <n v="0"/>
    <n v="72"/>
    <x v="4"/>
    <s v="4GAY"/>
    <s v="X-LARGE"/>
    <s v="307"/>
    <s v="4.0 UN"/>
    <s v="STANDARD"/>
    <s v="N"/>
    <s v="Y"/>
    <s v="N"/>
    <s v="N"/>
    <s v="N"/>
    <s v="N"/>
    <s v="N"/>
    <s v="N"/>
    <s v="B047"/>
    <d v="2016-12-07T00:00:00"/>
    <s v="10"/>
    <s v="TAN"/>
    <s v="OR"/>
    <d v="2016-12-02T00:00:00"/>
    <s v="ID"/>
    <s v="US"/>
    <s v="ZR"/>
    <d v="2016-12-03T00:00:00"/>
  </r>
  <r>
    <x v="1"/>
    <x v="4"/>
    <x v="2208"/>
    <x v="50"/>
    <s v="Standard order"/>
    <x v="2089"/>
    <x v="2001"/>
    <s v="225N"/>
    <s v="BTS 22RR5N"/>
    <s v="5002119"/>
    <s v="225N BTS PB XL"/>
    <n v="48"/>
    <n v="0"/>
    <n v="48"/>
    <x v="4"/>
    <s v="4TBD"/>
    <s v="X-LARGE"/>
    <s v="307"/>
    <s v="4.0 UN"/>
    <s v="STANDARD"/>
    <s v="N"/>
    <s v="Y"/>
    <s v="N"/>
    <s v="N"/>
    <s v="N"/>
    <s v="N"/>
    <s v="N"/>
    <s v="N"/>
    <s v="B047"/>
    <d v="2016-12-07T00:00:00"/>
    <s v="20"/>
    <s v="TAN"/>
    <s v="OR"/>
    <d v="2016-12-02T00:00:00"/>
    <s v="ID"/>
    <s v="US"/>
    <s v="ZR"/>
    <d v="2016-12-03T00:00:00"/>
  </r>
  <r>
    <x v="1"/>
    <x v="4"/>
    <x v="2209"/>
    <x v="46"/>
    <s v="Standard order"/>
    <x v="2090"/>
    <x v="2002"/>
    <s v="2125"/>
    <s v="BTS 21RR25"/>
    <s v="5002395"/>
    <s v="2125 BTS PB XL"/>
    <n v="48"/>
    <n v="0"/>
    <n v="48"/>
    <x v="4"/>
    <s v="AP92"/>
    <s v="X-LARGE"/>
    <s v="307"/>
    <s v="4.0 UN"/>
    <s v="STANDARD"/>
    <s v="N"/>
    <s v="Y"/>
    <s v="N"/>
    <s v="N"/>
    <s v="N"/>
    <s v="N"/>
    <s v="N"/>
    <s v="N"/>
    <s v="B049"/>
    <d v="2016-12-07T00:00:00"/>
    <s v="10"/>
    <s v="TAN"/>
    <s v="OR"/>
    <d v="2016-12-02T00:00:00"/>
    <s v="ID"/>
    <s v="US"/>
    <s v="ZR"/>
    <d v="2016-12-03T00:00:00"/>
  </r>
  <r>
    <x v="1"/>
    <x v="4"/>
    <x v="2209"/>
    <x v="46"/>
    <s v="Standard order"/>
    <x v="2090"/>
    <x v="2002"/>
    <s v="6027"/>
    <s v="BTS 60RR27"/>
    <s v="5002617"/>
    <s v="6027 BTS PB LRG IDH"/>
    <n v="48"/>
    <n v="0"/>
    <n v="48"/>
    <x v="4"/>
    <s v="APMC"/>
    <s v="LARGE"/>
    <s v="307"/>
    <s v="4.0 UN"/>
    <s v="STANDARD"/>
    <s v="N"/>
    <s v="Y"/>
    <s v="N"/>
    <s v="N"/>
    <s v="N"/>
    <s v="N"/>
    <s v="N"/>
    <s v="N"/>
    <s v="B049"/>
    <d v="2016-12-07T00:00:00"/>
    <s v="20"/>
    <s v="TAN"/>
    <s v="OR"/>
    <d v="2016-12-02T00:00:00"/>
    <s v="ID"/>
    <s v="US"/>
    <s v="ZR"/>
    <d v="2016-12-03T00:00:00"/>
  </r>
  <r>
    <x v="1"/>
    <x v="4"/>
    <x v="2209"/>
    <x v="46"/>
    <s v="Standard order"/>
    <x v="2090"/>
    <x v="2002"/>
    <s v="2523"/>
    <s v="BTS 2523"/>
    <s v="5002529"/>
    <s v="2523 BTS PB XL"/>
    <n v="40"/>
    <n v="0"/>
    <n v="40"/>
    <x v="4"/>
    <s v="EZPC"/>
    <s v="X-LARGE"/>
    <s v="307"/>
    <s v="4.0 UN"/>
    <s v="STANDARD"/>
    <s v="N"/>
    <s v="Y"/>
    <s v="N"/>
    <s v="N"/>
    <s v="N"/>
    <s v="N"/>
    <s v="N"/>
    <s v="N"/>
    <s v="B049"/>
    <d v="2016-12-07T00:00:00"/>
    <s v="30"/>
    <s v="TAN"/>
    <s v="OR"/>
    <d v="2016-12-02T00:00:00"/>
    <s v="ID"/>
    <s v="US"/>
    <s v="ZR"/>
    <d v="2016-12-03T00:00:00"/>
  </r>
  <r>
    <x v="1"/>
    <x v="4"/>
    <x v="2209"/>
    <x v="46"/>
    <s v="Standard order"/>
    <x v="2090"/>
    <x v="2002"/>
    <s v="2559"/>
    <s v="BTS 2559"/>
    <s v="5002563"/>
    <s v="2559 BTS PB XL"/>
    <n v="44"/>
    <n v="0"/>
    <n v="44"/>
    <x v="4"/>
    <s v="FGNE"/>
    <s v="X-LARGE"/>
    <s v="307"/>
    <s v="4.0 UN"/>
    <s v="STANDARD"/>
    <s v="N"/>
    <s v="Y"/>
    <s v="N"/>
    <s v="N"/>
    <s v="N"/>
    <s v="N"/>
    <s v="N"/>
    <s v="N"/>
    <s v="B049"/>
    <d v="2016-12-07T00:00:00"/>
    <s v="40"/>
    <s v="TAN"/>
    <s v="OR"/>
    <d v="2016-12-02T00:00:00"/>
    <s v="ID"/>
    <s v="US"/>
    <s v="ZR"/>
    <d v="2016-12-03T00:00:00"/>
  </r>
  <r>
    <x v="1"/>
    <x v="4"/>
    <x v="2209"/>
    <x v="46"/>
    <s v="Standard order"/>
    <x v="2090"/>
    <x v="2002"/>
    <s v="4933"/>
    <s v="BTS 49RR33"/>
    <s v="5002280"/>
    <s v="4933 BTS PB XL IDH"/>
    <n v="28"/>
    <n v="0"/>
    <n v="28"/>
    <x v="4"/>
    <s v="AKMC"/>
    <s v="X-LARGE"/>
    <s v="307"/>
    <s v="4.0 UN"/>
    <s v="STANDARD"/>
    <s v="N"/>
    <s v="Y"/>
    <s v="N"/>
    <s v="N"/>
    <s v="N"/>
    <s v="N"/>
    <s v="N"/>
    <s v="N"/>
    <s v="B049"/>
    <d v="2016-12-07T00:00:00"/>
    <s v="50"/>
    <s v="TAN"/>
    <s v="OR"/>
    <d v="2016-12-02T00:00:00"/>
    <s v="ID"/>
    <s v="US"/>
    <s v="ZR"/>
    <d v="2016-12-03T00:00:00"/>
  </r>
  <r>
    <x v="1"/>
    <x v="0"/>
    <x v="2210"/>
    <x v="43"/>
    <s v="Standard order"/>
    <x v="2091"/>
    <x v="477"/>
    <s v="122N"/>
    <s v="BTS 12RR2N"/>
    <s v="5002317"/>
    <s v="122N BTS T20 SYSTIVA RP"/>
    <n v="28"/>
    <n v="0"/>
    <n v="28"/>
    <x v="0"/>
    <s v="4TBG"/>
    <s v="RP"/>
    <s v="326"/>
    <s v="4.0 UN"/>
    <s v="STANDARD"/>
    <s v="N"/>
    <s v="N"/>
    <s v="N"/>
    <s v="T20"/>
    <s v="Y"/>
    <s v="N"/>
    <s v="Y"/>
    <s v="N"/>
    <s v="B006"/>
    <d v="2016-12-07T00:00:00"/>
    <s v="10"/>
    <s v="TAN"/>
    <s v="OR"/>
    <d v="2016-12-03T00:00:00"/>
    <s v="MI"/>
    <s v="US"/>
    <s v="ZR"/>
    <d v="2016-12-03T00:00:00"/>
  </r>
  <r>
    <x v="1"/>
    <x v="0"/>
    <x v="2210"/>
    <x v="43"/>
    <s v="Standard order"/>
    <x v="2091"/>
    <x v="477"/>
    <s v="133N"/>
    <s v="BTS 133N"/>
    <s v="5002329"/>
    <s v="133N BTS T20 Kabina RP"/>
    <n v="40"/>
    <n v="0"/>
    <n v="40"/>
    <x v="0"/>
    <s v="DW73"/>
    <s v="RP"/>
    <s v="380"/>
    <s v="4.0 UN"/>
    <s v="STANDARD"/>
    <s v="N"/>
    <s v="N"/>
    <s v="Y"/>
    <s v="T20"/>
    <s v="N"/>
    <s v="N"/>
    <s v="N"/>
    <s v="N"/>
    <s v="B006"/>
    <d v="2016-12-07T00:00:00"/>
    <s v="20"/>
    <s v="TAN"/>
    <s v="OR"/>
    <d v="2016-12-03T00:00:00"/>
    <s v="MI"/>
    <s v="US"/>
    <s v="ZR"/>
    <d v="2016-12-03T00:00:00"/>
  </r>
  <r>
    <x v="1"/>
    <x v="0"/>
    <x v="2211"/>
    <x v="29"/>
    <s v="Standard order"/>
    <x v="2092"/>
    <x v="410"/>
    <s v="122N"/>
    <s v="BTS 12RR2N"/>
    <s v="5002310"/>
    <s v="122N BTS T20 Kabina P200"/>
    <n v="36"/>
    <n v="0"/>
    <n v="36"/>
    <x v="0"/>
    <s v="4TBG"/>
    <s v="PRO 200"/>
    <s v="380"/>
    <s v="4.0 UN"/>
    <s v="STANDARD"/>
    <s v="N"/>
    <s v="N"/>
    <s v="Y"/>
    <s v="T20"/>
    <s v="N"/>
    <s v="N"/>
    <s v="N"/>
    <s v="N"/>
    <s v="B005"/>
    <d v="2016-12-07T00:00:00"/>
    <s v="10"/>
    <s v="TAN"/>
    <s v="OR"/>
    <d v="2016-12-03T00:00:00"/>
    <s v="MI"/>
    <s v="US"/>
    <s v="ZR"/>
    <d v="2016-12-03T00:00:00"/>
  </r>
  <r>
    <x v="1"/>
    <x v="0"/>
    <x v="2211"/>
    <x v="29"/>
    <s v="Standard order"/>
    <x v="2092"/>
    <x v="410"/>
    <s v="122N"/>
    <s v="BTS 12RR2N"/>
    <s v="5002317"/>
    <s v="122N BTS T20 SYSTIVA RP"/>
    <n v="40"/>
    <n v="0"/>
    <n v="40"/>
    <x v="0"/>
    <s v="4TBG"/>
    <s v="RP"/>
    <s v="326"/>
    <s v="4.0 UN"/>
    <s v="STANDARD"/>
    <s v="N"/>
    <s v="N"/>
    <s v="N"/>
    <s v="T20"/>
    <s v="Y"/>
    <s v="N"/>
    <s v="Y"/>
    <s v="N"/>
    <s v="B005"/>
    <d v="2016-12-07T00:00:00"/>
    <s v="20"/>
    <s v="TAN"/>
    <s v="OR"/>
    <d v="2016-12-03T00:00:00"/>
    <s v="MI"/>
    <s v="US"/>
    <s v="ZR"/>
    <d v="2016-12-03T00:00:00"/>
  </r>
  <r>
    <x v="1"/>
    <x v="0"/>
    <x v="2211"/>
    <x v="29"/>
    <s v="Standard order"/>
    <x v="2092"/>
    <x v="410"/>
    <s v="149N"/>
    <s v="BTS 149N"/>
    <s v="5002368"/>
    <s v="149N BTS T20 Kabina RP"/>
    <n v="76"/>
    <n v="0"/>
    <n v="76"/>
    <x v="0"/>
    <s v="EEND"/>
    <s v="RP"/>
    <s v="380"/>
    <s v="4.0 UN"/>
    <s v="STANDARD"/>
    <s v="N"/>
    <s v="N"/>
    <s v="Y"/>
    <s v="T20"/>
    <s v="N"/>
    <s v="N"/>
    <s v="N"/>
    <s v="N"/>
    <s v="B005"/>
    <d v="2016-12-07T00:00:00"/>
    <s v="30"/>
    <s v="TAN"/>
    <s v="OR"/>
    <d v="2016-12-03T00:00:00"/>
    <s v="MI"/>
    <s v="US"/>
    <s v="ZR"/>
    <d v="2016-12-03T00:00:00"/>
  </r>
  <r>
    <x v="1"/>
    <x v="7"/>
    <x v="2212"/>
    <x v="37"/>
    <s v="Standard order"/>
    <x v="2093"/>
    <x v="2003"/>
    <s v="8337"/>
    <s v="BTS 8337"/>
    <s v="5002799"/>
    <s v="8337 BTS T35 SYSTIVA RP"/>
    <n v="28"/>
    <n v="0"/>
    <n v="28"/>
    <x v="7"/>
    <s v="DHMC"/>
    <s v="RP"/>
    <s v="334"/>
    <s v="4.0 UN"/>
    <s v="STANDARD"/>
    <s v="N"/>
    <s v="N"/>
    <s v="N"/>
    <s v="T35"/>
    <s v="Y"/>
    <s v="N"/>
    <s v="Y"/>
    <s v="N"/>
    <s v="B033"/>
    <d v="2016-12-07T00:00:00"/>
    <s v="10"/>
    <s v="TAN"/>
    <s v="OR"/>
    <d v="2016-12-04T00:00:00"/>
    <s v="ND"/>
    <s v="US"/>
    <s v="ZR"/>
    <d v="2016-12-04T00:00:00"/>
  </r>
  <r>
    <x v="1"/>
    <x v="7"/>
    <x v="2212"/>
    <x v="37"/>
    <s v="Standard order"/>
    <x v="2093"/>
    <x v="2003"/>
    <s v="8572"/>
    <s v="BTS 8572"/>
    <s v="5003219"/>
    <s v="8572 BTS T35 SYSTIVA RP"/>
    <n v="28"/>
    <n v="0"/>
    <n v="28"/>
    <x v="7"/>
    <s v="FENB"/>
    <s v="RP"/>
    <s v="334"/>
    <s v="4.0 UN"/>
    <s v="STANDARD"/>
    <s v="N"/>
    <s v="N"/>
    <s v="N"/>
    <s v="T35"/>
    <s v="Y"/>
    <s v="N"/>
    <s v="Y"/>
    <s v="N"/>
    <s v="B033"/>
    <d v="2016-12-07T00:00:00"/>
    <s v="20"/>
    <s v="TAN"/>
    <s v="OR"/>
    <d v="2016-12-04T00:00:00"/>
    <s v="ND"/>
    <s v="US"/>
    <s v="ZR"/>
    <d v="2016-12-04T00:00:00"/>
  </r>
  <r>
    <x v="1"/>
    <x v="7"/>
    <x v="2212"/>
    <x v="37"/>
    <s v="Standard order"/>
    <x v="2093"/>
    <x v="2003"/>
    <s v="8363"/>
    <s v="BTS 8363"/>
    <s v="5002820"/>
    <s v="8363 BTS T35 SYSTIVA RP"/>
    <n v="120"/>
    <n v="0"/>
    <n v="120"/>
    <x v="7"/>
    <s v="DMMZ"/>
    <s v="RP"/>
    <s v="334"/>
    <s v="4.0 UN"/>
    <s v="STANDARD"/>
    <s v="N"/>
    <s v="N"/>
    <s v="N"/>
    <s v="T35"/>
    <s v="Y"/>
    <s v="N"/>
    <s v="Y"/>
    <s v="N"/>
    <s v="B033"/>
    <d v="2016-12-07T00:00:00"/>
    <s v="30"/>
    <s v="TAN"/>
    <s v="OR"/>
    <d v="2016-12-04T00:00:00"/>
    <s v="ND"/>
    <s v="US"/>
    <s v="ZR"/>
    <d v="2016-12-04T00:00:00"/>
  </r>
  <r>
    <x v="1"/>
    <x v="7"/>
    <x v="2212"/>
    <x v="37"/>
    <s v="Standard order"/>
    <x v="2093"/>
    <x v="2003"/>
    <s v="8500"/>
    <s v="BTS 8500"/>
    <s v="5002860"/>
    <s v="8500 BTS T35 SYSTIVA RP"/>
    <n v="140"/>
    <n v="0"/>
    <n v="140"/>
    <x v="7"/>
    <s v="FTND"/>
    <s v="RP"/>
    <s v="334"/>
    <s v="4.0 UN"/>
    <s v="STANDARD"/>
    <s v="N"/>
    <s v="N"/>
    <s v="N"/>
    <s v="T35"/>
    <s v="Y"/>
    <s v="N"/>
    <s v="Y"/>
    <s v="N"/>
    <s v="B033"/>
    <d v="2016-12-07T00:00:00"/>
    <s v="40"/>
    <s v="TAN"/>
    <s v="OR"/>
    <d v="2016-12-04T00:00:00"/>
    <s v="ND"/>
    <s v="US"/>
    <s v="ZR"/>
    <d v="2016-12-04T00:00:00"/>
  </r>
  <r>
    <x v="1"/>
    <x v="4"/>
    <x v="2213"/>
    <x v="44"/>
    <s v="Standard order"/>
    <x v="2094"/>
    <x v="289"/>
    <s v="225N"/>
    <s v="BTS 22RR5N"/>
    <s v="5002122"/>
    <s v="225N BTS T20 PB MP"/>
    <n v="216"/>
    <n v="0"/>
    <n v="216"/>
    <x v="4"/>
    <s v="4TBD"/>
    <s v="MP"/>
    <s v="308"/>
    <s v="4.0 UN"/>
    <s v="STANDARD"/>
    <s v="N"/>
    <s v="Y"/>
    <s v="N"/>
    <s v="T20"/>
    <s v="N"/>
    <s v="N"/>
    <s v="N"/>
    <s v="N"/>
    <s v="MB13"/>
    <d v="2016-12-07T00:00:00"/>
    <s v="10"/>
    <s v="TAN"/>
    <s v="OR"/>
    <d v="2016-12-04T00:00:00"/>
    <s v="WA"/>
    <s v="US"/>
    <s v="ZR"/>
    <d v="2016-12-04T00:00:00"/>
  </r>
  <r>
    <x v="1"/>
    <x v="4"/>
    <x v="2213"/>
    <x v="44"/>
    <s v="Standard order"/>
    <x v="2094"/>
    <x v="289"/>
    <s v="251N"/>
    <s v="BTS 251N"/>
    <s v="5002509"/>
    <s v="251N BTS T20 PB MP"/>
    <n v="32"/>
    <n v="0"/>
    <n v="32"/>
    <x v="4"/>
    <s v="5HBR"/>
    <s v="MP"/>
    <s v="308"/>
    <s v="4.0 UN"/>
    <s v="STANDARD"/>
    <s v="N"/>
    <s v="Y"/>
    <s v="N"/>
    <s v="T20"/>
    <s v="N"/>
    <s v="N"/>
    <s v="N"/>
    <s v="N"/>
    <s v="MB13"/>
    <d v="2016-12-07T00:00:00"/>
    <s v="20"/>
    <s v="TAN"/>
    <s v="OR"/>
    <d v="2016-12-04T00:00:00"/>
    <s v="WA"/>
    <s v="US"/>
    <s v="ZR"/>
    <d v="2016-12-04T00:00:00"/>
  </r>
  <r>
    <x v="1"/>
    <x v="6"/>
    <x v="2214"/>
    <x v="48"/>
    <s v="Standard order"/>
    <x v="2095"/>
    <x v="2004"/>
    <s v="437N"/>
    <s v="BTS 437N"/>
    <s v="5002210"/>
    <s v="437N BTS T20 PB SYSTIVA P50"/>
    <n v="20"/>
    <n v="0"/>
    <n v="20"/>
    <x v="6"/>
    <s v="EE73"/>
    <s v="PRO 50"/>
    <s v="322"/>
    <s v="4.0 UN"/>
    <s v="STANDARD"/>
    <s v="N"/>
    <s v="N"/>
    <s v="N"/>
    <s v="T20"/>
    <s v="Y"/>
    <s v="N"/>
    <s v="Y"/>
    <s v="N"/>
    <s v="B012"/>
    <d v="2016-12-07T00:00:00"/>
    <s v="10"/>
    <s v="TAN"/>
    <s v="OR"/>
    <d v="2016-12-04T00:00:00"/>
    <s v="MT"/>
    <s v="US"/>
    <s v="ZR"/>
    <d v="2016-12-04T00:00:00"/>
  </r>
  <r>
    <x v="1"/>
    <x v="6"/>
    <x v="2214"/>
    <x v="48"/>
    <s v="Standard order"/>
    <x v="2095"/>
    <x v="2004"/>
    <s v="444N"/>
    <s v="BTS 444N"/>
    <s v="5002228"/>
    <s v="444N BTS T20 PB SYSTIVA P50"/>
    <n v="12"/>
    <n v="0"/>
    <n v="12"/>
    <x v="6"/>
    <s v="DVND"/>
    <s v="PRO 50"/>
    <s v="322"/>
    <s v="4.0 UN"/>
    <s v="STANDARD"/>
    <s v="N"/>
    <s v="N"/>
    <s v="N"/>
    <s v="T20"/>
    <s v="Y"/>
    <s v="N"/>
    <s v="Y"/>
    <s v="N"/>
    <s v="B012"/>
    <d v="2016-12-07T00:00:00"/>
    <s v="20"/>
    <s v="TAN"/>
    <s v="OR"/>
    <d v="2016-12-04T00:00:00"/>
    <s v="MT"/>
    <s v="US"/>
    <s v="ZR"/>
    <d v="2016-12-04T00:00:00"/>
  </r>
  <r>
    <x v="1"/>
    <x v="6"/>
    <x v="2214"/>
    <x v="48"/>
    <s v="Standard order"/>
    <x v="2095"/>
    <x v="2004"/>
    <s v="459N"/>
    <s v="BTS 459N"/>
    <s v="5002258"/>
    <s v="459N BTS T20 PB SYSTIVA P50"/>
    <n v="12"/>
    <n v="0"/>
    <n v="12"/>
    <x v="6"/>
    <s v="DVNU"/>
    <s v="PRO 50"/>
    <s v="322"/>
    <s v="4.0 UN"/>
    <s v="STANDARD"/>
    <s v="N"/>
    <s v="N"/>
    <s v="N"/>
    <s v="T20"/>
    <s v="Y"/>
    <s v="N"/>
    <s v="Y"/>
    <s v="N"/>
    <s v="B012"/>
    <d v="2016-12-07T00:00:00"/>
    <s v="30"/>
    <s v="TAN"/>
    <s v="OR"/>
    <d v="2016-12-04T00:00:00"/>
    <s v="MT"/>
    <s v="US"/>
    <s v="ZR"/>
    <d v="2016-12-04T00:00:00"/>
  </r>
  <r>
    <x v="1"/>
    <x v="4"/>
    <x v="2215"/>
    <x v="44"/>
    <s v="Standard order"/>
    <x v="2096"/>
    <x v="113"/>
    <s v="225N"/>
    <s v="BTS 22RR5N"/>
    <s v="5002111"/>
    <s v="225N BTS PB LRG"/>
    <n v="16"/>
    <n v="0"/>
    <n v="16"/>
    <x v="4"/>
    <s v="4TBD"/>
    <s v="LARGE"/>
    <s v="307"/>
    <s v="4.0 UN"/>
    <s v="STANDARD"/>
    <s v="N"/>
    <s v="Y"/>
    <s v="N"/>
    <s v="N"/>
    <s v="N"/>
    <s v="N"/>
    <s v="N"/>
    <s v="N"/>
    <s v="MB13"/>
    <d v="2016-12-07T00:00:00"/>
    <s v="10"/>
    <s v="TAN"/>
    <s v="OR"/>
    <d v="2016-12-04T00:00:00"/>
    <s v="OR"/>
    <s v="US"/>
    <s v="ZR"/>
    <d v="2016-12-04T00:00:00"/>
  </r>
  <r>
    <x v="1"/>
    <x v="7"/>
    <x v="2216"/>
    <x v="37"/>
    <s v="Standard order"/>
    <x v="2097"/>
    <x v="2005"/>
    <s v="8052"/>
    <s v="BTS 80RR52"/>
    <s v="5002735"/>
    <s v="8052 BTS T35 PB SYSTIVA RP"/>
    <n v="52"/>
    <n v="0"/>
    <n v="52"/>
    <x v="7"/>
    <s v="AP82"/>
    <s v="RP"/>
    <s v="333"/>
    <s v="4.0 UN"/>
    <s v="STANDARD"/>
    <s v="N"/>
    <s v="Y"/>
    <s v="N"/>
    <s v="T35"/>
    <s v="Y"/>
    <s v="N"/>
    <s v="Y"/>
    <s v="N"/>
    <s v="B033"/>
    <d v="2016-12-07T00:00:00"/>
    <s v="10"/>
    <s v="TAN"/>
    <s v="OR"/>
    <d v="2016-12-04T00:00:00"/>
    <s v="ND"/>
    <s v="US"/>
    <s v="ZR"/>
    <d v="2016-12-04T00:00:00"/>
  </r>
  <r>
    <x v="1"/>
    <x v="0"/>
    <x v="2217"/>
    <x v="45"/>
    <s v="Standard order"/>
    <x v="2098"/>
    <x v="2006"/>
    <s v="149N"/>
    <s v="BTS 149N"/>
    <s v="5002366"/>
    <s v="149N BTS T20 Kabina MP"/>
    <n v="20"/>
    <n v="0"/>
    <n v="20"/>
    <x v="0"/>
    <s v="EEND"/>
    <s v="MP"/>
    <s v="380"/>
    <s v="4.0 UN"/>
    <s v="STANDARD"/>
    <s v="N"/>
    <s v="N"/>
    <s v="Y"/>
    <s v="T20"/>
    <s v="N"/>
    <s v="N"/>
    <s v="N"/>
    <s v="N"/>
    <s v="B003"/>
    <d v="2016-12-07T00:00:00"/>
    <s v="10"/>
    <s v="TAN"/>
    <s v="OR"/>
    <d v="2016-12-03T00:00:00"/>
    <s v="MI"/>
    <s v="US"/>
    <s v="ZR"/>
    <d v="2016-12-04T00:00:00"/>
  </r>
  <r>
    <x v="1"/>
    <x v="0"/>
    <x v="2217"/>
    <x v="45"/>
    <s v="Standard order"/>
    <x v="2098"/>
    <x v="2006"/>
    <s v="122N"/>
    <s v="BTS 12RR2N"/>
    <s v="5002315"/>
    <s v="122N BTS T20 SYSTIVA MP"/>
    <n v="60"/>
    <n v="0"/>
    <n v="60"/>
    <x v="0"/>
    <s v="4TBG"/>
    <s v="MP"/>
    <s v="326"/>
    <s v="4.0 UN"/>
    <s v="STANDARD"/>
    <s v="N"/>
    <s v="N"/>
    <s v="N"/>
    <s v="T20"/>
    <s v="Y"/>
    <s v="N"/>
    <s v="Y"/>
    <s v="N"/>
    <s v="B003"/>
    <d v="2016-12-07T00:00:00"/>
    <s v="20"/>
    <s v="TAN"/>
    <s v="OR"/>
    <d v="2016-12-03T00:00:00"/>
    <s v="MI"/>
    <s v="US"/>
    <s v="ZR"/>
    <d v="2016-12-04T00:00:00"/>
  </r>
  <r>
    <x v="1"/>
    <x v="0"/>
    <x v="2217"/>
    <x v="45"/>
    <s v="Standard order"/>
    <x v="2098"/>
    <x v="2006"/>
    <s v="1399"/>
    <s v="BTS 1399"/>
    <s v="5002346"/>
    <s v="1399 BTS T20 Kabina MP"/>
    <n v="80"/>
    <n v="0"/>
    <n v="80"/>
    <x v="0"/>
    <s v="EG74"/>
    <s v="MP"/>
    <s v="380"/>
    <s v="4.0 UN"/>
    <s v="STANDARD"/>
    <s v="N"/>
    <s v="N"/>
    <s v="Y"/>
    <s v="T20"/>
    <s v="N"/>
    <s v="N"/>
    <s v="N"/>
    <s v="N"/>
    <s v="B003"/>
    <d v="2016-12-07T00:00:00"/>
    <s v="30"/>
    <s v="TAN"/>
    <s v="OR"/>
    <d v="2016-12-03T00:00:00"/>
    <s v="MI"/>
    <s v="US"/>
    <s v="ZR"/>
    <d v="2016-12-04T00:00:00"/>
  </r>
  <r>
    <x v="1"/>
    <x v="7"/>
    <x v="2218"/>
    <x v="37"/>
    <s v="Standard order"/>
    <x v="2099"/>
    <x v="2007"/>
    <s v="8500"/>
    <s v="BTS 8500"/>
    <s v="5002856"/>
    <s v="8500 BTS T35 PB SYSTIVA RP"/>
    <n v="88"/>
    <n v="0"/>
    <n v="88"/>
    <x v="7"/>
    <s v="FTND"/>
    <s v="RP"/>
    <s v="333"/>
    <s v="4.0 UN"/>
    <s v="STANDARD"/>
    <s v="N"/>
    <s v="Y"/>
    <s v="N"/>
    <s v="T35"/>
    <s v="Y"/>
    <s v="N"/>
    <s v="Y"/>
    <s v="N"/>
    <s v="B033"/>
    <d v="2016-12-07T00:00:00"/>
    <s v="10"/>
    <s v="TAN"/>
    <s v="OR"/>
    <d v="2016-12-04T00:00:00"/>
    <s v="ND"/>
    <s v="US"/>
    <s v="ZR"/>
    <d v="2016-12-04T00:00:00"/>
  </r>
  <r>
    <x v="1"/>
    <x v="7"/>
    <x v="2219"/>
    <x v="37"/>
    <s v="Standard order"/>
    <x v="2100"/>
    <x v="2008"/>
    <s v="8500"/>
    <s v="BTS 8500"/>
    <s v="5002860"/>
    <s v="8500 BTS T35 SYSTIVA RP"/>
    <n v="140"/>
    <n v="0"/>
    <n v="140"/>
    <x v="7"/>
    <s v="FTND"/>
    <s v="RP"/>
    <s v="334"/>
    <s v="4.0 UN"/>
    <s v="STANDARD"/>
    <s v="N"/>
    <s v="N"/>
    <s v="N"/>
    <s v="T35"/>
    <s v="Y"/>
    <s v="N"/>
    <s v="Y"/>
    <s v="N"/>
    <s v="B033"/>
    <d v="2016-12-07T00:00:00"/>
    <s v="10"/>
    <s v="TAN"/>
    <s v="OR"/>
    <d v="2016-12-04T00:00:00"/>
    <s v="ND"/>
    <s v="US"/>
    <s v="ZR"/>
    <d v="2016-12-04T00:00:00"/>
  </r>
  <r>
    <x v="1"/>
    <x v="4"/>
    <x v="2220"/>
    <x v="44"/>
    <s v="Standard order"/>
    <x v="2101"/>
    <x v="2009"/>
    <s v="4933"/>
    <s v="BTS 49RR33"/>
    <s v="5002293"/>
    <s v="4933 BTS T20 PB MP IDH"/>
    <n v="120"/>
    <n v="0"/>
    <n v="120"/>
    <x v="4"/>
    <s v="AKMC"/>
    <s v="MP"/>
    <s v="308"/>
    <s v="4.0 UN"/>
    <s v="STANDARD"/>
    <s v="N"/>
    <s v="Y"/>
    <s v="N"/>
    <s v="T20"/>
    <s v="N"/>
    <s v="N"/>
    <s v="N"/>
    <s v="N"/>
    <s v="MB13"/>
    <d v="2016-12-07T00:00:00"/>
    <s v="10"/>
    <s v="TAN"/>
    <s v="OR"/>
    <d v="2016-12-04T00:00:00"/>
    <s v="OR"/>
    <s v="US"/>
    <s v="ZR"/>
    <d v="2016-12-04T00:00:00"/>
  </r>
  <r>
    <x v="1"/>
    <x v="5"/>
    <x v="2221"/>
    <x v="9"/>
    <s v="Standard order"/>
    <x v="2102"/>
    <x v="256"/>
    <s v="3650"/>
    <s v="BTS 36RR50"/>
    <s v="5002548"/>
    <s v="3650 BTS T20 PB SYSTIVA RP"/>
    <n v="36"/>
    <n v="0"/>
    <n v="36"/>
    <x v="5"/>
    <s v="4DAY"/>
    <s v="RP"/>
    <s v="322"/>
    <s v="4.0 UN"/>
    <s v="STANDARD"/>
    <s v="N"/>
    <s v="Y"/>
    <s v="N"/>
    <s v="T20"/>
    <s v="Y"/>
    <s v="N"/>
    <s v="N"/>
    <s v="N"/>
    <s v="B016"/>
    <d v="2016-12-08T00:00:00"/>
    <s v="10"/>
    <s v="TAN"/>
    <s v="OR"/>
    <d v="2016-12-05T00:00:00"/>
    <s v="WY"/>
    <s v="US"/>
    <s v="ZR"/>
    <d v="2016-12-05T00:00:00"/>
  </r>
  <r>
    <x v="1"/>
    <x v="4"/>
    <x v="2222"/>
    <x v="47"/>
    <s v="Standard order"/>
    <x v="2103"/>
    <x v="263"/>
    <s v="251N"/>
    <s v="BTS 251N"/>
    <s v="5002196"/>
    <s v="251N BTS PB XL"/>
    <n v="44"/>
    <n v="0"/>
    <n v="44"/>
    <x v="4"/>
    <s v="5HBR"/>
    <s v="X-LARGE"/>
    <s v="307"/>
    <s v="4.0 UN"/>
    <s v="STANDARD"/>
    <s v="N"/>
    <s v="Y"/>
    <s v="N"/>
    <s v="N"/>
    <s v="N"/>
    <s v="N"/>
    <s v="N"/>
    <s v="N"/>
    <s v="B050"/>
    <d v="2016-12-08T00:00:00"/>
    <s v="10"/>
    <s v="TAN"/>
    <s v="OR"/>
    <d v="2016-12-05T00:00:00"/>
    <s v="ID"/>
    <s v="US"/>
    <s v="ZR"/>
    <d v="2016-12-05T00:00:00"/>
  </r>
  <r>
    <x v="1"/>
    <x v="4"/>
    <x v="2222"/>
    <x v="47"/>
    <s v="Standard order"/>
    <x v="2103"/>
    <x v="263"/>
    <s v="225N"/>
    <s v="BTS 22RR5N"/>
    <s v="5002119"/>
    <s v="225N BTS PB XL"/>
    <n v="192"/>
    <n v="0"/>
    <n v="192"/>
    <x v="4"/>
    <s v="4TBD"/>
    <s v="X-LARGE"/>
    <s v="307"/>
    <s v="4.0 UN"/>
    <s v="STANDARD"/>
    <s v="N"/>
    <s v="Y"/>
    <s v="N"/>
    <s v="N"/>
    <s v="N"/>
    <s v="N"/>
    <s v="N"/>
    <s v="N"/>
    <s v="B050"/>
    <d v="2016-12-08T00:00:00"/>
    <s v="20"/>
    <s v="TAN"/>
    <s v="OR"/>
    <d v="2016-12-05T00:00:00"/>
    <s v="ID"/>
    <s v="US"/>
    <s v="ZR"/>
    <d v="2016-12-05T00:00:00"/>
  </r>
  <r>
    <x v="1"/>
    <x v="0"/>
    <x v="2223"/>
    <x v="43"/>
    <s v="Standard order"/>
    <x v="2104"/>
    <x v="2010"/>
    <s v="122N"/>
    <s v="BTS 12RR2N"/>
    <s v="5002309"/>
    <s v="122N BTS T20 Kabina MP"/>
    <n v="24"/>
    <n v="0"/>
    <n v="24"/>
    <x v="0"/>
    <s v="4TBG"/>
    <s v="MP"/>
    <s v="380"/>
    <s v="4.0 UN"/>
    <s v="STANDARD"/>
    <s v="N"/>
    <s v="N"/>
    <s v="Y"/>
    <s v="T20"/>
    <s v="N"/>
    <s v="N"/>
    <s v="N"/>
    <s v="N"/>
    <s v="B006"/>
    <d v="2016-12-08T00:00:00"/>
    <s v="10"/>
    <s v="TAN"/>
    <s v="OR"/>
    <d v="2016-12-05T00:00:00"/>
    <s v="MI"/>
    <s v="US"/>
    <s v="ZR"/>
    <d v="2016-12-05T00:00:00"/>
  </r>
  <r>
    <x v="1"/>
    <x v="0"/>
    <x v="2224"/>
    <x v="43"/>
    <s v="Standard order"/>
    <x v="2105"/>
    <x v="671"/>
    <s v="122N"/>
    <s v="BTS 12RR2N"/>
    <s v="5002309"/>
    <s v="122N BTS T20 Kabina MP"/>
    <n v="72"/>
    <n v="0"/>
    <n v="72"/>
    <x v="0"/>
    <s v="4TBG"/>
    <s v="MP"/>
    <s v="380"/>
    <s v="4.0 UN"/>
    <s v="STANDARD"/>
    <s v="N"/>
    <s v="N"/>
    <s v="Y"/>
    <s v="T20"/>
    <s v="N"/>
    <s v="N"/>
    <s v="N"/>
    <s v="N"/>
    <s v="B006"/>
    <d v="2016-12-08T00:00:00"/>
    <s v="10"/>
    <s v="TAN"/>
    <s v="OR"/>
    <d v="2016-12-05T00:00:00"/>
    <s v="MI"/>
    <s v="US"/>
    <s v="ZR"/>
    <d v="2016-12-05T00:00:00"/>
  </r>
  <r>
    <x v="1"/>
    <x v="0"/>
    <x v="2224"/>
    <x v="43"/>
    <s v="Standard order"/>
    <x v="2105"/>
    <x v="671"/>
    <s v="149N"/>
    <s v="BTS 149N"/>
    <s v="5002366"/>
    <s v="149N BTS T20 Kabina MP"/>
    <n v="72"/>
    <n v="0"/>
    <n v="72"/>
    <x v="0"/>
    <s v="EEND"/>
    <s v="MP"/>
    <s v="380"/>
    <s v="4.0 UN"/>
    <s v="STANDARD"/>
    <s v="N"/>
    <s v="N"/>
    <s v="Y"/>
    <s v="T20"/>
    <s v="N"/>
    <s v="N"/>
    <s v="N"/>
    <s v="N"/>
    <s v="B006"/>
    <d v="2016-12-08T00:00:00"/>
    <s v="20"/>
    <s v="TAN"/>
    <s v="OR"/>
    <d v="2016-12-05T00:00:00"/>
    <s v="MI"/>
    <s v="US"/>
    <s v="ZR"/>
    <d v="2016-12-05T00:00:00"/>
  </r>
  <r>
    <x v="1"/>
    <x v="6"/>
    <x v="2225"/>
    <x v="51"/>
    <s v="Standard order"/>
    <x v="2106"/>
    <x v="779"/>
    <s v="437N"/>
    <s v="BTS 437N"/>
    <s v="5002208"/>
    <s v="437N BTS T20 PB SYSTIVA P100"/>
    <n v="24"/>
    <n v="0"/>
    <n v="24"/>
    <x v="6"/>
    <s v="EE73"/>
    <s v="PRO 100"/>
    <s v="322"/>
    <s v="4.0 UN"/>
    <s v="STANDARD"/>
    <s v="N"/>
    <s v="N"/>
    <s v="N"/>
    <s v="T20"/>
    <s v="Y"/>
    <s v="N"/>
    <s v="Y"/>
    <s v="N"/>
    <s v="B011"/>
    <d v="2016-12-08T00:00:00"/>
    <s v="10"/>
    <s v="TAN"/>
    <s v="OR"/>
    <d v="2016-12-05T00:00:00"/>
    <s v="MT"/>
    <s v="US"/>
    <s v="ZR"/>
    <d v="2016-12-05T00:00:00"/>
  </r>
  <r>
    <x v="1"/>
    <x v="6"/>
    <x v="2225"/>
    <x v="51"/>
    <s v="Standard order"/>
    <x v="2106"/>
    <x v="779"/>
    <s v="428N"/>
    <s v="BTS 42RR8N"/>
    <s v="5002595"/>
    <s v="428N BTS T20 PB SYSTIVA P100"/>
    <n v="20"/>
    <n v="0"/>
    <n v="20"/>
    <x v="6"/>
    <s v="4TBG"/>
    <s v="PRO 100"/>
    <s v="322"/>
    <s v="4.0 UN"/>
    <s v="STANDARD"/>
    <s v="N"/>
    <s v="N"/>
    <s v="N"/>
    <s v="T20"/>
    <s v="Y"/>
    <s v="N"/>
    <s v="Y"/>
    <s v="N"/>
    <s v="B011"/>
    <d v="2016-12-08T00:00:00"/>
    <s v="20"/>
    <s v="TAN"/>
    <s v="OR"/>
    <d v="2016-12-05T00:00:00"/>
    <s v="MT"/>
    <s v="US"/>
    <s v="ZR"/>
    <d v="2016-12-05T00:00:00"/>
  </r>
  <r>
    <x v="1"/>
    <x v="6"/>
    <x v="2226"/>
    <x v="51"/>
    <s v="Standard order"/>
    <x v="2107"/>
    <x v="2011"/>
    <s v="437N"/>
    <s v="BTS 437N"/>
    <s v="5002210"/>
    <s v="437N BTS T20 PB SYSTIVA P50"/>
    <n v="52"/>
    <n v="0"/>
    <n v="52"/>
    <x v="6"/>
    <s v="EE73"/>
    <s v="PRO 50"/>
    <s v="322"/>
    <s v="4.0 UN"/>
    <s v="STANDARD"/>
    <s v="N"/>
    <s v="N"/>
    <s v="N"/>
    <s v="T20"/>
    <s v="Y"/>
    <s v="N"/>
    <s v="Y"/>
    <s v="N"/>
    <s v="B011"/>
    <d v="2016-12-08T00:00:00"/>
    <s v="10"/>
    <s v="TAN"/>
    <s v="OR"/>
    <d v="2016-12-05T00:00:00"/>
    <s v="MT"/>
    <s v="US"/>
    <s v="ZR"/>
    <d v="2016-12-05T00:00:00"/>
  </r>
  <r>
    <x v="1"/>
    <x v="6"/>
    <x v="2226"/>
    <x v="51"/>
    <s v="Standard order"/>
    <x v="2107"/>
    <x v="2011"/>
    <s v="444N"/>
    <s v="BTS 444N"/>
    <s v="5002228"/>
    <s v="444N BTS T20 PB SYSTIVA P50"/>
    <n v="12"/>
    <n v="0"/>
    <n v="12"/>
    <x v="6"/>
    <s v="DVND"/>
    <s v="PRO 50"/>
    <s v="322"/>
    <s v="4.0 UN"/>
    <s v="STANDARD"/>
    <s v="N"/>
    <s v="N"/>
    <s v="N"/>
    <s v="T20"/>
    <s v="Y"/>
    <s v="N"/>
    <s v="Y"/>
    <s v="N"/>
    <s v="B011"/>
    <d v="2016-12-08T00:00:00"/>
    <s v="20"/>
    <s v="TAN"/>
    <s v="OR"/>
    <d v="2016-12-05T00:00:00"/>
    <s v="MT"/>
    <s v="US"/>
    <s v="ZR"/>
    <d v="2016-12-05T00:00:00"/>
  </r>
  <r>
    <x v="1"/>
    <x v="4"/>
    <x v="2227"/>
    <x v="46"/>
    <s v="Standard order"/>
    <x v="2108"/>
    <x v="2012"/>
    <s v="4933"/>
    <s v="BTS 49RR33"/>
    <s v="5002281"/>
    <s v="4933 BTS PB XL+ IDH"/>
    <n v="60"/>
    <n v="0"/>
    <n v="60"/>
    <x v="4"/>
    <s v="AKMC"/>
    <s v="XL-PLUS"/>
    <s v="307"/>
    <s v="4.0 UN"/>
    <s v="STANDARD"/>
    <s v="N"/>
    <s v="Y"/>
    <s v="N"/>
    <s v="N"/>
    <s v="N"/>
    <s v="N"/>
    <s v="N"/>
    <s v="N"/>
    <s v="B049"/>
    <d v="2016-12-08T00:00:00"/>
    <s v="10"/>
    <s v="TAN"/>
    <s v="OR"/>
    <d v="2016-12-05T00:00:00"/>
    <s v="ID"/>
    <s v="US"/>
    <s v="ZR"/>
    <d v="2016-12-05T00:00:00"/>
  </r>
  <r>
    <x v="1"/>
    <x v="4"/>
    <x v="2227"/>
    <x v="46"/>
    <s v="Standard order"/>
    <x v="2108"/>
    <x v="2012"/>
    <s v="2523"/>
    <s v="BTS 2523"/>
    <s v="5002531"/>
    <s v="2523 BTS PB XL+"/>
    <n v="100"/>
    <n v="0"/>
    <n v="100"/>
    <x v="4"/>
    <s v="EZPC"/>
    <s v="XL-PLUS"/>
    <s v="307"/>
    <s v="4.0 UN"/>
    <s v="STANDARD"/>
    <s v="N"/>
    <s v="Y"/>
    <s v="N"/>
    <s v="N"/>
    <s v="N"/>
    <s v="N"/>
    <s v="N"/>
    <s v="N"/>
    <s v="B049"/>
    <d v="2016-12-08T00:00:00"/>
    <s v="20"/>
    <s v="TAN"/>
    <s v="OR"/>
    <d v="2016-12-05T00:00:00"/>
    <s v="ID"/>
    <s v="US"/>
    <s v="ZR"/>
    <d v="2016-12-05T00:00:00"/>
  </r>
  <r>
    <x v="1"/>
    <x v="4"/>
    <x v="2227"/>
    <x v="46"/>
    <s v="Standard order"/>
    <x v="2108"/>
    <x v="2012"/>
    <s v="2559"/>
    <s v="BTS 2559"/>
    <s v="5002565"/>
    <s v="2559 BTS PB XL+"/>
    <n v="64"/>
    <n v="0"/>
    <n v="64"/>
    <x v="4"/>
    <s v="FGNE"/>
    <s v="XL-PLUS"/>
    <s v="307"/>
    <s v="4.0 UN"/>
    <s v="STANDARD"/>
    <s v="N"/>
    <s v="Y"/>
    <s v="N"/>
    <s v="N"/>
    <s v="N"/>
    <s v="N"/>
    <s v="N"/>
    <s v="N"/>
    <s v="B049"/>
    <d v="2016-12-08T00:00:00"/>
    <s v="30"/>
    <s v="TAN"/>
    <s v="OR"/>
    <d v="2016-12-05T00:00:00"/>
    <s v="ID"/>
    <s v="US"/>
    <s v="ZR"/>
    <d v="2016-12-05T00:00:00"/>
  </r>
  <r>
    <x v="1"/>
    <x v="6"/>
    <x v="2228"/>
    <x v="48"/>
    <s v="Standard order"/>
    <x v="2109"/>
    <x v="2013"/>
    <s v="444N"/>
    <s v="BTS 444N"/>
    <s v="5002226"/>
    <s v="444N BTS T20 PB SYSTIVA P100"/>
    <n v="24"/>
    <n v="0"/>
    <n v="24"/>
    <x v="6"/>
    <s v="DVND"/>
    <s v="PRO 100"/>
    <s v="322"/>
    <s v="4.0 UN"/>
    <s v="STANDARD"/>
    <s v="N"/>
    <s v="N"/>
    <s v="N"/>
    <s v="T20"/>
    <s v="Y"/>
    <s v="N"/>
    <s v="Y"/>
    <s v="N"/>
    <s v="B012"/>
    <d v="2016-12-08T00:00:00"/>
    <s v="10"/>
    <s v="TAN"/>
    <s v="OR"/>
    <d v="2016-12-05T00:00:00"/>
    <s v="MT"/>
    <s v="US"/>
    <s v="ZR"/>
    <d v="2016-12-05T00:00:00"/>
  </r>
  <r>
    <x v="1"/>
    <x v="6"/>
    <x v="2228"/>
    <x v="48"/>
    <s v="Standard order"/>
    <x v="2109"/>
    <x v="2013"/>
    <s v="459N"/>
    <s v="BTS 459N"/>
    <s v="5002256"/>
    <s v="459N BTS T20 PB SYSTIVA P100"/>
    <n v="24"/>
    <n v="0"/>
    <n v="24"/>
    <x v="6"/>
    <s v="DVNU"/>
    <s v="PRO 100"/>
    <s v="322"/>
    <s v="4.0 UN"/>
    <s v="STANDARD"/>
    <s v="N"/>
    <s v="N"/>
    <s v="N"/>
    <s v="T20"/>
    <s v="Y"/>
    <s v="N"/>
    <s v="Y"/>
    <s v="N"/>
    <s v="B012"/>
    <d v="2016-12-08T00:00:00"/>
    <s v="20"/>
    <s v="TAN"/>
    <s v="OR"/>
    <d v="2016-12-05T00:00:00"/>
    <s v="MT"/>
    <s v="US"/>
    <s v="ZR"/>
    <d v="2016-12-05T00:00:00"/>
  </r>
  <r>
    <x v="1"/>
    <x v="6"/>
    <x v="2228"/>
    <x v="48"/>
    <s v="Standard order"/>
    <x v="2109"/>
    <x v="2013"/>
    <s v="437N"/>
    <s v="BTS 437N"/>
    <s v="5002208"/>
    <s v="437N BTS T20 PB SYSTIVA P100"/>
    <n v="48"/>
    <n v="0"/>
    <n v="48"/>
    <x v="6"/>
    <s v="EE73"/>
    <s v="PRO 100"/>
    <s v="322"/>
    <s v="4.0 UN"/>
    <s v="STANDARD"/>
    <s v="N"/>
    <s v="N"/>
    <s v="N"/>
    <s v="T20"/>
    <s v="Y"/>
    <s v="N"/>
    <s v="Y"/>
    <s v="N"/>
    <s v="B012"/>
    <d v="2016-12-08T00:00:00"/>
    <s v="30"/>
    <s v="TAN"/>
    <s v="OR"/>
    <d v="2016-12-05T00:00:00"/>
    <s v="MT"/>
    <s v="US"/>
    <s v="ZR"/>
    <d v="2016-12-05T00:00:00"/>
  </r>
  <r>
    <x v="1"/>
    <x v="6"/>
    <x v="2228"/>
    <x v="48"/>
    <s v="Standard order"/>
    <x v="2109"/>
    <x v="2013"/>
    <s v="428N"/>
    <s v="BTS 42RR8N"/>
    <s v="5002595"/>
    <s v="428N BTS T20 PB SYSTIVA P100"/>
    <n v="48"/>
    <n v="0"/>
    <n v="48"/>
    <x v="6"/>
    <s v="4TBG"/>
    <s v="PRO 100"/>
    <s v="322"/>
    <s v="4.0 UN"/>
    <s v="STANDARD"/>
    <s v="N"/>
    <s v="N"/>
    <s v="N"/>
    <s v="T20"/>
    <s v="Y"/>
    <s v="N"/>
    <s v="Y"/>
    <s v="N"/>
    <s v="B012"/>
    <d v="2016-12-08T00:00:00"/>
    <s v="40"/>
    <s v="TAN"/>
    <s v="OR"/>
    <d v="2016-12-05T00:00:00"/>
    <s v="MT"/>
    <s v="US"/>
    <s v="ZR"/>
    <d v="2016-12-05T00:00:00"/>
  </r>
  <r>
    <x v="1"/>
    <x v="6"/>
    <x v="2229"/>
    <x v="48"/>
    <s v="Standard order"/>
    <x v="2110"/>
    <x v="19"/>
    <s v="444N"/>
    <s v="BTS 444N"/>
    <s v="5002226"/>
    <s v="444N BTS T20 PB SYSTIVA P100"/>
    <n v="200"/>
    <n v="0"/>
    <n v="200"/>
    <x v="6"/>
    <s v="DVND"/>
    <s v="PRO 100"/>
    <s v="322"/>
    <s v="4.0 UN"/>
    <s v="STANDARD"/>
    <s v="N"/>
    <s v="N"/>
    <s v="N"/>
    <s v="T20"/>
    <s v="Y"/>
    <s v="N"/>
    <s v="Y"/>
    <s v="N"/>
    <s v="B012"/>
    <d v="2016-12-08T00:00:00"/>
    <s v="10"/>
    <s v="TAN"/>
    <s v="OR"/>
    <d v="2016-12-05T00:00:00"/>
    <s v="MT"/>
    <s v="US"/>
    <s v="ZR"/>
    <d v="2016-12-05T00:00:00"/>
  </r>
  <r>
    <x v="1"/>
    <x v="4"/>
    <x v="2230"/>
    <x v="46"/>
    <s v="Standard order"/>
    <x v="2111"/>
    <x v="2014"/>
    <s v="4933"/>
    <s v="BTS 49RR33"/>
    <s v="5002281"/>
    <s v="4933 BTS PB XL+ IDH"/>
    <n v="48"/>
    <n v="0"/>
    <n v="48"/>
    <x v="4"/>
    <s v="AKMC"/>
    <s v="XL-PLUS"/>
    <s v="307"/>
    <s v="4.0 UN"/>
    <s v="STANDARD"/>
    <s v="N"/>
    <s v="Y"/>
    <s v="N"/>
    <s v="N"/>
    <s v="N"/>
    <s v="N"/>
    <s v="N"/>
    <s v="N"/>
    <s v="B049"/>
    <d v="2016-12-08T00:00:00"/>
    <s v="10"/>
    <s v="TAN"/>
    <s v="OR"/>
    <d v="2016-12-05T00:00:00"/>
    <s v="ID"/>
    <s v="US"/>
    <s v="ZR"/>
    <d v="2016-12-05T00:00:00"/>
  </r>
  <r>
    <x v="1"/>
    <x v="4"/>
    <x v="2230"/>
    <x v="46"/>
    <s v="Standard order"/>
    <x v="2111"/>
    <x v="2014"/>
    <s v="2523"/>
    <s v="BTS 2523"/>
    <s v="5002531"/>
    <s v="2523 BTS PB XL+"/>
    <n v="80"/>
    <n v="0"/>
    <n v="80"/>
    <x v="4"/>
    <s v="EZPC"/>
    <s v="XL-PLUS"/>
    <s v="307"/>
    <s v="4.0 UN"/>
    <s v="STANDARD"/>
    <s v="N"/>
    <s v="Y"/>
    <s v="N"/>
    <s v="N"/>
    <s v="N"/>
    <s v="N"/>
    <s v="N"/>
    <s v="N"/>
    <s v="B049"/>
    <d v="2016-12-08T00:00:00"/>
    <s v="20"/>
    <s v="TAN"/>
    <s v="OR"/>
    <d v="2016-12-05T00:00:00"/>
    <s v="ID"/>
    <s v="US"/>
    <s v="ZR"/>
    <d v="2016-12-05T00:00:00"/>
  </r>
  <r>
    <x v="1"/>
    <x v="7"/>
    <x v="2231"/>
    <x v="37"/>
    <s v="Standard order"/>
    <x v="2112"/>
    <x v="2015"/>
    <s v="8500"/>
    <s v="BTS 8500"/>
    <s v="5002860"/>
    <s v="8500 BTS T35 SYSTIVA RP"/>
    <n v="76"/>
    <n v="0"/>
    <n v="76"/>
    <x v="7"/>
    <s v="FTND"/>
    <s v="RP"/>
    <s v="334"/>
    <s v="4.0 UN"/>
    <s v="STANDARD"/>
    <s v="N"/>
    <s v="N"/>
    <s v="N"/>
    <s v="T35"/>
    <s v="Y"/>
    <s v="N"/>
    <s v="Y"/>
    <s v="N"/>
    <s v="B033"/>
    <d v="2016-12-08T00:00:00"/>
    <s v="10"/>
    <s v="TAN"/>
    <s v="OR"/>
    <d v="2016-12-05T00:00:00"/>
    <s v="ND"/>
    <s v="US"/>
    <s v="ZR"/>
    <d v="2016-12-05T00:00:00"/>
  </r>
  <r>
    <x v="1"/>
    <x v="7"/>
    <x v="2231"/>
    <x v="37"/>
    <s v="Standard order"/>
    <x v="2112"/>
    <x v="2015"/>
    <s v="8052"/>
    <s v="BTS 80RR52"/>
    <s v="5002739"/>
    <s v="8052 BTS T35 SYSTIVA RP"/>
    <n v="48"/>
    <n v="0"/>
    <n v="48"/>
    <x v="7"/>
    <s v="AP82"/>
    <s v="RP"/>
    <s v="334"/>
    <s v="4.0 UN"/>
    <s v="STANDARD"/>
    <s v="N"/>
    <s v="N"/>
    <s v="N"/>
    <s v="T35"/>
    <s v="Y"/>
    <s v="N"/>
    <s v="Y"/>
    <s v="N"/>
    <s v="B033"/>
    <d v="2016-12-08T00:00:00"/>
    <s v="20"/>
    <s v="TAN"/>
    <s v="OR"/>
    <d v="2016-12-05T00:00:00"/>
    <s v="ND"/>
    <s v="US"/>
    <s v="ZR"/>
    <d v="2016-12-05T00:00:00"/>
  </r>
  <r>
    <x v="1"/>
    <x v="7"/>
    <x v="2232"/>
    <x v="37"/>
    <s v="Standard order"/>
    <x v="2113"/>
    <x v="2016"/>
    <s v="8500"/>
    <s v="BTS 8500"/>
    <s v="5002860"/>
    <s v="8500 BTS T35 SYSTIVA RP"/>
    <n v="80"/>
    <n v="0"/>
    <n v="80"/>
    <x v="7"/>
    <s v="FTND"/>
    <s v="RP"/>
    <s v="334"/>
    <s v="4.0 UN"/>
    <s v="STANDARD"/>
    <s v="N"/>
    <s v="N"/>
    <s v="N"/>
    <s v="T35"/>
    <s v="Y"/>
    <s v="N"/>
    <s v="Y"/>
    <s v="N"/>
    <s v="B033"/>
    <d v="2016-12-08T00:00:00"/>
    <s v="10"/>
    <s v="TAN"/>
    <s v="OR"/>
    <d v="2016-12-05T00:00:00"/>
    <s v="ND"/>
    <s v="US"/>
    <s v="ZR"/>
    <d v="2016-12-05T00:00:00"/>
  </r>
  <r>
    <x v="1"/>
    <x v="0"/>
    <x v="2233"/>
    <x v="56"/>
    <s v="Standard order"/>
    <x v="2114"/>
    <x v="1068"/>
    <s v="1399"/>
    <s v="BTS 1399"/>
    <s v="5002338"/>
    <s v="1399 BTS CM Vibrance RP"/>
    <n v="16"/>
    <n v="0"/>
    <n v="16"/>
    <x v="0"/>
    <s v="EG74"/>
    <s v="RP"/>
    <s v="366"/>
    <s v="4.0 UN"/>
    <s v="STANDARD"/>
    <s v="Y"/>
    <s v="N"/>
    <s v="N"/>
    <s v="N"/>
    <s v="N"/>
    <s v="N"/>
    <s v="N"/>
    <s v="Y"/>
    <s v="B010"/>
    <d v="2016-12-08T00:00:00"/>
    <s v="10"/>
    <s v="TAN"/>
    <s v="OR"/>
    <d v="2016-12-05T00:00:00"/>
    <s v="ON"/>
    <s v="CA"/>
    <s v="ZR"/>
    <d v="2016-12-05T00:00:00"/>
  </r>
  <r>
    <x v="1"/>
    <x v="4"/>
    <x v="2234"/>
    <x v="53"/>
    <s v="Standard order"/>
    <x v="2115"/>
    <x v="268"/>
    <s v="225N"/>
    <s v="BTS 22RR5N"/>
    <s v="5002112"/>
    <s v="225N BTS PB MED"/>
    <n v="20"/>
    <n v="0"/>
    <n v="20"/>
    <x v="4"/>
    <s v="4TBD"/>
    <s v="MEDIUM"/>
    <s v="307"/>
    <s v="4.0 UN"/>
    <s v="STANDARD"/>
    <s v="N"/>
    <s v="Y"/>
    <s v="N"/>
    <s v="N"/>
    <s v="N"/>
    <s v="N"/>
    <s v="N"/>
    <s v="N"/>
    <s v="B051"/>
    <d v="2016-12-08T00:00:00"/>
    <s v="10"/>
    <s v="TAN"/>
    <s v="OR"/>
    <d v="2016-12-05T00:00:00"/>
    <s v="ID"/>
    <s v="US"/>
    <s v="ZR"/>
    <d v="2016-12-05T00:00:00"/>
  </r>
  <r>
    <x v="1"/>
    <x v="4"/>
    <x v="2235"/>
    <x v="50"/>
    <s v="Standard order"/>
    <x v="2116"/>
    <x v="2017"/>
    <s v="2570"/>
    <s v="BTS 2570"/>
    <s v="5002553"/>
    <s v="2570 BTS PB LRG"/>
    <n v="32"/>
    <n v="0"/>
    <n v="32"/>
    <x v="4"/>
    <s v="EZNS"/>
    <s v="LARGE"/>
    <s v="307"/>
    <s v="4.0 UN"/>
    <s v="STANDARD"/>
    <s v="N"/>
    <s v="Y"/>
    <s v="N"/>
    <s v="N"/>
    <s v="N"/>
    <s v="N"/>
    <s v="N"/>
    <s v="N"/>
    <s v="B047"/>
    <d v="2016-12-08T00:00:00"/>
    <s v="10"/>
    <s v="TAN"/>
    <s v="OR"/>
    <d v="2016-12-05T00:00:00"/>
    <s v="ID"/>
    <s v="US"/>
    <s v="ZR"/>
    <d v="2016-12-05T00:00:00"/>
  </r>
  <r>
    <x v="1"/>
    <x v="0"/>
    <x v="2236"/>
    <x v="29"/>
    <s v="Standard order"/>
    <x v="2117"/>
    <x v="2018"/>
    <s v="122N"/>
    <s v="BTS 12RR2N"/>
    <s v="5002316"/>
    <s v="122N BTS T20 SYSTIVA P200"/>
    <n v="96"/>
    <n v="0"/>
    <n v="96"/>
    <x v="0"/>
    <s v="4TBG"/>
    <s v="PRO 200"/>
    <s v="326"/>
    <s v="4.0 UN"/>
    <s v="STANDARD"/>
    <s v="N"/>
    <s v="N"/>
    <s v="N"/>
    <s v="T20"/>
    <s v="Y"/>
    <s v="N"/>
    <s v="Y"/>
    <s v="N"/>
    <s v="B005"/>
    <d v="2016-12-08T00:00:00"/>
    <s v="10"/>
    <s v="TAN"/>
    <s v="OR"/>
    <d v="2016-12-05T00:00:00"/>
    <s v="MI"/>
    <s v="US"/>
    <s v="ZR"/>
    <d v="2016-12-05T00:00:00"/>
  </r>
  <r>
    <x v="1"/>
    <x v="0"/>
    <x v="2236"/>
    <x v="29"/>
    <s v="Standard order"/>
    <x v="2117"/>
    <x v="2018"/>
    <s v="122N"/>
    <s v="BTS 12RR2N"/>
    <s v="5002310"/>
    <s v="122N BTS T20 Kabina P200"/>
    <n v="48"/>
    <n v="0"/>
    <n v="48"/>
    <x v="0"/>
    <s v="4TBG"/>
    <s v="PRO 200"/>
    <s v="380"/>
    <s v="4.0 UN"/>
    <s v="STANDARD"/>
    <s v="N"/>
    <s v="N"/>
    <s v="Y"/>
    <s v="T20"/>
    <s v="N"/>
    <s v="N"/>
    <s v="N"/>
    <s v="N"/>
    <s v="B005"/>
    <d v="2016-12-08T00:00:00"/>
    <s v="20"/>
    <s v="TAN"/>
    <s v="OR"/>
    <d v="2016-12-05T00:00:00"/>
    <s v="MI"/>
    <s v="US"/>
    <s v="ZR"/>
    <d v="2016-12-05T00:00:00"/>
  </r>
  <r>
    <x v="1"/>
    <x v="0"/>
    <x v="2236"/>
    <x v="29"/>
    <s v="Standard order"/>
    <x v="2117"/>
    <x v="2018"/>
    <s v="1399"/>
    <s v="BTS 1399"/>
    <s v="5002347"/>
    <s v="1399 BTS T20 Kabina P200"/>
    <n v="144"/>
    <n v="0"/>
    <n v="144"/>
    <x v="0"/>
    <s v="EG74"/>
    <s v="PRO 200"/>
    <s v="380"/>
    <s v="4.0 UN"/>
    <s v="STANDARD"/>
    <s v="N"/>
    <s v="N"/>
    <s v="Y"/>
    <s v="T20"/>
    <s v="N"/>
    <s v="N"/>
    <s v="N"/>
    <s v="N"/>
    <s v="B005"/>
    <d v="2016-12-08T00:00:00"/>
    <s v="30"/>
    <s v="TAN"/>
    <s v="OR"/>
    <d v="2016-12-05T00:00:00"/>
    <s v="MI"/>
    <s v="US"/>
    <s v="ZR"/>
    <d v="2016-12-05T00:00:00"/>
  </r>
  <r>
    <x v="1"/>
    <x v="0"/>
    <x v="2237"/>
    <x v="42"/>
    <s v="Standard order"/>
    <x v="2118"/>
    <x v="2019"/>
    <s v="122N"/>
    <s v="BTS 12RR2N"/>
    <s v="5002317"/>
    <s v="122N BTS T20 SYSTIVA RP"/>
    <n v="100"/>
    <n v="0"/>
    <n v="100"/>
    <x v="0"/>
    <s v="4TBG"/>
    <s v="RP"/>
    <s v="326"/>
    <s v="4.0 UN"/>
    <s v="STANDARD"/>
    <s v="N"/>
    <s v="N"/>
    <s v="N"/>
    <s v="T20"/>
    <s v="Y"/>
    <s v="N"/>
    <s v="Y"/>
    <s v="N"/>
    <s v="B007"/>
    <d v="2016-12-08T00:00:00"/>
    <s v="10"/>
    <s v="TAN"/>
    <s v="OR"/>
    <d v="2016-12-05T00:00:00"/>
    <s v="MI"/>
    <s v="US"/>
    <s v="ZR"/>
    <d v="2016-12-05T00:00:00"/>
  </r>
  <r>
    <x v="1"/>
    <x v="0"/>
    <x v="2237"/>
    <x v="42"/>
    <s v="Standard order"/>
    <x v="2118"/>
    <x v="2019"/>
    <s v="149N"/>
    <s v="BTS 149N"/>
    <s v="5002368"/>
    <s v="149N BTS T20 Kabina RP"/>
    <n v="64"/>
    <n v="0"/>
    <n v="64"/>
    <x v="0"/>
    <s v="EEND"/>
    <s v="RP"/>
    <s v="380"/>
    <s v="4.0 UN"/>
    <s v="STANDARD"/>
    <s v="N"/>
    <s v="N"/>
    <s v="Y"/>
    <s v="T20"/>
    <s v="N"/>
    <s v="N"/>
    <s v="N"/>
    <s v="N"/>
    <s v="B007"/>
    <d v="2016-12-08T00:00:00"/>
    <s v="20"/>
    <s v="TAN"/>
    <s v="OR"/>
    <d v="2016-12-05T00:00:00"/>
    <s v="MI"/>
    <s v="US"/>
    <s v="ZR"/>
    <d v="2016-12-05T00:00:00"/>
  </r>
  <r>
    <x v="1"/>
    <x v="0"/>
    <x v="2238"/>
    <x v="29"/>
    <s v="Standard order"/>
    <x v="2119"/>
    <x v="564"/>
    <s v="122N"/>
    <s v="BTS 12RR2N"/>
    <s v="5002317"/>
    <s v="122N BTS T20 SYSTIVA RP"/>
    <n v="32"/>
    <n v="0"/>
    <n v="32"/>
    <x v="0"/>
    <s v="4TBG"/>
    <s v="RP"/>
    <s v="326"/>
    <s v="4.0 UN"/>
    <s v="STANDARD"/>
    <s v="N"/>
    <s v="N"/>
    <s v="N"/>
    <s v="T20"/>
    <s v="Y"/>
    <s v="N"/>
    <s v="Y"/>
    <s v="N"/>
    <s v="B005"/>
    <d v="2016-12-08T00:00:00"/>
    <s v="10"/>
    <s v="TAN"/>
    <s v="OR"/>
    <d v="2016-12-05T00:00:00"/>
    <s v="MI"/>
    <s v="US"/>
    <s v="ZR"/>
    <d v="2016-12-05T00:00:00"/>
  </r>
  <r>
    <x v="1"/>
    <x v="9"/>
    <x v="2239"/>
    <x v="35"/>
    <s v="Replant Order"/>
    <x v="1392"/>
    <x v="1387"/>
    <s v="A241"/>
    <s v="BTS AR241"/>
    <s v="5003279"/>
    <s v="AR241 P200 BetaShield"/>
    <n v="20"/>
    <n v="20"/>
    <n v="0"/>
    <x v="9"/>
    <s v="4D15"/>
    <s v="PRO 200"/>
    <s v="308"/>
    <s v="4.0 UN"/>
    <s v="STANDARD"/>
    <s v="N"/>
    <s v="Y"/>
    <s v="N"/>
    <s v="T20"/>
    <s v="N"/>
    <s v="N"/>
    <s v="N"/>
    <s v="N"/>
    <s v=""/>
    <d v="2016-12-05T00:00:00"/>
    <s v="10"/>
    <s v="TAN"/>
    <s v="ZRPU"/>
    <d v="2017-01-09T00:00:00"/>
    <s v="AZ"/>
    <s v="US"/>
    <s v="ZR"/>
    <d v="2016-12-05T00:00:00"/>
  </r>
  <r>
    <x v="1"/>
    <x v="9"/>
    <x v="2239"/>
    <x v="35"/>
    <s v="Replant Order"/>
    <x v="1392"/>
    <x v="1387"/>
    <s v="A346"/>
    <s v="BTS AN346"/>
    <s v="5002172"/>
    <s v="AN346 P200 BetaShield"/>
    <n v="20"/>
    <n v="20"/>
    <n v="0"/>
    <x v="9"/>
    <s v="BK71"/>
    <s v="PRO 200"/>
    <s v="308"/>
    <s v="4.0 UN"/>
    <s v="STANDARD"/>
    <s v="N"/>
    <s v="Y"/>
    <s v="N"/>
    <s v="T20"/>
    <s v="N"/>
    <s v="N"/>
    <s v="N"/>
    <s v="N"/>
    <s v=""/>
    <d v="2016-12-05T00:00:00"/>
    <s v="20"/>
    <s v="TAN"/>
    <s v="ZRPU"/>
    <d v="2017-01-09T00:00:00"/>
    <s v="AZ"/>
    <s v="US"/>
    <s v="ZR"/>
    <d v="2016-12-05T00:00:00"/>
  </r>
  <r>
    <x v="1"/>
    <x v="2"/>
    <x v="2240"/>
    <x v="6"/>
    <s v="Standard order"/>
    <x v="2120"/>
    <x v="2020"/>
    <s v="628N"/>
    <s v="BTS 62RR8N"/>
    <s v="5002685"/>
    <s v="628N BTS T20 PB SYSTIVA P50"/>
    <n v="48"/>
    <n v="0"/>
    <n v="48"/>
    <x v="2"/>
    <s v="BL73"/>
    <s v="PRO 50"/>
    <s v="322"/>
    <s v="4.0 UN"/>
    <s v="STANDARD"/>
    <s v="N"/>
    <s v="N"/>
    <s v="N"/>
    <s v="T20"/>
    <s v="Y"/>
    <s v="N"/>
    <s v="Y"/>
    <s v="N"/>
    <s v="B025"/>
    <d v="2016-12-08T00:00:00"/>
    <s v="10"/>
    <s v="TAN"/>
    <s v="OR"/>
    <d v="2016-12-05T00:00:00"/>
    <s v="NE"/>
    <s v="US"/>
    <s v="ZR"/>
    <d v="2016-12-05T00:00:00"/>
  </r>
  <r>
    <x v="1"/>
    <x v="2"/>
    <x v="2240"/>
    <x v="6"/>
    <s v="Standard order"/>
    <x v="2120"/>
    <x v="2020"/>
    <s v="64SN"/>
    <s v="BTS 64SN"/>
    <s v="5002422"/>
    <s v="64SN BTS T20 PB SYSTIVA P50"/>
    <n v="44"/>
    <n v="0"/>
    <n v="44"/>
    <x v="2"/>
    <s v="DVNB"/>
    <s v="PRO 50"/>
    <s v="322"/>
    <s v="4.0 UN"/>
    <s v="STANDARD"/>
    <s v="N"/>
    <s v="N"/>
    <s v="N"/>
    <s v="T20"/>
    <s v="Y"/>
    <s v="N"/>
    <s v="Y"/>
    <s v="N"/>
    <s v="B025"/>
    <d v="2016-12-08T00:00:00"/>
    <s v="20"/>
    <s v="TAN"/>
    <s v="OR"/>
    <d v="2016-12-05T00:00:00"/>
    <s v="NE"/>
    <s v="US"/>
    <s v="ZR"/>
    <d v="2016-12-05T00:00:00"/>
  </r>
  <r>
    <x v="1"/>
    <x v="6"/>
    <x v="2241"/>
    <x v="51"/>
    <s v="Standard order"/>
    <x v="2121"/>
    <x v="2021"/>
    <s v="459N"/>
    <s v="BTS 459N"/>
    <s v="5002256"/>
    <s v="459N BTS T20 PB SYSTIVA P100"/>
    <n v="16"/>
    <n v="0"/>
    <n v="16"/>
    <x v="6"/>
    <s v="DVNU"/>
    <s v="PRO 100"/>
    <s v="322"/>
    <s v="4.0 UN"/>
    <s v="STANDARD"/>
    <s v="N"/>
    <s v="N"/>
    <s v="N"/>
    <s v="T20"/>
    <s v="Y"/>
    <s v="N"/>
    <s v="Y"/>
    <s v="N"/>
    <s v="B011"/>
    <d v="2016-12-08T00:00:00"/>
    <s v="20"/>
    <s v="TAN"/>
    <s v="OR"/>
    <d v="2016-12-05T00:00:00"/>
    <s v="MT"/>
    <s v="US"/>
    <s v="ZR"/>
    <d v="2016-12-05T00:00:00"/>
  </r>
  <r>
    <x v="1"/>
    <x v="6"/>
    <x v="2241"/>
    <x v="51"/>
    <s v="Standard order"/>
    <x v="2121"/>
    <x v="2021"/>
    <s v="4548"/>
    <s v="BTS 4548"/>
    <s v="5002244"/>
    <s v="4548 BTS T20 PB SYSTIVA P100"/>
    <n v="16"/>
    <n v="0"/>
    <n v="16"/>
    <x v="6"/>
    <s v="FENR"/>
    <s v="PRO 100"/>
    <s v="322"/>
    <s v="4.0 UN"/>
    <s v="STANDARD"/>
    <s v="N"/>
    <s v="N"/>
    <s v="N"/>
    <s v="T20"/>
    <s v="Y"/>
    <s v="N"/>
    <s v="Y"/>
    <s v="N"/>
    <s v="B011"/>
    <d v="2016-12-08T00:00:00"/>
    <s v="10"/>
    <s v="TAN"/>
    <s v="OR"/>
    <d v="2016-12-05T00:00:00"/>
    <s v="MT"/>
    <s v="US"/>
    <s v="ZR"/>
    <d v="2016-12-05T00:00:00"/>
  </r>
  <r>
    <x v="1"/>
    <x v="2"/>
    <x v="2242"/>
    <x v="3"/>
    <s v="Standard order"/>
    <x v="2122"/>
    <x v="2022"/>
    <s v="6027"/>
    <s v="BTS 60RR27"/>
    <s v="5002645"/>
    <s v="6027 BTS T20 PB SYSTIVA P100 WSS"/>
    <n v="64"/>
    <n v="0"/>
    <n v="64"/>
    <x v="2"/>
    <s v="APMC"/>
    <s v="PRO 100"/>
    <s v="322"/>
    <s v="4.0 UN"/>
    <s v="STANDARD"/>
    <s v="N"/>
    <s v="N"/>
    <s v="N"/>
    <s v="T20"/>
    <s v="Y"/>
    <s v="N"/>
    <s v="Y"/>
    <s v="N"/>
    <s v="B024"/>
    <d v="2016-12-08T00:00:00"/>
    <s v="10"/>
    <s v="TAN"/>
    <s v="OR"/>
    <d v="2016-12-05T00:00:00"/>
    <s v="NE"/>
    <s v="US"/>
    <s v="ZR"/>
    <d v="2016-12-05T00:00:00"/>
  </r>
  <r>
    <x v="1"/>
    <x v="0"/>
    <x v="2243"/>
    <x v="29"/>
    <s v="Standard order"/>
    <x v="2123"/>
    <x v="2023"/>
    <s v="1399"/>
    <s v="BTS 1399"/>
    <s v="5002347"/>
    <s v="1399 BTS T20 Kabina P200"/>
    <n v="56"/>
    <n v="0"/>
    <n v="56"/>
    <x v="0"/>
    <s v="EG74"/>
    <s v="PRO 200"/>
    <s v="380"/>
    <s v="4.0 UN"/>
    <s v="STANDARD"/>
    <s v="N"/>
    <s v="N"/>
    <s v="Y"/>
    <s v="T20"/>
    <s v="N"/>
    <s v="N"/>
    <s v="N"/>
    <s v="N"/>
    <s v="B005"/>
    <d v="2016-12-08T00:00:00"/>
    <s v="10"/>
    <s v="TAN"/>
    <s v="OR"/>
    <d v="2016-12-05T00:00:00"/>
    <s v="MI"/>
    <s v="US"/>
    <s v="ZR"/>
    <d v="2016-12-05T00:00:00"/>
  </r>
  <r>
    <x v="1"/>
    <x v="0"/>
    <x v="2244"/>
    <x v="45"/>
    <s v="Standard order"/>
    <x v="2124"/>
    <x v="2024"/>
    <s v="1399"/>
    <s v="BTS 1399"/>
    <s v="5002348"/>
    <s v="1399 BTS T20 Kabina RP"/>
    <n v="52"/>
    <n v="0"/>
    <n v="52"/>
    <x v="0"/>
    <s v="EG74"/>
    <s v="RP"/>
    <s v="380"/>
    <s v="4.0 UN"/>
    <s v="STANDARD"/>
    <s v="N"/>
    <s v="N"/>
    <s v="Y"/>
    <s v="T20"/>
    <s v="N"/>
    <s v="N"/>
    <s v="N"/>
    <s v="N"/>
    <s v="B003"/>
    <d v="2016-12-08T00:00:00"/>
    <s v="10"/>
    <s v="TAN"/>
    <s v="OR"/>
    <d v="2016-12-05T00:00:00"/>
    <s v="MI"/>
    <s v="US"/>
    <s v="ZR"/>
    <d v="2016-12-05T00:00:00"/>
  </r>
  <r>
    <x v="1"/>
    <x v="0"/>
    <x v="2245"/>
    <x v="42"/>
    <s v="Standard order"/>
    <x v="2125"/>
    <x v="685"/>
    <s v="1399"/>
    <s v="BTS 1399"/>
    <s v="5002346"/>
    <s v="1399 BTS T20 Kabina MP"/>
    <n v="24"/>
    <n v="0"/>
    <n v="24"/>
    <x v="0"/>
    <s v="EG74"/>
    <s v="MP"/>
    <s v="380"/>
    <s v="4.0 UN"/>
    <s v="STANDARD"/>
    <s v="N"/>
    <s v="N"/>
    <s v="Y"/>
    <s v="T20"/>
    <s v="N"/>
    <s v="N"/>
    <s v="N"/>
    <s v="N"/>
    <s v="B007"/>
    <d v="2016-12-08T00:00:00"/>
    <s v="30"/>
    <s v="TAN"/>
    <s v="OR"/>
    <d v="2016-12-05T00:00:00"/>
    <s v="MI"/>
    <s v="US"/>
    <s v="ZR"/>
    <d v="2016-12-05T00:00:00"/>
  </r>
  <r>
    <x v="1"/>
    <x v="0"/>
    <x v="2246"/>
    <x v="42"/>
    <s v="Standard order"/>
    <x v="2126"/>
    <x v="577"/>
    <s v="1399"/>
    <s v="BTS 1399"/>
    <s v="5002348"/>
    <s v="1399 BTS T20 Kabina RP"/>
    <n v="52"/>
    <n v="0"/>
    <n v="52"/>
    <x v="0"/>
    <s v="EG74"/>
    <s v="RP"/>
    <s v="380"/>
    <s v="4.0 UN"/>
    <s v="STANDARD"/>
    <s v="N"/>
    <s v="N"/>
    <s v="Y"/>
    <s v="T20"/>
    <s v="N"/>
    <s v="N"/>
    <s v="N"/>
    <s v="N"/>
    <s v="B007"/>
    <d v="2016-12-08T00:00:00"/>
    <s v="10"/>
    <s v="TAN"/>
    <s v="OR"/>
    <d v="2016-12-05T00:00:00"/>
    <s v="MI"/>
    <s v="US"/>
    <s v="ZR"/>
    <d v="2016-12-05T00:00:00"/>
  </r>
  <r>
    <x v="1"/>
    <x v="0"/>
    <x v="2246"/>
    <x v="42"/>
    <s v="Standard order"/>
    <x v="2126"/>
    <x v="577"/>
    <s v="122N"/>
    <s v="BTS 12RR2N"/>
    <s v="5002311"/>
    <s v="122N BTS T20 Kabina RP"/>
    <n v="16"/>
    <n v="0"/>
    <n v="16"/>
    <x v="0"/>
    <s v="4TBG"/>
    <s v="RP"/>
    <s v="380"/>
    <s v="4.0 UN"/>
    <s v="STANDARD"/>
    <s v="N"/>
    <s v="N"/>
    <s v="Y"/>
    <s v="T20"/>
    <s v="N"/>
    <s v="N"/>
    <s v="N"/>
    <s v="N"/>
    <s v="B007"/>
    <d v="2016-12-08T00:00:00"/>
    <s v="20"/>
    <s v="TAN"/>
    <s v="OR"/>
    <d v="2016-12-05T00:00:00"/>
    <s v="MI"/>
    <s v="US"/>
    <s v="ZR"/>
    <d v="2016-12-05T00:00:00"/>
  </r>
  <r>
    <x v="1"/>
    <x v="5"/>
    <x v="2247"/>
    <x v="13"/>
    <s v="Standard order"/>
    <x v="2127"/>
    <x v="2025"/>
    <s v="336N"/>
    <s v="BTS 336N"/>
    <s v="5002400"/>
    <s v="336N BTS T20 PB SYSTIVA RP"/>
    <n v="24"/>
    <n v="0"/>
    <n v="24"/>
    <x v="5"/>
    <s v="EEMG"/>
    <s v="RP"/>
    <s v="322"/>
    <s v="4.0 UN"/>
    <s v="STANDARD"/>
    <s v="N"/>
    <s v="N"/>
    <s v="N"/>
    <s v="T20"/>
    <s v="Y"/>
    <s v="N"/>
    <s v="N"/>
    <s v="N"/>
    <s v="B015"/>
    <d v="2016-12-08T00:00:00"/>
    <s v="10"/>
    <s v="TAN"/>
    <s v="OR"/>
    <d v="2016-12-05T00:00:00"/>
    <s v="MT"/>
    <s v="US"/>
    <s v="ZR"/>
    <d v="2016-12-05T00:00:00"/>
  </r>
  <r>
    <x v="1"/>
    <x v="4"/>
    <x v="2248"/>
    <x v="52"/>
    <s v="Standard order"/>
    <x v="2128"/>
    <x v="2026"/>
    <s v="225N"/>
    <s v="BTS 22RR5N"/>
    <s v="5002106"/>
    <s v="225N BTS PB Kabina LRG"/>
    <n v="16"/>
    <n v="0"/>
    <n v="16"/>
    <x v="4"/>
    <s v="4TBD"/>
    <s v="LARGE"/>
    <s v="384"/>
    <s v="4.0 UN"/>
    <s v="STANDARD"/>
    <s v="N"/>
    <s v="Y"/>
    <s v="Y"/>
    <s v="N"/>
    <s v="N"/>
    <s v="N"/>
    <s v="N"/>
    <s v="N"/>
    <s v="B048"/>
    <d v="2016-12-08T00:00:00"/>
    <s v="10"/>
    <s v="TAN"/>
    <s v="OR"/>
    <d v="2016-12-05T00:00:00"/>
    <s v="OR"/>
    <s v="US"/>
    <s v="ZR"/>
    <d v="2016-12-05T00:00:00"/>
  </r>
  <r>
    <x v="1"/>
    <x v="7"/>
    <x v="2249"/>
    <x v="36"/>
    <s v="Standard order"/>
    <x v="2129"/>
    <x v="2027"/>
    <s v="83CN"/>
    <s v="BTS 83CN"/>
    <s v="5002836"/>
    <s v="83CN BTS T35 PB SYSTIVA RP"/>
    <n v="176"/>
    <n v="0"/>
    <n v="176"/>
    <x v="7"/>
    <s v="EE73"/>
    <s v="RP"/>
    <s v="333"/>
    <s v="4.0 UN"/>
    <s v="STANDARD"/>
    <s v="N"/>
    <s v="Y"/>
    <s v="N"/>
    <s v="T35"/>
    <s v="Y"/>
    <s v="N"/>
    <s v="Y"/>
    <s v="N"/>
    <s v="B027"/>
    <d v="2016-12-08T00:00:00"/>
    <s v="10"/>
    <s v="TAN"/>
    <s v="OR"/>
    <d v="2016-12-05T00:00:00"/>
    <s v="MN"/>
    <s v="US"/>
    <s v="ZR"/>
    <d v="2016-12-05T00:00:00"/>
  </r>
  <r>
    <x v="1"/>
    <x v="0"/>
    <x v="2250"/>
    <x v="56"/>
    <s v="Standard order"/>
    <x v="2130"/>
    <x v="1142"/>
    <s v="122N"/>
    <s v="BTS 12RR2N"/>
    <s v="5002301"/>
    <s v="12RR2N RP BetaShield PLUS (O)"/>
    <n v="12"/>
    <n v="0"/>
    <n v="12"/>
    <x v="0"/>
    <s v="4TBG"/>
    <s v="RP"/>
    <s v="366"/>
    <s v="4.0 UN"/>
    <s v="STANDARD"/>
    <s v="Y"/>
    <s v="N"/>
    <s v="N"/>
    <s v="N"/>
    <s v="N"/>
    <s v="N"/>
    <s v="N"/>
    <s v="Y"/>
    <s v=""/>
    <d v="2016-12-08T00:00:00"/>
    <s v="20"/>
    <s v="TAN"/>
    <s v="OR"/>
    <d v="2016-12-05T00:00:00"/>
    <s v="ON"/>
    <s v="CA"/>
    <s v="ZR"/>
    <d v="2016-12-05T00:00:00"/>
  </r>
  <r>
    <x v="1"/>
    <x v="0"/>
    <x v="2251"/>
    <x v="43"/>
    <s v="Standard order"/>
    <x v="2131"/>
    <x v="2028"/>
    <s v="1399"/>
    <s v="BTS 1399"/>
    <s v="5002346"/>
    <s v="1399 BTS T20 Kabina MP"/>
    <n v="160"/>
    <n v="0"/>
    <n v="160"/>
    <x v="0"/>
    <s v="EG74"/>
    <s v="MP"/>
    <s v="380"/>
    <s v="4.0 UN"/>
    <s v="STANDARD"/>
    <s v="N"/>
    <s v="N"/>
    <s v="Y"/>
    <s v="T20"/>
    <s v="N"/>
    <s v="N"/>
    <s v="N"/>
    <s v="N"/>
    <s v="B006"/>
    <d v="2016-12-08T00:00:00"/>
    <s v="20"/>
    <s v="TAN"/>
    <s v="OR"/>
    <d v="2016-12-05T00:00:00"/>
    <s v="MI"/>
    <s v="US"/>
    <s v="ZR"/>
    <d v="2016-12-05T00:00:00"/>
  </r>
  <r>
    <x v="1"/>
    <x v="0"/>
    <x v="2251"/>
    <x v="43"/>
    <s v="Standard order"/>
    <x v="2131"/>
    <x v="2028"/>
    <s v="149N"/>
    <s v="BTS 149N"/>
    <s v="5002366"/>
    <s v="149N BTS T20 Kabina MP"/>
    <n v="100"/>
    <n v="0"/>
    <n v="100"/>
    <x v="0"/>
    <s v="EEND"/>
    <s v="MP"/>
    <s v="380"/>
    <s v="4.0 UN"/>
    <s v="STANDARD"/>
    <s v="N"/>
    <s v="N"/>
    <s v="Y"/>
    <s v="T20"/>
    <s v="N"/>
    <s v="N"/>
    <s v="N"/>
    <s v="N"/>
    <s v="B006"/>
    <d v="2016-12-08T00:00:00"/>
    <s v="30"/>
    <s v="TAN"/>
    <s v="OR"/>
    <d v="2016-12-05T00:00:00"/>
    <s v="MI"/>
    <s v="US"/>
    <s v="ZR"/>
    <d v="2016-12-05T00:00:00"/>
  </r>
  <r>
    <x v="1"/>
    <x v="0"/>
    <x v="2251"/>
    <x v="43"/>
    <s v="Standard order"/>
    <x v="2131"/>
    <x v="2028"/>
    <s v="122N"/>
    <s v="BTS 12RR2N"/>
    <s v="5002315"/>
    <s v="122N BTS T20 SYSTIVA MP"/>
    <n v="200"/>
    <n v="0"/>
    <n v="200"/>
    <x v="0"/>
    <s v="4TBG"/>
    <s v="MP"/>
    <s v="326"/>
    <s v="4.0 UN"/>
    <s v="STANDARD"/>
    <s v="N"/>
    <s v="N"/>
    <s v="N"/>
    <s v="T20"/>
    <s v="Y"/>
    <s v="N"/>
    <s v="Y"/>
    <s v="N"/>
    <s v="B006"/>
    <d v="2016-12-08T00:00:00"/>
    <s v="10"/>
    <s v="TAN"/>
    <s v="OR"/>
    <d v="2016-12-05T00:00:00"/>
    <s v="MI"/>
    <s v="US"/>
    <s v="ZR"/>
    <d v="2016-12-05T00:00:00"/>
  </r>
  <r>
    <x v="1"/>
    <x v="7"/>
    <x v="2252"/>
    <x v="39"/>
    <s v="Standard order"/>
    <x v="2132"/>
    <x v="2029"/>
    <s v="8500"/>
    <s v="BTS 8500"/>
    <s v="5002860"/>
    <s v="8500 BTS T35 SYSTIVA RP"/>
    <n v="56"/>
    <n v="0"/>
    <n v="56"/>
    <x v="7"/>
    <s v="FTND"/>
    <s v="RP"/>
    <s v="334"/>
    <s v="4.0 UN"/>
    <s v="STANDARD"/>
    <s v="N"/>
    <s v="N"/>
    <s v="N"/>
    <s v="T35"/>
    <s v="Y"/>
    <s v="N"/>
    <s v="Y"/>
    <s v="N"/>
    <s v="B030"/>
    <d v="2016-12-08T00:00:00"/>
    <s v="10"/>
    <s v="TAN"/>
    <s v="OR"/>
    <d v="2016-12-05T00:00:00"/>
    <s v="MN"/>
    <s v="US"/>
    <s v="ZR"/>
    <d v="2016-12-05T00:00:00"/>
  </r>
  <r>
    <x v="1"/>
    <x v="6"/>
    <x v="2253"/>
    <x v="51"/>
    <s v="Standard order"/>
    <x v="2133"/>
    <x v="394"/>
    <s v="437N"/>
    <s v="BTS 437N"/>
    <s v="5002210"/>
    <s v="437N BTS T20 PB SYSTIVA P50"/>
    <n v="20"/>
    <n v="0"/>
    <n v="20"/>
    <x v="6"/>
    <s v="EE73"/>
    <s v="PRO 50"/>
    <s v="322"/>
    <s v="4.0 UN"/>
    <s v="STANDARD"/>
    <s v="N"/>
    <s v="N"/>
    <s v="N"/>
    <s v="T20"/>
    <s v="Y"/>
    <s v="N"/>
    <s v="Y"/>
    <s v="N"/>
    <s v="B011"/>
    <d v="2016-12-08T00:00:00"/>
    <s v="10"/>
    <s v="TAN"/>
    <s v="OR"/>
    <d v="2016-12-05T00:00:00"/>
    <s v="MT"/>
    <s v="US"/>
    <s v="ZR"/>
    <d v="2016-12-05T00:00:00"/>
  </r>
  <r>
    <x v="1"/>
    <x v="0"/>
    <x v="2254"/>
    <x v="29"/>
    <s v="Standard order"/>
    <x v="2134"/>
    <x v="2030"/>
    <s v="149N"/>
    <s v="BTS 149N"/>
    <s v="5002368"/>
    <s v="149N BTS T20 Kabina RP"/>
    <n v="40"/>
    <n v="0"/>
    <n v="40"/>
    <x v="0"/>
    <s v="EEND"/>
    <s v="RP"/>
    <s v="380"/>
    <s v="4.0 UN"/>
    <s v="STANDARD"/>
    <s v="N"/>
    <s v="N"/>
    <s v="Y"/>
    <s v="T20"/>
    <s v="N"/>
    <s v="N"/>
    <s v="N"/>
    <s v="N"/>
    <s v="B005"/>
    <d v="2016-12-08T00:00:00"/>
    <s v="10"/>
    <s v="TAN"/>
    <s v="OR"/>
    <d v="2016-12-05T00:00:00"/>
    <s v="MI"/>
    <s v="US"/>
    <s v="ZR"/>
    <d v="2016-12-05T00:00:00"/>
  </r>
  <r>
    <x v="1"/>
    <x v="0"/>
    <x v="2254"/>
    <x v="29"/>
    <s v="Standard order"/>
    <x v="2134"/>
    <x v="2030"/>
    <s v="122N"/>
    <s v="BTS 12RR2N"/>
    <s v="5002311"/>
    <s v="122N BTS T20 Kabina RP"/>
    <n v="20"/>
    <n v="0"/>
    <n v="20"/>
    <x v="0"/>
    <s v="4TBG"/>
    <s v="RP"/>
    <s v="380"/>
    <s v="4.0 UN"/>
    <s v="STANDARD"/>
    <s v="N"/>
    <s v="N"/>
    <s v="Y"/>
    <s v="T20"/>
    <s v="N"/>
    <s v="N"/>
    <s v="N"/>
    <s v="N"/>
    <s v="B005"/>
    <d v="2016-12-08T00:00:00"/>
    <s v="20"/>
    <s v="TAN"/>
    <s v="OR"/>
    <d v="2016-12-05T00:00:00"/>
    <s v="MI"/>
    <s v="US"/>
    <s v="ZR"/>
    <d v="2016-12-05T00:00:00"/>
  </r>
  <r>
    <x v="1"/>
    <x v="0"/>
    <x v="2254"/>
    <x v="29"/>
    <s v="Standard order"/>
    <x v="2134"/>
    <x v="2030"/>
    <s v="122N"/>
    <s v="BTS 12RR2N"/>
    <s v="5002317"/>
    <s v="122N BTS T20 SYSTIVA RP"/>
    <n v="20"/>
    <n v="0"/>
    <n v="20"/>
    <x v="0"/>
    <s v="4TBG"/>
    <s v="RP"/>
    <s v="326"/>
    <s v="4.0 UN"/>
    <s v="STANDARD"/>
    <s v="N"/>
    <s v="N"/>
    <s v="N"/>
    <s v="T20"/>
    <s v="Y"/>
    <s v="N"/>
    <s v="Y"/>
    <s v="N"/>
    <s v="B005"/>
    <d v="2016-12-08T00:00:00"/>
    <s v="30"/>
    <s v="TAN"/>
    <s v="OR"/>
    <d v="2016-12-05T00:00:00"/>
    <s v="MI"/>
    <s v="US"/>
    <s v="ZR"/>
    <d v="2016-12-05T00:00:00"/>
  </r>
  <r>
    <x v="1"/>
    <x v="7"/>
    <x v="2255"/>
    <x v="37"/>
    <s v="Standard order"/>
    <x v="2135"/>
    <x v="2031"/>
    <s v="8052"/>
    <s v="BTS 80RR52"/>
    <s v="5002739"/>
    <s v="8052 BTS T35 SYSTIVA RP"/>
    <n v="200"/>
    <n v="0"/>
    <n v="200"/>
    <x v="7"/>
    <s v="AP82"/>
    <s v="RP"/>
    <s v="334"/>
    <s v="4.0 UN"/>
    <s v="STANDARD"/>
    <s v="N"/>
    <s v="N"/>
    <s v="N"/>
    <s v="T35"/>
    <s v="Y"/>
    <s v="N"/>
    <s v="Y"/>
    <s v="N"/>
    <s v="B033"/>
    <d v="2016-12-08T00:00:00"/>
    <s v="10"/>
    <s v="TAN"/>
    <s v="OR"/>
    <d v="2016-12-05T00:00:00"/>
    <s v="ND"/>
    <s v="US"/>
    <s v="ZR"/>
    <d v="2016-12-05T00:00:00"/>
  </r>
  <r>
    <x v="1"/>
    <x v="0"/>
    <x v="2256"/>
    <x v="43"/>
    <s v="Standard order"/>
    <x v="2136"/>
    <x v="229"/>
    <s v="149N"/>
    <s v="BTS 149N"/>
    <s v="5002368"/>
    <s v="149N BTS T20 Kabina RP"/>
    <n v="16"/>
    <n v="0"/>
    <n v="16"/>
    <x v="0"/>
    <s v="EEND"/>
    <s v="RP"/>
    <s v="380"/>
    <s v="4.0 UN"/>
    <s v="STANDARD"/>
    <s v="N"/>
    <s v="N"/>
    <s v="Y"/>
    <s v="T20"/>
    <s v="N"/>
    <s v="N"/>
    <s v="N"/>
    <s v="N"/>
    <s v="B006"/>
    <d v="2016-12-08T00:00:00"/>
    <s v="10"/>
    <s v="TAN"/>
    <s v="OR"/>
    <d v="2016-12-04T00:00:00"/>
    <s v="MI"/>
    <s v="US"/>
    <s v="ZR"/>
    <d v="2016-12-05T00:00:00"/>
  </r>
  <r>
    <x v="1"/>
    <x v="0"/>
    <x v="2256"/>
    <x v="43"/>
    <s v="Standard order"/>
    <x v="2136"/>
    <x v="229"/>
    <s v="1399"/>
    <s v="BTS 1399"/>
    <s v="5002348"/>
    <s v="1399 BTS T20 Kabina RP"/>
    <n v="16"/>
    <n v="0"/>
    <n v="16"/>
    <x v="0"/>
    <s v="EG74"/>
    <s v="RP"/>
    <s v="380"/>
    <s v="4.0 UN"/>
    <s v="STANDARD"/>
    <s v="N"/>
    <s v="N"/>
    <s v="Y"/>
    <s v="T20"/>
    <s v="N"/>
    <s v="N"/>
    <s v="N"/>
    <s v="N"/>
    <s v="B006"/>
    <d v="2016-12-08T00:00:00"/>
    <s v="20"/>
    <s v="TAN"/>
    <s v="OR"/>
    <d v="2016-12-04T00:00:00"/>
    <s v="MI"/>
    <s v="US"/>
    <s v="ZR"/>
    <d v="2016-12-05T00:00:00"/>
  </r>
  <r>
    <x v="1"/>
    <x v="5"/>
    <x v="2257"/>
    <x v="9"/>
    <s v="Standard order"/>
    <x v="2137"/>
    <x v="2032"/>
    <s v="353N"/>
    <s v="BTS 353N"/>
    <s v="5002524"/>
    <s v="353N BTS T20 PB SYSTIVA RP"/>
    <n v="28"/>
    <n v="0"/>
    <n v="28"/>
    <x v="5"/>
    <s v="EENZ"/>
    <s v="RP"/>
    <s v="322"/>
    <s v="4.0 UN"/>
    <s v="STANDARD"/>
    <s v="N"/>
    <s v="Y"/>
    <s v="N"/>
    <s v="T20"/>
    <s v="Y"/>
    <s v="N"/>
    <s v="N"/>
    <s v="N"/>
    <s v="B016"/>
    <d v="2016-12-08T00:00:00"/>
    <s v="10"/>
    <s v="TAN"/>
    <s v="OR"/>
    <d v="2016-12-05T00:00:00"/>
    <s v="WY"/>
    <s v="US"/>
    <s v="ZR"/>
    <d v="2016-12-05T00:00:00"/>
  </r>
  <r>
    <x v="1"/>
    <x v="5"/>
    <x v="2257"/>
    <x v="9"/>
    <s v="Standard order"/>
    <x v="2137"/>
    <x v="2032"/>
    <s v="336N"/>
    <s v="BTS 336N"/>
    <s v="5002400"/>
    <s v="336N BTS T20 PB SYSTIVA RP"/>
    <n v="152"/>
    <n v="0"/>
    <n v="152"/>
    <x v="5"/>
    <s v="EEMG"/>
    <s v="RP"/>
    <s v="322"/>
    <s v="4.0 UN"/>
    <s v="STANDARD"/>
    <s v="N"/>
    <s v="N"/>
    <s v="N"/>
    <s v="T20"/>
    <s v="Y"/>
    <s v="N"/>
    <s v="N"/>
    <s v="N"/>
    <s v="B016"/>
    <d v="2016-12-08T00:00:00"/>
    <s v="20"/>
    <s v="TAN"/>
    <s v="OR"/>
    <d v="2016-12-05T00:00:00"/>
    <s v="WY"/>
    <s v="US"/>
    <s v="ZR"/>
    <d v="2016-12-05T00:00:00"/>
  </r>
  <r>
    <x v="1"/>
    <x v="2"/>
    <x v="2258"/>
    <x v="3"/>
    <s v="Standard order"/>
    <x v="2138"/>
    <x v="257"/>
    <s v="64SN"/>
    <s v="BTS 64SN"/>
    <s v="5002420"/>
    <s v="64SN BTS T20 PB SYSTIVA P100"/>
    <n v="32"/>
    <n v="0"/>
    <n v="32"/>
    <x v="2"/>
    <s v="DVNB"/>
    <s v="PRO 100"/>
    <s v="322"/>
    <s v="4.0 UN"/>
    <s v="STANDARD"/>
    <s v="N"/>
    <s v="N"/>
    <s v="N"/>
    <s v="T20"/>
    <s v="Y"/>
    <s v="N"/>
    <s v="Y"/>
    <s v="N"/>
    <s v="B024"/>
    <d v="2016-12-08T00:00:00"/>
    <s v="10"/>
    <s v="TAN"/>
    <s v="OR"/>
    <d v="2016-12-05T00:00:00"/>
    <s v="NE"/>
    <s v="US"/>
    <s v="ZR"/>
    <d v="2016-12-05T00:00:00"/>
  </r>
  <r>
    <x v="1"/>
    <x v="4"/>
    <x v="2259"/>
    <x v="52"/>
    <s v="Standard order"/>
    <x v="2139"/>
    <x v="164"/>
    <s v="225N"/>
    <s v="BTS 22RR5N"/>
    <s v="5002106"/>
    <s v="225N BTS PB Kabina LRG"/>
    <n v="96"/>
    <n v="0"/>
    <n v="96"/>
    <x v="4"/>
    <s v="4TBD"/>
    <s v="LARGE"/>
    <s v="384"/>
    <s v="4.0 UN"/>
    <s v="STANDARD"/>
    <s v="N"/>
    <s v="Y"/>
    <s v="Y"/>
    <s v="N"/>
    <s v="N"/>
    <s v="N"/>
    <s v="N"/>
    <s v="N"/>
    <s v="B048"/>
    <d v="2016-12-08T00:00:00"/>
    <s v="10"/>
    <s v="TAN"/>
    <s v="OR"/>
    <d v="2016-12-05T00:00:00"/>
    <s v="ID"/>
    <s v="US"/>
    <s v="ZR"/>
    <d v="2016-12-05T00:00:00"/>
  </r>
  <r>
    <x v="1"/>
    <x v="6"/>
    <x v="2260"/>
    <x v="51"/>
    <s v="Standard order"/>
    <x v="2140"/>
    <x v="780"/>
    <s v="437N"/>
    <s v="BTS 437N"/>
    <s v="5002208"/>
    <s v="437N BTS T20 PB SYSTIVA P100"/>
    <n v="20"/>
    <n v="0"/>
    <n v="20"/>
    <x v="6"/>
    <s v="EE73"/>
    <s v="PRO 100"/>
    <s v="322"/>
    <s v="4.0 UN"/>
    <s v="STANDARD"/>
    <s v="N"/>
    <s v="N"/>
    <s v="N"/>
    <s v="T20"/>
    <s v="Y"/>
    <s v="N"/>
    <s v="Y"/>
    <s v="N"/>
    <s v="B011"/>
    <d v="2016-12-08T00:00:00"/>
    <s v="10"/>
    <s v="TAN"/>
    <s v="OR"/>
    <d v="2016-12-05T00:00:00"/>
    <s v="MT"/>
    <s v="US"/>
    <s v="ZR"/>
    <d v="2016-12-05T00:00:00"/>
  </r>
  <r>
    <x v="1"/>
    <x v="6"/>
    <x v="2261"/>
    <x v="48"/>
    <s v="Standard order"/>
    <x v="2141"/>
    <x v="2033"/>
    <s v="459N"/>
    <s v="BTS 459N"/>
    <s v="5002258"/>
    <s v="459N BTS T20 PB SYSTIVA P50"/>
    <n v="48"/>
    <n v="0"/>
    <n v="48"/>
    <x v="6"/>
    <s v="DVNU"/>
    <s v="PRO 50"/>
    <s v="322"/>
    <s v="4.0 UN"/>
    <s v="STANDARD"/>
    <s v="N"/>
    <s v="N"/>
    <s v="N"/>
    <s v="T20"/>
    <s v="Y"/>
    <s v="N"/>
    <s v="Y"/>
    <s v="N"/>
    <s v="B012"/>
    <d v="2016-12-08T00:00:00"/>
    <s v="10"/>
    <s v="TAN"/>
    <s v="OR"/>
    <d v="2016-12-05T00:00:00"/>
    <s v="MT"/>
    <s v="US"/>
    <s v="ZR"/>
    <d v="2016-12-05T00:00:00"/>
  </r>
  <r>
    <x v="1"/>
    <x v="6"/>
    <x v="2261"/>
    <x v="48"/>
    <s v="Standard order"/>
    <x v="2141"/>
    <x v="2033"/>
    <s v="444N"/>
    <s v="BTS 444N"/>
    <s v="5002228"/>
    <s v="444N BTS T20 PB SYSTIVA P50"/>
    <n v="44"/>
    <n v="0"/>
    <n v="44"/>
    <x v="6"/>
    <s v="DVND"/>
    <s v="PRO 50"/>
    <s v="322"/>
    <s v="4.0 UN"/>
    <s v="STANDARD"/>
    <s v="N"/>
    <s v="N"/>
    <s v="N"/>
    <s v="T20"/>
    <s v="Y"/>
    <s v="N"/>
    <s v="Y"/>
    <s v="N"/>
    <s v="B012"/>
    <d v="2016-12-08T00:00:00"/>
    <s v="20"/>
    <s v="TAN"/>
    <s v="OR"/>
    <d v="2016-12-05T00:00:00"/>
    <s v="MT"/>
    <s v="US"/>
    <s v="ZR"/>
    <d v="2016-12-05T00:00:00"/>
  </r>
  <r>
    <x v="1"/>
    <x v="6"/>
    <x v="2261"/>
    <x v="48"/>
    <s v="Standard order"/>
    <x v="2141"/>
    <x v="2033"/>
    <s v="437N"/>
    <s v="BTS 437N"/>
    <s v="5002210"/>
    <s v="437N BTS T20 PB SYSTIVA P50"/>
    <n v="92"/>
    <n v="0"/>
    <n v="92"/>
    <x v="6"/>
    <s v="EE73"/>
    <s v="PRO 50"/>
    <s v="322"/>
    <s v="4.0 UN"/>
    <s v="STANDARD"/>
    <s v="N"/>
    <s v="N"/>
    <s v="N"/>
    <s v="T20"/>
    <s v="Y"/>
    <s v="N"/>
    <s v="Y"/>
    <s v="N"/>
    <s v="B012"/>
    <d v="2016-12-08T00:00:00"/>
    <s v="30"/>
    <s v="TAN"/>
    <s v="OR"/>
    <d v="2016-12-05T00:00:00"/>
    <s v="MT"/>
    <s v="US"/>
    <s v="ZR"/>
    <d v="2016-12-05T00:00:00"/>
  </r>
  <r>
    <x v="1"/>
    <x v="6"/>
    <x v="2262"/>
    <x v="48"/>
    <s v="Standard order"/>
    <x v="2142"/>
    <x v="20"/>
    <s v="444N"/>
    <s v="BTS 444N"/>
    <s v="5002226"/>
    <s v="444N BTS T20 PB SYSTIVA P100"/>
    <n v="160"/>
    <n v="0"/>
    <n v="160"/>
    <x v="6"/>
    <s v="DVND"/>
    <s v="PRO 100"/>
    <s v="322"/>
    <s v="4.0 UN"/>
    <s v="STANDARD"/>
    <s v="N"/>
    <s v="N"/>
    <s v="N"/>
    <s v="T20"/>
    <s v="Y"/>
    <s v="N"/>
    <s v="Y"/>
    <s v="N"/>
    <s v="B012"/>
    <d v="2016-12-08T00:00:00"/>
    <s v="10"/>
    <s v="TAN"/>
    <s v="OR"/>
    <d v="2016-12-05T00:00:00"/>
    <s v="MT"/>
    <s v="US"/>
    <s v="ZR"/>
    <d v="2016-12-05T00:00:00"/>
  </r>
  <r>
    <x v="1"/>
    <x v="4"/>
    <x v="2263"/>
    <x v="46"/>
    <s v="Standard order"/>
    <x v="2143"/>
    <x v="2034"/>
    <s v="4933"/>
    <s v="BTS 49RR33"/>
    <s v="5002272"/>
    <s v="4933 BTS PB LRG IDH"/>
    <n v="48"/>
    <n v="0"/>
    <n v="48"/>
    <x v="4"/>
    <s v="AKMC"/>
    <s v="LARGE"/>
    <s v="307"/>
    <s v="4.0 UN"/>
    <s v="STANDARD"/>
    <s v="N"/>
    <s v="Y"/>
    <s v="N"/>
    <s v="N"/>
    <s v="N"/>
    <s v="N"/>
    <s v="N"/>
    <s v="N"/>
    <s v="B049"/>
    <d v="2016-12-08T00:00:00"/>
    <s v="10"/>
    <s v="TAN"/>
    <s v="OR"/>
    <d v="2016-12-05T00:00:00"/>
    <s v="ID"/>
    <s v="US"/>
    <s v="ZR"/>
    <d v="2016-12-05T00:00:00"/>
  </r>
  <r>
    <x v="1"/>
    <x v="4"/>
    <x v="2263"/>
    <x v="46"/>
    <s v="Standard order"/>
    <x v="2143"/>
    <x v="2034"/>
    <s v="2559"/>
    <s v="BTS 2559"/>
    <s v="5002561"/>
    <s v="2559 BTS PB LRG"/>
    <n v="32"/>
    <n v="0"/>
    <n v="32"/>
    <x v="4"/>
    <s v="FGNE"/>
    <s v="LARGE"/>
    <s v="307"/>
    <s v="4.0 UN"/>
    <s v="STANDARD"/>
    <s v="N"/>
    <s v="Y"/>
    <s v="N"/>
    <s v="N"/>
    <s v="N"/>
    <s v="N"/>
    <s v="N"/>
    <s v="N"/>
    <s v="B049"/>
    <d v="2016-12-08T00:00:00"/>
    <s v="20"/>
    <s v="TAN"/>
    <s v="OR"/>
    <d v="2016-12-05T00:00:00"/>
    <s v="ID"/>
    <s v="US"/>
    <s v="ZR"/>
    <d v="2016-12-05T00:00:00"/>
  </r>
  <r>
    <x v="1"/>
    <x v="4"/>
    <x v="2263"/>
    <x v="46"/>
    <s v="Standard order"/>
    <x v="2143"/>
    <x v="2034"/>
    <s v="2570"/>
    <s v="BTS 2570"/>
    <s v="5002553"/>
    <s v="2570 BTS PB LRG"/>
    <n v="32"/>
    <n v="0"/>
    <n v="32"/>
    <x v="4"/>
    <s v="EZNS"/>
    <s v="LARGE"/>
    <s v="307"/>
    <s v="4.0 UN"/>
    <s v="STANDARD"/>
    <s v="N"/>
    <s v="Y"/>
    <s v="N"/>
    <s v="N"/>
    <s v="N"/>
    <s v="N"/>
    <s v="N"/>
    <s v="N"/>
    <s v="B049"/>
    <d v="2016-12-08T00:00:00"/>
    <s v="30"/>
    <s v="TAN"/>
    <s v="OR"/>
    <d v="2016-12-05T00:00:00"/>
    <s v="ID"/>
    <s v="US"/>
    <s v="ZR"/>
    <d v="2016-12-05T00:00:00"/>
  </r>
  <r>
    <x v="1"/>
    <x v="4"/>
    <x v="2264"/>
    <x v="53"/>
    <s v="Standard order"/>
    <x v="2144"/>
    <x v="2035"/>
    <s v="225N"/>
    <s v="BTS 22RR5N"/>
    <s v="5002112"/>
    <s v="225N BTS PB MED"/>
    <n v="92"/>
    <n v="0"/>
    <n v="92"/>
    <x v="4"/>
    <s v="4TBD"/>
    <s v="MEDIUM"/>
    <s v="307"/>
    <s v="4.0 UN"/>
    <s v="STANDARD"/>
    <s v="N"/>
    <s v="Y"/>
    <s v="N"/>
    <s v="N"/>
    <s v="N"/>
    <s v="N"/>
    <s v="N"/>
    <s v="N"/>
    <s v="B051"/>
    <d v="2016-12-08T00:00:00"/>
    <s v="10"/>
    <s v="TAN"/>
    <s v="OR"/>
    <d v="2016-12-05T00:00:00"/>
    <s v="ID"/>
    <s v="US"/>
    <s v="ZR"/>
    <d v="2016-12-05T00:00:00"/>
  </r>
  <r>
    <x v="1"/>
    <x v="4"/>
    <x v="2265"/>
    <x v="46"/>
    <s v="Standard order"/>
    <x v="2145"/>
    <x v="2036"/>
    <s v="2125"/>
    <s v="BTS 21RR25"/>
    <s v="5002395"/>
    <s v="2125 BTS PB XL"/>
    <n v="48"/>
    <n v="0"/>
    <n v="48"/>
    <x v="4"/>
    <s v="AP92"/>
    <s v="X-LARGE"/>
    <s v="307"/>
    <s v="4.0 UN"/>
    <s v="STANDARD"/>
    <s v="N"/>
    <s v="Y"/>
    <s v="N"/>
    <s v="N"/>
    <s v="N"/>
    <s v="N"/>
    <s v="N"/>
    <s v="N"/>
    <s v="B049"/>
    <d v="2016-12-08T00:00:00"/>
    <s v="10"/>
    <s v="TAN"/>
    <s v="OR"/>
    <d v="2016-12-05T00:00:00"/>
    <s v="ID"/>
    <s v="US"/>
    <s v="ZR"/>
    <d v="2016-12-05T00:00:00"/>
  </r>
  <r>
    <x v="1"/>
    <x v="4"/>
    <x v="2265"/>
    <x v="46"/>
    <s v="Standard order"/>
    <x v="2145"/>
    <x v="2036"/>
    <s v="4933"/>
    <s v="BTS 49RR33"/>
    <s v="5002280"/>
    <s v="4933 BTS PB XL IDH"/>
    <n v="48"/>
    <n v="0"/>
    <n v="48"/>
    <x v="4"/>
    <s v="AKMC"/>
    <s v="X-LARGE"/>
    <s v="307"/>
    <s v="4.0 UN"/>
    <s v="STANDARD"/>
    <s v="N"/>
    <s v="Y"/>
    <s v="N"/>
    <s v="N"/>
    <s v="N"/>
    <s v="N"/>
    <s v="N"/>
    <s v="N"/>
    <s v="B049"/>
    <d v="2016-12-08T00:00:00"/>
    <s v="20"/>
    <s v="TAN"/>
    <s v="OR"/>
    <d v="2016-12-05T00:00:00"/>
    <s v="ID"/>
    <s v="US"/>
    <s v="ZR"/>
    <d v="2016-12-05T00:00:00"/>
  </r>
  <r>
    <x v="1"/>
    <x v="4"/>
    <x v="2265"/>
    <x v="46"/>
    <s v="Standard order"/>
    <x v="2145"/>
    <x v="2036"/>
    <s v="2559"/>
    <s v="BTS 2559"/>
    <s v="5002563"/>
    <s v="2559 BTS PB XL"/>
    <n v="80"/>
    <n v="0"/>
    <n v="80"/>
    <x v="4"/>
    <s v="FGNE"/>
    <s v="X-LARGE"/>
    <s v="307"/>
    <s v="4.0 UN"/>
    <s v="STANDARD"/>
    <s v="N"/>
    <s v="Y"/>
    <s v="N"/>
    <s v="N"/>
    <s v="N"/>
    <s v="N"/>
    <s v="N"/>
    <s v="N"/>
    <s v="B049"/>
    <d v="2016-12-08T00:00:00"/>
    <s v="30"/>
    <s v="TAN"/>
    <s v="OR"/>
    <d v="2016-12-05T00:00:00"/>
    <s v="ID"/>
    <s v="US"/>
    <s v="ZR"/>
    <d v="2016-12-05T00:00:00"/>
  </r>
  <r>
    <x v="1"/>
    <x v="4"/>
    <x v="2265"/>
    <x v="46"/>
    <s v="Standard order"/>
    <x v="2145"/>
    <x v="2036"/>
    <s v="2523"/>
    <s v="BTS 2523"/>
    <s v="5002529"/>
    <s v="2523 BTS PB XL"/>
    <n v="80"/>
    <n v="0"/>
    <n v="80"/>
    <x v="4"/>
    <s v="EZPC"/>
    <s v="X-LARGE"/>
    <s v="307"/>
    <s v="4.0 UN"/>
    <s v="STANDARD"/>
    <s v="N"/>
    <s v="Y"/>
    <s v="N"/>
    <s v="N"/>
    <s v="N"/>
    <s v="N"/>
    <s v="N"/>
    <s v="N"/>
    <s v="B049"/>
    <d v="2016-12-08T00:00:00"/>
    <s v="40"/>
    <s v="TAN"/>
    <s v="OR"/>
    <d v="2016-12-05T00:00:00"/>
    <s v="ID"/>
    <s v="US"/>
    <s v="ZR"/>
    <d v="2016-12-05T00:00:00"/>
  </r>
  <r>
    <x v="1"/>
    <x v="4"/>
    <x v="2265"/>
    <x v="46"/>
    <s v="Standard order"/>
    <x v="2145"/>
    <x v="2036"/>
    <s v="6027"/>
    <s v="BTS 60RR27"/>
    <s v="5002625"/>
    <s v="6027 BTS PB XL IDH"/>
    <n v="104"/>
    <n v="0"/>
    <n v="104"/>
    <x v="4"/>
    <s v="APMC"/>
    <s v="X-LARGE"/>
    <s v="307"/>
    <s v="4.0 UN"/>
    <s v="STANDARD"/>
    <s v="N"/>
    <s v="Y"/>
    <s v="N"/>
    <s v="N"/>
    <s v="N"/>
    <s v="N"/>
    <s v="N"/>
    <s v="N"/>
    <s v="B049"/>
    <d v="2016-12-08T00:00:00"/>
    <s v="50"/>
    <s v="TAN"/>
    <s v="OR"/>
    <d v="2016-12-05T00:00:00"/>
    <s v="ID"/>
    <s v="US"/>
    <s v="ZR"/>
    <d v="2016-12-05T00:00:00"/>
  </r>
  <r>
    <x v="1"/>
    <x v="0"/>
    <x v="2266"/>
    <x v="29"/>
    <s v="Standard order"/>
    <x v="2146"/>
    <x v="2037"/>
    <s v="122N"/>
    <s v="BTS 12RR2N"/>
    <s v="5002317"/>
    <s v="122N BTS T20 SYSTIVA RP"/>
    <n v="52"/>
    <n v="0"/>
    <n v="52"/>
    <x v="0"/>
    <s v="4TBG"/>
    <s v="RP"/>
    <s v="326"/>
    <s v="4.0 UN"/>
    <s v="STANDARD"/>
    <s v="N"/>
    <s v="N"/>
    <s v="N"/>
    <s v="T20"/>
    <s v="Y"/>
    <s v="N"/>
    <s v="Y"/>
    <s v="N"/>
    <s v="B005"/>
    <d v="2016-12-08T00:00:00"/>
    <s v="10"/>
    <s v="TAN"/>
    <s v="OR"/>
    <d v="2016-12-05T00:00:00"/>
    <s v="MI"/>
    <s v="US"/>
    <s v="ZR"/>
    <d v="2016-12-05T00:00:00"/>
  </r>
  <r>
    <x v="1"/>
    <x v="0"/>
    <x v="2266"/>
    <x v="29"/>
    <s v="Standard order"/>
    <x v="2146"/>
    <x v="2037"/>
    <s v="149N"/>
    <s v="BTS 149N"/>
    <s v="5002368"/>
    <s v="149N BTS T20 Kabina RP"/>
    <n v="32"/>
    <n v="0"/>
    <n v="32"/>
    <x v="0"/>
    <s v="EEND"/>
    <s v="RP"/>
    <s v="380"/>
    <s v="4.0 UN"/>
    <s v="STANDARD"/>
    <s v="N"/>
    <s v="N"/>
    <s v="Y"/>
    <s v="T20"/>
    <s v="N"/>
    <s v="N"/>
    <s v="N"/>
    <s v="N"/>
    <s v="B005"/>
    <d v="2016-12-08T00:00:00"/>
    <s v="20"/>
    <s v="TAN"/>
    <s v="OR"/>
    <d v="2016-12-05T00:00:00"/>
    <s v="MI"/>
    <s v="US"/>
    <s v="ZR"/>
    <d v="2016-12-05T00:00:00"/>
  </r>
  <r>
    <x v="1"/>
    <x v="0"/>
    <x v="2266"/>
    <x v="29"/>
    <s v="Standard order"/>
    <x v="2146"/>
    <x v="2037"/>
    <s v="1399"/>
    <s v="BTS 1399"/>
    <s v="5002348"/>
    <s v="1399 BTS T20 Kabina RP"/>
    <n v="20"/>
    <n v="0"/>
    <n v="20"/>
    <x v="0"/>
    <s v="EG74"/>
    <s v="RP"/>
    <s v="380"/>
    <s v="4.0 UN"/>
    <s v="STANDARD"/>
    <s v="N"/>
    <s v="N"/>
    <s v="Y"/>
    <s v="T20"/>
    <s v="N"/>
    <s v="N"/>
    <s v="N"/>
    <s v="N"/>
    <s v="B005"/>
    <d v="2016-12-08T00:00:00"/>
    <s v="30"/>
    <s v="TAN"/>
    <s v="OR"/>
    <d v="2016-12-05T00:00:00"/>
    <s v="MI"/>
    <s v="US"/>
    <s v="ZR"/>
    <d v="2016-12-05T00:00:00"/>
  </r>
  <r>
    <x v="1"/>
    <x v="4"/>
    <x v="2267"/>
    <x v="52"/>
    <s v="Standard order"/>
    <x v="2147"/>
    <x v="482"/>
    <s v="225N"/>
    <s v="BTS 22RR5N"/>
    <s v="5002106"/>
    <s v="225N BTS PB Kabina LRG"/>
    <n v="20"/>
    <n v="0"/>
    <n v="20"/>
    <x v="4"/>
    <s v="4TBD"/>
    <s v="LARGE"/>
    <s v="384"/>
    <s v="4.0 UN"/>
    <s v="STANDARD"/>
    <s v="N"/>
    <s v="Y"/>
    <s v="Y"/>
    <s v="N"/>
    <s v="N"/>
    <s v="N"/>
    <s v="N"/>
    <s v="N"/>
    <s v="B048"/>
    <d v="2016-12-08T00:00:00"/>
    <s v="10"/>
    <s v="TAN"/>
    <s v="OR"/>
    <d v="2016-12-05T00:00:00"/>
    <s v="ID"/>
    <s v="US"/>
    <s v="ZR"/>
    <d v="2016-12-05T00:00:00"/>
  </r>
  <r>
    <x v="1"/>
    <x v="6"/>
    <x v="2268"/>
    <x v="48"/>
    <s v="Standard order"/>
    <x v="2148"/>
    <x v="85"/>
    <s v="437N"/>
    <s v="BTS 437N"/>
    <s v="5002210"/>
    <s v="437N BTS T20 PB SYSTIVA P50"/>
    <n v="52"/>
    <n v="0"/>
    <n v="52"/>
    <x v="6"/>
    <s v="EE73"/>
    <s v="PRO 50"/>
    <s v="322"/>
    <s v="4.0 UN"/>
    <s v="STANDARD"/>
    <s v="N"/>
    <s v="N"/>
    <s v="N"/>
    <s v="T20"/>
    <s v="Y"/>
    <s v="N"/>
    <s v="Y"/>
    <s v="N"/>
    <s v="B012"/>
    <d v="2016-12-08T00:00:00"/>
    <s v="10"/>
    <s v="TAN"/>
    <s v="OR"/>
    <d v="2016-12-05T00:00:00"/>
    <s v="MT"/>
    <s v="US"/>
    <s v="ZR"/>
    <d v="2016-12-05T00:00:00"/>
  </r>
  <r>
    <x v="1"/>
    <x v="6"/>
    <x v="2268"/>
    <x v="48"/>
    <s v="Standard order"/>
    <x v="2148"/>
    <x v="85"/>
    <s v="444N"/>
    <s v="BTS 444N"/>
    <s v="5002228"/>
    <s v="444N BTS T20 PB SYSTIVA P50"/>
    <n v="28"/>
    <n v="0"/>
    <n v="28"/>
    <x v="6"/>
    <s v="DVND"/>
    <s v="PRO 50"/>
    <s v="322"/>
    <s v="4.0 UN"/>
    <s v="STANDARD"/>
    <s v="N"/>
    <s v="N"/>
    <s v="N"/>
    <s v="T20"/>
    <s v="Y"/>
    <s v="N"/>
    <s v="Y"/>
    <s v="N"/>
    <s v="B012"/>
    <d v="2016-12-08T00:00:00"/>
    <s v="20"/>
    <s v="TAN"/>
    <s v="OR"/>
    <d v="2016-12-05T00:00:00"/>
    <s v="MT"/>
    <s v="US"/>
    <s v="ZR"/>
    <d v="2016-12-05T00:00:00"/>
  </r>
  <r>
    <x v="1"/>
    <x v="6"/>
    <x v="2268"/>
    <x v="48"/>
    <s v="Standard order"/>
    <x v="2148"/>
    <x v="85"/>
    <s v="459N"/>
    <s v="BTS 459N"/>
    <s v="5002258"/>
    <s v="459N BTS T20 PB SYSTIVA P50"/>
    <n v="28"/>
    <n v="0"/>
    <n v="28"/>
    <x v="6"/>
    <s v="DVNU"/>
    <s v="PRO 50"/>
    <s v="322"/>
    <s v="4.0 UN"/>
    <s v="STANDARD"/>
    <s v="N"/>
    <s v="N"/>
    <s v="N"/>
    <s v="T20"/>
    <s v="Y"/>
    <s v="N"/>
    <s v="Y"/>
    <s v="N"/>
    <s v="B012"/>
    <d v="2016-12-08T00:00:00"/>
    <s v="30"/>
    <s v="TAN"/>
    <s v="OR"/>
    <d v="2016-12-05T00:00:00"/>
    <s v="MT"/>
    <s v="US"/>
    <s v="ZR"/>
    <d v="2016-12-05T00:00:00"/>
  </r>
  <r>
    <x v="1"/>
    <x v="0"/>
    <x v="2269"/>
    <x v="45"/>
    <s v="Standard order"/>
    <x v="2149"/>
    <x v="2038"/>
    <s v="1399"/>
    <s v="BTS 1399"/>
    <s v="5002347"/>
    <s v="1399 BTS T20 Kabina P200"/>
    <n v="80"/>
    <n v="0"/>
    <n v="80"/>
    <x v="0"/>
    <s v="EG74"/>
    <s v="PRO 200"/>
    <s v="380"/>
    <s v="4.0 UN"/>
    <s v="STANDARD"/>
    <s v="N"/>
    <s v="N"/>
    <s v="Y"/>
    <s v="T20"/>
    <s v="N"/>
    <s v="N"/>
    <s v="N"/>
    <s v="N"/>
    <s v="B003"/>
    <d v="2016-12-08T00:00:00"/>
    <s v="10"/>
    <s v="TAN"/>
    <s v="OR"/>
    <d v="2016-12-05T00:00:00"/>
    <s v="MI"/>
    <s v="US"/>
    <s v="ZR"/>
    <d v="2016-12-05T00:00:00"/>
  </r>
  <r>
    <x v="1"/>
    <x v="0"/>
    <x v="2269"/>
    <x v="45"/>
    <s v="Standard order"/>
    <x v="2149"/>
    <x v="2038"/>
    <s v="149N"/>
    <s v="BTS 149N"/>
    <s v="5002367"/>
    <s v="149N BTS T20 Kabina P200"/>
    <n v="60"/>
    <n v="0"/>
    <n v="60"/>
    <x v="0"/>
    <s v="EEND"/>
    <s v="PRO 200"/>
    <s v="380"/>
    <s v="4.0 UN"/>
    <s v="STANDARD"/>
    <s v="N"/>
    <s v="N"/>
    <s v="Y"/>
    <s v="T20"/>
    <s v="N"/>
    <s v="N"/>
    <s v="N"/>
    <s v="N"/>
    <s v="B003"/>
    <d v="2016-12-08T00:00:00"/>
    <s v="20"/>
    <s v="TAN"/>
    <s v="OR"/>
    <d v="2016-12-05T00:00:00"/>
    <s v="MI"/>
    <s v="US"/>
    <s v="ZR"/>
    <d v="2016-12-05T00:00:00"/>
  </r>
  <r>
    <x v="1"/>
    <x v="0"/>
    <x v="2269"/>
    <x v="45"/>
    <s v="Standard order"/>
    <x v="2149"/>
    <x v="2038"/>
    <s v="122N"/>
    <s v="BTS 12RR2N"/>
    <s v="5002310"/>
    <s v="122N BTS T20 Kabina P200"/>
    <n v="60"/>
    <n v="0"/>
    <n v="60"/>
    <x v="0"/>
    <s v="4TBG"/>
    <s v="PRO 200"/>
    <s v="380"/>
    <s v="4.0 UN"/>
    <s v="STANDARD"/>
    <s v="N"/>
    <s v="N"/>
    <s v="Y"/>
    <s v="T20"/>
    <s v="N"/>
    <s v="N"/>
    <s v="N"/>
    <s v="N"/>
    <s v="B003"/>
    <d v="2016-12-08T00:00:00"/>
    <s v="30"/>
    <s v="TAN"/>
    <s v="OR"/>
    <d v="2016-12-05T00:00:00"/>
    <s v="MI"/>
    <s v="US"/>
    <s v="ZR"/>
    <d v="2016-12-05T00:00:00"/>
  </r>
  <r>
    <x v="1"/>
    <x v="0"/>
    <x v="2270"/>
    <x v="43"/>
    <s v="Standard order"/>
    <x v="2150"/>
    <x v="343"/>
    <s v="122N"/>
    <s v="BTS 12RR2N"/>
    <s v="5002315"/>
    <s v="122N BTS T20 SYSTIVA MP"/>
    <n v="24"/>
    <n v="0"/>
    <n v="24"/>
    <x v="0"/>
    <s v="4TBG"/>
    <s v="MP"/>
    <s v="326"/>
    <s v="4.0 UN"/>
    <s v="STANDARD"/>
    <s v="N"/>
    <s v="N"/>
    <s v="N"/>
    <s v="T20"/>
    <s v="Y"/>
    <s v="N"/>
    <s v="Y"/>
    <s v="N"/>
    <s v="B006"/>
    <d v="2016-12-08T00:00:00"/>
    <s v="10"/>
    <s v="TAN"/>
    <s v="OR"/>
    <d v="2016-12-05T00:00:00"/>
    <s v="MI"/>
    <s v="US"/>
    <s v="ZR"/>
    <d v="2016-12-05T00:00:00"/>
  </r>
  <r>
    <x v="1"/>
    <x v="0"/>
    <x v="2271"/>
    <x v="56"/>
    <s v="Standard order"/>
    <x v="2151"/>
    <x v="2039"/>
    <s v="1399"/>
    <s v="BTS 1399"/>
    <s v="5002338"/>
    <s v="1399 BTS CM Vibrance RP"/>
    <n v="12"/>
    <n v="0"/>
    <n v="12"/>
    <x v="0"/>
    <s v="EG74"/>
    <s v="RP"/>
    <s v="366"/>
    <s v="4.0 UN"/>
    <s v="STANDARD"/>
    <s v="Y"/>
    <s v="N"/>
    <s v="N"/>
    <s v="N"/>
    <s v="N"/>
    <s v="N"/>
    <s v="N"/>
    <s v="Y"/>
    <s v="B010"/>
    <d v="2016-12-08T00:00:00"/>
    <s v="10"/>
    <s v="TAN"/>
    <s v="OR"/>
    <d v="2016-12-05T00:00:00"/>
    <s v="ON"/>
    <s v="CA"/>
    <s v="ZR"/>
    <d v="2016-12-05T00:00:00"/>
  </r>
  <r>
    <x v="1"/>
    <x v="0"/>
    <x v="2272"/>
    <x v="56"/>
    <s v="Standard order"/>
    <x v="2152"/>
    <x v="1147"/>
    <s v="122N"/>
    <s v="BTS 12RR2N"/>
    <s v="5002301"/>
    <s v="12RR2N RP BetaShield PLUS (O)"/>
    <n v="144"/>
    <n v="0"/>
    <n v="144"/>
    <x v="0"/>
    <s v="4TBG"/>
    <s v="RP"/>
    <s v="366"/>
    <s v="4.0 UN"/>
    <s v="STANDARD"/>
    <s v="Y"/>
    <s v="N"/>
    <s v="N"/>
    <s v="N"/>
    <s v="N"/>
    <s v="N"/>
    <s v="N"/>
    <s v="Y"/>
    <s v=""/>
    <d v="2016-12-08T00:00:00"/>
    <s v="30"/>
    <s v="TAN"/>
    <s v="OR"/>
    <d v="2016-12-05T00:00:00"/>
    <s v="ON"/>
    <s v="CA"/>
    <s v="ZR"/>
    <d v="2016-12-05T00:00:00"/>
  </r>
  <r>
    <x v="1"/>
    <x v="0"/>
    <x v="2272"/>
    <x v="56"/>
    <s v="Standard order"/>
    <x v="2152"/>
    <x v="1147"/>
    <s v="1399"/>
    <s v="BTS 1399"/>
    <s v="5002338"/>
    <s v="1399 BTS CM Vibrance RP"/>
    <n v="104"/>
    <n v="0"/>
    <n v="104"/>
    <x v="0"/>
    <s v="EG74"/>
    <s v="RP"/>
    <s v="366"/>
    <s v="4.0 UN"/>
    <s v="STANDARD"/>
    <s v="Y"/>
    <s v="N"/>
    <s v="N"/>
    <s v="N"/>
    <s v="N"/>
    <s v="N"/>
    <s v="N"/>
    <s v="Y"/>
    <s v="B010"/>
    <d v="2016-12-08T00:00:00"/>
    <s v="20"/>
    <s v="TAN"/>
    <s v="OR"/>
    <d v="2016-12-05T00:00:00"/>
    <s v="ON"/>
    <s v="CA"/>
    <s v="ZR"/>
    <d v="2016-12-05T00:00:00"/>
  </r>
  <r>
    <x v="1"/>
    <x v="0"/>
    <x v="2273"/>
    <x v="56"/>
    <s v="Standard order"/>
    <x v="2153"/>
    <x v="2040"/>
    <s v="1399"/>
    <s v="BTS 1399"/>
    <s v="5002338"/>
    <s v="1399 BTS CM Vibrance RP"/>
    <n v="12"/>
    <n v="0"/>
    <n v="12"/>
    <x v="0"/>
    <s v="EG74"/>
    <s v="RP"/>
    <s v="366"/>
    <s v="4.0 UN"/>
    <s v="STANDARD"/>
    <s v="Y"/>
    <s v="N"/>
    <s v="N"/>
    <s v="N"/>
    <s v="N"/>
    <s v="N"/>
    <s v="N"/>
    <s v="Y"/>
    <s v="B010"/>
    <d v="2016-12-08T00:00:00"/>
    <s v="10"/>
    <s v="TAN"/>
    <s v="OR"/>
    <d v="2016-12-05T00:00:00"/>
    <s v="ON"/>
    <s v="CA"/>
    <s v="ZR"/>
    <d v="2016-12-05T00:00:00"/>
  </r>
  <r>
    <x v="1"/>
    <x v="0"/>
    <x v="2274"/>
    <x v="56"/>
    <s v="Standard order"/>
    <x v="2154"/>
    <x v="2041"/>
    <s v="1399"/>
    <s v="BTS 1399"/>
    <s v="5002338"/>
    <s v="1399 BTS CM Vibrance RP"/>
    <n v="16"/>
    <n v="0"/>
    <n v="16"/>
    <x v="0"/>
    <s v="EG74"/>
    <s v="RP"/>
    <s v="366"/>
    <s v="4.0 UN"/>
    <s v="STANDARD"/>
    <s v="Y"/>
    <s v="N"/>
    <s v="N"/>
    <s v="N"/>
    <s v="N"/>
    <s v="N"/>
    <s v="N"/>
    <s v="Y"/>
    <s v="B010"/>
    <d v="2016-12-08T00:00:00"/>
    <s v="10"/>
    <s v="TAN"/>
    <s v="OR"/>
    <d v="2016-12-05T00:00:00"/>
    <s v="ON"/>
    <s v="CA"/>
    <s v="ZR"/>
    <d v="2016-12-05T00:00:00"/>
  </r>
  <r>
    <x v="1"/>
    <x v="0"/>
    <x v="2275"/>
    <x v="56"/>
    <s v="Standard order"/>
    <x v="2155"/>
    <x v="2042"/>
    <s v="1399"/>
    <s v="BTS 1399"/>
    <s v="5002338"/>
    <s v="1399 BTS CM Vibrance RP"/>
    <n v="36"/>
    <n v="0"/>
    <n v="36"/>
    <x v="0"/>
    <s v="EG74"/>
    <s v="RP"/>
    <s v="366"/>
    <s v="4.0 UN"/>
    <s v="STANDARD"/>
    <s v="Y"/>
    <s v="N"/>
    <s v="N"/>
    <s v="N"/>
    <s v="N"/>
    <s v="N"/>
    <s v="N"/>
    <s v="Y"/>
    <s v="B010"/>
    <d v="2016-12-08T00:00:00"/>
    <s v="10"/>
    <s v="TAN"/>
    <s v="OR"/>
    <d v="2016-12-05T00:00:00"/>
    <s v="ON"/>
    <s v="CA"/>
    <s v="ZR"/>
    <d v="2016-12-05T00:00:00"/>
  </r>
  <r>
    <x v="1"/>
    <x v="0"/>
    <x v="2276"/>
    <x v="45"/>
    <s v="Standard order"/>
    <x v="2156"/>
    <x v="1073"/>
    <s v="1399"/>
    <s v="BTS 1399"/>
    <s v="5002348"/>
    <s v="1399 BTS T20 Kabina RP"/>
    <n v="8"/>
    <n v="0"/>
    <n v="8"/>
    <x v="0"/>
    <s v="EG74"/>
    <s v="RP"/>
    <s v="380"/>
    <s v="4.0 UN"/>
    <s v="STANDARD"/>
    <s v="N"/>
    <s v="N"/>
    <s v="Y"/>
    <s v="T20"/>
    <s v="N"/>
    <s v="N"/>
    <s v="N"/>
    <s v="N"/>
    <s v="B003"/>
    <d v="2016-12-08T00:00:00"/>
    <s v="10"/>
    <s v="TAN"/>
    <s v="OR"/>
    <d v="2016-12-05T00:00:00"/>
    <s v="MI"/>
    <s v="US"/>
    <s v="ZR"/>
    <d v="2016-12-05T00:00:00"/>
  </r>
  <r>
    <x v="1"/>
    <x v="6"/>
    <x v="2277"/>
    <x v="51"/>
    <s v="Standard order"/>
    <x v="2157"/>
    <x v="796"/>
    <s v="444N"/>
    <s v="BTS 444N"/>
    <s v="5002226"/>
    <s v="444N BTS T20 PB SYSTIVA P100"/>
    <n v="16"/>
    <n v="0"/>
    <n v="16"/>
    <x v="6"/>
    <s v="DVND"/>
    <s v="PRO 100"/>
    <s v="322"/>
    <s v="4.0 UN"/>
    <s v="STANDARD"/>
    <s v="N"/>
    <s v="N"/>
    <s v="N"/>
    <s v="T20"/>
    <s v="Y"/>
    <s v="N"/>
    <s v="Y"/>
    <s v="N"/>
    <s v="B011"/>
    <d v="2016-12-08T00:00:00"/>
    <s v="10"/>
    <s v="TAN"/>
    <s v="OR"/>
    <d v="2016-12-05T00:00:00"/>
    <s v="MT"/>
    <s v="US"/>
    <s v="ZR"/>
    <d v="2016-12-05T00:00:00"/>
  </r>
  <r>
    <x v="1"/>
    <x v="6"/>
    <x v="2277"/>
    <x v="51"/>
    <s v="Standard order"/>
    <x v="2157"/>
    <x v="796"/>
    <s v="4548"/>
    <s v="BTS 4548"/>
    <s v="5002244"/>
    <s v="4548 BTS T20 PB SYSTIVA P100"/>
    <n v="12"/>
    <n v="0"/>
    <n v="12"/>
    <x v="6"/>
    <s v="FENR"/>
    <s v="PRO 100"/>
    <s v="322"/>
    <s v="4.0 UN"/>
    <s v="STANDARD"/>
    <s v="N"/>
    <s v="N"/>
    <s v="N"/>
    <s v="T20"/>
    <s v="Y"/>
    <s v="N"/>
    <s v="Y"/>
    <s v="N"/>
    <s v="B011"/>
    <d v="2016-12-08T00:00:00"/>
    <s v="20"/>
    <s v="TAN"/>
    <s v="OR"/>
    <d v="2016-12-05T00:00:00"/>
    <s v="MT"/>
    <s v="US"/>
    <s v="ZR"/>
    <d v="2016-12-05T00:00:00"/>
  </r>
  <r>
    <x v="1"/>
    <x v="0"/>
    <x v="2278"/>
    <x v="54"/>
    <s v="Standard order"/>
    <x v="2158"/>
    <x v="156"/>
    <s v="122N"/>
    <s v="BTS 12RR2N"/>
    <s v="5002311"/>
    <s v="122N BTS T20 Kabina RP"/>
    <n v="64"/>
    <n v="0"/>
    <n v="64"/>
    <x v="0"/>
    <s v="4TBG"/>
    <s v="RP"/>
    <s v="380"/>
    <s v="4.0 UN"/>
    <s v="STANDARD"/>
    <s v="N"/>
    <s v="N"/>
    <s v="Y"/>
    <s v="T20"/>
    <s v="N"/>
    <s v="N"/>
    <s v="N"/>
    <s v="N"/>
    <s v="B002"/>
    <d v="2016-12-09T00:00:00"/>
    <s v="10"/>
    <s v="TAN"/>
    <s v="OR"/>
    <d v="2016-12-06T00:00:00"/>
    <s v="MI"/>
    <s v="US"/>
    <s v="ZR"/>
    <d v="2016-12-06T00:00:00"/>
  </r>
  <r>
    <x v="1"/>
    <x v="0"/>
    <x v="2278"/>
    <x v="54"/>
    <s v="Standard order"/>
    <x v="2158"/>
    <x v="156"/>
    <s v="149N"/>
    <s v="BTS 149N"/>
    <s v="5002368"/>
    <s v="149N BTS T20 Kabina RP"/>
    <n v="64"/>
    <n v="0"/>
    <n v="64"/>
    <x v="0"/>
    <s v="EEND"/>
    <s v="RP"/>
    <s v="380"/>
    <s v="4.0 UN"/>
    <s v="STANDARD"/>
    <s v="N"/>
    <s v="N"/>
    <s v="Y"/>
    <s v="T20"/>
    <s v="N"/>
    <s v="N"/>
    <s v="N"/>
    <s v="N"/>
    <s v="B002"/>
    <d v="2016-12-09T00:00:00"/>
    <s v="20"/>
    <s v="TAN"/>
    <s v="OR"/>
    <d v="2016-12-06T00:00:00"/>
    <s v="MI"/>
    <s v="US"/>
    <s v="ZR"/>
    <d v="2016-12-06T00:00:00"/>
  </r>
  <r>
    <x v="1"/>
    <x v="4"/>
    <x v="2279"/>
    <x v="50"/>
    <s v="Standard order"/>
    <x v="2159"/>
    <x v="2043"/>
    <s v="225N"/>
    <s v="BTS 22RR5N"/>
    <s v="5002111"/>
    <s v="225N BTS PB LRG"/>
    <n v="44"/>
    <n v="0"/>
    <n v="44"/>
    <x v="4"/>
    <s v="4TBD"/>
    <s v="LARGE"/>
    <s v="307"/>
    <s v="4.0 UN"/>
    <s v="STANDARD"/>
    <s v="N"/>
    <s v="Y"/>
    <s v="N"/>
    <s v="N"/>
    <s v="N"/>
    <s v="N"/>
    <s v="N"/>
    <s v="N"/>
    <s v="B047"/>
    <d v="2016-12-09T00:00:00"/>
    <s v="10"/>
    <s v="TAN"/>
    <s v="OR"/>
    <d v="2016-12-06T00:00:00"/>
    <s v="ID"/>
    <s v="US"/>
    <s v="ZR"/>
    <d v="2016-12-06T00:00:00"/>
  </r>
  <r>
    <x v="1"/>
    <x v="4"/>
    <x v="2280"/>
    <x v="52"/>
    <s v="Standard order"/>
    <x v="2160"/>
    <x v="2044"/>
    <s v="251N"/>
    <s v="BTS 251N"/>
    <s v="5002501"/>
    <s v="251N BTS PB Kabina MED"/>
    <n v="20"/>
    <n v="0"/>
    <n v="20"/>
    <x v="4"/>
    <s v="5HBR"/>
    <s v="MEDIUM"/>
    <s v="384"/>
    <s v="4.0 UN"/>
    <s v="STANDARD"/>
    <s v="N"/>
    <s v="Y"/>
    <s v="Y"/>
    <s v="N"/>
    <s v="N"/>
    <s v="N"/>
    <s v="N"/>
    <s v="N"/>
    <s v="B048"/>
    <d v="2016-12-09T00:00:00"/>
    <s v="10"/>
    <s v="TAN"/>
    <s v="OR"/>
    <d v="2016-12-06T00:00:00"/>
    <s v="ID"/>
    <s v="US"/>
    <s v="ZR"/>
    <d v="2016-12-06T00:00:00"/>
  </r>
  <r>
    <x v="1"/>
    <x v="0"/>
    <x v="2281"/>
    <x v="30"/>
    <s v="Standard order"/>
    <x v="2161"/>
    <x v="814"/>
    <s v="122N"/>
    <s v="BTS 12RR2N"/>
    <s v="5002311"/>
    <s v="122N BTS T20 Kabina RP"/>
    <n v="32"/>
    <n v="0"/>
    <n v="32"/>
    <x v="0"/>
    <s v="4TBG"/>
    <s v="RP"/>
    <s v="380"/>
    <s v="4.0 UN"/>
    <s v="STANDARD"/>
    <s v="N"/>
    <s v="N"/>
    <s v="Y"/>
    <s v="T20"/>
    <s v="N"/>
    <s v="N"/>
    <s v="N"/>
    <s v="N"/>
    <s v="B001"/>
    <d v="2016-12-09T00:00:00"/>
    <s v="10"/>
    <s v="TAN"/>
    <s v="OR"/>
    <d v="2016-12-06T00:00:00"/>
    <s v="MI"/>
    <s v="US"/>
    <s v="ZR"/>
    <d v="2016-12-06T00:00:00"/>
  </r>
  <r>
    <x v="1"/>
    <x v="4"/>
    <x v="2282"/>
    <x v="53"/>
    <s v="Standard order"/>
    <x v="2162"/>
    <x v="281"/>
    <s v="225N"/>
    <s v="BTS 22RR5N"/>
    <s v="5002111"/>
    <s v="225N BTS PB LRG"/>
    <n v="164"/>
    <n v="0"/>
    <n v="164"/>
    <x v="4"/>
    <s v="4TBD"/>
    <s v="LARGE"/>
    <s v="307"/>
    <s v="4.0 UN"/>
    <s v="STANDARD"/>
    <s v="N"/>
    <s v="Y"/>
    <s v="N"/>
    <s v="N"/>
    <s v="N"/>
    <s v="N"/>
    <s v="N"/>
    <s v="N"/>
    <s v="B051"/>
    <d v="2016-12-09T00:00:00"/>
    <s v="10"/>
    <s v="TAN"/>
    <s v="OR"/>
    <d v="2016-12-06T00:00:00"/>
    <s v="ID"/>
    <s v="US"/>
    <s v="ZR"/>
    <d v="2016-12-06T00:00:00"/>
  </r>
  <r>
    <x v="1"/>
    <x v="0"/>
    <x v="2283"/>
    <x v="54"/>
    <s v="Standard order"/>
    <x v="2163"/>
    <x v="2045"/>
    <s v="122N"/>
    <s v="BTS 12RR2N"/>
    <s v="5002310"/>
    <s v="122N BTS T20 Kabina P200"/>
    <n v="36"/>
    <n v="0"/>
    <n v="36"/>
    <x v="0"/>
    <s v="4TBG"/>
    <s v="PRO 200"/>
    <s v="380"/>
    <s v="4.0 UN"/>
    <s v="STANDARD"/>
    <s v="N"/>
    <s v="N"/>
    <s v="Y"/>
    <s v="T20"/>
    <s v="N"/>
    <s v="N"/>
    <s v="N"/>
    <s v="N"/>
    <s v="B002"/>
    <d v="2016-12-09T00:00:00"/>
    <s v="10"/>
    <s v="TAN"/>
    <s v="OR"/>
    <d v="2016-12-06T00:00:00"/>
    <s v="MI"/>
    <s v="US"/>
    <s v="ZR"/>
    <d v="2016-12-06T00:00:00"/>
  </r>
  <r>
    <x v="1"/>
    <x v="2"/>
    <x v="2284"/>
    <x v="6"/>
    <s v="Standard order"/>
    <x v="2164"/>
    <x v="285"/>
    <s v="64SN"/>
    <s v="BTS 64SN"/>
    <s v="5002420"/>
    <s v="64SN BTS T20 PB SYSTIVA P100"/>
    <n v="136"/>
    <n v="0"/>
    <n v="136"/>
    <x v="2"/>
    <s v="DVNB"/>
    <s v="PRO 100"/>
    <s v="322"/>
    <s v="4.0 UN"/>
    <s v="STANDARD"/>
    <s v="N"/>
    <s v="N"/>
    <s v="N"/>
    <s v="T20"/>
    <s v="Y"/>
    <s v="N"/>
    <s v="Y"/>
    <s v="N"/>
    <s v="B025"/>
    <d v="2016-12-09T00:00:00"/>
    <s v="10"/>
    <s v="TAN"/>
    <s v="OR"/>
    <d v="2016-12-06T00:00:00"/>
    <s v="NE"/>
    <s v="US"/>
    <s v="ZR"/>
    <d v="2016-12-06T00:00:00"/>
  </r>
  <r>
    <x v="1"/>
    <x v="6"/>
    <x v="2285"/>
    <x v="51"/>
    <s v="Standard order"/>
    <x v="2165"/>
    <x v="2046"/>
    <s v="437N"/>
    <s v="BTS 437N"/>
    <s v="5002208"/>
    <s v="437N BTS T20 PB SYSTIVA P100"/>
    <n v="24"/>
    <n v="0"/>
    <n v="24"/>
    <x v="6"/>
    <s v="EE73"/>
    <s v="PRO 100"/>
    <s v="322"/>
    <s v="4.0 UN"/>
    <s v="STANDARD"/>
    <s v="N"/>
    <s v="N"/>
    <s v="N"/>
    <s v="T20"/>
    <s v="Y"/>
    <s v="N"/>
    <s v="Y"/>
    <s v="N"/>
    <s v="B011"/>
    <d v="2016-12-09T00:00:00"/>
    <s v="10"/>
    <s v="TAN"/>
    <s v="OR"/>
    <d v="2016-12-06T00:00:00"/>
    <s v="MT"/>
    <s v="US"/>
    <s v="ZR"/>
    <d v="2016-12-06T00:00:00"/>
  </r>
  <r>
    <x v="1"/>
    <x v="6"/>
    <x v="2285"/>
    <x v="51"/>
    <s v="Standard order"/>
    <x v="2165"/>
    <x v="2046"/>
    <s v="459N"/>
    <s v="BTS 459N"/>
    <s v="5002256"/>
    <s v="459N BTS T20 PB SYSTIVA P100"/>
    <n v="16"/>
    <n v="0"/>
    <n v="16"/>
    <x v="6"/>
    <s v="DVNU"/>
    <s v="PRO 100"/>
    <s v="322"/>
    <s v="4.0 UN"/>
    <s v="STANDARD"/>
    <s v="N"/>
    <s v="N"/>
    <s v="N"/>
    <s v="T20"/>
    <s v="Y"/>
    <s v="N"/>
    <s v="Y"/>
    <s v="N"/>
    <s v="B011"/>
    <d v="2016-12-09T00:00:00"/>
    <s v="20"/>
    <s v="TAN"/>
    <s v="OR"/>
    <d v="2016-12-06T00:00:00"/>
    <s v="MT"/>
    <s v="US"/>
    <s v="ZR"/>
    <d v="2016-12-06T00:00:00"/>
  </r>
  <r>
    <x v="1"/>
    <x v="6"/>
    <x v="2285"/>
    <x v="51"/>
    <s v="Standard order"/>
    <x v="2165"/>
    <x v="2046"/>
    <s v="4265"/>
    <s v="BTS 42RR65"/>
    <s v="5002583"/>
    <s v="4265 BTS T20 PB SYSTIVA P100"/>
    <n v="20"/>
    <n v="0"/>
    <n v="20"/>
    <x v="6"/>
    <s v="BR73"/>
    <s v="PRO 100"/>
    <s v="322"/>
    <s v="4.0 UN"/>
    <s v="STANDARD"/>
    <s v="N"/>
    <s v="N"/>
    <s v="N"/>
    <s v="T20"/>
    <s v="Y"/>
    <s v="N"/>
    <s v="Y"/>
    <s v="N"/>
    <s v="B011"/>
    <d v="2016-12-09T00:00:00"/>
    <s v="30"/>
    <s v="TAN"/>
    <s v="OR"/>
    <d v="2016-12-06T00:00:00"/>
    <s v="MT"/>
    <s v="US"/>
    <s v="ZR"/>
    <d v="2016-12-06T00:00:00"/>
  </r>
  <r>
    <x v="1"/>
    <x v="6"/>
    <x v="2285"/>
    <x v="51"/>
    <s v="Standard order"/>
    <x v="2165"/>
    <x v="2046"/>
    <s v="4548"/>
    <s v="BTS 4548"/>
    <s v="5002244"/>
    <s v="4548 BTS T20 PB SYSTIVA P100"/>
    <n v="20"/>
    <n v="0"/>
    <n v="20"/>
    <x v="6"/>
    <s v="FENR"/>
    <s v="PRO 100"/>
    <s v="322"/>
    <s v="4.0 UN"/>
    <s v="STANDARD"/>
    <s v="N"/>
    <s v="N"/>
    <s v="N"/>
    <s v="T20"/>
    <s v="Y"/>
    <s v="N"/>
    <s v="Y"/>
    <s v="N"/>
    <s v="B011"/>
    <d v="2016-12-09T00:00:00"/>
    <s v="40"/>
    <s v="TAN"/>
    <s v="OR"/>
    <d v="2016-12-06T00:00:00"/>
    <s v="MT"/>
    <s v="US"/>
    <s v="ZR"/>
    <d v="2016-12-06T00:00:00"/>
  </r>
  <r>
    <x v="1"/>
    <x v="5"/>
    <x v="2286"/>
    <x v="13"/>
    <s v="Standard order"/>
    <x v="2166"/>
    <x v="326"/>
    <s v="353N"/>
    <s v="BTS 353N"/>
    <s v="5002524"/>
    <s v="353N BTS T20 PB SYSTIVA RP"/>
    <n v="12"/>
    <n v="0"/>
    <n v="12"/>
    <x v="5"/>
    <s v="EENZ"/>
    <s v="RP"/>
    <s v="322"/>
    <s v="4.0 UN"/>
    <s v="STANDARD"/>
    <s v="N"/>
    <s v="Y"/>
    <s v="N"/>
    <s v="T20"/>
    <s v="Y"/>
    <s v="N"/>
    <s v="N"/>
    <s v="N"/>
    <s v="B015"/>
    <d v="2016-12-09T00:00:00"/>
    <s v="10"/>
    <s v="TAN"/>
    <s v="OR"/>
    <d v="2016-12-06T00:00:00"/>
    <s v="MT"/>
    <s v="US"/>
    <s v="ZR"/>
    <d v="2016-12-06T00:00:00"/>
  </r>
  <r>
    <x v="1"/>
    <x v="5"/>
    <x v="2286"/>
    <x v="13"/>
    <s v="Standard order"/>
    <x v="2166"/>
    <x v="326"/>
    <s v="336N"/>
    <s v="BTS 336N"/>
    <s v="5002400"/>
    <s v="336N BTS T20 PB SYSTIVA RP"/>
    <n v="40"/>
    <n v="0"/>
    <n v="40"/>
    <x v="5"/>
    <s v="EEMG"/>
    <s v="RP"/>
    <s v="322"/>
    <s v="4.0 UN"/>
    <s v="STANDARD"/>
    <s v="N"/>
    <s v="N"/>
    <s v="N"/>
    <s v="T20"/>
    <s v="Y"/>
    <s v="N"/>
    <s v="N"/>
    <s v="N"/>
    <s v="B015"/>
    <d v="2016-12-09T00:00:00"/>
    <s v="20"/>
    <s v="TAN"/>
    <s v="OR"/>
    <d v="2016-12-06T00:00:00"/>
    <s v="MT"/>
    <s v="US"/>
    <s v="ZR"/>
    <d v="2016-12-06T00:00:00"/>
  </r>
  <r>
    <x v="1"/>
    <x v="5"/>
    <x v="2286"/>
    <x v="13"/>
    <s v="Standard order"/>
    <x v="2166"/>
    <x v="326"/>
    <s v="398N"/>
    <s v="BTS 39RR8N"/>
    <s v="5002572"/>
    <s v="398N BTS T20 PB SYSTIVA RP"/>
    <n v="36"/>
    <n v="0"/>
    <n v="36"/>
    <x v="5"/>
    <s v="2771"/>
    <s v="RP"/>
    <s v="322"/>
    <s v="4.0 UN"/>
    <s v="STANDARD"/>
    <s v="N"/>
    <s v="Y"/>
    <s v="N"/>
    <s v="T20"/>
    <s v="Y"/>
    <s v="N"/>
    <s v="N"/>
    <s v="N"/>
    <s v="B015"/>
    <d v="2016-12-09T00:00:00"/>
    <s v="30"/>
    <s v="TAN"/>
    <s v="OR"/>
    <d v="2016-12-06T00:00:00"/>
    <s v="MT"/>
    <s v="US"/>
    <s v="ZR"/>
    <d v="2016-12-06T00:00:00"/>
  </r>
  <r>
    <x v="1"/>
    <x v="4"/>
    <x v="2287"/>
    <x v="53"/>
    <s v="Standard order"/>
    <x v="2167"/>
    <x v="77"/>
    <s v="2523"/>
    <s v="BTS 2523"/>
    <s v="5002529"/>
    <s v="2523 BTS PB XL"/>
    <n v="24"/>
    <n v="0"/>
    <n v="24"/>
    <x v="4"/>
    <s v="EZPC"/>
    <s v="X-LARGE"/>
    <s v="307"/>
    <s v="4.0 UN"/>
    <s v="STANDARD"/>
    <s v="N"/>
    <s v="Y"/>
    <s v="N"/>
    <s v="N"/>
    <s v="N"/>
    <s v="N"/>
    <s v="N"/>
    <s v="N"/>
    <s v="B051"/>
    <d v="2016-12-09T00:00:00"/>
    <s v="10"/>
    <s v="TAN"/>
    <s v="OR"/>
    <d v="2016-12-06T00:00:00"/>
    <s v="ID"/>
    <s v="US"/>
    <s v="ZR"/>
    <d v="2016-12-06T00:00:00"/>
  </r>
  <r>
    <x v="1"/>
    <x v="4"/>
    <x v="2287"/>
    <x v="53"/>
    <s v="Standard order"/>
    <x v="2167"/>
    <x v="77"/>
    <s v="2559"/>
    <s v="BTS 2559"/>
    <s v="5002563"/>
    <s v="2559 BTS PB XL"/>
    <n v="20"/>
    <n v="0"/>
    <n v="20"/>
    <x v="4"/>
    <s v="FGNE"/>
    <s v="X-LARGE"/>
    <s v="307"/>
    <s v="4.0 UN"/>
    <s v="STANDARD"/>
    <s v="N"/>
    <s v="Y"/>
    <s v="N"/>
    <s v="N"/>
    <s v="N"/>
    <s v="N"/>
    <s v="N"/>
    <s v="N"/>
    <s v="B051"/>
    <d v="2016-12-09T00:00:00"/>
    <s v="20"/>
    <s v="TAN"/>
    <s v="OR"/>
    <d v="2016-12-06T00:00:00"/>
    <s v="ID"/>
    <s v="US"/>
    <s v="ZR"/>
    <d v="2016-12-06T00:00:00"/>
  </r>
  <r>
    <x v="1"/>
    <x v="4"/>
    <x v="2288"/>
    <x v="52"/>
    <s v="Standard order"/>
    <x v="2168"/>
    <x v="605"/>
    <s v="225N"/>
    <s v="BTS 22RR5N"/>
    <s v="5002107"/>
    <s v="225N BTS PB Kabina MED"/>
    <n v="24"/>
    <n v="0"/>
    <n v="24"/>
    <x v="4"/>
    <s v="4TBD"/>
    <s v="MEDIUM"/>
    <s v="384"/>
    <s v="4.0 UN"/>
    <s v="STANDARD"/>
    <s v="N"/>
    <s v="Y"/>
    <s v="Y"/>
    <s v="N"/>
    <s v="N"/>
    <s v="N"/>
    <s v="N"/>
    <s v="N"/>
    <s v="B048"/>
    <d v="2016-12-09T00:00:00"/>
    <s v="10"/>
    <s v="TAN"/>
    <s v="OR"/>
    <d v="2016-12-06T00:00:00"/>
    <s v="ID"/>
    <s v="US"/>
    <s v="ZR"/>
    <d v="2016-12-06T00:00:00"/>
  </r>
  <r>
    <x v="1"/>
    <x v="4"/>
    <x v="2288"/>
    <x v="52"/>
    <s v="Standard order"/>
    <x v="2168"/>
    <x v="605"/>
    <s v="251N"/>
    <s v="BTS 251N"/>
    <s v="5002501"/>
    <s v="251N BTS PB Kabina MED"/>
    <n v="12"/>
    <n v="0"/>
    <n v="12"/>
    <x v="4"/>
    <s v="5HBR"/>
    <s v="MEDIUM"/>
    <s v="384"/>
    <s v="4.0 UN"/>
    <s v="STANDARD"/>
    <s v="N"/>
    <s v="Y"/>
    <s v="Y"/>
    <s v="N"/>
    <s v="N"/>
    <s v="N"/>
    <s v="N"/>
    <s v="N"/>
    <s v="B048"/>
    <d v="2016-12-09T00:00:00"/>
    <s v="20"/>
    <s v="TAN"/>
    <s v="OR"/>
    <d v="2016-12-06T00:00:00"/>
    <s v="ID"/>
    <s v="US"/>
    <s v="ZR"/>
    <d v="2016-12-06T00:00:00"/>
  </r>
  <r>
    <x v="1"/>
    <x v="4"/>
    <x v="2289"/>
    <x v="53"/>
    <s v="Standard order"/>
    <x v="2169"/>
    <x v="122"/>
    <s v="2523"/>
    <s v="BTS 2523"/>
    <s v="5002529"/>
    <s v="2523 BTS PB XL"/>
    <n v="28"/>
    <n v="0"/>
    <n v="28"/>
    <x v="4"/>
    <s v="EZPC"/>
    <s v="X-LARGE"/>
    <s v="307"/>
    <s v="4.0 UN"/>
    <s v="STANDARD"/>
    <s v="N"/>
    <s v="Y"/>
    <s v="N"/>
    <s v="N"/>
    <s v="N"/>
    <s v="N"/>
    <s v="N"/>
    <s v="N"/>
    <s v="B051"/>
    <d v="2016-12-09T00:00:00"/>
    <s v="10"/>
    <s v="TAN"/>
    <s v="OR"/>
    <d v="2016-12-06T00:00:00"/>
    <s v="ID"/>
    <s v="US"/>
    <s v="ZR"/>
    <d v="2016-12-06T00:00:00"/>
  </r>
  <r>
    <x v="1"/>
    <x v="0"/>
    <x v="2290"/>
    <x v="56"/>
    <s v="Standard order"/>
    <x v="2170"/>
    <x v="2047"/>
    <s v="1399"/>
    <s v="BTS 1399"/>
    <s v="5002338"/>
    <s v="1399 BTS CM Vibrance RP"/>
    <n v="16"/>
    <n v="0"/>
    <n v="16"/>
    <x v="0"/>
    <s v="EG74"/>
    <s v="RP"/>
    <s v="366"/>
    <s v="4.0 UN"/>
    <s v="STANDARD"/>
    <s v="Y"/>
    <s v="N"/>
    <s v="N"/>
    <s v="N"/>
    <s v="N"/>
    <s v="N"/>
    <s v="N"/>
    <s v="Y"/>
    <s v="B010"/>
    <d v="2016-12-09T00:00:00"/>
    <s v="10"/>
    <s v="TAN"/>
    <s v="OR"/>
    <d v="2016-12-06T00:00:00"/>
    <s v="ON"/>
    <s v="CA"/>
    <s v="ZR"/>
    <d v="2016-12-06T00:00:00"/>
  </r>
  <r>
    <x v="1"/>
    <x v="0"/>
    <x v="2290"/>
    <x v="56"/>
    <s v="Standard order"/>
    <x v="2170"/>
    <x v="2047"/>
    <s v="149N"/>
    <s v="BTS 149N"/>
    <s v="5002358"/>
    <s v="149N BTS CM Vibrance RP"/>
    <n v="12"/>
    <n v="0"/>
    <n v="12"/>
    <x v="0"/>
    <s v="EEND"/>
    <s v="RP"/>
    <s v="366"/>
    <s v="4.0 UN"/>
    <s v="STANDARD"/>
    <s v="Y"/>
    <s v="N"/>
    <s v="N"/>
    <s v="N"/>
    <s v="N"/>
    <s v="N"/>
    <s v="N"/>
    <s v="Y"/>
    <s v="B010"/>
    <d v="2016-12-09T00:00:00"/>
    <s v="20"/>
    <s v="TAN"/>
    <s v="OR"/>
    <d v="2016-12-06T00:00:00"/>
    <s v="ON"/>
    <s v="CA"/>
    <s v="ZR"/>
    <d v="2016-12-06T00:00:00"/>
  </r>
  <r>
    <x v="1"/>
    <x v="4"/>
    <x v="2291"/>
    <x v="52"/>
    <s v="Standard order"/>
    <x v="2171"/>
    <x v="2048"/>
    <s v="225N"/>
    <s v="BTS 22RR5N"/>
    <s v="5002106"/>
    <s v="225N BTS PB Kabina LRG"/>
    <n v="92"/>
    <n v="0"/>
    <n v="92"/>
    <x v="4"/>
    <s v="4TBD"/>
    <s v="LARGE"/>
    <s v="384"/>
    <s v="4.0 UN"/>
    <s v="STANDARD"/>
    <s v="N"/>
    <s v="Y"/>
    <s v="Y"/>
    <s v="N"/>
    <s v="N"/>
    <s v="N"/>
    <s v="N"/>
    <s v="N"/>
    <s v="B048"/>
    <d v="2016-12-09T00:00:00"/>
    <s v="10"/>
    <s v="TAN"/>
    <s v="OR"/>
    <d v="2016-12-06T00:00:00"/>
    <s v="ID"/>
    <s v="US"/>
    <s v="ZR"/>
    <d v="2016-12-06T00:00:00"/>
  </r>
  <r>
    <x v="1"/>
    <x v="0"/>
    <x v="2292"/>
    <x v="56"/>
    <s v="Standard order"/>
    <x v="2172"/>
    <x v="2049"/>
    <s v="1399"/>
    <s v="BTS 1399"/>
    <s v="5002338"/>
    <s v="1399 BTS CM Vibrance RP"/>
    <n v="12"/>
    <n v="0"/>
    <n v="12"/>
    <x v="0"/>
    <s v="EG74"/>
    <s v="RP"/>
    <s v="366"/>
    <s v="4.0 UN"/>
    <s v="STANDARD"/>
    <s v="Y"/>
    <s v="N"/>
    <s v="N"/>
    <s v="N"/>
    <s v="N"/>
    <s v="N"/>
    <s v="N"/>
    <s v="Y"/>
    <s v="B010"/>
    <d v="2016-12-09T00:00:00"/>
    <s v="10"/>
    <s v="TAN"/>
    <s v="OR"/>
    <d v="2016-12-05T00:00:00"/>
    <s v="ON"/>
    <s v="CA"/>
    <s v="ZR"/>
    <d v="2016-12-06T00:00:00"/>
  </r>
  <r>
    <x v="1"/>
    <x v="0"/>
    <x v="2292"/>
    <x v="56"/>
    <s v="Standard order"/>
    <x v="2172"/>
    <x v="2049"/>
    <s v="149N"/>
    <s v="BTS 149N"/>
    <s v="5002358"/>
    <s v="149N BTS CM Vibrance RP"/>
    <n v="12"/>
    <n v="0"/>
    <n v="12"/>
    <x v="0"/>
    <s v="EEND"/>
    <s v="RP"/>
    <s v="366"/>
    <s v="4.0 UN"/>
    <s v="STANDARD"/>
    <s v="Y"/>
    <s v="N"/>
    <s v="N"/>
    <s v="N"/>
    <s v="N"/>
    <s v="N"/>
    <s v="N"/>
    <s v="Y"/>
    <s v="B010"/>
    <d v="2016-12-09T00:00:00"/>
    <s v="20"/>
    <s v="TAN"/>
    <s v="OR"/>
    <d v="2016-12-05T00:00:00"/>
    <s v="ON"/>
    <s v="CA"/>
    <s v="ZR"/>
    <d v="2016-12-06T00:00:00"/>
  </r>
  <r>
    <x v="1"/>
    <x v="0"/>
    <x v="2293"/>
    <x v="56"/>
    <s v="Standard order"/>
    <x v="2173"/>
    <x v="2050"/>
    <s v="1399"/>
    <s v="BTS 1399"/>
    <s v="5002338"/>
    <s v="1399 BTS CM Vibrance RP"/>
    <n v="60"/>
    <n v="0"/>
    <n v="60"/>
    <x v="0"/>
    <s v="EG74"/>
    <s v="RP"/>
    <s v="366"/>
    <s v="4.0 UN"/>
    <s v="STANDARD"/>
    <s v="Y"/>
    <s v="N"/>
    <s v="N"/>
    <s v="N"/>
    <s v="N"/>
    <s v="N"/>
    <s v="N"/>
    <s v="Y"/>
    <s v="B010"/>
    <d v="2016-12-09T00:00:00"/>
    <s v="10"/>
    <s v="TAN"/>
    <s v="OR"/>
    <d v="2016-12-05T00:00:00"/>
    <s v="ON"/>
    <s v="CA"/>
    <s v="ZR"/>
    <d v="2016-12-06T00:00:00"/>
  </r>
  <r>
    <x v="1"/>
    <x v="0"/>
    <x v="2293"/>
    <x v="56"/>
    <s v="Standard order"/>
    <x v="2173"/>
    <x v="2050"/>
    <s v="149N"/>
    <s v="BTS 149N"/>
    <s v="5002358"/>
    <s v="149N BTS CM Vibrance RP"/>
    <n v="24"/>
    <n v="0"/>
    <n v="24"/>
    <x v="0"/>
    <s v="EEND"/>
    <s v="RP"/>
    <s v="366"/>
    <s v="4.0 UN"/>
    <s v="STANDARD"/>
    <s v="Y"/>
    <s v="N"/>
    <s v="N"/>
    <s v="N"/>
    <s v="N"/>
    <s v="N"/>
    <s v="N"/>
    <s v="Y"/>
    <s v="B010"/>
    <d v="2016-12-09T00:00:00"/>
    <s v="20"/>
    <s v="TAN"/>
    <s v="OR"/>
    <d v="2016-12-05T00:00:00"/>
    <s v="ON"/>
    <s v="CA"/>
    <s v="ZR"/>
    <d v="2016-12-06T00:00:00"/>
  </r>
  <r>
    <x v="1"/>
    <x v="0"/>
    <x v="2294"/>
    <x v="56"/>
    <s v="Standard order"/>
    <x v="2174"/>
    <x v="2051"/>
    <s v="122N"/>
    <s v="BTS 12RR2N"/>
    <s v="5002301"/>
    <s v="12RR2N RP BetaShield PLUS (O)"/>
    <n v="8"/>
    <n v="0"/>
    <n v="8"/>
    <x v="0"/>
    <s v="4TBG"/>
    <s v="RP"/>
    <s v="366"/>
    <s v="4.0 UN"/>
    <s v="STANDARD"/>
    <s v="Y"/>
    <s v="N"/>
    <s v="N"/>
    <s v="N"/>
    <s v="N"/>
    <s v="N"/>
    <s v="N"/>
    <s v="Y"/>
    <s v=""/>
    <d v="2016-12-09T00:00:00"/>
    <s v="20"/>
    <s v="TAN"/>
    <s v="OR"/>
    <d v="2016-12-05T00:00:00"/>
    <s v="ON"/>
    <s v="CA"/>
    <s v="ZR"/>
    <d v="2016-12-06T00:00:00"/>
  </r>
  <r>
    <x v="1"/>
    <x v="0"/>
    <x v="2295"/>
    <x v="56"/>
    <s v="Standard order"/>
    <x v="2175"/>
    <x v="2052"/>
    <s v="1399"/>
    <s v="BTS 1399"/>
    <s v="5002338"/>
    <s v="1399 BTS CM Vibrance RP"/>
    <n v="16"/>
    <n v="0"/>
    <n v="16"/>
    <x v="0"/>
    <s v="EG74"/>
    <s v="RP"/>
    <s v="366"/>
    <s v="4.0 UN"/>
    <s v="STANDARD"/>
    <s v="Y"/>
    <s v="N"/>
    <s v="N"/>
    <s v="N"/>
    <s v="N"/>
    <s v="N"/>
    <s v="N"/>
    <s v="Y"/>
    <s v="B010"/>
    <d v="2016-12-09T00:00:00"/>
    <s v="10"/>
    <s v="TAN"/>
    <s v="OR"/>
    <d v="2016-12-05T00:00:00"/>
    <s v="ON"/>
    <s v="CA"/>
    <s v="ZR"/>
    <d v="2016-12-06T00:00:00"/>
  </r>
  <r>
    <x v="1"/>
    <x v="0"/>
    <x v="2296"/>
    <x v="56"/>
    <s v="Standard order"/>
    <x v="2176"/>
    <x v="673"/>
    <s v="122N"/>
    <s v="BTS 12RR2N"/>
    <s v="5002301"/>
    <s v="12RR2N RP BetaShield PLUS (O)"/>
    <n v="24"/>
    <n v="0"/>
    <n v="24"/>
    <x v="0"/>
    <s v="4TBG"/>
    <s v="RP"/>
    <s v="366"/>
    <s v="4.0 UN"/>
    <s v="STANDARD"/>
    <s v="Y"/>
    <s v="N"/>
    <s v="N"/>
    <s v="N"/>
    <s v="N"/>
    <s v="N"/>
    <s v="N"/>
    <s v="Y"/>
    <s v=""/>
    <d v="2016-12-09T00:00:00"/>
    <s v="30"/>
    <s v="TAN"/>
    <s v="OR"/>
    <d v="2016-12-05T00:00:00"/>
    <s v="ON"/>
    <s v="CA"/>
    <s v="ZR"/>
    <d v="2016-12-06T00:00:00"/>
  </r>
  <r>
    <x v="1"/>
    <x v="0"/>
    <x v="2296"/>
    <x v="56"/>
    <s v="Standard order"/>
    <x v="2176"/>
    <x v="673"/>
    <s v="1399"/>
    <s v="BTS 1399"/>
    <s v="5002338"/>
    <s v="1399 BTS CM Vibrance RP"/>
    <n v="12"/>
    <n v="0"/>
    <n v="12"/>
    <x v="0"/>
    <s v="EG74"/>
    <s v="RP"/>
    <s v="366"/>
    <s v="4.0 UN"/>
    <s v="STANDARD"/>
    <s v="Y"/>
    <s v="N"/>
    <s v="N"/>
    <s v="N"/>
    <s v="N"/>
    <s v="N"/>
    <s v="N"/>
    <s v="Y"/>
    <s v="B010"/>
    <d v="2016-12-09T00:00:00"/>
    <s v="20"/>
    <s v="TAN"/>
    <s v="OR"/>
    <d v="2016-12-05T00:00:00"/>
    <s v="ON"/>
    <s v="CA"/>
    <s v="ZR"/>
    <d v="2016-12-06T00:00:00"/>
  </r>
  <r>
    <x v="1"/>
    <x v="0"/>
    <x v="2297"/>
    <x v="56"/>
    <s v="Standard order"/>
    <x v="2177"/>
    <x v="2053"/>
    <s v="1399"/>
    <s v="BTS 1399"/>
    <s v="5002338"/>
    <s v="1399 BTS CM Vibrance RP"/>
    <n v="52"/>
    <n v="0"/>
    <n v="52"/>
    <x v="0"/>
    <s v="EG74"/>
    <s v="RP"/>
    <s v="366"/>
    <s v="4.0 UN"/>
    <s v="STANDARD"/>
    <s v="Y"/>
    <s v="N"/>
    <s v="N"/>
    <s v="N"/>
    <s v="N"/>
    <s v="N"/>
    <s v="N"/>
    <s v="Y"/>
    <s v="B010"/>
    <d v="2016-12-09T00:00:00"/>
    <s v="10"/>
    <s v="TAN"/>
    <s v="OR"/>
    <d v="2016-12-05T00:00:00"/>
    <s v="ON"/>
    <s v="CA"/>
    <s v="ZR"/>
    <d v="2016-12-06T00:00:00"/>
  </r>
  <r>
    <x v="1"/>
    <x v="0"/>
    <x v="2298"/>
    <x v="56"/>
    <s v="Standard order"/>
    <x v="2178"/>
    <x v="720"/>
    <s v="1399"/>
    <s v="BTS 1399"/>
    <s v="5002338"/>
    <s v="1399 BTS CM Vibrance RP"/>
    <n v="12"/>
    <n v="0"/>
    <n v="12"/>
    <x v="0"/>
    <s v="EG74"/>
    <s v="RP"/>
    <s v="366"/>
    <s v="4.0 UN"/>
    <s v="STANDARD"/>
    <s v="Y"/>
    <s v="N"/>
    <s v="N"/>
    <s v="N"/>
    <s v="N"/>
    <s v="N"/>
    <s v="N"/>
    <s v="Y"/>
    <s v="B010"/>
    <d v="2016-12-09T00:00:00"/>
    <s v="10"/>
    <s v="TAN"/>
    <s v="OR"/>
    <d v="2016-12-05T00:00:00"/>
    <s v="ON"/>
    <s v="CA"/>
    <s v="ZR"/>
    <d v="2016-12-06T00:00:00"/>
  </r>
  <r>
    <x v="1"/>
    <x v="0"/>
    <x v="2299"/>
    <x v="56"/>
    <s v="Standard order"/>
    <x v="2179"/>
    <x v="2054"/>
    <s v="1399"/>
    <s v="BTS 1399"/>
    <s v="5002338"/>
    <s v="1399 BTS CM Vibrance RP"/>
    <n v="8"/>
    <n v="0"/>
    <n v="8"/>
    <x v="0"/>
    <s v="EG74"/>
    <s v="RP"/>
    <s v="366"/>
    <s v="4.0 UN"/>
    <s v="STANDARD"/>
    <s v="Y"/>
    <s v="N"/>
    <s v="N"/>
    <s v="N"/>
    <s v="N"/>
    <s v="N"/>
    <s v="N"/>
    <s v="Y"/>
    <s v="B010"/>
    <d v="2016-12-09T00:00:00"/>
    <s v="10"/>
    <s v="TAN"/>
    <s v="OR"/>
    <d v="2016-12-05T00:00:00"/>
    <s v="ON"/>
    <s v="CA"/>
    <s v="ZR"/>
    <d v="2016-12-06T00:00:00"/>
  </r>
  <r>
    <x v="1"/>
    <x v="0"/>
    <x v="2299"/>
    <x v="56"/>
    <s v="Standard order"/>
    <x v="2179"/>
    <x v="2054"/>
    <s v="149N"/>
    <s v="BTS 149N"/>
    <s v="5002358"/>
    <s v="149N BTS CM Vibrance RP"/>
    <n v="8"/>
    <n v="0"/>
    <n v="8"/>
    <x v="0"/>
    <s v="EEND"/>
    <s v="RP"/>
    <s v="366"/>
    <s v="4.0 UN"/>
    <s v="STANDARD"/>
    <s v="Y"/>
    <s v="N"/>
    <s v="N"/>
    <s v="N"/>
    <s v="N"/>
    <s v="N"/>
    <s v="N"/>
    <s v="Y"/>
    <s v="B010"/>
    <d v="2016-12-09T00:00:00"/>
    <s v="20"/>
    <s v="TAN"/>
    <s v="OR"/>
    <d v="2016-12-05T00:00:00"/>
    <s v="ON"/>
    <s v="CA"/>
    <s v="ZR"/>
    <d v="2016-12-06T00:00:00"/>
  </r>
  <r>
    <x v="1"/>
    <x v="0"/>
    <x v="2299"/>
    <x v="56"/>
    <s v="Standard order"/>
    <x v="2179"/>
    <x v="2054"/>
    <s v="122N"/>
    <s v="BTS 12RR2N"/>
    <s v="5002301"/>
    <s v="122N BTS CM Vibrance RP"/>
    <n v="12"/>
    <n v="0"/>
    <n v="12"/>
    <x v="0"/>
    <s v="4TBG"/>
    <s v="RP"/>
    <s v="366"/>
    <s v="4.0 UN"/>
    <s v="STANDARD"/>
    <s v="Y"/>
    <s v="N"/>
    <s v="N"/>
    <s v="N"/>
    <s v="N"/>
    <s v="N"/>
    <s v="N"/>
    <s v="Y"/>
    <s v="B010"/>
    <d v="2016-12-09T00:00:00"/>
    <s v="30"/>
    <s v="TAN"/>
    <s v="OR"/>
    <d v="2016-12-05T00:00:00"/>
    <s v="ON"/>
    <s v="CA"/>
    <s v="ZR"/>
    <d v="2016-12-06T00:00:00"/>
  </r>
  <r>
    <x v="1"/>
    <x v="0"/>
    <x v="2300"/>
    <x v="56"/>
    <s v="Standard order"/>
    <x v="2180"/>
    <x v="2055"/>
    <s v="1399"/>
    <s v="BTS 1399"/>
    <s v="5002338"/>
    <s v="1399 BTS CM Vibrance RP"/>
    <n v="48"/>
    <n v="0"/>
    <n v="48"/>
    <x v="0"/>
    <s v="EG74"/>
    <s v="RP"/>
    <s v="366"/>
    <s v="4.0 UN"/>
    <s v="STANDARD"/>
    <s v="Y"/>
    <s v="N"/>
    <s v="N"/>
    <s v="N"/>
    <s v="N"/>
    <s v="N"/>
    <s v="N"/>
    <s v="Y"/>
    <s v="B010"/>
    <d v="2016-12-09T00:00:00"/>
    <s v="10"/>
    <s v="TAN"/>
    <s v="OR"/>
    <d v="2016-12-05T00:00:00"/>
    <s v="ON"/>
    <s v="CA"/>
    <s v="ZR"/>
    <d v="2016-12-06T00:00:00"/>
  </r>
  <r>
    <x v="1"/>
    <x v="0"/>
    <x v="2301"/>
    <x v="56"/>
    <s v="Standard order"/>
    <x v="2181"/>
    <x v="2056"/>
    <s v="1399"/>
    <s v="BTS 1399"/>
    <s v="5002355"/>
    <s v="1399 RP BetaShield (O)"/>
    <n v="40"/>
    <n v="0"/>
    <n v="40"/>
    <x v="0"/>
    <s v="EG74"/>
    <s v="RP"/>
    <s v="365"/>
    <s v="4.0 UN"/>
    <s v="STANDARD"/>
    <s v="N"/>
    <s v="N"/>
    <s v="N"/>
    <s v="N"/>
    <s v="N"/>
    <s v="N"/>
    <s v="N"/>
    <s v="Y"/>
    <s v=""/>
    <d v="2016-12-09T00:00:00"/>
    <s v="20"/>
    <s v="TAN"/>
    <s v="OR"/>
    <d v="2016-12-05T00:00:00"/>
    <s v="ON"/>
    <s v="CA"/>
    <s v="ZR"/>
    <d v="2016-12-06T00:00:00"/>
  </r>
  <r>
    <x v="1"/>
    <x v="4"/>
    <x v="2302"/>
    <x v="50"/>
    <s v="Standard order"/>
    <x v="2182"/>
    <x v="270"/>
    <s v="2559"/>
    <s v="BTS 2559"/>
    <s v="5002563"/>
    <s v="2559 BTS PB XL"/>
    <n v="60"/>
    <n v="0"/>
    <n v="60"/>
    <x v="4"/>
    <s v="FGNE"/>
    <s v="X-LARGE"/>
    <s v="307"/>
    <s v="4.0 UN"/>
    <s v="STANDARD"/>
    <s v="N"/>
    <s v="Y"/>
    <s v="N"/>
    <s v="N"/>
    <s v="N"/>
    <s v="N"/>
    <s v="N"/>
    <s v="N"/>
    <s v="B047"/>
    <d v="2016-12-09T00:00:00"/>
    <s v="10"/>
    <s v="TAN"/>
    <s v="OR"/>
    <d v="2016-12-06T00:00:00"/>
    <s v="ID"/>
    <s v="US"/>
    <s v="ZR"/>
    <d v="2016-12-06T00:00:00"/>
  </r>
  <r>
    <x v="1"/>
    <x v="5"/>
    <x v="2303"/>
    <x v="13"/>
    <s v="Standard order"/>
    <x v="2183"/>
    <x v="2057"/>
    <s v="398N"/>
    <s v="BTS 39RR8N"/>
    <s v="5002572"/>
    <s v="398N BTS T20 PB SYSTIVA RP"/>
    <n v="132"/>
    <n v="0"/>
    <n v="132"/>
    <x v="5"/>
    <s v="2771"/>
    <s v="RP"/>
    <s v="322"/>
    <s v="4.0 UN"/>
    <s v="STANDARD"/>
    <s v="N"/>
    <s v="Y"/>
    <s v="N"/>
    <s v="T20"/>
    <s v="Y"/>
    <s v="N"/>
    <s v="N"/>
    <s v="N"/>
    <s v="B015"/>
    <d v="2016-12-09T00:00:00"/>
    <s v="10"/>
    <s v="TAN"/>
    <s v="OR"/>
    <d v="2016-12-06T00:00:00"/>
    <s v="MT"/>
    <s v="US"/>
    <s v="ZR"/>
    <d v="2016-12-06T00:00:00"/>
  </r>
  <r>
    <x v="1"/>
    <x v="0"/>
    <x v="2304"/>
    <x v="42"/>
    <s v="Standard order"/>
    <x v="2184"/>
    <x v="582"/>
    <s v="122N"/>
    <s v="BTS 12RR2N"/>
    <s v="5002310"/>
    <s v="122N BTS T20 Kabina P200"/>
    <n v="12"/>
    <n v="0"/>
    <n v="12"/>
    <x v="0"/>
    <s v="4TBG"/>
    <s v="PRO 200"/>
    <s v="380"/>
    <s v="4.0 UN"/>
    <s v="STANDARD"/>
    <s v="N"/>
    <s v="N"/>
    <s v="Y"/>
    <s v="T20"/>
    <s v="N"/>
    <s v="N"/>
    <s v="N"/>
    <s v="N"/>
    <s v="B007"/>
    <d v="2016-12-09T00:00:00"/>
    <s v="10"/>
    <s v="TAN"/>
    <s v="OR"/>
    <d v="2016-12-05T00:00:00"/>
    <s v="MI"/>
    <s v="US"/>
    <s v="ZR"/>
    <d v="2016-12-06T00:00:00"/>
  </r>
  <r>
    <x v="1"/>
    <x v="0"/>
    <x v="2304"/>
    <x v="42"/>
    <s v="Standard order"/>
    <x v="2184"/>
    <x v="582"/>
    <s v="1399"/>
    <s v="BTS 1399"/>
    <s v="5002347"/>
    <s v="1399 BTS T20 Kabina P200"/>
    <n v="40"/>
    <n v="0"/>
    <n v="40"/>
    <x v="0"/>
    <s v="EG74"/>
    <s v="PRO 200"/>
    <s v="380"/>
    <s v="4.0 UN"/>
    <s v="STANDARD"/>
    <s v="N"/>
    <s v="N"/>
    <s v="Y"/>
    <s v="T20"/>
    <s v="N"/>
    <s v="N"/>
    <s v="N"/>
    <s v="N"/>
    <s v="B007"/>
    <d v="2016-12-09T00:00:00"/>
    <s v="20"/>
    <s v="TAN"/>
    <s v="OR"/>
    <d v="2016-12-05T00:00:00"/>
    <s v="MI"/>
    <s v="US"/>
    <s v="ZR"/>
    <d v="2016-12-06T00:00:00"/>
  </r>
  <r>
    <x v="1"/>
    <x v="6"/>
    <x v="2305"/>
    <x v="51"/>
    <s v="Standard order"/>
    <x v="2185"/>
    <x v="997"/>
    <s v="459N"/>
    <s v="BTS 459N"/>
    <s v="5002258"/>
    <s v="459N BTS T20 PB SYSTIVA P50"/>
    <n v="32"/>
    <n v="0"/>
    <n v="32"/>
    <x v="6"/>
    <s v="DVNU"/>
    <s v="PRO 50"/>
    <s v="322"/>
    <s v="4.0 UN"/>
    <s v="STANDARD"/>
    <s v="N"/>
    <s v="N"/>
    <s v="N"/>
    <s v="T20"/>
    <s v="Y"/>
    <s v="N"/>
    <s v="Y"/>
    <s v="N"/>
    <s v="B011"/>
    <d v="2016-12-09T00:00:00"/>
    <s v="10"/>
    <s v="TAN"/>
    <s v="OR"/>
    <d v="2016-12-06T00:00:00"/>
    <s v="MT"/>
    <s v="US"/>
    <s v="ZR"/>
    <d v="2016-12-06T00:00:00"/>
  </r>
  <r>
    <x v="1"/>
    <x v="4"/>
    <x v="2306"/>
    <x v="46"/>
    <s v="Standard order"/>
    <x v="2186"/>
    <x v="413"/>
    <s v="4933"/>
    <s v="BTS 49RR33"/>
    <s v="5002280"/>
    <s v="4933 BTS PB XL IDH"/>
    <n v="108"/>
    <n v="0"/>
    <n v="108"/>
    <x v="4"/>
    <s v="AKMC"/>
    <s v="X-LARGE"/>
    <s v="307"/>
    <s v="4.0 UN"/>
    <s v="STANDARD"/>
    <s v="N"/>
    <s v="Y"/>
    <s v="N"/>
    <s v="N"/>
    <s v="N"/>
    <s v="N"/>
    <s v="N"/>
    <s v="N"/>
    <s v="B049"/>
    <d v="2016-12-09T00:00:00"/>
    <s v="10"/>
    <s v="TAN"/>
    <s v="OR"/>
    <d v="2016-12-06T00:00:00"/>
    <s v="ID"/>
    <s v="US"/>
    <s v="ZR"/>
    <d v="2016-12-06T00:00:00"/>
  </r>
  <r>
    <x v="1"/>
    <x v="4"/>
    <x v="2306"/>
    <x v="46"/>
    <s v="Standard order"/>
    <x v="2186"/>
    <x v="413"/>
    <s v="2570"/>
    <s v="BTS 2570"/>
    <s v="5002555"/>
    <s v="2570 BTS PB XL"/>
    <n v="68"/>
    <n v="0"/>
    <n v="68"/>
    <x v="4"/>
    <s v="EZNS"/>
    <s v="X-LARGE"/>
    <s v="307"/>
    <s v="4.0 UN"/>
    <s v="STANDARD"/>
    <s v="N"/>
    <s v="Y"/>
    <s v="N"/>
    <s v="N"/>
    <s v="N"/>
    <s v="N"/>
    <s v="N"/>
    <s v="N"/>
    <s v="B049"/>
    <d v="2016-12-09T00:00:00"/>
    <s v="20"/>
    <s v="TAN"/>
    <s v="OR"/>
    <d v="2016-12-06T00:00:00"/>
    <s v="ID"/>
    <s v="US"/>
    <s v="ZR"/>
    <d v="2016-12-06T00:00:00"/>
  </r>
  <r>
    <x v="1"/>
    <x v="4"/>
    <x v="2307"/>
    <x v="46"/>
    <s v="Standard order"/>
    <x v="2187"/>
    <x v="2058"/>
    <s v="2570"/>
    <s v="BTS 2570"/>
    <s v="5002555"/>
    <s v="2570 BTS PB XL"/>
    <n v="72"/>
    <n v="0"/>
    <n v="72"/>
    <x v="4"/>
    <s v="EZNS"/>
    <s v="X-LARGE"/>
    <s v="307"/>
    <s v="4.0 UN"/>
    <s v="STANDARD"/>
    <s v="N"/>
    <s v="Y"/>
    <s v="N"/>
    <s v="N"/>
    <s v="N"/>
    <s v="N"/>
    <s v="N"/>
    <s v="N"/>
    <s v="B049"/>
    <d v="2016-12-09T00:00:00"/>
    <s v="10"/>
    <s v="TAN"/>
    <s v="OR"/>
    <d v="2016-12-06T00:00:00"/>
    <s v="ID"/>
    <s v="US"/>
    <s v="ZR"/>
    <d v="2016-12-06T00:00:00"/>
  </r>
  <r>
    <x v="1"/>
    <x v="4"/>
    <x v="2307"/>
    <x v="46"/>
    <s v="Standard order"/>
    <x v="2187"/>
    <x v="2058"/>
    <s v="2559"/>
    <s v="BTS 2559"/>
    <s v="5002563"/>
    <s v="2559 BTS PB XL"/>
    <n v="80"/>
    <n v="0"/>
    <n v="80"/>
    <x v="4"/>
    <s v="FGNE"/>
    <s v="X-LARGE"/>
    <s v="307"/>
    <s v="4.0 UN"/>
    <s v="STANDARD"/>
    <s v="N"/>
    <s v="Y"/>
    <s v="N"/>
    <s v="N"/>
    <s v="N"/>
    <s v="N"/>
    <s v="N"/>
    <s v="N"/>
    <s v="B049"/>
    <d v="2016-12-09T00:00:00"/>
    <s v="20"/>
    <s v="TAN"/>
    <s v="OR"/>
    <d v="2016-12-06T00:00:00"/>
    <s v="ID"/>
    <s v="US"/>
    <s v="ZR"/>
    <d v="2016-12-06T00:00:00"/>
  </r>
  <r>
    <x v="1"/>
    <x v="4"/>
    <x v="2307"/>
    <x v="46"/>
    <s v="Standard order"/>
    <x v="2187"/>
    <x v="2058"/>
    <s v="4933"/>
    <s v="BTS 49RR33"/>
    <s v="5002280"/>
    <s v="4933 BTS PB XL IDH"/>
    <n v="72"/>
    <n v="0"/>
    <n v="72"/>
    <x v="4"/>
    <s v="AKMC"/>
    <s v="X-LARGE"/>
    <s v="307"/>
    <s v="4.0 UN"/>
    <s v="STANDARD"/>
    <s v="N"/>
    <s v="Y"/>
    <s v="N"/>
    <s v="N"/>
    <s v="N"/>
    <s v="N"/>
    <s v="N"/>
    <s v="N"/>
    <s v="B049"/>
    <d v="2016-12-09T00:00:00"/>
    <s v="30"/>
    <s v="TAN"/>
    <s v="OR"/>
    <d v="2016-12-06T00:00:00"/>
    <s v="ID"/>
    <s v="US"/>
    <s v="ZR"/>
    <d v="2016-12-06T00:00:00"/>
  </r>
  <r>
    <x v="1"/>
    <x v="4"/>
    <x v="2307"/>
    <x v="46"/>
    <s v="Standard order"/>
    <x v="2187"/>
    <x v="2058"/>
    <s v="6027"/>
    <s v="BTS 60RR27"/>
    <s v="5002625"/>
    <s v="6027 BTS PB XL IDH"/>
    <n v="40"/>
    <n v="0"/>
    <n v="40"/>
    <x v="4"/>
    <s v="APMC"/>
    <s v="X-LARGE"/>
    <s v="307"/>
    <s v="4.0 UN"/>
    <s v="STANDARD"/>
    <s v="N"/>
    <s v="Y"/>
    <s v="N"/>
    <s v="N"/>
    <s v="N"/>
    <s v="N"/>
    <s v="N"/>
    <s v="N"/>
    <s v="B049"/>
    <d v="2016-12-09T00:00:00"/>
    <s v="40"/>
    <s v="TAN"/>
    <s v="OR"/>
    <d v="2016-12-06T00:00:00"/>
    <s v="ID"/>
    <s v="US"/>
    <s v="ZR"/>
    <d v="2016-12-06T00:00:00"/>
  </r>
  <r>
    <x v="1"/>
    <x v="0"/>
    <x v="2308"/>
    <x v="30"/>
    <s v="Standard order"/>
    <x v="2188"/>
    <x v="2059"/>
    <s v="1399"/>
    <s v="BTS 1399"/>
    <s v="5002348"/>
    <s v="1399 BTS T20 Kabina RP"/>
    <n v="48"/>
    <n v="0"/>
    <n v="48"/>
    <x v="0"/>
    <s v="EG74"/>
    <s v="RP"/>
    <s v="380"/>
    <s v="4.0 UN"/>
    <s v="STANDARD"/>
    <s v="N"/>
    <s v="N"/>
    <s v="Y"/>
    <s v="T20"/>
    <s v="N"/>
    <s v="N"/>
    <s v="N"/>
    <s v="N"/>
    <s v="B001"/>
    <d v="2016-12-09T00:00:00"/>
    <s v="10"/>
    <s v="TAN"/>
    <s v="OR"/>
    <d v="2016-12-06T00:00:00"/>
    <s v="MI"/>
    <s v="US"/>
    <s v="ZR"/>
    <d v="2016-12-06T00:00:00"/>
  </r>
  <r>
    <x v="1"/>
    <x v="0"/>
    <x v="2308"/>
    <x v="30"/>
    <s v="Standard order"/>
    <x v="2188"/>
    <x v="2059"/>
    <s v="122N"/>
    <s v="BTS 12RR2N"/>
    <s v="5002311"/>
    <s v="122N BTS T20 Kabina RP"/>
    <n v="12"/>
    <n v="0"/>
    <n v="12"/>
    <x v="0"/>
    <s v="4TBG"/>
    <s v="RP"/>
    <s v="380"/>
    <s v="4.0 UN"/>
    <s v="STANDARD"/>
    <s v="N"/>
    <s v="N"/>
    <s v="Y"/>
    <s v="T20"/>
    <s v="N"/>
    <s v="N"/>
    <s v="N"/>
    <s v="N"/>
    <s v="B001"/>
    <d v="2016-12-09T00:00:00"/>
    <s v="20"/>
    <s v="TAN"/>
    <s v="OR"/>
    <d v="2016-12-06T00:00:00"/>
    <s v="MI"/>
    <s v="US"/>
    <s v="ZR"/>
    <d v="2016-12-06T00:00:00"/>
  </r>
  <r>
    <x v="1"/>
    <x v="0"/>
    <x v="2308"/>
    <x v="30"/>
    <s v="Standard order"/>
    <x v="2188"/>
    <x v="2059"/>
    <s v="149N"/>
    <s v="BTS 149N"/>
    <s v="5002368"/>
    <s v="149N BTS T20 Kabina RP"/>
    <n v="12"/>
    <n v="0"/>
    <n v="12"/>
    <x v="0"/>
    <s v="EEND"/>
    <s v="RP"/>
    <s v="380"/>
    <s v="4.0 UN"/>
    <s v="STANDARD"/>
    <s v="N"/>
    <s v="N"/>
    <s v="Y"/>
    <s v="T20"/>
    <s v="N"/>
    <s v="N"/>
    <s v="N"/>
    <s v="N"/>
    <s v="B001"/>
    <d v="2016-12-09T00:00:00"/>
    <s v="30"/>
    <s v="TAN"/>
    <s v="OR"/>
    <d v="2016-12-06T00:00:00"/>
    <s v="MI"/>
    <s v="US"/>
    <s v="ZR"/>
    <d v="2016-12-06T00:00:00"/>
  </r>
  <r>
    <x v="1"/>
    <x v="6"/>
    <x v="2309"/>
    <x v="51"/>
    <s v="Standard order"/>
    <x v="2189"/>
    <x v="2060"/>
    <s v="437N"/>
    <s v="BTS 437N"/>
    <s v="5002210"/>
    <s v="437N BTS T20 PB SYSTIVA P50"/>
    <n v="16"/>
    <n v="0"/>
    <n v="16"/>
    <x v="6"/>
    <s v="EE73"/>
    <s v="PRO 50"/>
    <s v="322"/>
    <s v="4.0 UN"/>
    <s v="STANDARD"/>
    <s v="N"/>
    <s v="N"/>
    <s v="N"/>
    <s v="T20"/>
    <s v="Y"/>
    <s v="N"/>
    <s v="Y"/>
    <s v="N"/>
    <s v="B011"/>
    <d v="2016-12-09T00:00:00"/>
    <s v="10"/>
    <s v="TAN"/>
    <s v="OR"/>
    <d v="2016-12-06T00:00:00"/>
    <s v="MT"/>
    <s v="US"/>
    <s v="ZR"/>
    <d v="2016-12-06T00:00:00"/>
  </r>
  <r>
    <x v="1"/>
    <x v="6"/>
    <x v="2309"/>
    <x v="51"/>
    <s v="Standard order"/>
    <x v="2189"/>
    <x v="2060"/>
    <s v="4548"/>
    <s v="BTS 4548"/>
    <s v="5002246"/>
    <s v="4548 BTS T20 PB SYSTIVA P50"/>
    <n v="12"/>
    <n v="0"/>
    <n v="12"/>
    <x v="6"/>
    <s v="FENR"/>
    <s v="PRO 50"/>
    <s v="322"/>
    <s v="4.0 UN"/>
    <s v="STANDARD"/>
    <s v="N"/>
    <s v="N"/>
    <s v="N"/>
    <s v="T20"/>
    <s v="Y"/>
    <s v="N"/>
    <s v="Y"/>
    <s v="N"/>
    <s v="B011"/>
    <d v="2016-12-09T00:00:00"/>
    <s v="20"/>
    <s v="TAN"/>
    <s v="OR"/>
    <d v="2016-12-06T00:00:00"/>
    <s v="MT"/>
    <s v="US"/>
    <s v="ZR"/>
    <d v="2016-12-06T00:00:00"/>
  </r>
  <r>
    <x v="1"/>
    <x v="5"/>
    <x v="2310"/>
    <x v="13"/>
    <s v="Standard order"/>
    <x v="2190"/>
    <x v="318"/>
    <s v="398N"/>
    <s v="BTS 39RR8N"/>
    <s v="5002572"/>
    <s v="398N BTS T20 PB SYSTIVA RP"/>
    <n v="180"/>
    <n v="0"/>
    <n v="180"/>
    <x v="5"/>
    <s v="2771"/>
    <s v="RP"/>
    <s v="322"/>
    <s v="4.0 UN"/>
    <s v="STANDARD"/>
    <s v="N"/>
    <s v="Y"/>
    <s v="N"/>
    <s v="T20"/>
    <s v="Y"/>
    <s v="N"/>
    <s v="N"/>
    <s v="N"/>
    <s v="B015"/>
    <d v="2016-12-09T00:00:00"/>
    <s v="10"/>
    <s v="TAN"/>
    <s v="OR"/>
    <d v="2016-12-06T00:00:00"/>
    <s v="MT"/>
    <s v="US"/>
    <s v="ZR"/>
    <d v="2016-12-06T00:00:00"/>
  </r>
  <r>
    <x v="1"/>
    <x v="5"/>
    <x v="2310"/>
    <x v="13"/>
    <s v="Standard order"/>
    <x v="2190"/>
    <x v="318"/>
    <s v="353N"/>
    <s v="BTS 353N"/>
    <s v="5002524"/>
    <s v="353N BTS T20 PB SYSTIVA RP"/>
    <n v="24"/>
    <n v="0"/>
    <n v="24"/>
    <x v="5"/>
    <s v="EENZ"/>
    <s v="RP"/>
    <s v="322"/>
    <s v="4.0 UN"/>
    <s v="STANDARD"/>
    <s v="N"/>
    <s v="Y"/>
    <s v="N"/>
    <s v="T20"/>
    <s v="Y"/>
    <s v="N"/>
    <s v="N"/>
    <s v="N"/>
    <s v="B015"/>
    <d v="2016-12-09T00:00:00"/>
    <s v="20"/>
    <s v="TAN"/>
    <s v="OR"/>
    <d v="2016-12-06T00:00:00"/>
    <s v="MT"/>
    <s v="US"/>
    <s v="ZR"/>
    <d v="2016-12-06T00:00:00"/>
  </r>
  <r>
    <x v="1"/>
    <x v="0"/>
    <x v="2311"/>
    <x v="45"/>
    <s v="Standard order"/>
    <x v="2191"/>
    <x v="2061"/>
    <s v="1399"/>
    <s v="BTS 1399"/>
    <s v="5002348"/>
    <s v="1399 BTS T20 Kabina RP"/>
    <n v="40"/>
    <n v="0"/>
    <n v="40"/>
    <x v="0"/>
    <s v="EG74"/>
    <s v="RP"/>
    <s v="380"/>
    <s v="4.0 UN"/>
    <s v="STANDARD"/>
    <s v="N"/>
    <s v="N"/>
    <s v="Y"/>
    <s v="T20"/>
    <s v="N"/>
    <s v="N"/>
    <s v="N"/>
    <s v="N"/>
    <s v="B003"/>
    <d v="2016-12-09T00:00:00"/>
    <s v="10"/>
    <s v="TAN"/>
    <s v="OR"/>
    <d v="2016-12-06T00:00:00"/>
    <s v="MI"/>
    <s v="US"/>
    <s v="ZR"/>
    <d v="2016-12-06T00:00:00"/>
  </r>
  <r>
    <x v="1"/>
    <x v="4"/>
    <x v="2312"/>
    <x v="46"/>
    <s v="Standard order"/>
    <x v="2192"/>
    <x v="447"/>
    <s v="2559"/>
    <s v="BTS 2559"/>
    <s v="5002563"/>
    <s v="2559 BTS PB XL"/>
    <n v="96"/>
    <n v="0"/>
    <n v="96"/>
    <x v="4"/>
    <s v="FGNE"/>
    <s v="X-LARGE"/>
    <s v="307"/>
    <s v="4.0 UN"/>
    <s v="STANDARD"/>
    <s v="N"/>
    <s v="Y"/>
    <s v="N"/>
    <s v="N"/>
    <s v="N"/>
    <s v="N"/>
    <s v="N"/>
    <s v="N"/>
    <s v="B049"/>
    <d v="2016-12-09T00:00:00"/>
    <s v="10"/>
    <s v="TAN"/>
    <s v="OR"/>
    <d v="2016-12-06T00:00:00"/>
    <s v="ID"/>
    <s v="US"/>
    <s v="ZR"/>
    <d v="2016-12-06T00:00:00"/>
  </r>
  <r>
    <x v="1"/>
    <x v="4"/>
    <x v="2312"/>
    <x v="46"/>
    <s v="Standard order"/>
    <x v="2192"/>
    <x v="447"/>
    <s v="2523"/>
    <s v="BTS 2523"/>
    <s v="5002529"/>
    <s v="2523 BTS PB XL"/>
    <n v="96"/>
    <n v="0"/>
    <n v="96"/>
    <x v="4"/>
    <s v="EZPC"/>
    <s v="X-LARGE"/>
    <s v="307"/>
    <s v="4.0 UN"/>
    <s v="STANDARD"/>
    <s v="N"/>
    <s v="Y"/>
    <s v="N"/>
    <s v="N"/>
    <s v="N"/>
    <s v="N"/>
    <s v="N"/>
    <s v="N"/>
    <s v="B049"/>
    <d v="2016-12-09T00:00:00"/>
    <s v="20"/>
    <s v="TAN"/>
    <s v="OR"/>
    <d v="2016-12-06T00:00:00"/>
    <s v="ID"/>
    <s v="US"/>
    <s v="ZR"/>
    <d v="2016-12-06T00:00:00"/>
  </r>
  <r>
    <x v="1"/>
    <x v="4"/>
    <x v="2312"/>
    <x v="46"/>
    <s v="Standard order"/>
    <x v="2192"/>
    <x v="447"/>
    <s v="2570"/>
    <s v="BTS 2570"/>
    <s v="5002555"/>
    <s v="2570 BTS PB XL"/>
    <n v="144"/>
    <n v="0"/>
    <n v="144"/>
    <x v="4"/>
    <s v="EZNS"/>
    <s v="X-LARGE"/>
    <s v="307"/>
    <s v="4.0 UN"/>
    <s v="STANDARD"/>
    <s v="N"/>
    <s v="Y"/>
    <s v="N"/>
    <s v="N"/>
    <s v="N"/>
    <s v="N"/>
    <s v="N"/>
    <s v="N"/>
    <s v="B049"/>
    <d v="2016-12-09T00:00:00"/>
    <s v="30"/>
    <s v="TAN"/>
    <s v="OR"/>
    <d v="2016-12-06T00:00:00"/>
    <s v="ID"/>
    <s v="US"/>
    <s v="ZR"/>
    <d v="2016-12-06T00:00:00"/>
  </r>
  <r>
    <x v="1"/>
    <x v="4"/>
    <x v="2312"/>
    <x v="46"/>
    <s v="Standard order"/>
    <x v="2192"/>
    <x v="447"/>
    <s v="4933"/>
    <s v="BTS 49RR33"/>
    <s v="5002280"/>
    <s v="4933 BTS PB XL IDH"/>
    <n v="192"/>
    <n v="0"/>
    <n v="192"/>
    <x v="4"/>
    <s v="AKMC"/>
    <s v="X-LARGE"/>
    <s v="307"/>
    <s v="4.0 UN"/>
    <s v="STANDARD"/>
    <s v="N"/>
    <s v="Y"/>
    <s v="N"/>
    <s v="N"/>
    <s v="N"/>
    <s v="N"/>
    <s v="N"/>
    <s v="N"/>
    <s v="B049"/>
    <d v="2016-12-09T00:00:00"/>
    <s v="40"/>
    <s v="TAN"/>
    <s v="OR"/>
    <d v="2016-12-06T00:00:00"/>
    <s v="ID"/>
    <s v="US"/>
    <s v="ZR"/>
    <d v="2016-12-06T00:00:00"/>
  </r>
  <r>
    <x v="1"/>
    <x v="4"/>
    <x v="2312"/>
    <x v="46"/>
    <s v="Standard order"/>
    <x v="2192"/>
    <x v="447"/>
    <s v="2125"/>
    <s v="BTS 21RR25"/>
    <s v="5002395"/>
    <s v="2125 BTS PB XL"/>
    <n v="80"/>
    <n v="0"/>
    <n v="80"/>
    <x v="4"/>
    <s v="AP92"/>
    <s v="X-LARGE"/>
    <s v="307"/>
    <s v="4.0 UN"/>
    <s v="STANDARD"/>
    <s v="N"/>
    <s v="Y"/>
    <s v="N"/>
    <s v="N"/>
    <s v="N"/>
    <s v="N"/>
    <s v="N"/>
    <s v="N"/>
    <s v="B049"/>
    <d v="2016-12-09T00:00:00"/>
    <s v="50"/>
    <s v="TAN"/>
    <s v="OR"/>
    <d v="2016-12-06T00:00:00"/>
    <s v="ID"/>
    <s v="US"/>
    <s v="ZR"/>
    <d v="2016-12-06T00:00:00"/>
  </r>
  <r>
    <x v="1"/>
    <x v="0"/>
    <x v="2313"/>
    <x v="54"/>
    <s v="Standard order"/>
    <x v="2193"/>
    <x v="75"/>
    <s v="122N"/>
    <s v="BTS 12RR2N"/>
    <s v="5002310"/>
    <s v="122N BTS T20 Kabina P200"/>
    <n v="92"/>
    <n v="0"/>
    <n v="92"/>
    <x v="0"/>
    <s v="4TBG"/>
    <s v="PRO 200"/>
    <s v="380"/>
    <s v="4.0 UN"/>
    <s v="STANDARD"/>
    <s v="N"/>
    <s v="N"/>
    <s v="Y"/>
    <s v="T20"/>
    <s v="N"/>
    <s v="N"/>
    <s v="N"/>
    <s v="N"/>
    <s v="B002"/>
    <d v="2016-12-09T00:00:00"/>
    <s v="10"/>
    <s v="TAN"/>
    <s v="OR"/>
    <d v="2016-12-06T00:00:00"/>
    <s v="MI"/>
    <s v="US"/>
    <s v="ZR"/>
    <d v="2016-12-06T00:00:00"/>
  </r>
  <r>
    <x v="1"/>
    <x v="0"/>
    <x v="2313"/>
    <x v="54"/>
    <s v="Standard order"/>
    <x v="2193"/>
    <x v="75"/>
    <s v="133N"/>
    <s v="BTS 133N"/>
    <s v="5002328"/>
    <s v="133N BTS T20 Kabina P200"/>
    <n v="64"/>
    <n v="0"/>
    <n v="64"/>
    <x v="0"/>
    <s v="DW73"/>
    <s v="PRO 200"/>
    <s v="380"/>
    <s v="4.0 UN"/>
    <s v="STANDARD"/>
    <s v="N"/>
    <s v="N"/>
    <s v="Y"/>
    <s v="T20"/>
    <s v="N"/>
    <s v="N"/>
    <s v="N"/>
    <s v="N"/>
    <s v="B002"/>
    <d v="2016-12-09T00:00:00"/>
    <s v="20"/>
    <s v="TAN"/>
    <s v="OR"/>
    <d v="2016-12-06T00:00:00"/>
    <s v="MI"/>
    <s v="US"/>
    <s v="ZR"/>
    <d v="2016-12-06T00:00:00"/>
  </r>
  <r>
    <x v="1"/>
    <x v="0"/>
    <x v="2313"/>
    <x v="54"/>
    <s v="Standard order"/>
    <x v="2193"/>
    <x v="75"/>
    <s v="149N"/>
    <s v="BTS 149N"/>
    <s v="5002367"/>
    <s v="149N BTS T20 Kabina P200"/>
    <n v="96"/>
    <n v="0"/>
    <n v="96"/>
    <x v="0"/>
    <s v="EEND"/>
    <s v="PRO 200"/>
    <s v="380"/>
    <s v="4.0 UN"/>
    <s v="STANDARD"/>
    <s v="N"/>
    <s v="N"/>
    <s v="Y"/>
    <s v="T20"/>
    <s v="N"/>
    <s v="N"/>
    <s v="N"/>
    <s v="N"/>
    <s v="B002"/>
    <d v="2016-12-09T00:00:00"/>
    <s v="30"/>
    <s v="TAN"/>
    <s v="OR"/>
    <d v="2016-12-06T00:00:00"/>
    <s v="MI"/>
    <s v="US"/>
    <s v="ZR"/>
    <d v="2016-12-06T00:00:00"/>
  </r>
  <r>
    <x v="1"/>
    <x v="4"/>
    <x v="2314"/>
    <x v="53"/>
    <s v="Standard order"/>
    <x v="2194"/>
    <x v="217"/>
    <s v="2720"/>
    <s v="BTS 27RR20"/>
    <s v="5002142"/>
    <s v="2720 BTS PB XL"/>
    <n v="32"/>
    <n v="0"/>
    <n v="32"/>
    <x v="4"/>
    <s v="4GAY"/>
    <s v="X-LARGE"/>
    <s v="307"/>
    <s v="4.0 UN"/>
    <s v="STANDARD"/>
    <s v="N"/>
    <s v="Y"/>
    <s v="N"/>
    <s v="N"/>
    <s v="N"/>
    <s v="N"/>
    <s v="N"/>
    <s v="N"/>
    <s v="B051"/>
    <d v="2016-12-09T00:00:00"/>
    <s v="10"/>
    <s v="TAN"/>
    <s v="OR"/>
    <d v="2016-12-06T00:00:00"/>
    <s v="ID"/>
    <s v="US"/>
    <s v="ZR"/>
    <d v="2016-12-06T00:00:00"/>
  </r>
  <r>
    <x v="1"/>
    <x v="4"/>
    <x v="2314"/>
    <x v="53"/>
    <s v="Standard order"/>
    <x v="2194"/>
    <x v="217"/>
    <s v="2523"/>
    <s v="BTS 2523"/>
    <s v="5002529"/>
    <s v="2523 BTS PB XL"/>
    <n v="28"/>
    <n v="0"/>
    <n v="28"/>
    <x v="4"/>
    <s v="EZPC"/>
    <s v="X-LARGE"/>
    <s v="307"/>
    <s v="4.0 UN"/>
    <s v="STANDARD"/>
    <s v="N"/>
    <s v="Y"/>
    <s v="N"/>
    <s v="N"/>
    <s v="N"/>
    <s v="N"/>
    <s v="N"/>
    <s v="N"/>
    <s v="B051"/>
    <d v="2016-12-09T00:00:00"/>
    <s v="20"/>
    <s v="TAN"/>
    <s v="OR"/>
    <d v="2016-12-06T00:00:00"/>
    <s v="ID"/>
    <s v="US"/>
    <s v="ZR"/>
    <d v="2016-12-06T00:00:00"/>
  </r>
  <r>
    <x v="1"/>
    <x v="0"/>
    <x v="2315"/>
    <x v="42"/>
    <s v="Standard order"/>
    <x v="2195"/>
    <x v="2062"/>
    <s v="122N"/>
    <s v="BTS 12RR2N"/>
    <s v="5002317"/>
    <s v="122N BTS T20 SYSTIVA RP"/>
    <n v="200"/>
    <n v="0"/>
    <n v="200"/>
    <x v="0"/>
    <s v="4TBG"/>
    <s v="RP"/>
    <s v="326"/>
    <s v="4.0 UN"/>
    <s v="STANDARD"/>
    <s v="N"/>
    <s v="N"/>
    <s v="N"/>
    <s v="T20"/>
    <s v="Y"/>
    <s v="N"/>
    <s v="Y"/>
    <s v="N"/>
    <s v="B007"/>
    <d v="2016-12-09T00:00:00"/>
    <s v="10"/>
    <s v="TAN"/>
    <s v="OR"/>
    <d v="2016-12-06T00:00:00"/>
    <s v="MI"/>
    <s v="US"/>
    <s v="ZR"/>
    <d v="2016-12-06T00:00:00"/>
  </r>
  <r>
    <x v="1"/>
    <x v="4"/>
    <x v="2316"/>
    <x v="53"/>
    <s v="Standard order"/>
    <x v="2196"/>
    <x v="2063"/>
    <s v="2523"/>
    <s v="BTS 2523"/>
    <s v="5002529"/>
    <s v="2523 BTS PB XL"/>
    <n v="20"/>
    <n v="0"/>
    <n v="20"/>
    <x v="4"/>
    <s v="EZPC"/>
    <s v="X-LARGE"/>
    <s v="307"/>
    <s v="4.0 UN"/>
    <s v="STANDARD"/>
    <s v="N"/>
    <s v="Y"/>
    <s v="N"/>
    <s v="N"/>
    <s v="N"/>
    <s v="N"/>
    <s v="N"/>
    <s v="N"/>
    <s v="B051"/>
    <d v="2016-12-09T00:00:00"/>
    <s v="10"/>
    <s v="TAN"/>
    <s v="OR"/>
    <d v="2016-12-06T00:00:00"/>
    <s v="ID"/>
    <s v="US"/>
    <s v="ZR"/>
    <d v="2016-12-06T00:00:00"/>
  </r>
  <r>
    <x v="1"/>
    <x v="4"/>
    <x v="2316"/>
    <x v="53"/>
    <s v="Standard order"/>
    <x v="2196"/>
    <x v="2063"/>
    <s v="2559"/>
    <s v="BTS 2559"/>
    <s v="5002563"/>
    <s v="2559 BTS PB XL"/>
    <n v="20"/>
    <n v="0"/>
    <n v="20"/>
    <x v="4"/>
    <s v="FGNE"/>
    <s v="X-LARGE"/>
    <s v="307"/>
    <s v="4.0 UN"/>
    <s v="STANDARD"/>
    <s v="N"/>
    <s v="Y"/>
    <s v="N"/>
    <s v="N"/>
    <s v="N"/>
    <s v="N"/>
    <s v="N"/>
    <s v="N"/>
    <s v="B051"/>
    <d v="2016-12-09T00:00:00"/>
    <s v="20"/>
    <s v="TAN"/>
    <s v="OR"/>
    <d v="2016-12-06T00:00:00"/>
    <s v="ID"/>
    <s v="US"/>
    <s v="ZR"/>
    <d v="2016-12-06T00:00:00"/>
  </r>
  <r>
    <x v="1"/>
    <x v="5"/>
    <x v="2317"/>
    <x v="14"/>
    <s v="Standard order"/>
    <x v="2197"/>
    <x v="249"/>
    <s v="353N"/>
    <s v="BTS 353N"/>
    <s v="5002522"/>
    <s v="353N BTS T20 PB SYSTIVA P200"/>
    <n v="20"/>
    <n v="0"/>
    <n v="20"/>
    <x v="5"/>
    <s v="EENZ"/>
    <s v="PRO 200"/>
    <s v="322"/>
    <s v="4.0 UN"/>
    <s v="STANDARD"/>
    <s v="N"/>
    <s v="Y"/>
    <s v="N"/>
    <s v="T20"/>
    <s v="Y"/>
    <s v="N"/>
    <s v="N"/>
    <s v="N"/>
    <s v="B017"/>
    <d v="2016-12-09T00:00:00"/>
    <s v="10"/>
    <s v="TAN"/>
    <s v="OR"/>
    <d v="2016-12-06T00:00:00"/>
    <s v="WY"/>
    <s v="US"/>
    <s v="ZR"/>
    <d v="2016-12-06T00:00:00"/>
  </r>
  <r>
    <x v="1"/>
    <x v="5"/>
    <x v="2317"/>
    <x v="14"/>
    <s v="Standard order"/>
    <x v="2197"/>
    <x v="249"/>
    <s v="398N"/>
    <s v="BTS 39RR8N"/>
    <s v="5002570"/>
    <s v="398N BTS T20 PB SYSTIVA P200"/>
    <n v="96"/>
    <n v="0"/>
    <n v="96"/>
    <x v="5"/>
    <s v="2771"/>
    <s v="PRO 200"/>
    <s v="322"/>
    <s v="4.0 UN"/>
    <s v="STANDARD"/>
    <s v="N"/>
    <s v="Y"/>
    <s v="N"/>
    <s v="T20"/>
    <s v="Y"/>
    <s v="N"/>
    <s v="N"/>
    <s v="N"/>
    <s v="B017"/>
    <d v="2016-12-09T00:00:00"/>
    <s v="20"/>
    <s v="TAN"/>
    <s v="OR"/>
    <d v="2016-12-06T00:00:00"/>
    <s v="WY"/>
    <s v="US"/>
    <s v="ZR"/>
    <d v="2016-12-06T00:00:00"/>
  </r>
  <r>
    <x v="1"/>
    <x v="0"/>
    <x v="2318"/>
    <x v="56"/>
    <s v="Standard order"/>
    <x v="2198"/>
    <x v="702"/>
    <s v="1399"/>
    <s v="BTS 1399"/>
    <s v="5002338"/>
    <s v="1399 BTS CM Vibrance RP"/>
    <n v="28"/>
    <n v="0"/>
    <n v="28"/>
    <x v="0"/>
    <s v="EG74"/>
    <s v="RP"/>
    <s v="366"/>
    <s v="4.0 UN"/>
    <s v="STANDARD"/>
    <s v="Y"/>
    <s v="N"/>
    <s v="N"/>
    <s v="N"/>
    <s v="N"/>
    <s v="N"/>
    <s v="N"/>
    <s v="Y"/>
    <s v="B010"/>
    <d v="2016-12-09T00:00:00"/>
    <s v="10"/>
    <s v="TAN"/>
    <s v="OR"/>
    <d v="2016-12-05T00:00:00"/>
    <s v="ON"/>
    <s v="CA"/>
    <s v="ZR"/>
    <d v="2016-12-06T00:00:00"/>
  </r>
  <r>
    <x v="1"/>
    <x v="0"/>
    <x v="2319"/>
    <x v="56"/>
    <s v="Standard order"/>
    <x v="2199"/>
    <x v="684"/>
    <s v="122N"/>
    <s v="BTS 12RR2N"/>
    <s v="5002301"/>
    <s v="12RR2N RP BetaShield PLUS (O)"/>
    <n v="24"/>
    <n v="0"/>
    <n v="24"/>
    <x v="0"/>
    <s v="4TBG"/>
    <s v="RP"/>
    <s v="366"/>
    <s v="4.0 UN"/>
    <s v="STANDARD"/>
    <s v="Y"/>
    <s v="N"/>
    <s v="N"/>
    <s v="N"/>
    <s v="N"/>
    <s v="N"/>
    <s v="N"/>
    <s v="Y"/>
    <s v=""/>
    <d v="2016-12-09T00:00:00"/>
    <s v="30"/>
    <s v="TAN"/>
    <s v="OR"/>
    <d v="2016-12-05T00:00:00"/>
    <s v="ON"/>
    <s v="CA"/>
    <s v="ZR"/>
    <d v="2016-12-06T00:00:00"/>
  </r>
  <r>
    <x v="1"/>
    <x v="0"/>
    <x v="2319"/>
    <x v="56"/>
    <s v="Standard order"/>
    <x v="2199"/>
    <x v="684"/>
    <s v="1399"/>
    <s v="BTS 1399"/>
    <s v="5002338"/>
    <s v="1399 BTS CM Vibrance RP"/>
    <n v="12"/>
    <n v="0"/>
    <n v="12"/>
    <x v="0"/>
    <s v="EG74"/>
    <s v="RP"/>
    <s v="366"/>
    <s v="4.0 UN"/>
    <s v="STANDARD"/>
    <s v="Y"/>
    <s v="N"/>
    <s v="N"/>
    <s v="N"/>
    <s v="N"/>
    <s v="N"/>
    <s v="N"/>
    <s v="Y"/>
    <s v="B010"/>
    <d v="2016-12-09T00:00:00"/>
    <s v="20"/>
    <s v="TAN"/>
    <s v="OR"/>
    <d v="2016-12-05T00:00:00"/>
    <s v="ON"/>
    <s v="CA"/>
    <s v="ZR"/>
    <d v="2016-12-06T00:00:00"/>
  </r>
  <r>
    <x v="1"/>
    <x v="0"/>
    <x v="2320"/>
    <x v="56"/>
    <s v="Standard order"/>
    <x v="2200"/>
    <x v="715"/>
    <s v="1399"/>
    <s v="BTS 1399"/>
    <s v="5002355"/>
    <s v="1399 RP BetaShield (O)"/>
    <n v="4"/>
    <n v="0"/>
    <n v="4"/>
    <x v="0"/>
    <s v="EG74"/>
    <s v="RP"/>
    <s v="365"/>
    <s v="4.0 UN"/>
    <s v="STANDARD"/>
    <s v="N"/>
    <s v="N"/>
    <s v="N"/>
    <s v="N"/>
    <s v="N"/>
    <s v="N"/>
    <s v="N"/>
    <s v="Y"/>
    <s v=""/>
    <d v="2016-12-09T00:00:00"/>
    <s v="30"/>
    <s v="TAN"/>
    <s v="OR"/>
    <d v="2016-12-05T00:00:00"/>
    <s v="ON"/>
    <s v="CA"/>
    <s v="ZR"/>
    <d v="2016-12-06T00:00:00"/>
  </r>
  <r>
    <x v="1"/>
    <x v="0"/>
    <x v="2320"/>
    <x v="56"/>
    <s v="Standard order"/>
    <x v="2200"/>
    <x v="715"/>
    <s v="1399"/>
    <s v="BTS 1399"/>
    <s v="5002338"/>
    <s v="1399 BTS CM Vibrance RP"/>
    <n v="8"/>
    <n v="0"/>
    <n v="8"/>
    <x v="0"/>
    <s v="EG74"/>
    <s v="RP"/>
    <s v="366"/>
    <s v="4.0 UN"/>
    <s v="STANDARD"/>
    <s v="Y"/>
    <s v="N"/>
    <s v="N"/>
    <s v="N"/>
    <s v="N"/>
    <s v="N"/>
    <s v="N"/>
    <s v="Y"/>
    <s v="B010"/>
    <d v="2016-12-09T00:00:00"/>
    <s v="10"/>
    <s v="TAN"/>
    <s v="OR"/>
    <d v="2016-12-05T00:00:00"/>
    <s v="ON"/>
    <s v="CA"/>
    <s v="ZR"/>
    <d v="2016-12-06T00:00:00"/>
  </r>
  <r>
    <x v="1"/>
    <x v="7"/>
    <x v="2321"/>
    <x v="41"/>
    <s v="Standard order"/>
    <x v="2201"/>
    <x v="2064"/>
    <s v="8500"/>
    <s v="BTS 8500"/>
    <s v="5002860"/>
    <s v="8500 BTS T35 SYSTIVA RP"/>
    <n v="20"/>
    <n v="0"/>
    <n v="20"/>
    <x v="7"/>
    <s v="FTND"/>
    <s v="RP"/>
    <s v="334"/>
    <s v="4.0 UN"/>
    <s v="STANDARD"/>
    <s v="N"/>
    <s v="N"/>
    <s v="N"/>
    <s v="T35"/>
    <s v="Y"/>
    <s v="N"/>
    <s v="Y"/>
    <s v="N"/>
    <s v="B032"/>
    <d v="2016-12-09T00:00:00"/>
    <s v="10"/>
    <s v="TAN"/>
    <s v="OR"/>
    <d v="2016-12-05T00:00:00"/>
    <s v="ND"/>
    <s v="US"/>
    <s v="ZR"/>
    <d v="2016-12-06T00:00:00"/>
  </r>
  <r>
    <x v="1"/>
    <x v="7"/>
    <x v="2322"/>
    <x v="41"/>
    <s v="Standard order"/>
    <x v="2202"/>
    <x v="2065"/>
    <s v="8500"/>
    <s v="BTS 8500"/>
    <s v="5002856"/>
    <s v="8500 BTS T35 PB SYSTIVA RP"/>
    <n v="72"/>
    <n v="0"/>
    <n v="72"/>
    <x v="7"/>
    <s v="FTND"/>
    <s v="RP"/>
    <s v="333"/>
    <s v="4.0 UN"/>
    <s v="STANDARD"/>
    <s v="N"/>
    <s v="Y"/>
    <s v="N"/>
    <s v="T35"/>
    <s v="Y"/>
    <s v="N"/>
    <s v="Y"/>
    <s v="N"/>
    <s v="B032"/>
    <d v="2016-12-09T00:00:00"/>
    <s v="10"/>
    <s v="TAN"/>
    <s v="OR"/>
    <d v="2016-12-05T00:00:00"/>
    <s v="MN"/>
    <s v="US"/>
    <s v="ZR"/>
    <d v="2016-12-06T00:00:00"/>
  </r>
  <r>
    <x v="1"/>
    <x v="7"/>
    <x v="2322"/>
    <x v="41"/>
    <s v="Standard order"/>
    <x v="2202"/>
    <x v="2065"/>
    <s v="8363"/>
    <s v="BTS 8363"/>
    <s v="5002816"/>
    <s v="8363 BTS T35 PB SYSTIVA RP"/>
    <n v="48"/>
    <n v="0"/>
    <n v="48"/>
    <x v="7"/>
    <s v="DMMZ"/>
    <s v="RP"/>
    <s v="333"/>
    <s v="4.0 UN"/>
    <s v="STANDARD"/>
    <s v="N"/>
    <s v="Y"/>
    <s v="N"/>
    <s v="T35"/>
    <s v="Y"/>
    <s v="N"/>
    <s v="Y"/>
    <s v="N"/>
    <s v="B032"/>
    <d v="2016-12-09T00:00:00"/>
    <s v="20"/>
    <s v="TAN"/>
    <s v="OR"/>
    <d v="2016-12-05T00:00:00"/>
    <s v="MN"/>
    <s v="US"/>
    <s v="ZR"/>
    <d v="2016-12-06T00:00:00"/>
  </r>
  <r>
    <x v="1"/>
    <x v="4"/>
    <x v="2323"/>
    <x v="47"/>
    <s v="Standard order"/>
    <x v="2203"/>
    <x v="2066"/>
    <s v="251N"/>
    <s v="BTS 251N"/>
    <s v="5002194"/>
    <s v="251N BTS PB LRG"/>
    <n v="60"/>
    <n v="0"/>
    <n v="60"/>
    <x v="4"/>
    <s v="5HBR"/>
    <s v="LARGE"/>
    <s v="307"/>
    <s v="4.0 UN"/>
    <s v="STANDARD"/>
    <s v="N"/>
    <s v="Y"/>
    <s v="N"/>
    <s v="N"/>
    <s v="N"/>
    <s v="N"/>
    <s v="N"/>
    <s v="N"/>
    <s v="B050"/>
    <d v="2016-12-09T00:00:00"/>
    <s v="10"/>
    <s v="TAN"/>
    <s v="OR"/>
    <d v="2016-12-06T00:00:00"/>
    <s v="ID"/>
    <s v="US"/>
    <s v="ZR"/>
    <d v="2016-12-06T00:00:00"/>
  </r>
  <r>
    <x v="1"/>
    <x v="0"/>
    <x v="2324"/>
    <x v="42"/>
    <s v="Standard order"/>
    <x v="2204"/>
    <x v="2067"/>
    <s v="149N"/>
    <s v="BTS 149N"/>
    <s v="5002368"/>
    <s v="149N BTS T20 Kabina RP"/>
    <n v="32"/>
    <n v="0"/>
    <n v="32"/>
    <x v="0"/>
    <s v="EEND"/>
    <s v="RP"/>
    <s v="380"/>
    <s v="4.0 UN"/>
    <s v="STANDARD"/>
    <s v="N"/>
    <s v="N"/>
    <s v="Y"/>
    <s v="T20"/>
    <s v="N"/>
    <s v="N"/>
    <s v="N"/>
    <s v="N"/>
    <s v="B007"/>
    <d v="2016-12-09T00:00:00"/>
    <s v="10"/>
    <s v="TAN"/>
    <s v="OR"/>
    <d v="2016-12-06T00:00:00"/>
    <s v="MI"/>
    <s v="US"/>
    <s v="ZR"/>
    <d v="2016-12-06T00:00:00"/>
  </r>
  <r>
    <x v="1"/>
    <x v="0"/>
    <x v="2324"/>
    <x v="42"/>
    <s v="Standard order"/>
    <x v="2204"/>
    <x v="2067"/>
    <s v="1399"/>
    <s v="BTS 1399"/>
    <s v="5002348"/>
    <s v="1399 BTS T20 Kabina RP"/>
    <n v="32"/>
    <n v="0"/>
    <n v="32"/>
    <x v="0"/>
    <s v="EG74"/>
    <s v="RP"/>
    <s v="380"/>
    <s v="4.0 UN"/>
    <s v="STANDARD"/>
    <s v="N"/>
    <s v="N"/>
    <s v="Y"/>
    <s v="T20"/>
    <s v="N"/>
    <s v="N"/>
    <s v="N"/>
    <s v="N"/>
    <s v="B007"/>
    <d v="2016-12-09T00:00:00"/>
    <s v="20"/>
    <s v="TAN"/>
    <s v="OR"/>
    <d v="2016-12-06T00:00:00"/>
    <s v="MI"/>
    <s v="US"/>
    <s v="ZR"/>
    <d v="2016-12-06T00:00:00"/>
  </r>
  <r>
    <x v="1"/>
    <x v="2"/>
    <x v="2325"/>
    <x v="6"/>
    <s v="Standard order"/>
    <x v="2205"/>
    <x v="2068"/>
    <s v="628N"/>
    <s v="BTS 62RR8N"/>
    <s v="5002683"/>
    <s v="628N BTS T20 PB SYSTIVA P100"/>
    <n v="24"/>
    <n v="0"/>
    <n v="24"/>
    <x v="2"/>
    <s v="BL73"/>
    <s v="PRO 100"/>
    <s v="322"/>
    <s v="4.0 UN"/>
    <s v="STANDARD"/>
    <s v="N"/>
    <s v="N"/>
    <s v="N"/>
    <s v="T20"/>
    <s v="Y"/>
    <s v="N"/>
    <s v="Y"/>
    <s v="N"/>
    <s v="B025"/>
    <d v="2016-12-09T00:00:00"/>
    <s v="10"/>
    <s v="TAN"/>
    <s v="OR"/>
    <d v="2016-12-06T00:00:00"/>
    <s v="WY"/>
    <s v="US"/>
    <s v="ZR"/>
    <d v="2016-12-06T00:00:00"/>
  </r>
  <r>
    <x v="1"/>
    <x v="5"/>
    <x v="2326"/>
    <x v="9"/>
    <s v="Standard order"/>
    <x v="2206"/>
    <x v="313"/>
    <s v="336N"/>
    <s v="BTS 336N"/>
    <s v="5002400"/>
    <s v="336N BTS T20 PB SYSTIVA RP"/>
    <n v="56"/>
    <n v="0"/>
    <n v="56"/>
    <x v="5"/>
    <s v="EEMG"/>
    <s v="RP"/>
    <s v="322"/>
    <s v="4.0 UN"/>
    <s v="STANDARD"/>
    <s v="N"/>
    <s v="N"/>
    <s v="N"/>
    <s v="T20"/>
    <s v="Y"/>
    <s v="N"/>
    <s v="N"/>
    <s v="N"/>
    <s v="B016"/>
    <d v="2016-12-09T00:00:00"/>
    <s v="10"/>
    <s v="TAN"/>
    <s v="OR"/>
    <d v="2016-12-06T00:00:00"/>
    <s v="WY"/>
    <s v="US"/>
    <s v="ZR"/>
    <d v="2016-12-06T00:00:00"/>
  </r>
  <r>
    <x v="1"/>
    <x v="5"/>
    <x v="2326"/>
    <x v="9"/>
    <s v="Standard order"/>
    <x v="2206"/>
    <x v="313"/>
    <s v="3650"/>
    <s v="BTS 36RR50"/>
    <s v="5002548"/>
    <s v="3650 BTS T20 PB SYSTIVA RP"/>
    <n v="76"/>
    <n v="0"/>
    <n v="76"/>
    <x v="5"/>
    <s v="4DAY"/>
    <s v="RP"/>
    <s v="322"/>
    <s v="4.0 UN"/>
    <s v="STANDARD"/>
    <s v="N"/>
    <s v="Y"/>
    <s v="N"/>
    <s v="T20"/>
    <s v="Y"/>
    <s v="N"/>
    <s v="N"/>
    <s v="N"/>
    <s v="B016"/>
    <d v="2016-12-09T00:00:00"/>
    <s v="30"/>
    <s v="TAN"/>
    <s v="OR"/>
    <d v="2016-12-06T00:00:00"/>
    <s v="WY"/>
    <s v="US"/>
    <s v="ZR"/>
    <d v="2016-12-06T00:00:00"/>
  </r>
  <r>
    <x v="1"/>
    <x v="5"/>
    <x v="2326"/>
    <x v="9"/>
    <s v="Standard order"/>
    <x v="2206"/>
    <x v="313"/>
    <s v="353N"/>
    <s v="BTS 353N"/>
    <s v="5002524"/>
    <s v="353N BTS T20 PB SYSTIVA RP"/>
    <n v="12"/>
    <n v="0"/>
    <n v="12"/>
    <x v="5"/>
    <s v="EENZ"/>
    <s v="RP"/>
    <s v="322"/>
    <s v="4.0 UN"/>
    <s v="STANDARD"/>
    <s v="N"/>
    <s v="Y"/>
    <s v="N"/>
    <s v="T20"/>
    <s v="Y"/>
    <s v="N"/>
    <s v="N"/>
    <s v="N"/>
    <s v="B016"/>
    <d v="2016-12-09T00:00:00"/>
    <s v="40"/>
    <s v="TAN"/>
    <s v="OR"/>
    <d v="2016-12-06T00:00:00"/>
    <s v="WY"/>
    <s v="US"/>
    <s v="ZR"/>
    <d v="2016-12-06T00:00:00"/>
  </r>
  <r>
    <x v="1"/>
    <x v="5"/>
    <x v="2326"/>
    <x v="9"/>
    <s v="Standard order"/>
    <x v="2206"/>
    <x v="313"/>
    <s v="398N"/>
    <s v="BTS 39RR8N"/>
    <s v="5002568"/>
    <s v="39RR8N MP BetaShield PLUS"/>
    <n v="72"/>
    <n v="0"/>
    <n v="72"/>
    <x v="5"/>
    <s v="2771"/>
    <s v="MP"/>
    <s v="322"/>
    <s v="4.0 UN"/>
    <s v="STANDARD"/>
    <s v="N"/>
    <s v="Y"/>
    <s v="N"/>
    <s v="T20"/>
    <s v="Y"/>
    <s v="N"/>
    <s v="N"/>
    <s v="N"/>
    <s v=""/>
    <d v="2016-12-09T00:00:00"/>
    <s v="50"/>
    <s v="TAN"/>
    <s v="OR"/>
    <d v="2016-12-06T00:00:00"/>
    <s v="WY"/>
    <s v="US"/>
    <s v="ZR"/>
    <d v="2016-12-06T00:00:00"/>
  </r>
  <r>
    <x v="1"/>
    <x v="4"/>
    <x v="2327"/>
    <x v="50"/>
    <s v="Standard order"/>
    <x v="2207"/>
    <x v="2069"/>
    <s v="2523"/>
    <s v="BTS 2523"/>
    <s v="5002529"/>
    <s v="2523 BTS PB XL"/>
    <n v="76"/>
    <n v="0"/>
    <n v="76"/>
    <x v="4"/>
    <s v="EZPC"/>
    <s v="X-LARGE"/>
    <s v="307"/>
    <s v="4.0 UN"/>
    <s v="STANDARD"/>
    <s v="N"/>
    <s v="Y"/>
    <s v="N"/>
    <s v="N"/>
    <s v="N"/>
    <s v="N"/>
    <s v="N"/>
    <s v="N"/>
    <s v="B047"/>
    <d v="2016-12-09T00:00:00"/>
    <s v="10"/>
    <s v="TAN"/>
    <s v="OR"/>
    <d v="2016-12-06T00:00:00"/>
    <s v="ID"/>
    <s v="US"/>
    <s v="ZR"/>
    <d v="2016-12-06T00:00:00"/>
  </r>
  <r>
    <x v="1"/>
    <x v="0"/>
    <x v="2328"/>
    <x v="42"/>
    <s v="Standard order"/>
    <x v="2208"/>
    <x v="2070"/>
    <s v="122N"/>
    <s v="BTS 12RR2N"/>
    <s v="5002311"/>
    <s v="122N BTS T20 Kabina RP"/>
    <n v="36"/>
    <n v="0"/>
    <n v="36"/>
    <x v="0"/>
    <s v="4TBG"/>
    <s v="RP"/>
    <s v="380"/>
    <s v="4.0 UN"/>
    <s v="STANDARD"/>
    <s v="N"/>
    <s v="N"/>
    <s v="Y"/>
    <s v="T20"/>
    <s v="N"/>
    <s v="N"/>
    <s v="N"/>
    <s v="N"/>
    <s v="B007"/>
    <d v="2016-12-09T00:00:00"/>
    <s v="10"/>
    <s v="TAN"/>
    <s v="OR"/>
    <d v="2016-12-06T00:00:00"/>
    <s v="MI"/>
    <s v="US"/>
    <s v="ZR"/>
    <d v="2016-12-06T00:00:00"/>
  </r>
  <r>
    <x v="1"/>
    <x v="0"/>
    <x v="2329"/>
    <x v="42"/>
    <s v="Standard order"/>
    <x v="2209"/>
    <x v="2071"/>
    <s v="1399"/>
    <s v="BTS 1399"/>
    <s v="5002346"/>
    <s v="1399 BTS T20 Kabina MP"/>
    <n v="36"/>
    <n v="0"/>
    <n v="36"/>
    <x v="0"/>
    <s v="EG74"/>
    <s v="MP"/>
    <s v="380"/>
    <s v="4.0 UN"/>
    <s v="STANDARD"/>
    <s v="N"/>
    <s v="N"/>
    <s v="Y"/>
    <s v="T20"/>
    <s v="N"/>
    <s v="N"/>
    <s v="N"/>
    <s v="N"/>
    <s v="B007"/>
    <d v="2016-12-09T00:00:00"/>
    <s v="10"/>
    <s v="TAN"/>
    <s v="OR"/>
    <d v="2016-12-06T00:00:00"/>
    <s v="MI"/>
    <s v="US"/>
    <s v="ZR"/>
    <d v="2016-12-06T00:00:00"/>
  </r>
  <r>
    <x v="1"/>
    <x v="6"/>
    <x v="2330"/>
    <x v="51"/>
    <s v="Standard order"/>
    <x v="2210"/>
    <x v="177"/>
    <s v="459N"/>
    <s v="BTS 459N"/>
    <s v="5002256"/>
    <s v="459N BTS T20 PB SYSTIVA P100"/>
    <n v="28"/>
    <n v="0"/>
    <n v="28"/>
    <x v="6"/>
    <s v="DVNU"/>
    <s v="PRO 100"/>
    <s v="322"/>
    <s v="4.0 UN"/>
    <s v="STANDARD"/>
    <s v="N"/>
    <s v="N"/>
    <s v="N"/>
    <s v="T20"/>
    <s v="Y"/>
    <s v="N"/>
    <s v="Y"/>
    <s v="N"/>
    <s v="B011"/>
    <d v="2016-12-09T00:00:00"/>
    <s v="10"/>
    <s v="TAN"/>
    <s v="OR"/>
    <d v="2016-12-06T00:00:00"/>
    <s v="MT"/>
    <s v="US"/>
    <s v="ZR"/>
    <d v="2016-12-06T00:00:00"/>
  </r>
  <r>
    <x v="1"/>
    <x v="2"/>
    <x v="2331"/>
    <x v="6"/>
    <s v="Standard order"/>
    <x v="2211"/>
    <x v="290"/>
    <s v="628N"/>
    <s v="BTS 62RR8N"/>
    <s v="5002685"/>
    <s v="628N BTS T20 PB SYSTIVA P50"/>
    <n v="32"/>
    <n v="0"/>
    <n v="32"/>
    <x v="2"/>
    <s v="BL73"/>
    <s v="PRO 50"/>
    <s v="322"/>
    <s v="4.0 UN"/>
    <s v="STANDARD"/>
    <s v="N"/>
    <s v="N"/>
    <s v="N"/>
    <s v="T20"/>
    <s v="Y"/>
    <s v="N"/>
    <s v="Y"/>
    <s v="N"/>
    <s v="B025"/>
    <d v="2016-12-09T00:00:00"/>
    <s v="10"/>
    <s v="TAN"/>
    <s v="OR"/>
    <d v="2016-12-06T00:00:00"/>
    <s v="NE"/>
    <s v="US"/>
    <s v="ZR"/>
    <d v="2016-12-06T00:00:00"/>
  </r>
  <r>
    <x v="1"/>
    <x v="2"/>
    <x v="2331"/>
    <x v="6"/>
    <s v="Standard order"/>
    <x v="2211"/>
    <x v="290"/>
    <s v="64SN"/>
    <s v="BTS 64SN"/>
    <s v="5002422"/>
    <s v="64SN BTS T20 PB SYSTIVA P50"/>
    <n v="32"/>
    <n v="0"/>
    <n v="32"/>
    <x v="2"/>
    <s v="DVNB"/>
    <s v="PRO 50"/>
    <s v="322"/>
    <s v="4.0 UN"/>
    <s v="STANDARD"/>
    <s v="N"/>
    <s v="N"/>
    <s v="N"/>
    <s v="T20"/>
    <s v="Y"/>
    <s v="N"/>
    <s v="Y"/>
    <s v="N"/>
    <s v="B025"/>
    <d v="2016-12-09T00:00:00"/>
    <s v="20"/>
    <s v="TAN"/>
    <s v="OR"/>
    <d v="2016-12-06T00:00:00"/>
    <s v="NE"/>
    <s v="US"/>
    <s v="ZR"/>
    <d v="2016-12-06T00:00:00"/>
  </r>
  <r>
    <x v="1"/>
    <x v="5"/>
    <x v="2332"/>
    <x v="14"/>
    <s v="Standard order"/>
    <x v="2212"/>
    <x v="2072"/>
    <s v="398N"/>
    <s v="BTS 39RR8N"/>
    <s v="5002572"/>
    <s v="398N BTS T20 PB SYSTIVA RP"/>
    <n v="56"/>
    <n v="0"/>
    <n v="56"/>
    <x v="5"/>
    <s v="2771"/>
    <s v="RP"/>
    <s v="322"/>
    <s v="4.0 UN"/>
    <s v="STANDARD"/>
    <s v="N"/>
    <s v="Y"/>
    <s v="N"/>
    <s v="T20"/>
    <s v="Y"/>
    <s v="N"/>
    <s v="N"/>
    <s v="N"/>
    <s v="B017"/>
    <d v="2016-12-09T00:00:00"/>
    <s v="20"/>
    <s v="TAN"/>
    <s v="OR"/>
    <d v="2016-12-06T00:00:00"/>
    <s v="WY"/>
    <s v="US"/>
    <s v="ZR"/>
    <d v="2016-12-06T00:00:00"/>
  </r>
  <r>
    <x v="1"/>
    <x v="5"/>
    <x v="2332"/>
    <x v="14"/>
    <s v="Standard order"/>
    <x v="2212"/>
    <x v="2072"/>
    <s v="398N"/>
    <s v="BTS 39RR8N"/>
    <s v="5002572"/>
    <s v="398N BTS T20 PB SYSTIVA RP"/>
    <n v="148"/>
    <n v="0"/>
    <n v="148"/>
    <x v="5"/>
    <s v="2771"/>
    <s v="RP"/>
    <s v="322"/>
    <s v="4.0 UN"/>
    <s v="STANDARD"/>
    <s v="N"/>
    <s v="Y"/>
    <s v="N"/>
    <s v="T20"/>
    <s v="Y"/>
    <s v="N"/>
    <s v="N"/>
    <s v="N"/>
    <s v="B017"/>
    <d v="2016-12-09T00:00:00"/>
    <s v="10"/>
    <s v="TAN"/>
    <s v="OR"/>
    <d v="2016-12-06T00:00:00"/>
    <s v="WY"/>
    <s v="US"/>
    <s v="ZR"/>
    <d v="2016-12-06T00:00:00"/>
  </r>
  <r>
    <x v="1"/>
    <x v="2"/>
    <x v="2333"/>
    <x v="3"/>
    <s v="Standard order"/>
    <x v="2213"/>
    <x v="319"/>
    <s v="64SN"/>
    <s v="BTS 64SN"/>
    <s v="5002420"/>
    <s v="64SN BTS T20 PB SYSTIVA P100"/>
    <n v="576"/>
    <n v="0"/>
    <n v="576"/>
    <x v="2"/>
    <s v="DVNB"/>
    <s v="PRO 100"/>
    <s v="322"/>
    <s v="4.0 UN"/>
    <s v="STANDARD"/>
    <s v="N"/>
    <s v="N"/>
    <s v="N"/>
    <s v="T20"/>
    <s v="Y"/>
    <s v="N"/>
    <s v="Y"/>
    <s v="N"/>
    <s v="B024"/>
    <d v="2016-12-09T00:00:00"/>
    <s v="10"/>
    <s v="TAN"/>
    <s v="OR"/>
    <d v="2016-12-06T00:00:00"/>
    <s v="NE"/>
    <s v="US"/>
    <s v="ZR"/>
    <d v="2016-12-06T00:00:00"/>
  </r>
  <r>
    <x v="1"/>
    <x v="2"/>
    <x v="2333"/>
    <x v="3"/>
    <s v="Standard order"/>
    <x v="2213"/>
    <x v="319"/>
    <s v="628N"/>
    <s v="BTS 62RR8N"/>
    <s v="5002683"/>
    <s v="628N BTS T20 PB SYSTIVA P100"/>
    <n v="192"/>
    <n v="0"/>
    <n v="192"/>
    <x v="2"/>
    <s v="BL73"/>
    <s v="PRO 100"/>
    <s v="322"/>
    <s v="4.0 UN"/>
    <s v="STANDARD"/>
    <s v="N"/>
    <s v="N"/>
    <s v="N"/>
    <s v="T20"/>
    <s v="Y"/>
    <s v="N"/>
    <s v="Y"/>
    <s v="N"/>
    <s v="B024"/>
    <d v="2016-12-09T00:00:00"/>
    <s v="20"/>
    <s v="TAN"/>
    <s v="OR"/>
    <d v="2016-12-06T00:00:00"/>
    <s v="NE"/>
    <s v="US"/>
    <s v="ZR"/>
    <d v="2016-12-06T00:00:00"/>
  </r>
  <r>
    <x v="1"/>
    <x v="5"/>
    <x v="2334"/>
    <x v="13"/>
    <s v="Standard order"/>
    <x v="2214"/>
    <x v="286"/>
    <s v="398N"/>
    <s v="BTS 39RR8N"/>
    <s v="5002572"/>
    <s v="398N BTS T20 PB SYSTIVA RP"/>
    <n v="76"/>
    <n v="0"/>
    <n v="76"/>
    <x v="5"/>
    <s v="2771"/>
    <s v="RP"/>
    <s v="322"/>
    <s v="4.0 UN"/>
    <s v="STANDARD"/>
    <s v="N"/>
    <s v="Y"/>
    <s v="N"/>
    <s v="T20"/>
    <s v="Y"/>
    <s v="N"/>
    <s v="N"/>
    <s v="N"/>
    <s v="B015"/>
    <d v="2016-12-09T00:00:00"/>
    <s v="10"/>
    <s v="TAN"/>
    <s v="OR"/>
    <d v="2016-12-06T00:00:00"/>
    <s v="MT"/>
    <s v="US"/>
    <s v="ZR"/>
    <d v="2016-12-06T00:00:00"/>
  </r>
  <r>
    <x v="1"/>
    <x v="5"/>
    <x v="2334"/>
    <x v="13"/>
    <s v="Standard order"/>
    <x v="2214"/>
    <x v="286"/>
    <s v="336N"/>
    <s v="BTS 336N"/>
    <s v="5002400"/>
    <s v="336N BTS T20 PB SYSTIVA RP"/>
    <n v="52"/>
    <n v="0"/>
    <n v="52"/>
    <x v="5"/>
    <s v="EEMG"/>
    <s v="RP"/>
    <s v="322"/>
    <s v="4.0 UN"/>
    <s v="STANDARD"/>
    <s v="N"/>
    <s v="N"/>
    <s v="N"/>
    <s v="T20"/>
    <s v="Y"/>
    <s v="N"/>
    <s v="N"/>
    <s v="N"/>
    <s v="B015"/>
    <d v="2016-12-09T00:00:00"/>
    <s v="20"/>
    <s v="TAN"/>
    <s v="OR"/>
    <d v="2016-12-06T00:00:00"/>
    <s v="MT"/>
    <s v="US"/>
    <s v="ZR"/>
    <d v="2016-12-06T00:00:00"/>
  </r>
  <r>
    <x v="1"/>
    <x v="5"/>
    <x v="2334"/>
    <x v="13"/>
    <s v="Standard order"/>
    <x v="2214"/>
    <x v="286"/>
    <s v="353N"/>
    <s v="BTS 353N"/>
    <s v="5002524"/>
    <s v="353N BTS T20 PB SYSTIVA RP"/>
    <n v="20"/>
    <n v="0"/>
    <n v="20"/>
    <x v="5"/>
    <s v="EENZ"/>
    <s v="RP"/>
    <s v="322"/>
    <s v="4.0 UN"/>
    <s v="STANDARD"/>
    <s v="N"/>
    <s v="Y"/>
    <s v="N"/>
    <s v="T20"/>
    <s v="Y"/>
    <s v="N"/>
    <s v="N"/>
    <s v="N"/>
    <s v="B015"/>
    <d v="2016-12-09T00:00:00"/>
    <s v="30"/>
    <s v="TAN"/>
    <s v="OR"/>
    <d v="2016-12-06T00:00:00"/>
    <s v="MT"/>
    <s v="US"/>
    <s v="ZR"/>
    <d v="2016-12-06T00:00:00"/>
  </r>
  <r>
    <x v="1"/>
    <x v="0"/>
    <x v="2335"/>
    <x v="30"/>
    <s v="Standard order"/>
    <x v="2215"/>
    <x v="304"/>
    <s v="122N"/>
    <s v="BTS 12RR2N"/>
    <s v="5002311"/>
    <s v="122N BTS T20 Kabina RP"/>
    <n v="16"/>
    <n v="0"/>
    <n v="16"/>
    <x v="0"/>
    <s v="4TBG"/>
    <s v="RP"/>
    <s v="380"/>
    <s v="4.0 UN"/>
    <s v="STANDARD"/>
    <s v="N"/>
    <s v="N"/>
    <s v="Y"/>
    <s v="T20"/>
    <s v="N"/>
    <s v="N"/>
    <s v="N"/>
    <s v="N"/>
    <s v="B001"/>
    <d v="2016-12-09T00:00:00"/>
    <s v="10"/>
    <s v="TAN"/>
    <s v="OR"/>
    <d v="2016-12-06T00:00:00"/>
    <s v="MI"/>
    <s v="US"/>
    <s v="ZR"/>
    <d v="2016-12-06T00:00:00"/>
  </r>
  <r>
    <x v="1"/>
    <x v="4"/>
    <x v="2336"/>
    <x v="44"/>
    <s v="Standard order"/>
    <x v="2216"/>
    <x v="2073"/>
    <s v="225N"/>
    <s v="BTS 22RR5N"/>
    <s v="5002112"/>
    <s v="225N BTS PB MED"/>
    <n v="16"/>
    <n v="0"/>
    <n v="16"/>
    <x v="4"/>
    <s v="4TBD"/>
    <s v="MEDIUM"/>
    <s v="307"/>
    <s v="4.0 UN"/>
    <s v="STANDARD"/>
    <s v="N"/>
    <s v="Y"/>
    <s v="N"/>
    <s v="N"/>
    <s v="N"/>
    <s v="N"/>
    <s v="N"/>
    <s v="N"/>
    <s v="MB13"/>
    <d v="2016-12-09T00:00:00"/>
    <s v="10"/>
    <s v="TAN"/>
    <s v="OR"/>
    <d v="2016-12-06T00:00:00"/>
    <s v="OR"/>
    <s v="US"/>
    <s v="ZR"/>
    <d v="2016-12-06T00:00:00"/>
  </r>
  <r>
    <x v="1"/>
    <x v="4"/>
    <x v="2336"/>
    <x v="44"/>
    <s v="Standard order"/>
    <x v="2216"/>
    <x v="2073"/>
    <s v="251N"/>
    <s v="BTS 251N"/>
    <s v="5002192"/>
    <s v="251N BTS PB MED"/>
    <n v="12"/>
    <n v="0"/>
    <n v="12"/>
    <x v="4"/>
    <s v="5HBR"/>
    <s v="MEDIUM"/>
    <s v="307"/>
    <s v="4.0 UN"/>
    <s v="STANDARD"/>
    <s v="N"/>
    <s v="Y"/>
    <s v="N"/>
    <s v="N"/>
    <s v="N"/>
    <s v="N"/>
    <s v="N"/>
    <s v="N"/>
    <s v="MB13"/>
    <d v="2016-12-09T00:00:00"/>
    <s v="20"/>
    <s v="TAN"/>
    <s v="OR"/>
    <d v="2016-12-06T00:00:00"/>
    <s v="OR"/>
    <s v="US"/>
    <s v="ZR"/>
    <d v="2016-12-06T00:00:00"/>
  </r>
  <r>
    <x v="1"/>
    <x v="4"/>
    <x v="2337"/>
    <x v="44"/>
    <s v="Standard order"/>
    <x v="2217"/>
    <x v="115"/>
    <s v="225N"/>
    <s v="BTS 22RR5N"/>
    <s v="5002119"/>
    <s v="225N BTS PB XL"/>
    <n v="56"/>
    <n v="0"/>
    <n v="56"/>
    <x v="4"/>
    <s v="4TBD"/>
    <s v="X-LARGE"/>
    <s v="307"/>
    <s v="4.0 UN"/>
    <s v="STANDARD"/>
    <s v="N"/>
    <s v="Y"/>
    <s v="N"/>
    <s v="N"/>
    <s v="N"/>
    <s v="N"/>
    <s v="N"/>
    <s v="N"/>
    <s v="MB13"/>
    <d v="2016-12-09T00:00:00"/>
    <s v="10"/>
    <s v="TAN"/>
    <s v="OR"/>
    <d v="2016-12-06T00:00:00"/>
    <s v="OR"/>
    <s v="US"/>
    <s v="ZR"/>
    <d v="2016-12-06T00:00:00"/>
  </r>
  <r>
    <x v="1"/>
    <x v="4"/>
    <x v="2337"/>
    <x v="44"/>
    <s v="Standard order"/>
    <x v="2217"/>
    <x v="115"/>
    <s v="251N"/>
    <s v="BTS 251N"/>
    <s v="5002196"/>
    <s v="251N BTS PB XL"/>
    <n v="8"/>
    <n v="0"/>
    <n v="8"/>
    <x v="4"/>
    <s v="5HBR"/>
    <s v="X-LARGE"/>
    <s v="307"/>
    <s v="4.0 UN"/>
    <s v="STANDARD"/>
    <s v="N"/>
    <s v="Y"/>
    <s v="N"/>
    <s v="N"/>
    <s v="N"/>
    <s v="N"/>
    <s v="N"/>
    <s v="N"/>
    <s v="MB13"/>
    <d v="2016-12-09T00:00:00"/>
    <s v="20"/>
    <s v="TAN"/>
    <s v="OR"/>
    <d v="2016-12-06T00:00:00"/>
    <s v="OR"/>
    <s v="US"/>
    <s v="ZR"/>
    <d v="2016-12-06T00:00:00"/>
  </r>
  <r>
    <x v="1"/>
    <x v="0"/>
    <x v="2338"/>
    <x v="30"/>
    <s v="Standard order"/>
    <x v="2218"/>
    <x v="2074"/>
    <s v="1399"/>
    <s v="BTS 1399"/>
    <s v="5002348"/>
    <s v="1399 BTS T20 Kabina RP"/>
    <n v="52"/>
    <n v="0"/>
    <n v="52"/>
    <x v="0"/>
    <s v="EG74"/>
    <s v="RP"/>
    <s v="380"/>
    <s v="4.0 UN"/>
    <s v="STANDARD"/>
    <s v="N"/>
    <s v="N"/>
    <s v="Y"/>
    <s v="T20"/>
    <s v="N"/>
    <s v="N"/>
    <s v="N"/>
    <s v="N"/>
    <s v="B001"/>
    <d v="2016-12-09T00:00:00"/>
    <s v="10"/>
    <s v="TAN"/>
    <s v="OR"/>
    <d v="2016-12-06T00:00:00"/>
    <s v="MI"/>
    <s v="US"/>
    <s v="ZR"/>
    <d v="2016-12-06T00:00:00"/>
  </r>
  <r>
    <x v="1"/>
    <x v="4"/>
    <x v="2339"/>
    <x v="46"/>
    <s v="Standard order"/>
    <x v="2219"/>
    <x v="170"/>
    <s v="2125"/>
    <s v="BTS 21RR25"/>
    <s v="5002395"/>
    <s v="2125 BTS PB XL"/>
    <n v="32"/>
    <n v="0"/>
    <n v="32"/>
    <x v="4"/>
    <s v="AP92"/>
    <s v="X-LARGE"/>
    <s v="307"/>
    <s v="4.0 UN"/>
    <s v="STANDARD"/>
    <s v="N"/>
    <s v="Y"/>
    <s v="N"/>
    <s v="N"/>
    <s v="N"/>
    <s v="N"/>
    <s v="N"/>
    <s v="N"/>
    <s v="B049"/>
    <d v="2016-12-09T00:00:00"/>
    <s v="10"/>
    <s v="TAN"/>
    <s v="OR"/>
    <d v="2016-12-05T00:00:00"/>
    <s v="ID"/>
    <s v="US"/>
    <s v="ZR"/>
    <d v="2016-12-06T00:00:00"/>
  </r>
  <r>
    <x v="1"/>
    <x v="4"/>
    <x v="2339"/>
    <x v="46"/>
    <s v="Standard order"/>
    <x v="2219"/>
    <x v="170"/>
    <s v="2720"/>
    <s v="BTS 27RR20"/>
    <s v="5002142"/>
    <s v="2720 BTS PB XL"/>
    <n v="24"/>
    <n v="0"/>
    <n v="24"/>
    <x v="4"/>
    <s v="4GAY"/>
    <s v="X-LARGE"/>
    <s v="307"/>
    <s v="4.0 UN"/>
    <s v="STANDARD"/>
    <s v="N"/>
    <s v="Y"/>
    <s v="N"/>
    <s v="N"/>
    <s v="N"/>
    <s v="N"/>
    <s v="N"/>
    <s v="N"/>
    <s v="B049"/>
    <d v="2016-12-09T00:00:00"/>
    <s v="20"/>
    <s v="TAN"/>
    <s v="OR"/>
    <d v="2016-12-05T00:00:00"/>
    <s v="ID"/>
    <s v="US"/>
    <s v="ZR"/>
    <d v="2016-12-06T00:00:00"/>
  </r>
  <r>
    <x v="1"/>
    <x v="4"/>
    <x v="2339"/>
    <x v="46"/>
    <s v="Standard order"/>
    <x v="2219"/>
    <x v="170"/>
    <s v="2559"/>
    <s v="BTS 2559"/>
    <s v="5002563"/>
    <s v="2559 BTS PB XL"/>
    <n v="52"/>
    <n v="0"/>
    <n v="52"/>
    <x v="4"/>
    <s v="FGNE"/>
    <s v="X-LARGE"/>
    <s v="307"/>
    <s v="4.0 UN"/>
    <s v="STANDARD"/>
    <s v="N"/>
    <s v="Y"/>
    <s v="N"/>
    <s v="N"/>
    <s v="N"/>
    <s v="N"/>
    <s v="N"/>
    <s v="N"/>
    <s v="B049"/>
    <d v="2016-12-09T00:00:00"/>
    <s v="30"/>
    <s v="TAN"/>
    <s v="OR"/>
    <d v="2016-12-05T00:00:00"/>
    <s v="ID"/>
    <s v="US"/>
    <s v="ZR"/>
    <d v="2016-12-06T00:00:00"/>
  </r>
  <r>
    <x v="1"/>
    <x v="4"/>
    <x v="2340"/>
    <x v="46"/>
    <s v="Standard order"/>
    <x v="2220"/>
    <x v="193"/>
    <s v="2720"/>
    <s v="BTS 27RR20"/>
    <s v="5002142"/>
    <s v="2720 BTS PB XL"/>
    <n v="48"/>
    <n v="0"/>
    <n v="48"/>
    <x v="4"/>
    <s v="4GAY"/>
    <s v="X-LARGE"/>
    <s v="307"/>
    <s v="4.0 UN"/>
    <s v="STANDARD"/>
    <s v="N"/>
    <s v="Y"/>
    <s v="N"/>
    <s v="N"/>
    <s v="N"/>
    <s v="N"/>
    <s v="N"/>
    <s v="N"/>
    <s v="B049"/>
    <d v="2016-12-09T00:00:00"/>
    <s v="10"/>
    <s v="TAN"/>
    <s v="OR"/>
    <d v="2016-12-05T00:00:00"/>
    <s v="ID"/>
    <s v="US"/>
    <s v="ZR"/>
    <d v="2016-12-06T00:00:00"/>
  </r>
  <r>
    <x v="1"/>
    <x v="4"/>
    <x v="2340"/>
    <x v="46"/>
    <s v="Standard order"/>
    <x v="2220"/>
    <x v="193"/>
    <s v="6027"/>
    <s v="BTS 60RR27"/>
    <s v="5002625"/>
    <s v="6027 BTS PB XL IDH"/>
    <n v="8"/>
    <n v="0"/>
    <n v="8"/>
    <x v="4"/>
    <s v="APMC"/>
    <s v="X-LARGE"/>
    <s v="307"/>
    <s v="4.0 UN"/>
    <s v="STANDARD"/>
    <s v="N"/>
    <s v="Y"/>
    <s v="N"/>
    <s v="N"/>
    <s v="N"/>
    <s v="N"/>
    <s v="N"/>
    <s v="N"/>
    <s v="B049"/>
    <d v="2016-12-09T00:00:00"/>
    <s v="20"/>
    <s v="TAN"/>
    <s v="OR"/>
    <d v="2016-12-05T00:00:00"/>
    <s v="ID"/>
    <s v="US"/>
    <s v="ZR"/>
    <d v="2016-12-06T00:00:00"/>
  </r>
  <r>
    <x v="1"/>
    <x v="4"/>
    <x v="2340"/>
    <x v="46"/>
    <s v="Standard order"/>
    <x v="2220"/>
    <x v="193"/>
    <s v="2570"/>
    <s v="BTS 2570"/>
    <s v="5002555"/>
    <s v="2570 BTS PB XL"/>
    <n v="32"/>
    <n v="0"/>
    <n v="32"/>
    <x v="4"/>
    <s v="EZNS"/>
    <s v="X-LARGE"/>
    <s v="307"/>
    <s v="4.0 UN"/>
    <s v="STANDARD"/>
    <s v="N"/>
    <s v="Y"/>
    <s v="N"/>
    <s v="N"/>
    <s v="N"/>
    <s v="N"/>
    <s v="N"/>
    <s v="N"/>
    <s v="B049"/>
    <d v="2016-12-09T00:00:00"/>
    <s v="30"/>
    <s v="TAN"/>
    <s v="OR"/>
    <d v="2016-12-05T00:00:00"/>
    <s v="ID"/>
    <s v="US"/>
    <s v="ZR"/>
    <d v="2016-12-06T00:00:00"/>
  </r>
  <r>
    <x v="1"/>
    <x v="0"/>
    <x v="2341"/>
    <x v="42"/>
    <s v="Standard order"/>
    <x v="2221"/>
    <x v="2075"/>
    <s v="1399"/>
    <s v="BTS 1399"/>
    <s v="5002356"/>
    <s v="1399 BTS T20 PB Kabina RP"/>
    <n v="84"/>
    <n v="0"/>
    <n v="84"/>
    <x v="0"/>
    <s v="EG74"/>
    <s v="RP"/>
    <s v="382"/>
    <s v="4.0 UN"/>
    <s v="STANDARD"/>
    <s v="N"/>
    <s v="Y"/>
    <s v="Y"/>
    <s v="T20"/>
    <s v="N"/>
    <s v="N"/>
    <s v="N"/>
    <s v="N"/>
    <s v="B007"/>
    <d v="2016-12-09T00:00:00"/>
    <s v="10"/>
    <s v="TAN"/>
    <s v="OR"/>
    <d v="2016-12-05T00:00:00"/>
    <s v="MI"/>
    <s v="US"/>
    <s v="ZR"/>
    <d v="2016-12-06T00:00:00"/>
  </r>
  <r>
    <x v="1"/>
    <x v="0"/>
    <x v="2342"/>
    <x v="42"/>
    <s v="Standard order"/>
    <x v="2222"/>
    <x v="822"/>
    <s v="1399"/>
    <s v="BTS 1399"/>
    <s v="5002356"/>
    <s v="1399 BTS T20 PB Kabina RP"/>
    <n v="28"/>
    <n v="0"/>
    <n v="28"/>
    <x v="0"/>
    <s v="EG74"/>
    <s v="RP"/>
    <s v="382"/>
    <s v="4.0 UN"/>
    <s v="STANDARD"/>
    <s v="N"/>
    <s v="Y"/>
    <s v="Y"/>
    <s v="T20"/>
    <s v="N"/>
    <s v="N"/>
    <s v="N"/>
    <s v="N"/>
    <s v="B007"/>
    <d v="2016-12-09T00:00:00"/>
    <s v="10"/>
    <s v="TAN"/>
    <s v="OR"/>
    <d v="2016-12-05T00:00:00"/>
    <s v="MI"/>
    <s v="US"/>
    <s v="ZR"/>
    <d v="2016-12-06T00:00:00"/>
  </r>
  <r>
    <x v="1"/>
    <x v="4"/>
    <x v="2343"/>
    <x v="46"/>
    <s v="Standard order"/>
    <x v="2223"/>
    <x v="695"/>
    <s v="4933"/>
    <s v="BTS 49RR33"/>
    <s v="5002280"/>
    <s v="4933 BTS PB XL IDH"/>
    <n v="80"/>
    <n v="0"/>
    <n v="80"/>
    <x v="4"/>
    <s v="AKMC"/>
    <s v="X-LARGE"/>
    <s v="307"/>
    <s v="4.0 UN"/>
    <s v="STANDARD"/>
    <s v="N"/>
    <s v="Y"/>
    <s v="N"/>
    <s v="N"/>
    <s v="N"/>
    <s v="N"/>
    <s v="N"/>
    <s v="N"/>
    <s v="B049"/>
    <d v="2016-12-09T00:00:00"/>
    <s v="10"/>
    <s v="TAN"/>
    <s v="OR"/>
    <d v="2016-12-05T00:00:00"/>
    <s v="ID"/>
    <s v="US"/>
    <s v="ZR"/>
    <d v="2016-12-06T00:00:00"/>
  </r>
  <r>
    <x v="1"/>
    <x v="4"/>
    <x v="2343"/>
    <x v="46"/>
    <s v="Standard order"/>
    <x v="2223"/>
    <x v="695"/>
    <s v="2125"/>
    <s v="BTS 21RR25"/>
    <s v="5002395"/>
    <s v="2125 BTS PB XL"/>
    <n v="36"/>
    <n v="0"/>
    <n v="36"/>
    <x v="4"/>
    <s v="AP92"/>
    <s v="X-LARGE"/>
    <s v="307"/>
    <s v="4.0 UN"/>
    <s v="STANDARD"/>
    <s v="N"/>
    <s v="Y"/>
    <s v="N"/>
    <s v="N"/>
    <s v="N"/>
    <s v="N"/>
    <s v="N"/>
    <s v="N"/>
    <s v="B049"/>
    <d v="2016-12-09T00:00:00"/>
    <s v="20"/>
    <s v="TAN"/>
    <s v="OR"/>
    <d v="2016-12-05T00:00:00"/>
    <s v="ID"/>
    <s v="US"/>
    <s v="ZR"/>
    <d v="2016-12-06T00:00:00"/>
  </r>
  <r>
    <x v="1"/>
    <x v="4"/>
    <x v="2343"/>
    <x v="46"/>
    <s v="Standard order"/>
    <x v="2223"/>
    <x v="695"/>
    <s v="2570"/>
    <s v="BTS 2570"/>
    <s v="5002555"/>
    <s v="2570 BTS PB XL"/>
    <n v="40"/>
    <n v="0"/>
    <n v="40"/>
    <x v="4"/>
    <s v="EZNS"/>
    <s v="X-LARGE"/>
    <s v="307"/>
    <s v="4.0 UN"/>
    <s v="STANDARD"/>
    <s v="N"/>
    <s v="Y"/>
    <s v="N"/>
    <s v="N"/>
    <s v="N"/>
    <s v="N"/>
    <s v="N"/>
    <s v="N"/>
    <s v="B049"/>
    <d v="2016-12-09T00:00:00"/>
    <s v="30"/>
    <s v="TAN"/>
    <s v="OR"/>
    <d v="2016-12-05T00:00:00"/>
    <s v="ID"/>
    <s v="US"/>
    <s v="ZR"/>
    <d v="2016-12-06T00:00:00"/>
  </r>
  <r>
    <x v="1"/>
    <x v="7"/>
    <x v="2344"/>
    <x v="41"/>
    <s v="Standard order"/>
    <x v="2224"/>
    <x v="2076"/>
    <s v="8512"/>
    <s v="BTS 8512"/>
    <s v="5002880"/>
    <s v="8512 BTS T35 SYSTIVA RP"/>
    <n v="48"/>
    <n v="0"/>
    <n v="48"/>
    <x v="7"/>
    <s v="FX73"/>
    <s v="RP"/>
    <s v="334"/>
    <s v="4.0 UN"/>
    <s v="STANDARD"/>
    <s v="N"/>
    <s v="N"/>
    <s v="N"/>
    <s v="T35"/>
    <s v="Y"/>
    <s v="N"/>
    <s v="Y"/>
    <s v="N"/>
    <s v="B032"/>
    <d v="2016-12-09T00:00:00"/>
    <s v="10"/>
    <s v="TAN"/>
    <s v="OR"/>
    <d v="2016-12-05T00:00:00"/>
    <s v="ND"/>
    <s v="US"/>
    <s v="ZR"/>
    <d v="2016-12-06T00:00:00"/>
  </r>
  <r>
    <x v="1"/>
    <x v="5"/>
    <x v="2345"/>
    <x v="9"/>
    <s v="Standard order"/>
    <x v="2225"/>
    <x v="314"/>
    <s v="353N"/>
    <s v="BTS 353N"/>
    <s v="5002524"/>
    <s v="353N BTS T20 PB SYSTIVA RP"/>
    <n v="16"/>
    <n v="0"/>
    <n v="16"/>
    <x v="5"/>
    <s v="EENZ"/>
    <s v="RP"/>
    <s v="322"/>
    <s v="4.0 UN"/>
    <s v="STANDARD"/>
    <s v="N"/>
    <s v="Y"/>
    <s v="N"/>
    <s v="T20"/>
    <s v="Y"/>
    <s v="N"/>
    <s v="N"/>
    <s v="N"/>
    <s v="B016"/>
    <d v="2016-12-09T00:00:00"/>
    <s v="10"/>
    <s v="TAN"/>
    <s v="OR"/>
    <d v="2016-12-06T00:00:00"/>
    <s v="WY"/>
    <s v="US"/>
    <s v="ZR"/>
    <d v="2016-12-06T00:00:00"/>
  </r>
  <r>
    <x v="1"/>
    <x v="5"/>
    <x v="2345"/>
    <x v="9"/>
    <s v="Standard order"/>
    <x v="2225"/>
    <x v="314"/>
    <s v="3650"/>
    <s v="BTS 36RR50"/>
    <s v="5002548"/>
    <s v="3650 BTS T20 PB SYSTIVA RP"/>
    <n v="80"/>
    <n v="0"/>
    <n v="80"/>
    <x v="5"/>
    <s v="4DAY"/>
    <s v="RP"/>
    <s v="322"/>
    <s v="4.0 UN"/>
    <s v="STANDARD"/>
    <s v="N"/>
    <s v="Y"/>
    <s v="N"/>
    <s v="T20"/>
    <s v="Y"/>
    <s v="N"/>
    <s v="N"/>
    <s v="N"/>
    <s v="B016"/>
    <d v="2016-12-09T00:00:00"/>
    <s v="20"/>
    <s v="TAN"/>
    <s v="OR"/>
    <d v="2016-12-06T00:00:00"/>
    <s v="WY"/>
    <s v="US"/>
    <s v="ZR"/>
    <d v="2016-12-06T00:00:00"/>
  </r>
  <r>
    <x v="1"/>
    <x v="4"/>
    <x v="2346"/>
    <x v="50"/>
    <s v="Standard order"/>
    <x v="2226"/>
    <x v="2077"/>
    <s v="2720"/>
    <s v="BTS 27RR20"/>
    <s v="5002142"/>
    <s v="2720 BTS PB XL"/>
    <n v="80"/>
    <n v="0"/>
    <n v="80"/>
    <x v="4"/>
    <s v="4GAY"/>
    <s v="X-LARGE"/>
    <s v="307"/>
    <s v="4.0 UN"/>
    <s v="STANDARD"/>
    <s v="N"/>
    <s v="Y"/>
    <s v="N"/>
    <s v="N"/>
    <s v="N"/>
    <s v="N"/>
    <s v="N"/>
    <s v="N"/>
    <s v="B047"/>
    <d v="2016-12-09T00:00:00"/>
    <s v="10"/>
    <s v="TAN"/>
    <s v="OR"/>
    <d v="2016-12-06T00:00:00"/>
    <s v="ID"/>
    <s v="US"/>
    <s v="ZR"/>
    <d v="2016-12-06T00:00:00"/>
  </r>
  <r>
    <x v="1"/>
    <x v="4"/>
    <x v="2346"/>
    <x v="50"/>
    <s v="Standard order"/>
    <x v="2226"/>
    <x v="2077"/>
    <s v="225N"/>
    <s v="BTS 22RR5N"/>
    <s v="5002119"/>
    <s v="225N BTS PB XL"/>
    <n v="188"/>
    <n v="0"/>
    <n v="188"/>
    <x v="4"/>
    <s v="4TBD"/>
    <s v="X-LARGE"/>
    <s v="307"/>
    <s v="4.0 UN"/>
    <s v="STANDARD"/>
    <s v="N"/>
    <s v="Y"/>
    <s v="N"/>
    <s v="N"/>
    <s v="N"/>
    <s v="N"/>
    <s v="N"/>
    <s v="N"/>
    <s v="B047"/>
    <d v="2016-12-09T00:00:00"/>
    <s v="20"/>
    <s v="TAN"/>
    <s v="OR"/>
    <d v="2016-12-06T00:00:00"/>
    <s v="ID"/>
    <s v="US"/>
    <s v="ZR"/>
    <d v="2016-12-06T00:00:00"/>
  </r>
  <r>
    <x v="1"/>
    <x v="4"/>
    <x v="2346"/>
    <x v="50"/>
    <s v="Standard order"/>
    <x v="2226"/>
    <x v="2077"/>
    <s v="2570"/>
    <s v="BTS 2570"/>
    <s v="5002555"/>
    <s v="2570 BTS PB XL"/>
    <n v="188"/>
    <n v="0"/>
    <n v="188"/>
    <x v="4"/>
    <s v="EZNS"/>
    <s v="X-LARGE"/>
    <s v="307"/>
    <s v="4.0 UN"/>
    <s v="STANDARD"/>
    <s v="N"/>
    <s v="Y"/>
    <s v="N"/>
    <s v="N"/>
    <s v="N"/>
    <s v="N"/>
    <s v="N"/>
    <s v="N"/>
    <s v="B047"/>
    <d v="2016-12-09T00:00:00"/>
    <s v="30"/>
    <s v="TAN"/>
    <s v="OR"/>
    <d v="2016-12-06T00:00:00"/>
    <s v="ID"/>
    <s v="US"/>
    <s v="ZR"/>
    <d v="2016-12-06T00:00:00"/>
  </r>
  <r>
    <x v="1"/>
    <x v="4"/>
    <x v="2347"/>
    <x v="50"/>
    <s v="Standard order"/>
    <x v="2227"/>
    <x v="145"/>
    <s v="225N"/>
    <s v="BTS 22RR5N"/>
    <s v="5002106"/>
    <s v="225N BTS PB Kabina LRG"/>
    <n v="20"/>
    <n v="0"/>
    <n v="20"/>
    <x v="4"/>
    <s v="4TBD"/>
    <s v="LARGE"/>
    <s v="384"/>
    <s v="4.0 UN"/>
    <s v="STANDARD"/>
    <s v="N"/>
    <s v="Y"/>
    <s v="Y"/>
    <s v="N"/>
    <s v="N"/>
    <s v="N"/>
    <s v="N"/>
    <s v="N"/>
    <s v="B047"/>
    <d v="2016-12-09T00:00:00"/>
    <s v="10"/>
    <s v="TAN"/>
    <s v="OR"/>
    <d v="2016-12-06T00:00:00"/>
    <s v="ID"/>
    <s v="US"/>
    <s v="ZR"/>
    <d v="2016-12-06T00:00:00"/>
  </r>
  <r>
    <x v="1"/>
    <x v="4"/>
    <x v="2348"/>
    <x v="50"/>
    <s v="Standard order"/>
    <x v="2228"/>
    <x v="2078"/>
    <s v="2523"/>
    <s v="BTS 2523"/>
    <s v="5002529"/>
    <s v="2523 BTS PB XL"/>
    <n v="60"/>
    <n v="0"/>
    <n v="60"/>
    <x v="4"/>
    <s v="EZPC"/>
    <s v="X-LARGE"/>
    <s v="307"/>
    <s v="4.0 UN"/>
    <s v="STANDARD"/>
    <s v="N"/>
    <s v="Y"/>
    <s v="N"/>
    <s v="N"/>
    <s v="N"/>
    <s v="N"/>
    <s v="N"/>
    <s v="N"/>
    <s v="B047"/>
    <d v="2016-12-09T00:00:00"/>
    <s v="10"/>
    <s v="TAN"/>
    <s v="OR"/>
    <d v="2016-12-06T00:00:00"/>
    <s v="ID"/>
    <s v="US"/>
    <s v="ZR"/>
    <d v="2016-12-06T00:00:00"/>
  </r>
  <r>
    <x v="1"/>
    <x v="0"/>
    <x v="2349"/>
    <x v="54"/>
    <s v="Standard order"/>
    <x v="2229"/>
    <x v="979"/>
    <s v="122N"/>
    <s v="BTS 12RR2N"/>
    <s v="5002317"/>
    <s v="122N BTS T20 SYSTIVA RP"/>
    <n v="24"/>
    <n v="0"/>
    <n v="24"/>
    <x v="0"/>
    <s v="4TBG"/>
    <s v="RP"/>
    <s v="326"/>
    <s v="4.0 UN"/>
    <s v="STANDARD"/>
    <s v="N"/>
    <s v="N"/>
    <s v="N"/>
    <s v="T20"/>
    <s v="Y"/>
    <s v="N"/>
    <s v="Y"/>
    <s v="N"/>
    <s v="B002"/>
    <d v="2016-12-09T00:00:00"/>
    <s v="10"/>
    <s v="TAN"/>
    <s v="OR"/>
    <d v="2016-12-06T00:00:00"/>
    <s v="MI"/>
    <s v="US"/>
    <s v="ZR"/>
    <d v="2016-12-06T00:00:00"/>
  </r>
  <r>
    <x v="1"/>
    <x v="0"/>
    <x v="2349"/>
    <x v="54"/>
    <s v="Standard order"/>
    <x v="2229"/>
    <x v="979"/>
    <s v="1399"/>
    <s v="BTS 1399"/>
    <s v="5002347"/>
    <s v="1399 BTS T20 Kabina P200"/>
    <n v="16"/>
    <n v="0"/>
    <n v="16"/>
    <x v="0"/>
    <s v="EG74"/>
    <s v="PRO 200"/>
    <s v="380"/>
    <s v="4.0 UN"/>
    <s v="STANDARD"/>
    <s v="N"/>
    <s v="N"/>
    <s v="Y"/>
    <s v="T20"/>
    <s v="N"/>
    <s v="N"/>
    <s v="N"/>
    <s v="N"/>
    <s v="B002"/>
    <d v="2016-12-09T00:00:00"/>
    <s v="20"/>
    <s v="TAN"/>
    <s v="OR"/>
    <d v="2016-12-06T00:00:00"/>
    <s v="MI"/>
    <s v="US"/>
    <s v="ZR"/>
    <d v="2016-12-06T00:00:00"/>
  </r>
  <r>
    <x v="1"/>
    <x v="0"/>
    <x v="2349"/>
    <x v="54"/>
    <s v="Standard order"/>
    <x v="2229"/>
    <x v="979"/>
    <s v="149N"/>
    <s v="BTS 149N"/>
    <s v="5002367"/>
    <s v="149N BTS T20 Kabina P200"/>
    <n v="36"/>
    <n v="0"/>
    <n v="36"/>
    <x v="0"/>
    <s v="EEND"/>
    <s v="PRO 200"/>
    <s v="380"/>
    <s v="4.0 UN"/>
    <s v="STANDARD"/>
    <s v="N"/>
    <s v="N"/>
    <s v="Y"/>
    <s v="T20"/>
    <s v="N"/>
    <s v="N"/>
    <s v="N"/>
    <s v="N"/>
    <s v="B002"/>
    <d v="2016-12-09T00:00:00"/>
    <s v="30"/>
    <s v="TAN"/>
    <s v="OR"/>
    <d v="2016-12-06T00:00:00"/>
    <s v="MI"/>
    <s v="US"/>
    <s v="ZR"/>
    <d v="2016-12-06T00:00:00"/>
  </r>
  <r>
    <x v="1"/>
    <x v="4"/>
    <x v="2350"/>
    <x v="50"/>
    <s v="Standard order"/>
    <x v="2230"/>
    <x v="351"/>
    <s v="225N"/>
    <s v="BTS 22RR5N"/>
    <s v="5002111"/>
    <s v="225N BTS PB LRG"/>
    <n v="40"/>
    <n v="0"/>
    <n v="40"/>
    <x v="4"/>
    <s v="4TBD"/>
    <s v="LARGE"/>
    <s v="307"/>
    <s v="4.0 UN"/>
    <s v="STANDARD"/>
    <s v="N"/>
    <s v="Y"/>
    <s v="N"/>
    <s v="N"/>
    <s v="N"/>
    <s v="N"/>
    <s v="N"/>
    <s v="N"/>
    <s v="B047"/>
    <d v="2016-12-09T00:00:00"/>
    <s v="10"/>
    <s v="TAN"/>
    <s v="OR"/>
    <d v="2016-12-06T00:00:00"/>
    <s v="ID"/>
    <s v="US"/>
    <s v="ZR"/>
    <d v="2016-12-06T00:00:00"/>
  </r>
  <r>
    <x v="1"/>
    <x v="6"/>
    <x v="2351"/>
    <x v="51"/>
    <s v="Standard order"/>
    <x v="2231"/>
    <x v="998"/>
    <s v="4548"/>
    <s v="BTS 4548"/>
    <s v="5002246"/>
    <s v="4548 BTS T20 PB SYSTIVA P50"/>
    <n v="24"/>
    <n v="0"/>
    <n v="24"/>
    <x v="6"/>
    <s v="FENR"/>
    <s v="PRO 50"/>
    <s v="322"/>
    <s v="4.0 UN"/>
    <s v="STANDARD"/>
    <s v="N"/>
    <s v="N"/>
    <s v="N"/>
    <s v="T20"/>
    <s v="Y"/>
    <s v="N"/>
    <s v="Y"/>
    <s v="N"/>
    <s v="B011"/>
    <d v="2016-12-09T00:00:00"/>
    <s v="10"/>
    <s v="TAN"/>
    <s v="OR"/>
    <d v="2016-12-06T00:00:00"/>
    <s v="MT"/>
    <s v="US"/>
    <s v="ZR"/>
    <d v="2016-12-06T00:00:00"/>
  </r>
  <r>
    <x v="1"/>
    <x v="6"/>
    <x v="2351"/>
    <x v="51"/>
    <s v="Standard order"/>
    <x v="2231"/>
    <x v="998"/>
    <s v="444N"/>
    <s v="BTS 444N"/>
    <s v="5002228"/>
    <s v="444N BTS T20 PB SYSTIVA P50"/>
    <n v="36"/>
    <n v="0"/>
    <n v="36"/>
    <x v="6"/>
    <s v="DVND"/>
    <s v="PRO 50"/>
    <s v="322"/>
    <s v="4.0 UN"/>
    <s v="STANDARD"/>
    <s v="N"/>
    <s v="N"/>
    <s v="N"/>
    <s v="T20"/>
    <s v="Y"/>
    <s v="N"/>
    <s v="Y"/>
    <s v="N"/>
    <s v="B011"/>
    <d v="2016-12-09T00:00:00"/>
    <s v="20"/>
    <s v="TAN"/>
    <s v="OR"/>
    <d v="2016-12-06T00:00:00"/>
    <s v="MT"/>
    <s v="US"/>
    <s v="ZR"/>
    <d v="2016-12-06T00:00:00"/>
  </r>
  <r>
    <x v="1"/>
    <x v="6"/>
    <x v="2351"/>
    <x v="51"/>
    <s v="Standard order"/>
    <x v="2231"/>
    <x v="998"/>
    <s v="4265"/>
    <s v="BTS 42RR65"/>
    <s v="5002585"/>
    <s v="4265 BTS T20 PB SYSTIVA P50"/>
    <n v="12"/>
    <n v="0"/>
    <n v="12"/>
    <x v="6"/>
    <s v="BR73"/>
    <s v="PRO 50"/>
    <s v="322"/>
    <s v="4.0 UN"/>
    <s v="STANDARD"/>
    <s v="N"/>
    <s v="N"/>
    <s v="N"/>
    <s v="T20"/>
    <s v="Y"/>
    <s v="N"/>
    <s v="Y"/>
    <s v="N"/>
    <s v="B011"/>
    <d v="2016-12-09T00:00:00"/>
    <s v="30"/>
    <s v="TAN"/>
    <s v="OR"/>
    <d v="2016-12-06T00:00:00"/>
    <s v="MT"/>
    <s v="US"/>
    <s v="ZR"/>
    <d v="2016-12-06T00:00:00"/>
  </r>
  <r>
    <x v="1"/>
    <x v="0"/>
    <x v="2352"/>
    <x v="30"/>
    <s v="Standard order"/>
    <x v="2232"/>
    <x v="181"/>
    <s v="1399"/>
    <s v="BTS 1399"/>
    <s v="5002347"/>
    <s v="1399 BTS T20 Kabina P200"/>
    <n v="24"/>
    <n v="0"/>
    <n v="24"/>
    <x v="0"/>
    <s v="EG74"/>
    <s v="PRO 200"/>
    <s v="380"/>
    <s v="4.0 UN"/>
    <s v="STANDARD"/>
    <s v="N"/>
    <s v="N"/>
    <s v="Y"/>
    <s v="T20"/>
    <s v="N"/>
    <s v="N"/>
    <s v="N"/>
    <s v="N"/>
    <s v="B001"/>
    <d v="2016-12-09T00:00:00"/>
    <s v="10"/>
    <s v="TAN"/>
    <s v="OR"/>
    <d v="2016-12-06T00:00:00"/>
    <s v="MI"/>
    <s v="US"/>
    <s v="ZR"/>
    <d v="2016-12-06T00:00:00"/>
  </r>
  <r>
    <x v="1"/>
    <x v="0"/>
    <x v="2352"/>
    <x v="30"/>
    <s v="Standard order"/>
    <x v="2232"/>
    <x v="181"/>
    <s v="149N"/>
    <s v="BTS 149N"/>
    <s v="5002367"/>
    <s v="149N BTS T20 Kabina P200"/>
    <n v="120"/>
    <n v="0"/>
    <n v="120"/>
    <x v="0"/>
    <s v="EEND"/>
    <s v="PRO 200"/>
    <s v="380"/>
    <s v="4.0 UN"/>
    <s v="STANDARD"/>
    <s v="N"/>
    <s v="N"/>
    <s v="Y"/>
    <s v="T20"/>
    <s v="N"/>
    <s v="N"/>
    <s v="N"/>
    <s v="N"/>
    <s v="B001"/>
    <d v="2016-12-09T00:00:00"/>
    <s v="20"/>
    <s v="TAN"/>
    <s v="OR"/>
    <d v="2016-12-06T00:00:00"/>
    <s v="MI"/>
    <s v="US"/>
    <s v="ZR"/>
    <d v="2016-12-06T00:00:00"/>
  </r>
  <r>
    <x v="1"/>
    <x v="5"/>
    <x v="2353"/>
    <x v="21"/>
    <s v="Standard order"/>
    <x v="2233"/>
    <x v="2079"/>
    <s v="336N"/>
    <s v="BTS 336N"/>
    <s v="5002400"/>
    <s v="336N BTS T20 PB SYSTIVA RP"/>
    <n v="32"/>
    <n v="0"/>
    <n v="32"/>
    <x v="5"/>
    <s v="EEMG"/>
    <s v="RP"/>
    <s v="322"/>
    <s v="4.0 UN"/>
    <s v="STANDARD"/>
    <s v="N"/>
    <s v="N"/>
    <s v="N"/>
    <s v="T20"/>
    <s v="Y"/>
    <s v="N"/>
    <s v="N"/>
    <s v="N"/>
    <s v="B013"/>
    <d v="2016-12-09T00:00:00"/>
    <s v="10"/>
    <s v="TAN"/>
    <s v="OR"/>
    <d v="2016-12-06T00:00:00"/>
    <s v="MT"/>
    <s v="US"/>
    <s v="ZR"/>
    <d v="2016-12-06T00:00:00"/>
  </r>
  <r>
    <x v="1"/>
    <x v="5"/>
    <x v="2353"/>
    <x v="21"/>
    <s v="Standard order"/>
    <x v="2233"/>
    <x v="2079"/>
    <s v="398N"/>
    <s v="BTS 39RR8N"/>
    <s v="5002572"/>
    <s v="398N BTS T20 PB SYSTIVA RP"/>
    <n v="252"/>
    <n v="0"/>
    <n v="252"/>
    <x v="5"/>
    <s v="2771"/>
    <s v="RP"/>
    <s v="322"/>
    <s v="4.0 UN"/>
    <s v="STANDARD"/>
    <s v="N"/>
    <s v="Y"/>
    <s v="N"/>
    <s v="T20"/>
    <s v="Y"/>
    <s v="N"/>
    <s v="N"/>
    <s v="N"/>
    <s v="B013"/>
    <d v="2016-12-09T00:00:00"/>
    <s v="20"/>
    <s v="TAN"/>
    <s v="OR"/>
    <d v="2016-12-06T00:00:00"/>
    <s v="MT"/>
    <s v="US"/>
    <s v="ZR"/>
    <d v="2016-12-06T00:00:00"/>
  </r>
  <r>
    <x v="1"/>
    <x v="0"/>
    <x v="2354"/>
    <x v="45"/>
    <s v="Standard order"/>
    <x v="2234"/>
    <x v="2080"/>
    <s v="1399"/>
    <s v="BTS 1399"/>
    <s v="5002347"/>
    <s v="1399 BTS T20 Kabina P200"/>
    <n v="48"/>
    <n v="0"/>
    <n v="48"/>
    <x v="0"/>
    <s v="EG74"/>
    <s v="PRO 200"/>
    <s v="380"/>
    <s v="4.0 UN"/>
    <s v="STANDARD"/>
    <s v="N"/>
    <s v="N"/>
    <s v="Y"/>
    <s v="T20"/>
    <s v="N"/>
    <s v="N"/>
    <s v="N"/>
    <s v="N"/>
    <s v="B003"/>
    <d v="2016-12-09T00:00:00"/>
    <s v="10"/>
    <s v="TAN"/>
    <s v="OR"/>
    <d v="2016-12-06T00:00:00"/>
    <s v="MI"/>
    <s v="US"/>
    <s v="ZR"/>
    <d v="2016-12-06T00:00:00"/>
  </r>
  <r>
    <x v="1"/>
    <x v="2"/>
    <x v="2355"/>
    <x v="6"/>
    <s v="Standard order"/>
    <x v="2235"/>
    <x v="324"/>
    <s v="628N"/>
    <s v="BTS 62RR8N"/>
    <s v="5002683"/>
    <s v="628N BTS T20 PB SYSTIVA P100"/>
    <n v="32"/>
    <n v="0"/>
    <n v="32"/>
    <x v="2"/>
    <s v="BL73"/>
    <s v="PRO 100"/>
    <s v="322"/>
    <s v="4.0 UN"/>
    <s v="STANDARD"/>
    <s v="N"/>
    <s v="N"/>
    <s v="N"/>
    <s v="T20"/>
    <s v="Y"/>
    <s v="N"/>
    <s v="Y"/>
    <s v="N"/>
    <s v="B025"/>
    <d v="2016-12-09T00:00:00"/>
    <s v="10"/>
    <s v="TAN"/>
    <s v="OR"/>
    <d v="2016-12-06T00:00:00"/>
    <s v="NE"/>
    <s v="US"/>
    <s v="ZR"/>
    <d v="2016-12-06T00:00:00"/>
  </r>
  <r>
    <x v="1"/>
    <x v="2"/>
    <x v="2355"/>
    <x v="6"/>
    <s v="Standard order"/>
    <x v="2235"/>
    <x v="324"/>
    <s v="64SN"/>
    <s v="BTS 64SN"/>
    <s v="5002420"/>
    <s v="64SN BTS T20 PB SYSTIVA P100"/>
    <n v="36"/>
    <n v="0"/>
    <n v="36"/>
    <x v="2"/>
    <s v="DVNB"/>
    <s v="PRO 100"/>
    <s v="322"/>
    <s v="4.0 UN"/>
    <s v="STANDARD"/>
    <s v="N"/>
    <s v="N"/>
    <s v="N"/>
    <s v="T20"/>
    <s v="Y"/>
    <s v="N"/>
    <s v="Y"/>
    <s v="N"/>
    <s v="B025"/>
    <d v="2016-12-09T00:00:00"/>
    <s v="20"/>
    <s v="TAN"/>
    <s v="OR"/>
    <d v="2016-12-06T00:00:00"/>
    <s v="NE"/>
    <s v="US"/>
    <s v="ZR"/>
    <d v="2016-12-06T00:00:00"/>
  </r>
  <r>
    <x v="1"/>
    <x v="4"/>
    <x v="2356"/>
    <x v="46"/>
    <s v="Standard order"/>
    <x v="2236"/>
    <x v="123"/>
    <s v="2523"/>
    <s v="BTS 2523"/>
    <s v="5002529"/>
    <s v="2523 BTS PB XL"/>
    <n v="80"/>
    <n v="0"/>
    <n v="80"/>
    <x v="4"/>
    <s v="EZPC"/>
    <s v="X-LARGE"/>
    <s v="307"/>
    <s v="4.0 UN"/>
    <s v="STANDARD"/>
    <s v="N"/>
    <s v="Y"/>
    <s v="N"/>
    <s v="N"/>
    <s v="N"/>
    <s v="N"/>
    <s v="N"/>
    <s v="N"/>
    <s v="B049"/>
    <d v="2016-12-09T00:00:00"/>
    <s v="50"/>
    <s v="TAN"/>
    <s v="OR"/>
    <d v="2016-12-06T00:00:00"/>
    <s v="ID"/>
    <s v="US"/>
    <s v="ZR"/>
    <d v="2016-12-06T00:00:00"/>
  </r>
  <r>
    <x v="1"/>
    <x v="4"/>
    <x v="2356"/>
    <x v="46"/>
    <s v="Standard order"/>
    <x v="2236"/>
    <x v="123"/>
    <s v="2570"/>
    <s v="BTS 2570"/>
    <s v="5002555"/>
    <s v="2570 BTS PB XL"/>
    <n v="48"/>
    <n v="0"/>
    <n v="48"/>
    <x v="4"/>
    <s v="EZNS"/>
    <s v="X-LARGE"/>
    <s v="307"/>
    <s v="4.0 UN"/>
    <s v="STANDARD"/>
    <s v="N"/>
    <s v="Y"/>
    <s v="N"/>
    <s v="N"/>
    <s v="N"/>
    <s v="N"/>
    <s v="N"/>
    <s v="N"/>
    <s v="B049"/>
    <d v="2016-12-09T00:00:00"/>
    <s v="10"/>
    <s v="TAN"/>
    <s v="OR"/>
    <d v="2016-12-06T00:00:00"/>
    <s v="ID"/>
    <s v="US"/>
    <s v="ZR"/>
    <d v="2016-12-06T00:00:00"/>
  </r>
  <r>
    <x v="1"/>
    <x v="4"/>
    <x v="2356"/>
    <x v="46"/>
    <s v="Standard order"/>
    <x v="2236"/>
    <x v="123"/>
    <s v="2125"/>
    <s v="BTS 21RR25"/>
    <s v="5002395"/>
    <s v="2125 BTS PB XL"/>
    <n v="20"/>
    <n v="0"/>
    <n v="20"/>
    <x v="4"/>
    <s v="AP92"/>
    <s v="X-LARGE"/>
    <s v="307"/>
    <s v="4.0 UN"/>
    <s v="STANDARD"/>
    <s v="N"/>
    <s v="Y"/>
    <s v="N"/>
    <s v="N"/>
    <s v="N"/>
    <s v="N"/>
    <s v="N"/>
    <s v="N"/>
    <s v="B049"/>
    <d v="2016-12-09T00:00:00"/>
    <s v="20"/>
    <s v="TAN"/>
    <s v="OR"/>
    <d v="2016-12-06T00:00:00"/>
    <s v="ID"/>
    <s v="US"/>
    <s v="ZR"/>
    <d v="2016-12-06T00:00:00"/>
  </r>
  <r>
    <x v="1"/>
    <x v="4"/>
    <x v="2356"/>
    <x v="46"/>
    <s v="Standard order"/>
    <x v="2236"/>
    <x v="123"/>
    <s v="4933"/>
    <s v="BTS 49RR33"/>
    <s v="5002280"/>
    <s v="4933 BTS PB XL IDH"/>
    <n v="80"/>
    <n v="0"/>
    <n v="80"/>
    <x v="4"/>
    <s v="AKMC"/>
    <s v="X-LARGE"/>
    <s v="307"/>
    <s v="4.0 UN"/>
    <s v="STANDARD"/>
    <s v="N"/>
    <s v="Y"/>
    <s v="N"/>
    <s v="N"/>
    <s v="N"/>
    <s v="N"/>
    <s v="N"/>
    <s v="N"/>
    <s v="B049"/>
    <d v="2016-12-09T00:00:00"/>
    <s v="30"/>
    <s v="TAN"/>
    <s v="OR"/>
    <d v="2016-12-06T00:00:00"/>
    <s v="ID"/>
    <s v="US"/>
    <s v="ZR"/>
    <d v="2016-12-06T00:00:00"/>
  </r>
  <r>
    <x v="1"/>
    <x v="4"/>
    <x v="2356"/>
    <x v="46"/>
    <s v="Standard order"/>
    <x v="2236"/>
    <x v="123"/>
    <s v="2559"/>
    <s v="BTS 2559"/>
    <s v="5002563"/>
    <s v="2559 BTS PB XL"/>
    <n v="56"/>
    <n v="0"/>
    <n v="56"/>
    <x v="4"/>
    <s v="FGNE"/>
    <s v="X-LARGE"/>
    <s v="307"/>
    <s v="4.0 UN"/>
    <s v="STANDARD"/>
    <s v="N"/>
    <s v="Y"/>
    <s v="N"/>
    <s v="N"/>
    <s v="N"/>
    <s v="N"/>
    <s v="N"/>
    <s v="N"/>
    <s v="B049"/>
    <d v="2016-12-09T00:00:00"/>
    <s v="40"/>
    <s v="TAN"/>
    <s v="OR"/>
    <d v="2016-12-06T00:00:00"/>
    <s v="ID"/>
    <s v="US"/>
    <s v="ZR"/>
    <d v="2016-12-06T00:00:00"/>
  </r>
  <r>
    <x v="1"/>
    <x v="0"/>
    <x v="2357"/>
    <x v="29"/>
    <s v="Standard order"/>
    <x v="2237"/>
    <x v="1210"/>
    <s v="122N"/>
    <s v="BTS 12RR2N"/>
    <s v="5002310"/>
    <s v="122N BTS T20 Kabina P200"/>
    <n v="356"/>
    <n v="0"/>
    <n v="356"/>
    <x v="0"/>
    <s v="4TBG"/>
    <s v="PRO 200"/>
    <s v="380"/>
    <s v="4.0 UN"/>
    <s v="STANDARD"/>
    <s v="N"/>
    <s v="N"/>
    <s v="Y"/>
    <s v="T20"/>
    <s v="N"/>
    <s v="N"/>
    <s v="N"/>
    <s v="N"/>
    <s v="B005"/>
    <d v="2016-12-09T00:00:00"/>
    <s v="10"/>
    <s v="TAN"/>
    <s v="OR"/>
    <d v="2016-12-06T00:00:00"/>
    <s v="MI"/>
    <s v="US"/>
    <s v="ZR"/>
    <d v="2016-12-06T00:00:00"/>
  </r>
  <r>
    <x v="1"/>
    <x v="0"/>
    <x v="2357"/>
    <x v="29"/>
    <s v="Standard order"/>
    <x v="2237"/>
    <x v="1210"/>
    <s v="1399"/>
    <s v="BTS 1399"/>
    <s v="5002347"/>
    <s v="1399 BTS T20 Kabina P200"/>
    <n v="92"/>
    <n v="0"/>
    <n v="92"/>
    <x v="0"/>
    <s v="EG74"/>
    <s v="PRO 200"/>
    <s v="380"/>
    <s v="4.0 UN"/>
    <s v="STANDARD"/>
    <s v="N"/>
    <s v="N"/>
    <s v="Y"/>
    <s v="T20"/>
    <s v="N"/>
    <s v="N"/>
    <s v="N"/>
    <s v="N"/>
    <s v="B005"/>
    <d v="2016-12-09T00:00:00"/>
    <s v="20"/>
    <s v="TAN"/>
    <s v="OR"/>
    <d v="2016-12-06T00:00:00"/>
    <s v="MI"/>
    <s v="US"/>
    <s v="ZR"/>
    <d v="2016-12-06T00:00:00"/>
  </r>
  <r>
    <x v="1"/>
    <x v="0"/>
    <x v="2357"/>
    <x v="29"/>
    <s v="Standard order"/>
    <x v="2237"/>
    <x v="1210"/>
    <s v="149N"/>
    <s v="BTS 149N"/>
    <s v="5002367"/>
    <s v="149N BTS T20 Kabina P200"/>
    <n v="132"/>
    <n v="0"/>
    <n v="132"/>
    <x v="0"/>
    <s v="EEND"/>
    <s v="PRO 200"/>
    <s v="380"/>
    <s v="4.0 UN"/>
    <s v="STANDARD"/>
    <s v="N"/>
    <s v="N"/>
    <s v="Y"/>
    <s v="T20"/>
    <s v="N"/>
    <s v="N"/>
    <s v="N"/>
    <s v="N"/>
    <s v="B005"/>
    <d v="2016-12-09T00:00:00"/>
    <s v="30"/>
    <s v="TAN"/>
    <s v="OR"/>
    <d v="2016-12-06T00:00:00"/>
    <s v="MI"/>
    <s v="US"/>
    <s v="ZR"/>
    <d v="2016-12-06T00:00:00"/>
  </r>
  <r>
    <x v="1"/>
    <x v="4"/>
    <x v="2358"/>
    <x v="47"/>
    <s v="Standard order"/>
    <x v="2238"/>
    <x v="2081"/>
    <s v="2523"/>
    <s v="BTS 2523"/>
    <s v="5002527"/>
    <s v="2523 BTS PB LRG"/>
    <n v="16"/>
    <n v="0"/>
    <n v="16"/>
    <x v="4"/>
    <s v="EZPC"/>
    <s v="LARGE"/>
    <s v="307"/>
    <s v="4.0 UN"/>
    <s v="STANDARD"/>
    <s v="N"/>
    <s v="Y"/>
    <s v="N"/>
    <s v="N"/>
    <s v="N"/>
    <s v="N"/>
    <s v="N"/>
    <s v="N"/>
    <s v="B050"/>
    <d v="2016-12-09T00:00:00"/>
    <s v="10"/>
    <s v="TAN"/>
    <s v="OR"/>
    <d v="2016-12-06T00:00:00"/>
    <s v="ID"/>
    <s v="US"/>
    <s v="ZR"/>
    <d v="2016-12-06T00:00:00"/>
  </r>
  <r>
    <x v="1"/>
    <x v="4"/>
    <x v="2358"/>
    <x v="47"/>
    <s v="Standard order"/>
    <x v="2238"/>
    <x v="2081"/>
    <s v="2559"/>
    <s v="BTS 2559"/>
    <s v="5002561"/>
    <s v="2559 BTS PB LRG"/>
    <n v="36"/>
    <n v="0"/>
    <n v="36"/>
    <x v="4"/>
    <s v="FGNE"/>
    <s v="LARGE"/>
    <s v="307"/>
    <s v="4.0 UN"/>
    <s v="STANDARD"/>
    <s v="N"/>
    <s v="Y"/>
    <s v="N"/>
    <s v="N"/>
    <s v="N"/>
    <s v="N"/>
    <s v="N"/>
    <s v="N"/>
    <s v="B050"/>
    <d v="2016-12-09T00:00:00"/>
    <s v="20"/>
    <s v="TAN"/>
    <s v="OR"/>
    <d v="2016-12-06T00:00:00"/>
    <s v="ID"/>
    <s v="US"/>
    <s v="ZR"/>
    <d v="2016-12-06T00:00:00"/>
  </r>
  <r>
    <x v="1"/>
    <x v="6"/>
    <x v="2359"/>
    <x v="48"/>
    <s v="Standard order"/>
    <x v="2239"/>
    <x v="44"/>
    <s v="459N"/>
    <s v="BTS 459N"/>
    <s v="5002256"/>
    <s v="459N BTS T20 PB SYSTIVA P100"/>
    <n v="28"/>
    <n v="0"/>
    <n v="28"/>
    <x v="6"/>
    <s v="DVNU"/>
    <s v="PRO 100"/>
    <s v="322"/>
    <s v="4.0 UN"/>
    <s v="STANDARD"/>
    <s v="N"/>
    <s v="N"/>
    <s v="N"/>
    <s v="T20"/>
    <s v="Y"/>
    <s v="N"/>
    <s v="Y"/>
    <s v="N"/>
    <s v="B012"/>
    <d v="2016-12-09T00:00:00"/>
    <s v="10"/>
    <s v="TAN"/>
    <s v="OR"/>
    <d v="2016-12-06T00:00:00"/>
    <s v="ND"/>
    <s v="US"/>
    <s v="ZR"/>
    <d v="2016-12-06T00:00:00"/>
  </r>
  <r>
    <x v="1"/>
    <x v="6"/>
    <x v="2359"/>
    <x v="48"/>
    <s v="Standard order"/>
    <x v="2239"/>
    <x v="44"/>
    <s v="437N"/>
    <s v="BTS 437N"/>
    <s v="5002208"/>
    <s v="437N BTS T20 PB SYSTIVA P100"/>
    <n v="32"/>
    <n v="0"/>
    <n v="32"/>
    <x v="6"/>
    <s v="EE73"/>
    <s v="PRO 100"/>
    <s v="322"/>
    <s v="4.0 UN"/>
    <s v="STANDARD"/>
    <s v="N"/>
    <s v="N"/>
    <s v="N"/>
    <s v="T20"/>
    <s v="Y"/>
    <s v="N"/>
    <s v="Y"/>
    <s v="N"/>
    <s v="B012"/>
    <d v="2016-12-09T00:00:00"/>
    <s v="20"/>
    <s v="TAN"/>
    <s v="OR"/>
    <d v="2016-12-06T00:00:00"/>
    <s v="ND"/>
    <s v="US"/>
    <s v="ZR"/>
    <d v="2016-12-06T00:00:00"/>
  </r>
  <r>
    <x v="1"/>
    <x v="6"/>
    <x v="2360"/>
    <x v="48"/>
    <s v="Standard order"/>
    <x v="2240"/>
    <x v="2082"/>
    <s v="459N"/>
    <s v="BTS 459N"/>
    <s v="5002257"/>
    <s v="459N BTS T20 PB SYSTIVA P200"/>
    <n v="100"/>
    <n v="0"/>
    <n v="100"/>
    <x v="6"/>
    <s v="DVNU"/>
    <s v="PRO 200"/>
    <s v="322"/>
    <s v="4.0 UN"/>
    <s v="STANDARD"/>
    <s v="N"/>
    <s v="N"/>
    <s v="N"/>
    <s v="T20"/>
    <s v="Y"/>
    <s v="N"/>
    <s v="Y"/>
    <s v="N"/>
    <s v="B012"/>
    <d v="2016-12-09T00:00:00"/>
    <s v="10"/>
    <s v="TAN"/>
    <s v="OR"/>
    <d v="2016-12-06T00:00:00"/>
    <s v="MT"/>
    <s v="US"/>
    <s v="ZR"/>
    <d v="2016-12-06T00:00:00"/>
  </r>
  <r>
    <x v="1"/>
    <x v="6"/>
    <x v="2360"/>
    <x v="48"/>
    <s v="Standard order"/>
    <x v="2240"/>
    <x v="2082"/>
    <s v="444N"/>
    <s v="BTS 444N"/>
    <s v="5002227"/>
    <s v="444N BTS T20 PB SYSTIVA P200"/>
    <n v="52"/>
    <n v="0"/>
    <n v="52"/>
    <x v="6"/>
    <s v="DVND"/>
    <s v="PRO 200"/>
    <s v="322"/>
    <s v="4.0 UN"/>
    <s v="STANDARD"/>
    <s v="N"/>
    <s v="N"/>
    <s v="N"/>
    <s v="T20"/>
    <s v="Y"/>
    <s v="N"/>
    <s v="Y"/>
    <s v="N"/>
    <s v="B012"/>
    <d v="2016-12-09T00:00:00"/>
    <s v="20"/>
    <s v="TAN"/>
    <s v="OR"/>
    <d v="2016-12-06T00:00:00"/>
    <s v="MT"/>
    <s v="US"/>
    <s v="ZR"/>
    <d v="2016-12-06T00:00:00"/>
  </r>
  <r>
    <x v="1"/>
    <x v="6"/>
    <x v="2360"/>
    <x v="48"/>
    <s v="Standard order"/>
    <x v="2240"/>
    <x v="2082"/>
    <s v="437N"/>
    <s v="BTS 437N"/>
    <s v="5002209"/>
    <s v="437N BTS T20 PB SYSTIVA P200"/>
    <n v="16"/>
    <n v="0"/>
    <n v="16"/>
    <x v="6"/>
    <s v="EE73"/>
    <s v="PRO 200"/>
    <s v="322"/>
    <s v="4.0 UN"/>
    <s v="STANDARD"/>
    <s v="N"/>
    <s v="N"/>
    <s v="N"/>
    <s v="T20"/>
    <s v="Y"/>
    <s v="N"/>
    <s v="Y"/>
    <s v="N"/>
    <s v="B012"/>
    <d v="2016-12-09T00:00:00"/>
    <s v="30"/>
    <s v="TAN"/>
    <s v="OR"/>
    <d v="2016-12-06T00:00:00"/>
    <s v="MT"/>
    <s v="US"/>
    <s v="ZR"/>
    <d v="2016-12-06T00:00:00"/>
  </r>
  <r>
    <x v="1"/>
    <x v="6"/>
    <x v="2360"/>
    <x v="48"/>
    <s v="Standard order"/>
    <x v="2240"/>
    <x v="2082"/>
    <s v="428N"/>
    <s v="BTS 42RR8N"/>
    <s v="5002596"/>
    <s v="428N BTS T20 PB SYSTIVA P200"/>
    <n v="4"/>
    <n v="0"/>
    <n v="4"/>
    <x v="6"/>
    <s v="4TBG"/>
    <s v="PRO 200"/>
    <s v="322"/>
    <s v="4.0 UN"/>
    <s v="STANDARD"/>
    <s v="N"/>
    <s v="N"/>
    <s v="N"/>
    <s v="T20"/>
    <s v="Y"/>
    <s v="N"/>
    <s v="Y"/>
    <s v="N"/>
    <s v="B012"/>
    <d v="2016-12-09T00:00:00"/>
    <s v="40"/>
    <s v="TAN"/>
    <s v="OR"/>
    <d v="2016-12-06T00:00:00"/>
    <s v="MT"/>
    <s v="US"/>
    <s v="ZR"/>
    <d v="2016-12-06T00:00:00"/>
  </r>
  <r>
    <x v="1"/>
    <x v="6"/>
    <x v="2360"/>
    <x v="48"/>
    <s v="Standard order"/>
    <x v="2240"/>
    <x v="2082"/>
    <s v="4265"/>
    <s v="BTS 42RR65"/>
    <s v="5002584"/>
    <s v="4265 BTS T20 PB SYSTIVA P200"/>
    <n v="4"/>
    <n v="0"/>
    <n v="4"/>
    <x v="6"/>
    <s v="BR73"/>
    <s v="PRO 200"/>
    <s v="322"/>
    <s v="4.0 UN"/>
    <s v="STANDARD"/>
    <s v="N"/>
    <s v="N"/>
    <s v="N"/>
    <s v="T20"/>
    <s v="Y"/>
    <s v="N"/>
    <s v="Y"/>
    <s v="N"/>
    <s v="B012"/>
    <d v="2016-12-09T00:00:00"/>
    <s v="50"/>
    <s v="TAN"/>
    <s v="OR"/>
    <d v="2016-12-06T00:00:00"/>
    <s v="MT"/>
    <s v="US"/>
    <s v="ZR"/>
    <d v="2016-12-06T00:00:00"/>
  </r>
  <r>
    <x v="1"/>
    <x v="6"/>
    <x v="2360"/>
    <x v="48"/>
    <s v="Standard order"/>
    <x v="2240"/>
    <x v="2082"/>
    <s v="4548"/>
    <s v="BTS 4548"/>
    <s v="5002245"/>
    <s v="4548 BTS T20 PB SYSTIVA P200"/>
    <n v="16"/>
    <n v="0"/>
    <n v="16"/>
    <x v="6"/>
    <s v="FENR"/>
    <s v="PRO 200"/>
    <s v="322"/>
    <s v="4.0 UN"/>
    <s v="STANDARD"/>
    <s v="N"/>
    <s v="N"/>
    <s v="N"/>
    <s v="T20"/>
    <s v="Y"/>
    <s v="N"/>
    <s v="Y"/>
    <s v="N"/>
    <s v="B012"/>
    <d v="2016-12-09T00:00:00"/>
    <s v="60"/>
    <s v="TAN"/>
    <s v="OR"/>
    <d v="2016-12-06T00:00:00"/>
    <s v="MT"/>
    <s v="US"/>
    <s v="ZR"/>
    <d v="2016-12-06T00:00:00"/>
  </r>
  <r>
    <x v="1"/>
    <x v="0"/>
    <x v="2361"/>
    <x v="45"/>
    <s v="Standard order"/>
    <x v="2241"/>
    <x v="2083"/>
    <s v="1399"/>
    <s v="BTS 1399"/>
    <s v="5002346"/>
    <s v="1399 BTS T20 Kabina MP"/>
    <n v="80"/>
    <n v="0"/>
    <n v="80"/>
    <x v="0"/>
    <s v="EG74"/>
    <s v="MP"/>
    <s v="380"/>
    <s v="4.0 UN"/>
    <s v="STANDARD"/>
    <s v="N"/>
    <s v="N"/>
    <s v="Y"/>
    <s v="T20"/>
    <s v="N"/>
    <s v="N"/>
    <s v="N"/>
    <s v="N"/>
    <s v="B003"/>
    <d v="2016-12-09T00:00:00"/>
    <s v="10"/>
    <s v="TAN"/>
    <s v="OR"/>
    <d v="2016-12-06T00:00:00"/>
    <s v="MI"/>
    <s v="US"/>
    <s v="ZR"/>
    <d v="2016-12-06T00:00:00"/>
  </r>
  <r>
    <x v="1"/>
    <x v="0"/>
    <x v="2361"/>
    <x v="45"/>
    <s v="Standard order"/>
    <x v="2241"/>
    <x v="2083"/>
    <s v="149N"/>
    <s v="BTS 149N"/>
    <s v="5002366"/>
    <s v="149N BTS T20 Kabina MP"/>
    <n v="28"/>
    <n v="0"/>
    <n v="28"/>
    <x v="0"/>
    <s v="EEND"/>
    <s v="MP"/>
    <s v="380"/>
    <s v="4.0 UN"/>
    <s v="STANDARD"/>
    <s v="N"/>
    <s v="N"/>
    <s v="Y"/>
    <s v="T20"/>
    <s v="N"/>
    <s v="N"/>
    <s v="N"/>
    <s v="N"/>
    <s v="B003"/>
    <d v="2016-12-09T00:00:00"/>
    <s v="20"/>
    <s v="TAN"/>
    <s v="OR"/>
    <d v="2016-12-06T00:00:00"/>
    <s v="MI"/>
    <s v="US"/>
    <s v="ZR"/>
    <d v="2016-12-06T00:00:00"/>
  </r>
  <r>
    <x v="1"/>
    <x v="0"/>
    <x v="2361"/>
    <x v="45"/>
    <s v="Standard order"/>
    <x v="2241"/>
    <x v="2083"/>
    <s v="122N"/>
    <s v="BTS 12RR2N"/>
    <s v="5002309"/>
    <s v="122N BTS T20 Kabina MP"/>
    <n v="52"/>
    <n v="0"/>
    <n v="52"/>
    <x v="0"/>
    <s v="4TBG"/>
    <s v="MP"/>
    <s v="380"/>
    <s v="4.0 UN"/>
    <s v="STANDARD"/>
    <s v="N"/>
    <s v="N"/>
    <s v="Y"/>
    <s v="T20"/>
    <s v="N"/>
    <s v="N"/>
    <s v="N"/>
    <s v="N"/>
    <s v="B003"/>
    <d v="2016-12-09T00:00:00"/>
    <s v="30"/>
    <s v="TAN"/>
    <s v="OR"/>
    <d v="2016-12-06T00:00:00"/>
    <s v="MI"/>
    <s v="US"/>
    <s v="ZR"/>
    <d v="2016-12-06T00:00:00"/>
  </r>
  <r>
    <x v="1"/>
    <x v="5"/>
    <x v="2362"/>
    <x v="13"/>
    <s v="Standard order"/>
    <x v="2242"/>
    <x v="2084"/>
    <s v="336N"/>
    <s v="BTS 336N"/>
    <s v="5002400"/>
    <s v="336N BTS T20 PB SYSTIVA RP"/>
    <n v="20"/>
    <n v="0"/>
    <n v="20"/>
    <x v="5"/>
    <s v="EEMG"/>
    <s v="RP"/>
    <s v="322"/>
    <s v="4.0 UN"/>
    <s v="STANDARD"/>
    <s v="N"/>
    <s v="N"/>
    <s v="N"/>
    <s v="T20"/>
    <s v="Y"/>
    <s v="N"/>
    <s v="N"/>
    <s v="N"/>
    <s v="B015"/>
    <d v="2016-12-09T00:00:00"/>
    <s v="10"/>
    <s v="TAN"/>
    <s v="OR"/>
    <d v="2016-12-06T00:00:00"/>
    <s v="MT"/>
    <s v="US"/>
    <s v="ZR"/>
    <d v="2016-12-06T00:00:00"/>
  </r>
  <r>
    <x v="1"/>
    <x v="2"/>
    <x v="2363"/>
    <x v="6"/>
    <s v="Standard order"/>
    <x v="2243"/>
    <x v="327"/>
    <s v="64SN"/>
    <s v="BTS 64SN"/>
    <s v="5002422"/>
    <s v="64SN BTS T20 PB SYSTIVA P50"/>
    <n v="8"/>
    <n v="0"/>
    <n v="8"/>
    <x v="2"/>
    <s v="DVNB"/>
    <s v="PRO 50"/>
    <s v="322"/>
    <s v="4.0 UN"/>
    <s v="STANDARD"/>
    <s v="N"/>
    <s v="N"/>
    <s v="N"/>
    <s v="T20"/>
    <s v="Y"/>
    <s v="N"/>
    <s v="Y"/>
    <s v="N"/>
    <s v="B025"/>
    <d v="2016-12-09T00:00:00"/>
    <s v="10"/>
    <s v="TAN"/>
    <s v="OR"/>
    <d v="2016-12-06T00:00:00"/>
    <s v="NE"/>
    <s v="US"/>
    <s v="ZR"/>
    <d v="2016-12-06T00:00:00"/>
  </r>
  <r>
    <x v="1"/>
    <x v="0"/>
    <x v="2364"/>
    <x v="29"/>
    <s v="Standard order"/>
    <x v="2244"/>
    <x v="110"/>
    <s v="122N"/>
    <s v="BTS 12RR2N"/>
    <s v="5002309"/>
    <s v="122N BTS T20 Kabina MP"/>
    <n v="44"/>
    <n v="0"/>
    <n v="44"/>
    <x v="0"/>
    <s v="4TBG"/>
    <s v="MP"/>
    <s v="380"/>
    <s v="4.0 UN"/>
    <s v="STANDARD"/>
    <s v="N"/>
    <s v="N"/>
    <s v="Y"/>
    <s v="T20"/>
    <s v="N"/>
    <s v="N"/>
    <s v="N"/>
    <s v="N"/>
    <s v="B005"/>
    <d v="2016-12-09T00:00:00"/>
    <s v="10"/>
    <s v="TAN"/>
    <s v="OR"/>
    <d v="2016-12-06T00:00:00"/>
    <s v="MI"/>
    <s v="US"/>
    <s v="ZR"/>
    <d v="2016-12-06T00:00:00"/>
  </r>
  <r>
    <x v="1"/>
    <x v="0"/>
    <x v="2364"/>
    <x v="29"/>
    <s v="Standard order"/>
    <x v="2244"/>
    <x v="110"/>
    <s v="1399"/>
    <s v="BTS 1399"/>
    <s v="5002346"/>
    <s v="1399 BTS T20 Kabina MP"/>
    <n v="44"/>
    <n v="0"/>
    <n v="44"/>
    <x v="0"/>
    <s v="EG74"/>
    <s v="MP"/>
    <s v="380"/>
    <s v="4.0 UN"/>
    <s v="STANDARD"/>
    <s v="N"/>
    <s v="N"/>
    <s v="Y"/>
    <s v="T20"/>
    <s v="N"/>
    <s v="N"/>
    <s v="N"/>
    <s v="N"/>
    <s v="B005"/>
    <d v="2016-12-09T00:00:00"/>
    <s v="20"/>
    <s v="TAN"/>
    <s v="OR"/>
    <d v="2016-12-06T00:00:00"/>
    <s v="MI"/>
    <s v="US"/>
    <s v="ZR"/>
    <d v="2016-12-06T00:00:00"/>
  </r>
  <r>
    <x v="1"/>
    <x v="4"/>
    <x v="2365"/>
    <x v="52"/>
    <s v="Standard order"/>
    <x v="2245"/>
    <x v="322"/>
    <s v="225N"/>
    <s v="BTS 22RR5N"/>
    <s v="5002111"/>
    <s v="225N BTS PB LRG"/>
    <n v="48"/>
    <n v="0"/>
    <n v="48"/>
    <x v="4"/>
    <s v="4TBD"/>
    <s v="LARGE"/>
    <s v="307"/>
    <s v="4.0 UN"/>
    <s v="STANDARD"/>
    <s v="N"/>
    <s v="Y"/>
    <s v="N"/>
    <s v="N"/>
    <s v="N"/>
    <s v="N"/>
    <s v="N"/>
    <s v="N"/>
    <s v="B048"/>
    <d v="2016-12-09T00:00:00"/>
    <s v="10"/>
    <s v="TAN"/>
    <s v="OR"/>
    <d v="2016-12-06T00:00:00"/>
    <s v="ID"/>
    <s v="US"/>
    <s v="ZR"/>
    <d v="2016-12-06T00:00:00"/>
  </r>
  <r>
    <x v="1"/>
    <x v="4"/>
    <x v="2365"/>
    <x v="52"/>
    <s v="Standard order"/>
    <x v="2245"/>
    <x v="322"/>
    <s v="251N"/>
    <s v="BTS 251N"/>
    <s v="5002194"/>
    <s v="251N BTS PB LRG"/>
    <n v="24"/>
    <n v="0"/>
    <n v="24"/>
    <x v="4"/>
    <s v="5HBR"/>
    <s v="LARGE"/>
    <s v="307"/>
    <s v="4.0 UN"/>
    <s v="STANDARD"/>
    <s v="N"/>
    <s v="Y"/>
    <s v="N"/>
    <s v="N"/>
    <s v="N"/>
    <s v="N"/>
    <s v="N"/>
    <s v="N"/>
    <s v="B048"/>
    <d v="2016-12-09T00:00:00"/>
    <s v="20"/>
    <s v="TAN"/>
    <s v="OR"/>
    <d v="2016-12-06T00:00:00"/>
    <s v="ID"/>
    <s v="US"/>
    <s v="ZR"/>
    <d v="2016-12-06T00:00:00"/>
  </r>
  <r>
    <x v="1"/>
    <x v="0"/>
    <x v="2366"/>
    <x v="54"/>
    <s v="Standard order"/>
    <x v="2246"/>
    <x v="430"/>
    <s v="122N"/>
    <s v="BTS 12RR2N"/>
    <s v="5002317"/>
    <s v="122N BTS T20 SYSTIVA RP"/>
    <n v="160"/>
    <n v="0"/>
    <n v="160"/>
    <x v="0"/>
    <s v="4TBG"/>
    <s v="RP"/>
    <s v="326"/>
    <s v="4.0 UN"/>
    <s v="STANDARD"/>
    <s v="N"/>
    <s v="N"/>
    <s v="N"/>
    <s v="T20"/>
    <s v="Y"/>
    <s v="N"/>
    <s v="Y"/>
    <s v="N"/>
    <s v="B002"/>
    <d v="2016-12-09T00:00:00"/>
    <s v="10"/>
    <s v="TAN"/>
    <s v="OR"/>
    <d v="2016-12-06T00:00:00"/>
    <s v="MI"/>
    <s v="US"/>
    <s v="ZR"/>
    <d v="2016-12-06T00:00:00"/>
  </r>
  <r>
    <x v="1"/>
    <x v="5"/>
    <x v="2367"/>
    <x v="14"/>
    <s v="Standard order"/>
    <x v="2247"/>
    <x v="349"/>
    <s v="353N"/>
    <s v="BTS 353N"/>
    <s v="5002520"/>
    <s v="353N BTS T20 PB SYSTIVA MP"/>
    <n v="8"/>
    <n v="0"/>
    <n v="8"/>
    <x v="5"/>
    <s v="EENZ"/>
    <s v="MP"/>
    <s v="322"/>
    <s v="4.0 UN"/>
    <s v="STANDARD"/>
    <s v="N"/>
    <s v="Y"/>
    <s v="N"/>
    <s v="T20"/>
    <s v="Y"/>
    <s v="N"/>
    <s v="N"/>
    <s v="N"/>
    <s v="B017"/>
    <d v="2016-12-12T00:00:00"/>
    <s v="10"/>
    <s v="TAN"/>
    <s v="OR"/>
    <d v="2016-12-06T00:00:00"/>
    <s v="WY"/>
    <s v="US"/>
    <s v="ZR"/>
    <d v="2016-12-07T00:00:00"/>
  </r>
  <r>
    <x v="1"/>
    <x v="5"/>
    <x v="2367"/>
    <x v="14"/>
    <s v="Standard order"/>
    <x v="2247"/>
    <x v="349"/>
    <s v="398N"/>
    <s v="BTS 39RR8N"/>
    <s v="5002568"/>
    <s v="398N BTS T20 PB SYSTIVA MP"/>
    <n v="52"/>
    <n v="0"/>
    <n v="52"/>
    <x v="5"/>
    <s v="2771"/>
    <s v="MP"/>
    <s v="322"/>
    <s v="4.0 UN"/>
    <s v="STANDARD"/>
    <s v="N"/>
    <s v="Y"/>
    <s v="N"/>
    <s v="T20"/>
    <s v="Y"/>
    <s v="N"/>
    <s v="N"/>
    <s v="N"/>
    <s v="B017"/>
    <d v="2016-12-12T00:00:00"/>
    <s v="20"/>
    <s v="TAN"/>
    <s v="OR"/>
    <d v="2016-12-06T00:00:00"/>
    <s v="WY"/>
    <s v="US"/>
    <s v="ZR"/>
    <d v="2016-12-07T00:00:00"/>
  </r>
  <r>
    <x v="1"/>
    <x v="5"/>
    <x v="2368"/>
    <x v="14"/>
    <s v="Standard order"/>
    <x v="2248"/>
    <x v="2085"/>
    <s v="398N"/>
    <s v="BTS 39RR8N"/>
    <s v="5002572"/>
    <s v="398N BTS T20 PB SYSTIVA RP"/>
    <n v="12"/>
    <n v="0"/>
    <n v="12"/>
    <x v="5"/>
    <s v="2771"/>
    <s v="RP"/>
    <s v="322"/>
    <s v="4.0 UN"/>
    <s v="STANDARD"/>
    <s v="N"/>
    <s v="Y"/>
    <s v="N"/>
    <s v="T20"/>
    <s v="Y"/>
    <s v="N"/>
    <s v="N"/>
    <s v="N"/>
    <s v="B017"/>
    <d v="2016-12-12T00:00:00"/>
    <s v="10"/>
    <s v="TAN"/>
    <s v="OR"/>
    <d v="2016-12-06T00:00:00"/>
    <s v="WY"/>
    <s v="US"/>
    <s v="ZR"/>
    <d v="2016-12-07T00:00:00"/>
  </r>
  <r>
    <x v="1"/>
    <x v="5"/>
    <x v="2369"/>
    <x v="14"/>
    <s v="Standard order"/>
    <x v="2249"/>
    <x v="333"/>
    <s v="353N"/>
    <s v="BTS 353N"/>
    <s v="5002524"/>
    <s v="353N BTS T20 PB SYSTIVA RP"/>
    <n v="12"/>
    <n v="0"/>
    <n v="12"/>
    <x v="5"/>
    <s v="EENZ"/>
    <s v="RP"/>
    <s v="322"/>
    <s v="4.0 UN"/>
    <s v="STANDARD"/>
    <s v="N"/>
    <s v="Y"/>
    <s v="N"/>
    <s v="T20"/>
    <s v="Y"/>
    <s v="N"/>
    <s v="N"/>
    <s v="N"/>
    <s v="B017"/>
    <d v="2016-12-12T00:00:00"/>
    <s v="10"/>
    <s v="TAN"/>
    <s v="OR"/>
    <d v="2016-12-06T00:00:00"/>
    <s v="WY"/>
    <s v="US"/>
    <s v="ZR"/>
    <d v="2016-12-07T00:00:00"/>
  </r>
  <r>
    <x v="1"/>
    <x v="5"/>
    <x v="2369"/>
    <x v="14"/>
    <s v="Standard order"/>
    <x v="2249"/>
    <x v="333"/>
    <s v="398N"/>
    <s v="BTS 39RR8N"/>
    <s v="5002572"/>
    <s v="398N BTS T20 PB SYSTIVA RP"/>
    <n v="120"/>
    <n v="0"/>
    <n v="120"/>
    <x v="5"/>
    <s v="2771"/>
    <s v="RP"/>
    <s v="322"/>
    <s v="4.0 UN"/>
    <s v="STANDARD"/>
    <s v="N"/>
    <s v="Y"/>
    <s v="N"/>
    <s v="T20"/>
    <s v="Y"/>
    <s v="N"/>
    <s v="N"/>
    <s v="N"/>
    <s v="B017"/>
    <d v="2016-12-12T00:00:00"/>
    <s v="20"/>
    <s v="TAN"/>
    <s v="OR"/>
    <d v="2016-12-06T00:00:00"/>
    <s v="WY"/>
    <s v="US"/>
    <s v="ZR"/>
    <d v="2016-12-07T00:00:00"/>
  </r>
  <r>
    <x v="1"/>
    <x v="5"/>
    <x v="2370"/>
    <x v="9"/>
    <s v="Standard order"/>
    <x v="2250"/>
    <x v="372"/>
    <s v="398N"/>
    <s v="BTS 39RR8N"/>
    <s v="5002572"/>
    <s v="398N BTS T20 PB SYSTIVA RP"/>
    <n v="40"/>
    <n v="0"/>
    <n v="40"/>
    <x v="5"/>
    <s v="2771"/>
    <s v="RP"/>
    <s v="322"/>
    <s v="4.0 UN"/>
    <s v="STANDARD"/>
    <s v="N"/>
    <s v="Y"/>
    <s v="N"/>
    <s v="T20"/>
    <s v="Y"/>
    <s v="N"/>
    <s v="N"/>
    <s v="N"/>
    <s v="B016"/>
    <d v="2016-12-12T00:00:00"/>
    <s v="10"/>
    <s v="TAN"/>
    <s v="OR"/>
    <d v="2016-12-06T00:00:00"/>
    <s v="WY"/>
    <s v="US"/>
    <s v="ZR"/>
    <d v="2016-12-07T00:00:00"/>
  </r>
  <r>
    <x v="1"/>
    <x v="5"/>
    <x v="2370"/>
    <x v="9"/>
    <s v="Standard order"/>
    <x v="2250"/>
    <x v="372"/>
    <s v="353N"/>
    <s v="BTS 353N"/>
    <s v="5002524"/>
    <s v="353N BTS T20 PB SYSTIVA RP"/>
    <n v="20"/>
    <n v="0"/>
    <n v="20"/>
    <x v="5"/>
    <s v="EENZ"/>
    <s v="RP"/>
    <s v="322"/>
    <s v="4.0 UN"/>
    <s v="STANDARD"/>
    <s v="N"/>
    <s v="Y"/>
    <s v="N"/>
    <s v="T20"/>
    <s v="Y"/>
    <s v="N"/>
    <s v="N"/>
    <s v="N"/>
    <s v="B016"/>
    <d v="2016-12-12T00:00:00"/>
    <s v="20"/>
    <s v="TAN"/>
    <s v="OR"/>
    <d v="2016-12-06T00:00:00"/>
    <s v="WY"/>
    <s v="US"/>
    <s v="ZR"/>
    <d v="2016-12-07T00:00:00"/>
  </r>
  <r>
    <x v="1"/>
    <x v="2"/>
    <x v="2371"/>
    <x v="22"/>
    <s v="Standard order"/>
    <x v="2251"/>
    <x v="354"/>
    <s v="630N"/>
    <s v="BTS 630N"/>
    <s v="5002402"/>
    <s v="630N BTS T20 PB SYSTIVA P100"/>
    <n v="8"/>
    <n v="0"/>
    <n v="8"/>
    <x v="2"/>
    <s v="DW73"/>
    <s v="PRO 100"/>
    <s v="322"/>
    <s v="4.0 UN"/>
    <s v="STANDARD"/>
    <s v="N"/>
    <s v="N"/>
    <s v="N"/>
    <s v="T20"/>
    <s v="Y"/>
    <s v="N"/>
    <s v="Y"/>
    <s v="N"/>
    <s v="B018"/>
    <d v="2016-12-12T00:00:00"/>
    <s v="10"/>
    <s v="TAN"/>
    <s v="OR"/>
    <d v="2016-12-06T00:00:00"/>
    <s v="CO"/>
    <s v="US"/>
    <s v="ZR"/>
    <d v="2016-12-07T00:00:00"/>
  </r>
  <r>
    <x v="1"/>
    <x v="2"/>
    <x v="2371"/>
    <x v="22"/>
    <s v="Standard order"/>
    <x v="2251"/>
    <x v="354"/>
    <s v="64SN"/>
    <s v="BTS 64SN"/>
    <s v="5002420"/>
    <s v="64SN BTS T20 PB SYSTIVA P100"/>
    <n v="16"/>
    <n v="0"/>
    <n v="16"/>
    <x v="2"/>
    <s v="DVNB"/>
    <s v="PRO 100"/>
    <s v="322"/>
    <s v="4.0 UN"/>
    <s v="STANDARD"/>
    <s v="N"/>
    <s v="N"/>
    <s v="N"/>
    <s v="T20"/>
    <s v="Y"/>
    <s v="N"/>
    <s v="Y"/>
    <s v="N"/>
    <s v="B018"/>
    <d v="2016-12-12T00:00:00"/>
    <s v="20"/>
    <s v="TAN"/>
    <s v="OR"/>
    <d v="2016-12-06T00:00:00"/>
    <s v="CO"/>
    <s v="US"/>
    <s v="ZR"/>
    <d v="2016-12-07T00:00:00"/>
  </r>
  <r>
    <x v="1"/>
    <x v="5"/>
    <x v="2372"/>
    <x v="9"/>
    <s v="Standard order"/>
    <x v="2252"/>
    <x v="2086"/>
    <s v="353N"/>
    <s v="BTS 353N"/>
    <s v="5002524"/>
    <s v="353N BTS T20 PB SYSTIVA RP"/>
    <n v="20"/>
    <n v="0"/>
    <n v="20"/>
    <x v="5"/>
    <s v="EENZ"/>
    <s v="RP"/>
    <s v="322"/>
    <s v="4.0 UN"/>
    <s v="STANDARD"/>
    <s v="N"/>
    <s v="Y"/>
    <s v="N"/>
    <s v="T20"/>
    <s v="Y"/>
    <s v="N"/>
    <s v="N"/>
    <s v="N"/>
    <s v="B016"/>
    <d v="2016-12-12T00:00:00"/>
    <s v="10"/>
    <s v="TAN"/>
    <s v="OR"/>
    <d v="2016-12-06T00:00:00"/>
    <s v="WY"/>
    <s v="US"/>
    <s v="ZR"/>
    <d v="2016-12-07T00:00:00"/>
  </r>
  <r>
    <x v="1"/>
    <x v="5"/>
    <x v="2372"/>
    <x v="9"/>
    <s v="Standard order"/>
    <x v="2252"/>
    <x v="2086"/>
    <s v="336N"/>
    <s v="BTS 336N"/>
    <s v="5002400"/>
    <s v="336N BTS T20 PB SYSTIVA RP"/>
    <n v="16"/>
    <n v="0"/>
    <n v="16"/>
    <x v="5"/>
    <s v="EEMG"/>
    <s v="RP"/>
    <s v="322"/>
    <s v="4.0 UN"/>
    <s v="STANDARD"/>
    <s v="N"/>
    <s v="N"/>
    <s v="N"/>
    <s v="T20"/>
    <s v="Y"/>
    <s v="N"/>
    <s v="N"/>
    <s v="N"/>
    <s v="B016"/>
    <d v="2016-12-12T00:00:00"/>
    <s v="20"/>
    <s v="TAN"/>
    <s v="OR"/>
    <d v="2016-12-06T00:00:00"/>
    <s v="WY"/>
    <s v="US"/>
    <s v="ZR"/>
    <d v="2016-12-07T00:00:00"/>
  </r>
  <r>
    <x v="1"/>
    <x v="5"/>
    <x v="2373"/>
    <x v="14"/>
    <s v="Standard order"/>
    <x v="2253"/>
    <x v="352"/>
    <s v="336N"/>
    <s v="BTS 336N"/>
    <s v="5002197"/>
    <s v="336N BTS T20 PB SYSTIVA MP"/>
    <n v="32"/>
    <n v="0"/>
    <n v="32"/>
    <x v="5"/>
    <s v="EEMG"/>
    <s v="MP"/>
    <s v="322"/>
    <s v="4.0 UN"/>
    <s v="STANDARD"/>
    <s v="N"/>
    <s v="N"/>
    <s v="N"/>
    <s v="T20"/>
    <s v="Y"/>
    <s v="N"/>
    <s v="N"/>
    <s v="N"/>
    <s v="B017"/>
    <d v="2016-12-12T00:00:00"/>
    <s v="10"/>
    <s v="TAN"/>
    <s v="OR"/>
    <d v="2016-12-06T00:00:00"/>
    <s v="WY"/>
    <s v="US"/>
    <s v="ZR"/>
    <d v="2016-12-07T00:00:00"/>
  </r>
  <r>
    <x v="1"/>
    <x v="5"/>
    <x v="2373"/>
    <x v="14"/>
    <s v="Standard order"/>
    <x v="2253"/>
    <x v="352"/>
    <s v="353N"/>
    <s v="BTS 353N"/>
    <s v="5002520"/>
    <s v="353N BTS T20 PB SYSTIVA MP"/>
    <n v="8"/>
    <n v="0"/>
    <n v="8"/>
    <x v="5"/>
    <s v="EENZ"/>
    <s v="MP"/>
    <s v="322"/>
    <s v="4.0 UN"/>
    <s v="STANDARD"/>
    <s v="N"/>
    <s v="Y"/>
    <s v="N"/>
    <s v="T20"/>
    <s v="Y"/>
    <s v="N"/>
    <s v="N"/>
    <s v="N"/>
    <s v="B017"/>
    <d v="2016-12-12T00:00:00"/>
    <s v="20"/>
    <s v="TAN"/>
    <s v="OR"/>
    <d v="2016-12-06T00:00:00"/>
    <s v="WY"/>
    <s v="US"/>
    <s v="ZR"/>
    <d v="2016-12-07T00:00:00"/>
  </r>
  <r>
    <x v="1"/>
    <x v="0"/>
    <x v="2374"/>
    <x v="29"/>
    <s v="Standard order"/>
    <x v="2254"/>
    <x v="118"/>
    <s v="122N"/>
    <s v="BTS 12RR2N"/>
    <s v="5002317"/>
    <s v="122N BTS T20 SYSTIVA RP"/>
    <n v="28"/>
    <n v="0"/>
    <n v="28"/>
    <x v="0"/>
    <s v="4TBG"/>
    <s v="RP"/>
    <s v="326"/>
    <s v="4.0 UN"/>
    <s v="STANDARD"/>
    <s v="N"/>
    <s v="N"/>
    <s v="N"/>
    <s v="T20"/>
    <s v="Y"/>
    <s v="N"/>
    <s v="Y"/>
    <s v="N"/>
    <s v="B005"/>
    <d v="2016-12-12T00:00:00"/>
    <s v="10"/>
    <s v="TAN"/>
    <s v="OR"/>
    <d v="2016-12-06T00:00:00"/>
    <s v="MI"/>
    <s v="US"/>
    <s v="ZR"/>
    <d v="2016-12-07T00:00:00"/>
  </r>
  <r>
    <x v="1"/>
    <x v="0"/>
    <x v="2374"/>
    <x v="29"/>
    <s v="Standard order"/>
    <x v="2254"/>
    <x v="118"/>
    <s v="1399"/>
    <s v="BTS 1399"/>
    <s v="5002348"/>
    <s v="1399 BTS T20 Kabina RP"/>
    <n v="48"/>
    <n v="0"/>
    <n v="48"/>
    <x v="0"/>
    <s v="EG74"/>
    <s v="RP"/>
    <s v="380"/>
    <s v="4.0 UN"/>
    <s v="STANDARD"/>
    <s v="N"/>
    <s v="N"/>
    <s v="Y"/>
    <s v="T20"/>
    <s v="N"/>
    <s v="N"/>
    <s v="N"/>
    <s v="N"/>
    <s v="B005"/>
    <d v="2016-12-12T00:00:00"/>
    <s v="20"/>
    <s v="TAN"/>
    <s v="OR"/>
    <d v="2016-12-06T00:00:00"/>
    <s v="MI"/>
    <s v="US"/>
    <s v="ZR"/>
    <d v="2016-12-07T00:00:00"/>
  </r>
  <r>
    <x v="1"/>
    <x v="2"/>
    <x v="2375"/>
    <x v="22"/>
    <s v="Standard order"/>
    <x v="2255"/>
    <x v="2087"/>
    <s v="628N"/>
    <s v="BTS 62RR8N"/>
    <s v="5002683"/>
    <s v="628N BTS T20 PB SYSTIVA P100"/>
    <n v="16"/>
    <n v="0"/>
    <n v="16"/>
    <x v="2"/>
    <s v="BL73"/>
    <s v="PRO 100"/>
    <s v="322"/>
    <s v="4.0 UN"/>
    <s v="STANDARD"/>
    <s v="N"/>
    <s v="N"/>
    <s v="N"/>
    <s v="T20"/>
    <s v="Y"/>
    <s v="N"/>
    <s v="Y"/>
    <s v="N"/>
    <s v="B018"/>
    <d v="2016-12-12T00:00:00"/>
    <s v="10"/>
    <s v="TAN"/>
    <s v="OR"/>
    <d v="2016-12-06T00:00:00"/>
    <s v="CO"/>
    <s v="US"/>
    <s v="ZR"/>
    <d v="2016-12-07T00:00:00"/>
  </r>
  <r>
    <x v="1"/>
    <x v="2"/>
    <x v="2376"/>
    <x v="22"/>
    <s v="Standard order"/>
    <x v="2256"/>
    <x v="379"/>
    <s v="64SN"/>
    <s v="BTS 64SN"/>
    <s v="5002420"/>
    <s v="64SN BTS T20 PB SYSTIVA P100"/>
    <n v="40"/>
    <n v="0"/>
    <n v="40"/>
    <x v="2"/>
    <s v="DVNB"/>
    <s v="PRO 100"/>
    <s v="322"/>
    <s v="4.0 UN"/>
    <s v="STANDARD"/>
    <s v="N"/>
    <s v="N"/>
    <s v="N"/>
    <s v="T20"/>
    <s v="Y"/>
    <s v="N"/>
    <s v="Y"/>
    <s v="N"/>
    <s v="B018"/>
    <d v="2016-12-12T00:00:00"/>
    <s v="10"/>
    <s v="TAN"/>
    <s v="OR"/>
    <d v="2016-12-06T00:00:00"/>
    <s v="CO"/>
    <s v="US"/>
    <s v="ZR"/>
    <d v="2016-12-07T00:00:00"/>
  </r>
  <r>
    <x v="1"/>
    <x v="2"/>
    <x v="2376"/>
    <x v="22"/>
    <s v="Standard order"/>
    <x v="2256"/>
    <x v="379"/>
    <s v="630N"/>
    <s v="BTS 630N"/>
    <s v="5002402"/>
    <s v="630N BTS T20 PB SYSTIVA P100"/>
    <n v="40"/>
    <n v="0"/>
    <n v="40"/>
    <x v="2"/>
    <s v="DW73"/>
    <s v="PRO 100"/>
    <s v="322"/>
    <s v="4.0 UN"/>
    <s v="STANDARD"/>
    <s v="N"/>
    <s v="N"/>
    <s v="N"/>
    <s v="T20"/>
    <s v="Y"/>
    <s v="N"/>
    <s v="Y"/>
    <s v="N"/>
    <s v="B018"/>
    <d v="2016-12-12T00:00:00"/>
    <s v="20"/>
    <s v="TAN"/>
    <s v="OR"/>
    <d v="2016-12-06T00:00:00"/>
    <s v="CO"/>
    <s v="US"/>
    <s v="ZR"/>
    <d v="2016-12-07T00:00:00"/>
  </r>
  <r>
    <x v="1"/>
    <x v="2"/>
    <x v="2376"/>
    <x v="22"/>
    <s v="Standard order"/>
    <x v="2256"/>
    <x v="379"/>
    <s v="628N"/>
    <s v="BTS 62RR8N"/>
    <s v="5002683"/>
    <s v="628N BTS T20 PB SYSTIVA P100"/>
    <n v="52"/>
    <n v="0"/>
    <n v="52"/>
    <x v="2"/>
    <s v="BL73"/>
    <s v="PRO 100"/>
    <s v="322"/>
    <s v="4.0 UN"/>
    <s v="STANDARD"/>
    <s v="N"/>
    <s v="N"/>
    <s v="N"/>
    <s v="T20"/>
    <s v="Y"/>
    <s v="N"/>
    <s v="Y"/>
    <s v="N"/>
    <s v="B018"/>
    <d v="2016-12-12T00:00:00"/>
    <s v="30"/>
    <s v="TAN"/>
    <s v="OR"/>
    <d v="2016-12-06T00:00:00"/>
    <s v="CO"/>
    <s v="US"/>
    <s v="ZR"/>
    <d v="2016-12-07T00:00:00"/>
  </r>
  <r>
    <x v="1"/>
    <x v="2"/>
    <x v="2376"/>
    <x v="22"/>
    <s v="Standard order"/>
    <x v="2256"/>
    <x v="379"/>
    <s v="6027"/>
    <s v="BTS 60RR27"/>
    <s v="5002645"/>
    <s v="6027 BTS T20 PB SYSTIVA P100 WSS"/>
    <n v="20"/>
    <n v="0"/>
    <n v="20"/>
    <x v="2"/>
    <s v="APMC"/>
    <s v="PRO 100"/>
    <s v="322"/>
    <s v="4.0 UN"/>
    <s v="STANDARD"/>
    <s v="N"/>
    <s v="N"/>
    <s v="N"/>
    <s v="T20"/>
    <s v="Y"/>
    <s v="N"/>
    <s v="Y"/>
    <s v="N"/>
    <s v="B018"/>
    <d v="2016-12-12T00:00:00"/>
    <s v="40"/>
    <s v="TAN"/>
    <s v="OR"/>
    <d v="2016-12-06T00:00:00"/>
    <s v="CO"/>
    <s v="US"/>
    <s v="ZR"/>
    <d v="2016-12-07T00:00:00"/>
  </r>
  <r>
    <x v="1"/>
    <x v="7"/>
    <x v="2377"/>
    <x v="38"/>
    <s v="Standard order"/>
    <x v="2257"/>
    <x v="2088"/>
    <s v="8337"/>
    <s v="BTS 8337"/>
    <s v="5002799"/>
    <s v="8337 BTS T35 SYSTIVA RP"/>
    <n v="48"/>
    <n v="0"/>
    <n v="48"/>
    <x v="7"/>
    <s v="DHMC"/>
    <s v="RP"/>
    <s v="334"/>
    <s v="4.0 UN"/>
    <s v="STANDARD"/>
    <s v="N"/>
    <s v="N"/>
    <s v="N"/>
    <s v="T35"/>
    <s v="Y"/>
    <s v="N"/>
    <s v="Y"/>
    <s v="N"/>
    <s v="B031"/>
    <d v="2016-12-12T00:00:00"/>
    <s v="10"/>
    <s v="TAN"/>
    <s v="OR"/>
    <d v="2016-12-07T00:00:00"/>
    <s v="ND"/>
    <s v="US"/>
    <s v="ZR"/>
    <d v="2016-12-07T00:00:00"/>
  </r>
  <r>
    <x v="1"/>
    <x v="7"/>
    <x v="2378"/>
    <x v="37"/>
    <s v="Standard order"/>
    <x v="2258"/>
    <x v="2089"/>
    <s v="8052"/>
    <s v="BTS 80RR52"/>
    <s v="5002738"/>
    <s v="8052 BTS T35 SYSTIVA P200"/>
    <n v="96"/>
    <n v="0"/>
    <n v="96"/>
    <x v="7"/>
    <s v="AP82"/>
    <s v="PRO 200"/>
    <s v="334"/>
    <s v="4.0 UN"/>
    <s v="STANDARD"/>
    <s v="N"/>
    <s v="N"/>
    <s v="N"/>
    <s v="T35"/>
    <s v="Y"/>
    <s v="N"/>
    <s v="Y"/>
    <s v="N"/>
    <s v="B033"/>
    <d v="2016-12-12T00:00:00"/>
    <s v="10"/>
    <s v="TAN"/>
    <s v="OR"/>
    <d v="2016-12-07T00:00:00"/>
    <s v="ND"/>
    <s v="US"/>
    <s v="ZR"/>
    <d v="2016-12-07T00:00:00"/>
  </r>
  <r>
    <x v="1"/>
    <x v="5"/>
    <x v="2379"/>
    <x v="13"/>
    <s v="Standard order"/>
    <x v="2259"/>
    <x v="2090"/>
    <s v="398N"/>
    <s v="BTS 39RR8N"/>
    <s v="5002572"/>
    <s v="398N BTS T20 PB SYSTIVA RP"/>
    <n v="32"/>
    <n v="0"/>
    <n v="32"/>
    <x v="5"/>
    <s v="2771"/>
    <s v="RP"/>
    <s v="322"/>
    <s v="4.0 UN"/>
    <s v="STANDARD"/>
    <s v="N"/>
    <s v="Y"/>
    <s v="N"/>
    <s v="T20"/>
    <s v="Y"/>
    <s v="N"/>
    <s v="N"/>
    <s v="N"/>
    <s v="B015"/>
    <d v="2016-12-12T00:00:00"/>
    <s v="10"/>
    <s v="TAN"/>
    <s v="OR"/>
    <d v="2016-12-07T00:00:00"/>
    <s v="MT"/>
    <s v="US"/>
    <s v="ZR"/>
    <d v="2016-12-07T00:00:00"/>
  </r>
  <r>
    <x v="1"/>
    <x v="5"/>
    <x v="2379"/>
    <x v="13"/>
    <s v="Standard order"/>
    <x v="2259"/>
    <x v="2090"/>
    <s v="353N"/>
    <s v="BTS 353N"/>
    <s v="5002522"/>
    <s v="353N BTS T20 PB SYSTIVA P200"/>
    <n v="32"/>
    <n v="0"/>
    <n v="32"/>
    <x v="5"/>
    <s v="EENZ"/>
    <s v="PRO 200"/>
    <s v="322"/>
    <s v="4.0 UN"/>
    <s v="STANDARD"/>
    <s v="N"/>
    <s v="Y"/>
    <s v="N"/>
    <s v="T20"/>
    <s v="Y"/>
    <s v="N"/>
    <s v="N"/>
    <s v="N"/>
    <s v="B015"/>
    <d v="2016-12-12T00:00:00"/>
    <s v="20"/>
    <s v="TAN"/>
    <s v="OR"/>
    <d v="2016-12-07T00:00:00"/>
    <s v="MT"/>
    <s v="US"/>
    <s v="ZR"/>
    <d v="2016-12-07T00:00:00"/>
  </r>
  <r>
    <x v="1"/>
    <x v="4"/>
    <x v="2380"/>
    <x v="44"/>
    <s v="Standard order"/>
    <x v="2260"/>
    <x v="2091"/>
    <s v="225N"/>
    <s v="BTS 22RR5N"/>
    <s v="5002119"/>
    <s v="225N BTS PB XL"/>
    <n v="100"/>
    <n v="0"/>
    <n v="100"/>
    <x v="4"/>
    <s v="4TBD"/>
    <s v="X-LARGE"/>
    <s v="307"/>
    <s v="4.0 UN"/>
    <s v="STANDARD"/>
    <s v="N"/>
    <s v="Y"/>
    <s v="N"/>
    <s v="N"/>
    <s v="N"/>
    <s v="N"/>
    <s v="N"/>
    <s v="N"/>
    <s v="MB13"/>
    <d v="2016-12-12T00:00:00"/>
    <s v="10"/>
    <s v="TAN"/>
    <s v="OR"/>
    <d v="2016-12-07T00:00:00"/>
    <s v="OR"/>
    <s v="US"/>
    <s v="ZR"/>
    <d v="2016-12-07T00:00:00"/>
  </r>
  <r>
    <x v="1"/>
    <x v="4"/>
    <x v="2380"/>
    <x v="44"/>
    <s v="Standard order"/>
    <x v="2260"/>
    <x v="2091"/>
    <s v="251N"/>
    <s v="BTS 251N"/>
    <s v="5002196"/>
    <s v="251N BTS PB XL"/>
    <n v="20"/>
    <n v="0"/>
    <n v="20"/>
    <x v="4"/>
    <s v="5HBR"/>
    <s v="X-LARGE"/>
    <s v="307"/>
    <s v="4.0 UN"/>
    <s v="STANDARD"/>
    <s v="N"/>
    <s v="Y"/>
    <s v="N"/>
    <s v="N"/>
    <s v="N"/>
    <s v="N"/>
    <s v="N"/>
    <s v="N"/>
    <s v="MB13"/>
    <d v="2016-12-12T00:00:00"/>
    <s v="20"/>
    <s v="TAN"/>
    <s v="OR"/>
    <d v="2016-12-07T00:00:00"/>
    <s v="OR"/>
    <s v="US"/>
    <s v="ZR"/>
    <d v="2016-12-07T00:00:00"/>
  </r>
  <r>
    <x v="1"/>
    <x v="0"/>
    <x v="2381"/>
    <x v="45"/>
    <s v="Standard order"/>
    <x v="2261"/>
    <x v="2092"/>
    <s v="122N"/>
    <s v="BTS 12RR2N"/>
    <s v="5002317"/>
    <s v="122N BTS T20 SYSTIVA RP"/>
    <n v="28"/>
    <n v="0"/>
    <n v="28"/>
    <x v="0"/>
    <s v="4TBG"/>
    <s v="RP"/>
    <s v="326"/>
    <s v="4.0 UN"/>
    <s v="STANDARD"/>
    <s v="N"/>
    <s v="N"/>
    <s v="N"/>
    <s v="T20"/>
    <s v="Y"/>
    <s v="N"/>
    <s v="Y"/>
    <s v="N"/>
    <s v="B003"/>
    <d v="2016-12-12T00:00:00"/>
    <s v="10"/>
    <s v="TAN"/>
    <s v="OR"/>
    <d v="2016-12-07T00:00:00"/>
    <s v="MI"/>
    <s v="US"/>
    <s v="ZR"/>
    <d v="2016-12-07T00:00:00"/>
  </r>
  <r>
    <x v="1"/>
    <x v="0"/>
    <x v="2381"/>
    <x v="45"/>
    <s v="Standard order"/>
    <x v="2261"/>
    <x v="2092"/>
    <s v="149N"/>
    <s v="BTS 149N"/>
    <s v="5002368"/>
    <s v="149N BTS T20 Kabina RP"/>
    <n v="24"/>
    <n v="0"/>
    <n v="24"/>
    <x v="0"/>
    <s v="EEND"/>
    <s v="RP"/>
    <s v="380"/>
    <s v="4.0 UN"/>
    <s v="STANDARD"/>
    <s v="N"/>
    <s v="N"/>
    <s v="Y"/>
    <s v="T20"/>
    <s v="N"/>
    <s v="N"/>
    <s v="N"/>
    <s v="N"/>
    <s v="B003"/>
    <d v="2016-12-12T00:00:00"/>
    <s v="20"/>
    <s v="TAN"/>
    <s v="OR"/>
    <d v="2016-12-07T00:00:00"/>
    <s v="MI"/>
    <s v="US"/>
    <s v="ZR"/>
    <d v="2016-12-07T00:00:00"/>
  </r>
  <r>
    <x v="1"/>
    <x v="0"/>
    <x v="2381"/>
    <x v="45"/>
    <s v="Standard order"/>
    <x v="2261"/>
    <x v="2092"/>
    <s v="133N"/>
    <s v="BTS 133N"/>
    <s v="5002329"/>
    <s v="133N BTS T20 Kabina RP"/>
    <n v="20"/>
    <n v="0"/>
    <n v="20"/>
    <x v="0"/>
    <s v="DW73"/>
    <s v="RP"/>
    <s v="380"/>
    <s v="4.0 UN"/>
    <s v="STANDARD"/>
    <s v="N"/>
    <s v="N"/>
    <s v="Y"/>
    <s v="T20"/>
    <s v="N"/>
    <s v="N"/>
    <s v="N"/>
    <s v="N"/>
    <s v="B003"/>
    <d v="2016-12-12T00:00:00"/>
    <s v="30"/>
    <s v="TAN"/>
    <s v="OR"/>
    <d v="2016-12-07T00:00:00"/>
    <s v="MI"/>
    <s v="US"/>
    <s v="ZR"/>
    <d v="2016-12-07T00:00:00"/>
  </r>
  <r>
    <x v="1"/>
    <x v="2"/>
    <x v="2382"/>
    <x v="6"/>
    <s v="Standard order"/>
    <x v="2262"/>
    <x v="336"/>
    <s v="64SN"/>
    <s v="BTS 64SN"/>
    <s v="5002420"/>
    <s v="64SN BTS T20 PB SYSTIVA P100"/>
    <n v="148"/>
    <n v="0"/>
    <n v="148"/>
    <x v="2"/>
    <s v="DVNB"/>
    <s v="PRO 100"/>
    <s v="322"/>
    <s v="4.0 UN"/>
    <s v="STANDARD"/>
    <s v="N"/>
    <s v="N"/>
    <s v="N"/>
    <s v="T20"/>
    <s v="Y"/>
    <s v="N"/>
    <s v="Y"/>
    <s v="N"/>
    <s v="B025"/>
    <d v="2016-12-12T00:00:00"/>
    <s v="10"/>
    <s v="TAN"/>
    <s v="OR"/>
    <d v="2016-12-07T00:00:00"/>
    <s v="CO"/>
    <s v="US"/>
    <s v="ZR"/>
    <d v="2016-12-07T00:00:00"/>
  </r>
  <r>
    <x v="1"/>
    <x v="7"/>
    <x v="2383"/>
    <x v="28"/>
    <s v="Standard order"/>
    <x v="2263"/>
    <x v="2093"/>
    <s v="8512"/>
    <s v="BTS 8512"/>
    <s v="5002880"/>
    <s v="8512 BTS T35 SYSTIVA RP"/>
    <n v="24"/>
    <n v="0"/>
    <n v="24"/>
    <x v="7"/>
    <s v="FX73"/>
    <s v="RP"/>
    <s v="334"/>
    <s v="4.0 UN"/>
    <s v="STANDARD"/>
    <s v="N"/>
    <s v="N"/>
    <s v="N"/>
    <s v="T35"/>
    <s v="Y"/>
    <s v="N"/>
    <s v="Y"/>
    <s v="N"/>
    <s v="B056"/>
    <d v="2016-12-12T00:00:00"/>
    <s v="10"/>
    <s v="TAN"/>
    <s v="OR"/>
    <d v="2016-12-07T00:00:00"/>
    <s v="ND"/>
    <s v="US"/>
    <s v="ZR"/>
    <d v="2016-12-07T00:00:00"/>
  </r>
  <r>
    <x v="1"/>
    <x v="6"/>
    <x v="2384"/>
    <x v="51"/>
    <s v="Standard order"/>
    <x v="2264"/>
    <x v="178"/>
    <s v="437N"/>
    <s v="BTS 437N"/>
    <s v="5002210"/>
    <s v="437N BTS T20 PB SYSTIVA P50"/>
    <n v="24"/>
    <n v="0"/>
    <n v="24"/>
    <x v="6"/>
    <s v="EE73"/>
    <s v="PRO 50"/>
    <s v="322"/>
    <s v="4.0 UN"/>
    <s v="STANDARD"/>
    <s v="N"/>
    <s v="N"/>
    <s v="N"/>
    <s v="T20"/>
    <s v="Y"/>
    <s v="N"/>
    <s v="Y"/>
    <s v="N"/>
    <s v="B011"/>
    <d v="2016-12-12T00:00:00"/>
    <s v="10"/>
    <s v="TAN"/>
    <s v="OR"/>
    <d v="2016-12-07T00:00:00"/>
    <s v="MT"/>
    <s v="US"/>
    <s v="ZR"/>
    <d v="2016-12-07T00:00:00"/>
  </r>
  <r>
    <x v="1"/>
    <x v="6"/>
    <x v="2384"/>
    <x v="51"/>
    <s v="Standard order"/>
    <x v="2264"/>
    <x v="178"/>
    <s v="444N"/>
    <s v="BTS 444N"/>
    <s v="5002228"/>
    <s v="444N BTS T20 PB SYSTIVA P50"/>
    <n v="12"/>
    <n v="0"/>
    <n v="12"/>
    <x v="6"/>
    <s v="DVND"/>
    <s v="PRO 50"/>
    <s v="322"/>
    <s v="4.0 UN"/>
    <s v="STANDARD"/>
    <s v="N"/>
    <s v="N"/>
    <s v="N"/>
    <s v="T20"/>
    <s v="Y"/>
    <s v="N"/>
    <s v="Y"/>
    <s v="N"/>
    <s v="B011"/>
    <d v="2016-12-12T00:00:00"/>
    <s v="20"/>
    <s v="TAN"/>
    <s v="OR"/>
    <d v="2016-12-07T00:00:00"/>
    <s v="MT"/>
    <s v="US"/>
    <s v="ZR"/>
    <d v="2016-12-07T00:00:00"/>
  </r>
  <r>
    <x v="1"/>
    <x v="2"/>
    <x v="2385"/>
    <x v="3"/>
    <s v="Standard order"/>
    <x v="2265"/>
    <x v="335"/>
    <s v="6543"/>
    <s v="BTS 6543"/>
    <s v="5002439"/>
    <s v="6543 BTS T20 PB SYSTIVA P200"/>
    <n v="64"/>
    <n v="0"/>
    <n v="64"/>
    <x v="2"/>
    <s v="FXND"/>
    <s v="PRO 200"/>
    <s v="322"/>
    <s v="4.0 UN"/>
    <s v="STANDARD"/>
    <s v="N"/>
    <s v="N"/>
    <s v="N"/>
    <s v="T20"/>
    <s v="Y"/>
    <s v="N"/>
    <s v="Y"/>
    <s v="N"/>
    <s v="B024"/>
    <d v="2016-12-12T00:00:00"/>
    <s v="10"/>
    <s v="TAN"/>
    <s v="OR"/>
    <d v="2016-12-07T00:00:00"/>
    <s v="NE"/>
    <s v="US"/>
    <s v="ZR"/>
    <d v="2016-12-07T00:00:00"/>
  </r>
  <r>
    <x v="1"/>
    <x v="2"/>
    <x v="2385"/>
    <x v="3"/>
    <s v="Standard order"/>
    <x v="2265"/>
    <x v="335"/>
    <s v="64SN"/>
    <s v="BTS 64SN"/>
    <s v="5002421"/>
    <s v="64SN BTS T20 PB SYSTIVA P200"/>
    <n v="64"/>
    <n v="0"/>
    <n v="64"/>
    <x v="2"/>
    <s v="DVNB"/>
    <s v="PRO 200"/>
    <s v="322"/>
    <s v="4.0 UN"/>
    <s v="STANDARD"/>
    <s v="N"/>
    <s v="N"/>
    <s v="N"/>
    <s v="T20"/>
    <s v="Y"/>
    <s v="N"/>
    <s v="Y"/>
    <s v="N"/>
    <s v="B024"/>
    <d v="2016-12-12T00:00:00"/>
    <s v="20"/>
    <s v="TAN"/>
    <s v="OR"/>
    <d v="2016-12-07T00:00:00"/>
    <s v="NE"/>
    <s v="US"/>
    <s v="ZR"/>
    <d v="2016-12-07T00:00:00"/>
  </r>
  <r>
    <x v="1"/>
    <x v="2"/>
    <x v="2385"/>
    <x v="3"/>
    <s v="Standard order"/>
    <x v="2265"/>
    <x v="335"/>
    <s v="628N"/>
    <s v="BTS 62RR8N"/>
    <s v="5002684"/>
    <s v="628N BTS T20 PB SYSTIVA P200"/>
    <n v="32"/>
    <n v="0"/>
    <n v="32"/>
    <x v="2"/>
    <s v="BL73"/>
    <s v="PRO 200"/>
    <s v="322"/>
    <s v="4.0 UN"/>
    <s v="STANDARD"/>
    <s v="N"/>
    <s v="N"/>
    <s v="N"/>
    <s v="T20"/>
    <s v="Y"/>
    <s v="N"/>
    <s v="Y"/>
    <s v="N"/>
    <s v="B024"/>
    <d v="2016-12-12T00:00:00"/>
    <s v="30"/>
    <s v="TAN"/>
    <s v="OR"/>
    <d v="2016-12-07T00:00:00"/>
    <s v="NE"/>
    <s v="US"/>
    <s v="ZR"/>
    <d v="2016-12-07T00:00:00"/>
  </r>
  <r>
    <x v="1"/>
    <x v="4"/>
    <x v="2386"/>
    <x v="52"/>
    <s v="Standard order"/>
    <x v="2266"/>
    <x v="245"/>
    <s v="225N"/>
    <s v="BTS 22RR5N"/>
    <s v="5002107"/>
    <s v="225N BTS PB Kabina MED"/>
    <n v="32"/>
    <n v="0"/>
    <n v="32"/>
    <x v="4"/>
    <s v="4TBD"/>
    <s v="MEDIUM"/>
    <s v="384"/>
    <s v="4.0 UN"/>
    <s v="STANDARD"/>
    <s v="N"/>
    <s v="Y"/>
    <s v="Y"/>
    <s v="N"/>
    <s v="N"/>
    <s v="N"/>
    <s v="N"/>
    <s v="N"/>
    <s v="B048"/>
    <d v="2016-12-12T00:00:00"/>
    <s v="10"/>
    <s v="TAN"/>
    <s v="OR"/>
    <d v="2016-12-07T00:00:00"/>
    <s v="ID"/>
    <s v="US"/>
    <s v="ZR"/>
    <d v="2016-12-07T00:00:00"/>
  </r>
  <r>
    <x v="1"/>
    <x v="4"/>
    <x v="2386"/>
    <x v="52"/>
    <s v="Standard order"/>
    <x v="2266"/>
    <x v="245"/>
    <s v="251N"/>
    <s v="BTS 251N"/>
    <s v="5002501"/>
    <s v="251N BTS PB Kabina MED"/>
    <n v="20"/>
    <n v="0"/>
    <n v="20"/>
    <x v="4"/>
    <s v="5HBR"/>
    <s v="MEDIUM"/>
    <s v="384"/>
    <s v="4.0 UN"/>
    <s v="STANDARD"/>
    <s v="N"/>
    <s v="Y"/>
    <s v="Y"/>
    <s v="N"/>
    <s v="N"/>
    <s v="N"/>
    <s v="N"/>
    <s v="N"/>
    <s v="B048"/>
    <d v="2016-12-12T00:00:00"/>
    <s v="20"/>
    <s v="TAN"/>
    <s v="OR"/>
    <d v="2016-12-07T00:00:00"/>
    <s v="ID"/>
    <s v="US"/>
    <s v="ZR"/>
    <d v="2016-12-07T00:00:00"/>
  </r>
  <r>
    <x v="1"/>
    <x v="7"/>
    <x v="2387"/>
    <x v="36"/>
    <s v="Standard order"/>
    <x v="2267"/>
    <x v="2094"/>
    <s v="8500"/>
    <s v="BTS 8500"/>
    <s v="5002856"/>
    <s v="8500 BTS T35 PB SYSTIVA RP"/>
    <n v="48"/>
    <n v="0"/>
    <n v="48"/>
    <x v="7"/>
    <s v="FTND"/>
    <s v="RP"/>
    <s v="333"/>
    <s v="4.0 UN"/>
    <s v="STANDARD"/>
    <s v="N"/>
    <s v="Y"/>
    <s v="N"/>
    <s v="T35"/>
    <s v="Y"/>
    <s v="N"/>
    <s v="Y"/>
    <s v="N"/>
    <s v="B027"/>
    <d v="2016-12-12T00:00:00"/>
    <s v="10"/>
    <s v="TAN"/>
    <s v="OR"/>
    <d v="2016-12-07T00:00:00"/>
    <s v="MN"/>
    <s v="US"/>
    <s v="ZR"/>
    <d v="2016-12-07T00:00:00"/>
  </r>
  <r>
    <x v="1"/>
    <x v="4"/>
    <x v="2388"/>
    <x v="53"/>
    <s v="Standard order"/>
    <x v="2268"/>
    <x v="338"/>
    <s v="225N"/>
    <s v="BTS 22RR5N"/>
    <s v="5002119"/>
    <s v="225N BTS PB XL"/>
    <n v="20"/>
    <n v="0"/>
    <n v="20"/>
    <x v="4"/>
    <s v="4TBD"/>
    <s v="X-LARGE"/>
    <s v="307"/>
    <s v="4.0 UN"/>
    <s v="STANDARD"/>
    <s v="N"/>
    <s v="Y"/>
    <s v="N"/>
    <s v="N"/>
    <s v="N"/>
    <s v="N"/>
    <s v="N"/>
    <s v="N"/>
    <s v="B051"/>
    <d v="2016-12-12T00:00:00"/>
    <s v="10"/>
    <s v="TAN"/>
    <s v="OR"/>
    <d v="2016-12-07T00:00:00"/>
    <s v="ID"/>
    <s v="US"/>
    <s v="ZR"/>
    <d v="2016-12-07T00:00:00"/>
  </r>
  <r>
    <x v="1"/>
    <x v="7"/>
    <x v="2389"/>
    <x v="28"/>
    <s v="Standard order"/>
    <x v="2269"/>
    <x v="2095"/>
    <s v="8500"/>
    <s v="BTS 8500"/>
    <s v="5002855"/>
    <s v="8500 BTS T35 PB SYSTIVA P200"/>
    <n v="68"/>
    <n v="0"/>
    <n v="68"/>
    <x v="7"/>
    <s v="FTND"/>
    <s v="PRO 200"/>
    <s v="333"/>
    <s v="4.0 UN"/>
    <s v="STANDARD"/>
    <s v="N"/>
    <s v="Y"/>
    <s v="N"/>
    <s v="T35"/>
    <s v="Y"/>
    <s v="N"/>
    <s v="Y"/>
    <s v="N"/>
    <s v="B056"/>
    <d v="2016-12-12T00:00:00"/>
    <s v="10"/>
    <s v="TAN"/>
    <s v="OR"/>
    <d v="2016-12-07T00:00:00"/>
    <s v="ND"/>
    <s v="US"/>
    <s v="ZR"/>
    <d v="2016-12-07T00:00:00"/>
  </r>
  <r>
    <x v="1"/>
    <x v="4"/>
    <x v="2390"/>
    <x v="46"/>
    <s v="Standard order"/>
    <x v="2270"/>
    <x v="346"/>
    <s v="4933"/>
    <s v="BTS 49RR33"/>
    <s v="5002272"/>
    <s v="4933 BTS PB LRG IDH"/>
    <n v="76"/>
    <n v="0"/>
    <n v="76"/>
    <x v="4"/>
    <s v="AKMC"/>
    <s v="LARGE"/>
    <s v="307"/>
    <s v="4.0 UN"/>
    <s v="STANDARD"/>
    <s v="N"/>
    <s v="Y"/>
    <s v="N"/>
    <s v="N"/>
    <s v="N"/>
    <s v="N"/>
    <s v="N"/>
    <s v="N"/>
    <s v="B049"/>
    <d v="2016-12-12T00:00:00"/>
    <s v="10"/>
    <s v="TAN"/>
    <s v="OR"/>
    <d v="2016-12-07T00:00:00"/>
    <s v="ID"/>
    <s v="US"/>
    <s v="ZR"/>
    <d v="2016-12-07T00:00:00"/>
  </r>
  <r>
    <x v="1"/>
    <x v="4"/>
    <x v="2390"/>
    <x v="46"/>
    <s v="Standard order"/>
    <x v="2270"/>
    <x v="346"/>
    <s v="6027"/>
    <s v="BTS 60RR27"/>
    <s v="5002617"/>
    <s v="6027 BTS PB LRG IDH"/>
    <n v="76"/>
    <n v="0"/>
    <n v="76"/>
    <x v="4"/>
    <s v="APMC"/>
    <s v="LARGE"/>
    <s v="307"/>
    <s v="4.0 UN"/>
    <s v="STANDARD"/>
    <s v="N"/>
    <s v="Y"/>
    <s v="N"/>
    <s v="N"/>
    <s v="N"/>
    <s v="N"/>
    <s v="N"/>
    <s v="N"/>
    <s v="B049"/>
    <d v="2016-12-12T00:00:00"/>
    <s v="20"/>
    <s v="TAN"/>
    <s v="OR"/>
    <d v="2016-12-07T00:00:00"/>
    <s v="ID"/>
    <s v="US"/>
    <s v="ZR"/>
    <d v="2016-12-07T00:00:00"/>
  </r>
  <r>
    <x v="1"/>
    <x v="4"/>
    <x v="2390"/>
    <x v="46"/>
    <s v="Standard order"/>
    <x v="2270"/>
    <x v="346"/>
    <s v="2559"/>
    <s v="BTS 2559"/>
    <s v="5002561"/>
    <s v="2559 BTS PB LRG"/>
    <n v="48"/>
    <n v="0"/>
    <n v="48"/>
    <x v="4"/>
    <s v="FGNE"/>
    <s v="LARGE"/>
    <s v="307"/>
    <s v="4.0 UN"/>
    <s v="STANDARD"/>
    <s v="N"/>
    <s v="Y"/>
    <s v="N"/>
    <s v="N"/>
    <s v="N"/>
    <s v="N"/>
    <s v="N"/>
    <s v="N"/>
    <s v="B049"/>
    <d v="2016-12-12T00:00:00"/>
    <s v="30"/>
    <s v="TAN"/>
    <s v="OR"/>
    <d v="2016-12-07T00:00:00"/>
    <s v="ID"/>
    <s v="US"/>
    <s v="ZR"/>
    <d v="2016-12-07T00:00:00"/>
  </r>
  <r>
    <x v="1"/>
    <x v="4"/>
    <x v="2390"/>
    <x v="46"/>
    <s v="Standard order"/>
    <x v="2270"/>
    <x v="346"/>
    <s v="2523"/>
    <s v="BTS 2523"/>
    <s v="5002527"/>
    <s v="2523 BTS PB LRG"/>
    <n v="48"/>
    <n v="0"/>
    <n v="48"/>
    <x v="4"/>
    <s v="EZPC"/>
    <s v="LARGE"/>
    <s v="307"/>
    <s v="4.0 UN"/>
    <s v="STANDARD"/>
    <s v="N"/>
    <s v="Y"/>
    <s v="N"/>
    <s v="N"/>
    <s v="N"/>
    <s v="N"/>
    <s v="N"/>
    <s v="N"/>
    <s v="B049"/>
    <d v="2016-12-12T00:00:00"/>
    <s v="40"/>
    <s v="TAN"/>
    <s v="OR"/>
    <d v="2016-12-07T00:00:00"/>
    <s v="ID"/>
    <s v="US"/>
    <s v="ZR"/>
    <d v="2016-12-07T00:00:00"/>
  </r>
  <r>
    <x v="1"/>
    <x v="4"/>
    <x v="2391"/>
    <x v="47"/>
    <s v="Standard order"/>
    <x v="2271"/>
    <x v="255"/>
    <s v="251N"/>
    <s v="BTS 251N"/>
    <s v="5002194"/>
    <s v="251N BTS PB LRG"/>
    <n v="48"/>
    <n v="0"/>
    <n v="48"/>
    <x v="4"/>
    <s v="5HBR"/>
    <s v="LARGE"/>
    <s v="307"/>
    <s v="4.0 UN"/>
    <s v="STANDARD"/>
    <s v="N"/>
    <s v="Y"/>
    <s v="N"/>
    <s v="N"/>
    <s v="N"/>
    <s v="N"/>
    <s v="N"/>
    <s v="N"/>
    <s v="B050"/>
    <d v="2016-12-12T00:00:00"/>
    <s v="10"/>
    <s v="TAN"/>
    <s v="OR"/>
    <d v="2016-12-07T00:00:00"/>
    <s v="ID"/>
    <s v="US"/>
    <s v="ZR"/>
    <d v="2016-12-07T00:00:00"/>
  </r>
  <r>
    <x v="1"/>
    <x v="4"/>
    <x v="2391"/>
    <x v="47"/>
    <s v="Standard order"/>
    <x v="2271"/>
    <x v="255"/>
    <s v="2523"/>
    <s v="BTS 2523"/>
    <s v="5002527"/>
    <s v="2523 BTS PB LRG"/>
    <n v="48"/>
    <n v="0"/>
    <n v="48"/>
    <x v="4"/>
    <s v="EZPC"/>
    <s v="LARGE"/>
    <s v="307"/>
    <s v="4.0 UN"/>
    <s v="STANDARD"/>
    <s v="N"/>
    <s v="Y"/>
    <s v="N"/>
    <s v="N"/>
    <s v="N"/>
    <s v="N"/>
    <s v="N"/>
    <s v="N"/>
    <s v="B050"/>
    <d v="2016-12-12T00:00:00"/>
    <s v="20"/>
    <s v="TAN"/>
    <s v="OR"/>
    <d v="2016-12-07T00:00:00"/>
    <s v="ID"/>
    <s v="US"/>
    <s v="ZR"/>
    <d v="2016-12-07T00:00:00"/>
  </r>
  <r>
    <x v="1"/>
    <x v="4"/>
    <x v="2391"/>
    <x v="47"/>
    <s v="Standard order"/>
    <x v="2271"/>
    <x v="255"/>
    <s v="2559"/>
    <s v="BTS 2559"/>
    <s v="5002561"/>
    <s v="2559 BTS PB LRG"/>
    <n v="48"/>
    <n v="0"/>
    <n v="48"/>
    <x v="4"/>
    <s v="FGNE"/>
    <s v="LARGE"/>
    <s v="307"/>
    <s v="4.0 UN"/>
    <s v="STANDARD"/>
    <s v="N"/>
    <s v="Y"/>
    <s v="N"/>
    <s v="N"/>
    <s v="N"/>
    <s v="N"/>
    <s v="N"/>
    <s v="N"/>
    <s v="B050"/>
    <d v="2016-12-12T00:00:00"/>
    <s v="30"/>
    <s v="TAN"/>
    <s v="OR"/>
    <d v="2016-12-07T00:00:00"/>
    <s v="ID"/>
    <s v="US"/>
    <s v="ZR"/>
    <d v="2016-12-07T00:00:00"/>
  </r>
  <r>
    <x v="1"/>
    <x v="7"/>
    <x v="2392"/>
    <x v="31"/>
    <s v="Standard order"/>
    <x v="2272"/>
    <x v="2096"/>
    <s v="8052"/>
    <s v="BTS 80RR52"/>
    <s v="5002735"/>
    <s v="8052 BTS T35 PB SYSTIVA RP"/>
    <n v="60"/>
    <n v="0"/>
    <n v="60"/>
    <x v="7"/>
    <s v="AP82"/>
    <s v="RP"/>
    <s v="333"/>
    <s v="4.0 UN"/>
    <s v="STANDARD"/>
    <s v="N"/>
    <s v="Y"/>
    <s v="N"/>
    <s v="T35"/>
    <s v="Y"/>
    <s v="N"/>
    <s v="Y"/>
    <s v="N"/>
    <s v="B028"/>
    <d v="2016-12-12T00:00:00"/>
    <s v="10"/>
    <s v="TAN"/>
    <s v="OR"/>
    <d v="2016-12-07T00:00:00"/>
    <s v="ND"/>
    <s v="US"/>
    <s v="ZR"/>
    <d v="2016-12-07T00:00:00"/>
  </r>
  <r>
    <x v="1"/>
    <x v="0"/>
    <x v="2393"/>
    <x v="43"/>
    <s v="Standard order"/>
    <x v="2273"/>
    <x v="2097"/>
    <s v="1399"/>
    <s v="BTS 1399"/>
    <s v="5002348"/>
    <s v="1399 BTS T20 Kabina RP"/>
    <n v="92"/>
    <n v="0"/>
    <n v="92"/>
    <x v="0"/>
    <s v="EG74"/>
    <s v="RP"/>
    <s v="380"/>
    <s v="4.0 UN"/>
    <s v="STANDARD"/>
    <s v="N"/>
    <s v="N"/>
    <s v="Y"/>
    <s v="T20"/>
    <s v="N"/>
    <s v="N"/>
    <s v="N"/>
    <s v="N"/>
    <s v="B006"/>
    <d v="2016-12-12T00:00:00"/>
    <s v="10"/>
    <s v="TAN"/>
    <s v="OR"/>
    <d v="2016-12-07T00:00:00"/>
    <s v="MI"/>
    <s v="US"/>
    <s v="ZR"/>
    <d v="2016-12-07T00:00:00"/>
  </r>
  <r>
    <x v="1"/>
    <x v="7"/>
    <x v="2394"/>
    <x v="28"/>
    <s v="Standard order"/>
    <x v="2274"/>
    <x v="2098"/>
    <s v="8052"/>
    <s v="BTS 80RR52"/>
    <s v="5002734"/>
    <s v="8052 BTS T35 PB SYSTIVA P200"/>
    <n v="88"/>
    <n v="0"/>
    <n v="88"/>
    <x v="7"/>
    <s v="AP82"/>
    <s v="PRO 200"/>
    <s v="333"/>
    <s v="4.0 UN"/>
    <s v="STANDARD"/>
    <s v="N"/>
    <s v="Y"/>
    <s v="N"/>
    <s v="T35"/>
    <s v="Y"/>
    <s v="N"/>
    <s v="Y"/>
    <s v="N"/>
    <s v="B056"/>
    <d v="2016-12-12T00:00:00"/>
    <s v="10"/>
    <s v="TAN"/>
    <s v="OR"/>
    <d v="2016-12-07T00:00:00"/>
    <s v="ND"/>
    <s v="US"/>
    <s v="ZR"/>
    <d v="2016-12-07T00:00:00"/>
  </r>
  <r>
    <x v="1"/>
    <x v="0"/>
    <x v="2395"/>
    <x v="30"/>
    <s v="Standard order"/>
    <x v="2275"/>
    <x v="813"/>
    <s v="1399"/>
    <s v="BTS 1399"/>
    <s v="5002348"/>
    <s v="1399 BTS T20 Kabina RP"/>
    <n v="28"/>
    <n v="0"/>
    <n v="28"/>
    <x v="0"/>
    <s v="EG74"/>
    <s v="RP"/>
    <s v="380"/>
    <s v="4.0 UN"/>
    <s v="STANDARD"/>
    <s v="N"/>
    <s v="N"/>
    <s v="Y"/>
    <s v="T20"/>
    <s v="N"/>
    <s v="N"/>
    <s v="N"/>
    <s v="N"/>
    <s v="B001"/>
    <d v="2016-12-12T00:00:00"/>
    <s v="10"/>
    <s v="TAN"/>
    <s v="OR"/>
    <d v="2016-12-07T00:00:00"/>
    <s v="MI"/>
    <s v="US"/>
    <s v="ZR"/>
    <d v="2016-12-07T00:00:00"/>
  </r>
  <r>
    <x v="1"/>
    <x v="7"/>
    <x v="2396"/>
    <x v="28"/>
    <s v="Standard order"/>
    <x v="2276"/>
    <x v="2099"/>
    <s v="8052"/>
    <s v="BTS 80RR52"/>
    <s v="5002739"/>
    <s v="8052 BTS T35 SYSTIVA RP"/>
    <n v="36"/>
    <n v="0"/>
    <n v="36"/>
    <x v="7"/>
    <s v="AP82"/>
    <s v="RP"/>
    <s v="334"/>
    <s v="4.0 UN"/>
    <s v="STANDARD"/>
    <s v="N"/>
    <s v="N"/>
    <s v="N"/>
    <s v="T35"/>
    <s v="Y"/>
    <s v="N"/>
    <s v="Y"/>
    <s v="N"/>
    <s v="B056"/>
    <d v="2016-12-12T00:00:00"/>
    <s v="10"/>
    <s v="TAN"/>
    <s v="OR"/>
    <d v="2016-12-07T00:00:00"/>
    <s v="ND"/>
    <s v="US"/>
    <s v="ZR"/>
    <d v="2016-12-07T00:00:00"/>
  </r>
  <r>
    <x v="1"/>
    <x v="7"/>
    <x v="2396"/>
    <x v="28"/>
    <s v="Standard order"/>
    <x v="2276"/>
    <x v="2099"/>
    <s v="8500"/>
    <s v="BTS 8500"/>
    <s v="5002860"/>
    <s v="8500 BTS T35 SYSTIVA RP"/>
    <n v="24"/>
    <n v="0"/>
    <n v="24"/>
    <x v="7"/>
    <s v="FTND"/>
    <s v="RP"/>
    <s v="334"/>
    <s v="4.0 UN"/>
    <s v="STANDARD"/>
    <s v="N"/>
    <s v="N"/>
    <s v="N"/>
    <s v="T35"/>
    <s v="Y"/>
    <s v="N"/>
    <s v="Y"/>
    <s v="N"/>
    <s v="B056"/>
    <d v="2016-12-12T00:00:00"/>
    <s v="20"/>
    <s v="TAN"/>
    <s v="OR"/>
    <d v="2016-12-07T00:00:00"/>
    <s v="ND"/>
    <s v="US"/>
    <s v="ZR"/>
    <d v="2016-12-07T00:00:00"/>
  </r>
  <r>
    <x v="1"/>
    <x v="6"/>
    <x v="2397"/>
    <x v="51"/>
    <s v="Standard order"/>
    <x v="2277"/>
    <x v="395"/>
    <s v="428N"/>
    <s v="BTS 42RR8N"/>
    <s v="5002595"/>
    <s v="428N BTS T20 PB SYSTIVA P100"/>
    <n v="28"/>
    <n v="0"/>
    <n v="28"/>
    <x v="6"/>
    <s v="4TBG"/>
    <s v="PRO 100"/>
    <s v="322"/>
    <s v="4.0 UN"/>
    <s v="STANDARD"/>
    <s v="N"/>
    <s v="N"/>
    <s v="N"/>
    <s v="T20"/>
    <s v="Y"/>
    <s v="N"/>
    <s v="Y"/>
    <s v="N"/>
    <s v="B011"/>
    <d v="2016-12-12T00:00:00"/>
    <s v="10"/>
    <s v="TAN"/>
    <s v="OR"/>
    <d v="2016-12-07T00:00:00"/>
    <s v="MT"/>
    <s v="US"/>
    <s v="ZR"/>
    <d v="2016-12-07T00:00:00"/>
  </r>
  <r>
    <x v="1"/>
    <x v="6"/>
    <x v="2397"/>
    <x v="51"/>
    <s v="Standard order"/>
    <x v="2277"/>
    <x v="395"/>
    <s v="459N"/>
    <s v="BTS 459N"/>
    <s v="5002256"/>
    <s v="459N BTS T20 PB SYSTIVA P100"/>
    <n v="12"/>
    <n v="0"/>
    <n v="12"/>
    <x v="6"/>
    <s v="DVNU"/>
    <s v="PRO 100"/>
    <s v="322"/>
    <s v="4.0 UN"/>
    <s v="STANDARD"/>
    <s v="N"/>
    <s v="N"/>
    <s v="N"/>
    <s v="T20"/>
    <s v="Y"/>
    <s v="N"/>
    <s v="Y"/>
    <s v="N"/>
    <s v="B011"/>
    <d v="2016-12-12T00:00:00"/>
    <s v="20"/>
    <s v="TAN"/>
    <s v="OR"/>
    <d v="2016-12-07T00:00:00"/>
    <s v="MT"/>
    <s v="US"/>
    <s v="ZR"/>
    <d v="2016-12-07T00:00:00"/>
  </r>
  <r>
    <x v="1"/>
    <x v="6"/>
    <x v="2397"/>
    <x v="51"/>
    <s v="Standard order"/>
    <x v="2277"/>
    <x v="395"/>
    <s v="444N"/>
    <s v="BTS 444N"/>
    <s v="5002226"/>
    <s v="444N BTS T20 PB SYSTIVA P100"/>
    <n v="16"/>
    <n v="0"/>
    <n v="16"/>
    <x v="6"/>
    <s v="DVND"/>
    <s v="PRO 100"/>
    <s v="322"/>
    <s v="4.0 UN"/>
    <s v="STANDARD"/>
    <s v="N"/>
    <s v="N"/>
    <s v="N"/>
    <s v="T20"/>
    <s v="Y"/>
    <s v="N"/>
    <s v="Y"/>
    <s v="N"/>
    <s v="B011"/>
    <d v="2016-12-12T00:00:00"/>
    <s v="30"/>
    <s v="TAN"/>
    <s v="OR"/>
    <d v="2016-12-07T00:00:00"/>
    <s v="MT"/>
    <s v="US"/>
    <s v="ZR"/>
    <d v="2016-12-07T00:00:00"/>
  </r>
  <r>
    <x v="1"/>
    <x v="6"/>
    <x v="2398"/>
    <x v="51"/>
    <s v="Standard order"/>
    <x v="2278"/>
    <x v="795"/>
    <s v="437N"/>
    <s v="BTS 437N"/>
    <s v="5002208"/>
    <s v="437N BTS T20 PB SYSTIVA P100"/>
    <n v="28"/>
    <n v="0"/>
    <n v="28"/>
    <x v="6"/>
    <s v="EE73"/>
    <s v="PRO 100"/>
    <s v="322"/>
    <s v="4.0 UN"/>
    <s v="STANDARD"/>
    <s v="N"/>
    <s v="N"/>
    <s v="N"/>
    <s v="T20"/>
    <s v="Y"/>
    <s v="N"/>
    <s v="Y"/>
    <s v="N"/>
    <s v="B011"/>
    <d v="2016-12-12T00:00:00"/>
    <s v="10"/>
    <s v="TAN"/>
    <s v="OR"/>
    <d v="2016-12-07T00:00:00"/>
    <s v="MT"/>
    <s v="US"/>
    <s v="ZR"/>
    <d v="2016-12-07T00:00:00"/>
  </r>
  <r>
    <x v="1"/>
    <x v="6"/>
    <x v="2398"/>
    <x v="51"/>
    <s v="Standard order"/>
    <x v="2278"/>
    <x v="795"/>
    <s v="444N"/>
    <s v="BTS 444N"/>
    <s v="5002226"/>
    <s v="444N BTS T20 PB SYSTIVA P100"/>
    <n v="52"/>
    <n v="0"/>
    <n v="52"/>
    <x v="6"/>
    <s v="DVND"/>
    <s v="PRO 100"/>
    <s v="322"/>
    <s v="4.0 UN"/>
    <s v="STANDARD"/>
    <s v="N"/>
    <s v="N"/>
    <s v="N"/>
    <s v="T20"/>
    <s v="Y"/>
    <s v="N"/>
    <s v="Y"/>
    <s v="N"/>
    <s v="B011"/>
    <d v="2016-12-12T00:00:00"/>
    <s v="20"/>
    <s v="TAN"/>
    <s v="OR"/>
    <d v="2016-12-07T00:00:00"/>
    <s v="MT"/>
    <s v="US"/>
    <s v="ZR"/>
    <d v="2016-12-07T00:00:00"/>
  </r>
  <r>
    <x v="1"/>
    <x v="6"/>
    <x v="2399"/>
    <x v="51"/>
    <s v="Standard order"/>
    <x v="2279"/>
    <x v="212"/>
    <s v="444N"/>
    <s v="BTS 444N"/>
    <s v="5002228"/>
    <s v="444N BTS T20 PB SYSTIVA P50"/>
    <n v="32"/>
    <n v="0"/>
    <n v="32"/>
    <x v="6"/>
    <s v="DVND"/>
    <s v="PRO 50"/>
    <s v="322"/>
    <s v="4.0 UN"/>
    <s v="STANDARD"/>
    <s v="N"/>
    <s v="N"/>
    <s v="N"/>
    <s v="T20"/>
    <s v="Y"/>
    <s v="N"/>
    <s v="Y"/>
    <s v="N"/>
    <s v="B011"/>
    <d v="2016-12-12T00:00:00"/>
    <s v="10"/>
    <s v="TAN"/>
    <s v="OR"/>
    <d v="2016-12-07T00:00:00"/>
    <s v="MT"/>
    <s v="US"/>
    <s v="ZR"/>
    <d v="2016-12-07T00:00:00"/>
  </r>
  <r>
    <x v="1"/>
    <x v="0"/>
    <x v="2400"/>
    <x v="30"/>
    <s v="Standard order"/>
    <x v="2280"/>
    <x v="680"/>
    <s v="1399"/>
    <s v="BTS 1399"/>
    <s v="5002346"/>
    <s v="1399 BTS T20 Kabina MP"/>
    <n v="56"/>
    <n v="0"/>
    <n v="56"/>
    <x v="0"/>
    <s v="EG74"/>
    <s v="MP"/>
    <s v="380"/>
    <s v="4.0 UN"/>
    <s v="STANDARD"/>
    <s v="N"/>
    <s v="N"/>
    <s v="Y"/>
    <s v="T20"/>
    <s v="N"/>
    <s v="N"/>
    <s v="N"/>
    <s v="N"/>
    <s v="B001"/>
    <d v="2016-12-12T00:00:00"/>
    <s v="10"/>
    <s v="TAN"/>
    <s v="OR"/>
    <d v="2016-12-07T00:00:00"/>
    <s v="MI"/>
    <s v="US"/>
    <s v="ZR"/>
    <d v="2016-12-07T00:00:00"/>
  </r>
  <r>
    <x v="1"/>
    <x v="6"/>
    <x v="2401"/>
    <x v="51"/>
    <s v="Standard order"/>
    <x v="2281"/>
    <x v="887"/>
    <s v="444N"/>
    <s v="BTS 444N"/>
    <s v="5002226"/>
    <s v="444N BTS T20 PB SYSTIVA P100"/>
    <n v="116"/>
    <n v="0"/>
    <n v="116"/>
    <x v="6"/>
    <s v="DVND"/>
    <s v="PRO 100"/>
    <s v="322"/>
    <s v="4.0 UN"/>
    <s v="STANDARD"/>
    <s v="N"/>
    <s v="N"/>
    <s v="N"/>
    <s v="T20"/>
    <s v="Y"/>
    <s v="N"/>
    <s v="Y"/>
    <s v="N"/>
    <s v="B011"/>
    <d v="2016-12-12T00:00:00"/>
    <s v="10"/>
    <s v="TAN"/>
    <s v="OR"/>
    <d v="2016-12-07T00:00:00"/>
    <s v="MT"/>
    <s v="US"/>
    <s v="ZR"/>
    <d v="2016-12-07T00:00:00"/>
  </r>
  <r>
    <x v="1"/>
    <x v="6"/>
    <x v="2401"/>
    <x v="51"/>
    <s v="Standard order"/>
    <x v="2281"/>
    <x v="887"/>
    <s v="4265"/>
    <s v="BTS 42RR65"/>
    <s v="5002583"/>
    <s v="4265 BTS T20 PB SYSTIVA P100"/>
    <n v="44"/>
    <n v="0"/>
    <n v="44"/>
    <x v="6"/>
    <s v="BR73"/>
    <s v="PRO 100"/>
    <s v="322"/>
    <s v="4.0 UN"/>
    <s v="STANDARD"/>
    <s v="N"/>
    <s v="N"/>
    <s v="N"/>
    <s v="T20"/>
    <s v="Y"/>
    <s v="N"/>
    <s v="Y"/>
    <s v="N"/>
    <s v="B011"/>
    <d v="2016-12-12T00:00:00"/>
    <s v="20"/>
    <s v="TAN"/>
    <s v="OR"/>
    <d v="2016-12-07T00:00:00"/>
    <s v="MT"/>
    <s v="US"/>
    <s v="ZR"/>
    <d v="2016-12-07T00:00:00"/>
  </r>
  <r>
    <x v="1"/>
    <x v="6"/>
    <x v="2401"/>
    <x v="51"/>
    <s v="Standard order"/>
    <x v="2281"/>
    <x v="887"/>
    <s v="4548"/>
    <s v="BTS 4548"/>
    <s v="5002244"/>
    <s v="4548 BTS T20 PB SYSTIVA P100"/>
    <n v="16"/>
    <n v="0"/>
    <n v="16"/>
    <x v="6"/>
    <s v="FENR"/>
    <s v="PRO 100"/>
    <s v="322"/>
    <s v="4.0 UN"/>
    <s v="STANDARD"/>
    <s v="N"/>
    <s v="N"/>
    <s v="N"/>
    <s v="T20"/>
    <s v="Y"/>
    <s v="N"/>
    <s v="Y"/>
    <s v="N"/>
    <s v="B011"/>
    <d v="2016-12-12T00:00:00"/>
    <s v="30"/>
    <s v="TAN"/>
    <s v="OR"/>
    <d v="2016-12-07T00:00:00"/>
    <s v="MT"/>
    <s v="US"/>
    <s v="ZR"/>
    <d v="2016-12-07T00:00:00"/>
  </r>
  <r>
    <x v="1"/>
    <x v="4"/>
    <x v="2402"/>
    <x v="53"/>
    <s v="Standard order"/>
    <x v="2282"/>
    <x v="2100"/>
    <s v="2720"/>
    <s v="BTS 27RR20"/>
    <s v="5002142"/>
    <s v="2720 BTS PB XL"/>
    <n v="108"/>
    <n v="0"/>
    <n v="108"/>
    <x v="4"/>
    <s v="4GAY"/>
    <s v="X-LARGE"/>
    <s v="307"/>
    <s v="4.0 UN"/>
    <s v="STANDARD"/>
    <s v="N"/>
    <s v="Y"/>
    <s v="N"/>
    <s v="N"/>
    <s v="N"/>
    <s v="N"/>
    <s v="N"/>
    <s v="N"/>
    <s v="B051"/>
    <d v="2016-12-12T00:00:00"/>
    <s v="10"/>
    <s v="TAN"/>
    <s v="OR"/>
    <d v="2016-12-07T00:00:00"/>
    <s v="ID"/>
    <s v="US"/>
    <s v="ZR"/>
    <d v="2016-12-07T00:00:00"/>
  </r>
  <r>
    <x v="1"/>
    <x v="4"/>
    <x v="2402"/>
    <x v="53"/>
    <s v="Standard order"/>
    <x v="2282"/>
    <x v="2100"/>
    <s v="2559"/>
    <s v="BTS 2559"/>
    <s v="5002563"/>
    <s v="2559 BTS PB XL"/>
    <n v="96"/>
    <n v="0"/>
    <n v="96"/>
    <x v="4"/>
    <s v="FGNE"/>
    <s v="X-LARGE"/>
    <s v="307"/>
    <s v="4.0 UN"/>
    <s v="STANDARD"/>
    <s v="N"/>
    <s v="Y"/>
    <s v="N"/>
    <s v="N"/>
    <s v="N"/>
    <s v="N"/>
    <s v="N"/>
    <s v="N"/>
    <s v="B051"/>
    <d v="2016-12-12T00:00:00"/>
    <s v="20"/>
    <s v="TAN"/>
    <s v="OR"/>
    <d v="2016-12-07T00:00:00"/>
    <s v="ID"/>
    <s v="US"/>
    <s v="ZR"/>
    <d v="2016-12-07T00:00:00"/>
  </r>
  <r>
    <x v="1"/>
    <x v="4"/>
    <x v="2402"/>
    <x v="53"/>
    <s v="Standard order"/>
    <x v="2282"/>
    <x v="2100"/>
    <s v="225N"/>
    <s v="BTS 22RR5N"/>
    <s v="5002119"/>
    <s v="225N BTS PB XL"/>
    <n v="48"/>
    <n v="0"/>
    <n v="48"/>
    <x v="4"/>
    <s v="4TBD"/>
    <s v="X-LARGE"/>
    <s v="307"/>
    <s v="4.0 UN"/>
    <s v="STANDARD"/>
    <s v="N"/>
    <s v="Y"/>
    <s v="N"/>
    <s v="N"/>
    <s v="N"/>
    <s v="N"/>
    <s v="N"/>
    <s v="N"/>
    <s v="B051"/>
    <d v="2016-12-12T00:00:00"/>
    <s v="30"/>
    <s v="TAN"/>
    <s v="OR"/>
    <d v="2016-12-07T00:00:00"/>
    <s v="ID"/>
    <s v="US"/>
    <s v="ZR"/>
    <d v="2016-12-07T00:00:00"/>
  </r>
  <r>
    <x v="1"/>
    <x v="4"/>
    <x v="2402"/>
    <x v="53"/>
    <s v="Standard order"/>
    <x v="2282"/>
    <x v="2100"/>
    <s v="251N"/>
    <s v="BTS 251N"/>
    <s v="5002196"/>
    <s v="251N BTS PB XL"/>
    <n v="44"/>
    <n v="0"/>
    <n v="44"/>
    <x v="4"/>
    <s v="5HBR"/>
    <s v="X-LARGE"/>
    <s v="307"/>
    <s v="4.0 UN"/>
    <s v="STANDARD"/>
    <s v="N"/>
    <s v="Y"/>
    <s v="N"/>
    <s v="N"/>
    <s v="N"/>
    <s v="N"/>
    <s v="N"/>
    <s v="N"/>
    <s v="B051"/>
    <d v="2016-12-12T00:00:00"/>
    <s v="40"/>
    <s v="TAN"/>
    <s v="OR"/>
    <d v="2016-12-07T00:00:00"/>
    <s v="ID"/>
    <s v="US"/>
    <s v="ZR"/>
    <d v="2016-12-07T00:00:00"/>
  </r>
  <r>
    <x v="1"/>
    <x v="5"/>
    <x v="2403"/>
    <x v="13"/>
    <s v="Standard order"/>
    <x v="2283"/>
    <x v="2101"/>
    <s v="398N"/>
    <s v="BTS 39RR8N"/>
    <s v="5002572"/>
    <s v="398N BTS T20 PB SYSTIVA RP"/>
    <n v="28"/>
    <n v="0"/>
    <n v="28"/>
    <x v="5"/>
    <s v="2771"/>
    <s v="RP"/>
    <s v="322"/>
    <s v="4.0 UN"/>
    <s v="STANDARD"/>
    <s v="N"/>
    <s v="Y"/>
    <s v="N"/>
    <s v="T20"/>
    <s v="Y"/>
    <s v="N"/>
    <s v="N"/>
    <s v="N"/>
    <s v="B015"/>
    <d v="2016-12-12T00:00:00"/>
    <s v="10"/>
    <s v="TAN"/>
    <s v="OR"/>
    <d v="2016-12-07T00:00:00"/>
    <s v="MT"/>
    <s v="US"/>
    <s v="ZR"/>
    <d v="2016-12-07T00:00:00"/>
  </r>
  <r>
    <x v="1"/>
    <x v="5"/>
    <x v="2403"/>
    <x v="13"/>
    <s v="Standard order"/>
    <x v="2283"/>
    <x v="2101"/>
    <s v="353N"/>
    <s v="BTS 353N"/>
    <s v="5002524"/>
    <s v="353N BTS T20 PB SYSTIVA RP"/>
    <n v="32"/>
    <n v="0"/>
    <n v="32"/>
    <x v="5"/>
    <s v="EENZ"/>
    <s v="RP"/>
    <s v="322"/>
    <s v="4.0 UN"/>
    <s v="STANDARD"/>
    <s v="N"/>
    <s v="Y"/>
    <s v="N"/>
    <s v="T20"/>
    <s v="Y"/>
    <s v="N"/>
    <s v="N"/>
    <s v="N"/>
    <s v="B015"/>
    <d v="2016-12-12T00:00:00"/>
    <s v="20"/>
    <s v="TAN"/>
    <s v="OR"/>
    <d v="2016-12-07T00:00:00"/>
    <s v="MT"/>
    <s v="US"/>
    <s v="ZR"/>
    <d v="2016-12-07T00:00:00"/>
  </r>
  <r>
    <x v="1"/>
    <x v="7"/>
    <x v="2404"/>
    <x v="37"/>
    <s v="Standard order"/>
    <x v="2284"/>
    <x v="2102"/>
    <s v="8500"/>
    <s v="BTS 8500"/>
    <s v="5002856"/>
    <s v="8500 BTS T35 PB SYSTIVA RP"/>
    <n v="96"/>
    <n v="0"/>
    <n v="96"/>
    <x v="7"/>
    <s v="FTND"/>
    <s v="RP"/>
    <s v="333"/>
    <s v="4.0 UN"/>
    <s v="STANDARD"/>
    <s v="N"/>
    <s v="Y"/>
    <s v="N"/>
    <s v="T35"/>
    <s v="Y"/>
    <s v="N"/>
    <s v="Y"/>
    <s v="N"/>
    <s v="B033"/>
    <d v="2016-12-12T00:00:00"/>
    <s v="10"/>
    <s v="TAN"/>
    <s v="OR"/>
    <d v="2016-12-07T00:00:00"/>
    <s v="ND"/>
    <s v="US"/>
    <s v="ZR"/>
    <d v="2016-12-07T00:00:00"/>
  </r>
  <r>
    <x v="1"/>
    <x v="5"/>
    <x v="2405"/>
    <x v="13"/>
    <s v="Standard order"/>
    <x v="2285"/>
    <x v="2103"/>
    <s v="398N"/>
    <s v="BTS 39RR8N"/>
    <s v="5002568"/>
    <s v="398N BTS T20 PB SYSTIVA MP"/>
    <n v="76"/>
    <n v="0"/>
    <n v="76"/>
    <x v="5"/>
    <s v="2771"/>
    <s v="MP"/>
    <s v="322"/>
    <s v="4.0 UN"/>
    <s v="STANDARD"/>
    <s v="N"/>
    <s v="Y"/>
    <s v="N"/>
    <s v="T20"/>
    <s v="Y"/>
    <s v="N"/>
    <s v="N"/>
    <s v="N"/>
    <s v="B015"/>
    <d v="2016-12-12T00:00:00"/>
    <s v="10"/>
    <s v="TAN"/>
    <s v="OR"/>
    <d v="2016-12-07T00:00:00"/>
    <s v="MT"/>
    <s v="US"/>
    <s v="ZR"/>
    <d v="2016-12-07T00:00:00"/>
  </r>
  <r>
    <x v="1"/>
    <x v="4"/>
    <x v="2406"/>
    <x v="53"/>
    <s v="Standard order"/>
    <x v="2286"/>
    <x v="365"/>
    <s v="2570"/>
    <s v="BTS 2570"/>
    <s v="5002555"/>
    <s v="2570 BTS PB XL"/>
    <n v="40"/>
    <n v="0"/>
    <n v="40"/>
    <x v="4"/>
    <s v="EZNS"/>
    <s v="X-LARGE"/>
    <s v="307"/>
    <s v="4.0 UN"/>
    <s v="STANDARD"/>
    <s v="N"/>
    <s v="Y"/>
    <s v="N"/>
    <s v="N"/>
    <s v="N"/>
    <s v="N"/>
    <s v="N"/>
    <s v="N"/>
    <s v="B051"/>
    <d v="2016-12-12T00:00:00"/>
    <s v="10"/>
    <s v="TAN"/>
    <s v="OR"/>
    <d v="2016-12-07T00:00:00"/>
    <s v="ID"/>
    <s v="US"/>
    <s v="ZR"/>
    <d v="2016-12-07T00:00:00"/>
  </r>
  <r>
    <x v="1"/>
    <x v="5"/>
    <x v="2407"/>
    <x v="14"/>
    <s v="Standard order"/>
    <x v="2287"/>
    <x v="140"/>
    <s v="398N"/>
    <s v="BTS 39RR8N"/>
    <s v="5002568"/>
    <s v="398N BTS T20 PB SYSTIVA MP"/>
    <n v="8"/>
    <n v="0"/>
    <n v="8"/>
    <x v="5"/>
    <s v="2771"/>
    <s v="MP"/>
    <s v="322"/>
    <s v="4.0 UN"/>
    <s v="STANDARD"/>
    <s v="N"/>
    <s v="Y"/>
    <s v="N"/>
    <s v="T20"/>
    <s v="Y"/>
    <s v="N"/>
    <s v="N"/>
    <s v="N"/>
    <s v="B017"/>
    <d v="2016-12-12T00:00:00"/>
    <s v="10"/>
    <s v="TAN"/>
    <s v="OR"/>
    <d v="2016-12-06T00:00:00"/>
    <s v="WY"/>
    <s v="US"/>
    <s v="ZR"/>
    <d v="2016-12-07T00:00:00"/>
  </r>
  <r>
    <x v="1"/>
    <x v="5"/>
    <x v="2408"/>
    <x v="14"/>
    <s v="Standard order"/>
    <x v="2288"/>
    <x v="334"/>
    <s v="398N"/>
    <s v="BTS 39RR8N"/>
    <s v="5002572"/>
    <s v="398N BTS T20 PB SYSTIVA RP"/>
    <n v="116"/>
    <n v="0"/>
    <n v="116"/>
    <x v="5"/>
    <s v="2771"/>
    <s v="RP"/>
    <s v="322"/>
    <s v="4.0 UN"/>
    <s v="STANDARD"/>
    <s v="N"/>
    <s v="Y"/>
    <s v="N"/>
    <s v="T20"/>
    <s v="Y"/>
    <s v="N"/>
    <s v="N"/>
    <s v="N"/>
    <s v="B017"/>
    <d v="2016-12-12T00:00:00"/>
    <s v="10"/>
    <s v="TAN"/>
    <s v="OR"/>
    <d v="2016-12-06T00:00:00"/>
    <s v="WY"/>
    <s v="US"/>
    <s v="ZR"/>
    <d v="2016-12-07T00:00:00"/>
  </r>
  <r>
    <x v="1"/>
    <x v="5"/>
    <x v="2408"/>
    <x v="14"/>
    <s v="Standard order"/>
    <x v="2288"/>
    <x v="334"/>
    <s v="353N"/>
    <s v="BTS 353N"/>
    <s v="5002524"/>
    <s v="353N BTS T20 PB SYSTIVA RP"/>
    <n v="20"/>
    <n v="0"/>
    <n v="20"/>
    <x v="5"/>
    <s v="EENZ"/>
    <s v="RP"/>
    <s v="322"/>
    <s v="4.0 UN"/>
    <s v="STANDARD"/>
    <s v="N"/>
    <s v="Y"/>
    <s v="N"/>
    <s v="T20"/>
    <s v="Y"/>
    <s v="N"/>
    <s v="N"/>
    <s v="N"/>
    <s v="B017"/>
    <d v="2016-12-12T00:00:00"/>
    <s v="20"/>
    <s v="TAN"/>
    <s v="OR"/>
    <d v="2016-12-06T00:00:00"/>
    <s v="WY"/>
    <s v="US"/>
    <s v="ZR"/>
    <d v="2016-12-07T00:00:00"/>
  </r>
  <r>
    <x v="1"/>
    <x v="5"/>
    <x v="2409"/>
    <x v="14"/>
    <s v="Standard order"/>
    <x v="2289"/>
    <x v="353"/>
    <s v="398N"/>
    <s v="BTS 39RR8N"/>
    <s v="5002572"/>
    <s v="398N BTS T20 PB SYSTIVA RP"/>
    <n v="160"/>
    <n v="0"/>
    <n v="160"/>
    <x v="5"/>
    <s v="2771"/>
    <s v="RP"/>
    <s v="322"/>
    <s v="4.0 UN"/>
    <s v="STANDARD"/>
    <s v="N"/>
    <s v="Y"/>
    <s v="N"/>
    <s v="T20"/>
    <s v="Y"/>
    <s v="N"/>
    <s v="N"/>
    <s v="N"/>
    <s v="B017"/>
    <d v="2016-12-12T00:00:00"/>
    <s v="10"/>
    <s v="TAN"/>
    <s v="OR"/>
    <d v="2016-12-06T00:00:00"/>
    <s v="WY"/>
    <s v="US"/>
    <s v="ZR"/>
    <d v="2016-12-07T00:00:00"/>
  </r>
  <r>
    <x v="1"/>
    <x v="5"/>
    <x v="2409"/>
    <x v="14"/>
    <s v="Standard order"/>
    <x v="2289"/>
    <x v="353"/>
    <s v="353N"/>
    <s v="BTS 353N"/>
    <s v="5002524"/>
    <s v="353N BTS T20 PB SYSTIVA RP"/>
    <n v="20"/>
    <n v="0"/>
    <n v="20"/>
    <x v="5"/>
    <s v="EENZ"/>
    <s v="RP"/>
    <s v="322"/>
    <s v="4.0 UN"/>
    <s v="STANDARD"/>
    <s v="N"/>
    <s v="Y"/>
    <s v="N"/>
    <s v="T20"/>
    <s v="Y"/>
    <s v="N"/>
    <s v="N"/>
    <s v="N"/>
    <s v="B017"/>
    <d v="2016-12-12T00:00:00"/>
    <s v="20"/>
    <s v="TAN"/>
    <s v="OR"/>
    <d v="2016-12-06T00:00:00"/>
    <s v="WY"/>
    <s v="US"/>
    <s v="ZR"/>
    <d v="2016-12-07T00:00:00"/>
  </r>
  <r>
    <x v="1"/>
    <x v="5"/>
    <x v="2410"/>
    <x v="9"/>
    <s v="Standard order"/>
    <x v="2290"/>
    <x v="373"/>
    <s v="398N"/>
    <s v="BTS 39RR8N"/>
    <s v="5002570"/>
    <s v="398N BTS T20 PB SYSTIVA P200"/>
    <n v="36"/>
    <n v="0"/>
    <n v="36"/>
    <x v="5"/>
    <s v="2771"/>
    <s v="PRO 200"/>
    <s v="322"/>
    <s v="4.0 UN"/>
    <s v="STANDARD"/>
    <s v="N"/>
    <s v="Y"/>
    <s v="N"/>
    <s v="T20"/>
    <s v="Y"/>
    <s v="N"/>
    <s v="N"/>
    <s v="N"/>
    <s v="B016"/>
    <d v="2016-12-12T00:00:00"/>
    <s v="10"/>
    <s v="TAN"/>
    <s v="OR"/>
    <d v="2016-12-06T00:00:00"/>
    <s v="WY"/>
    <s v="US"/>
    <s v="ZR"/>
    <d v="2016-12-07T00:00:00"/>
  </r>
  <r>
    <x v="1"/>
    <x v="4"/>
    <x v="2411"/>
    <x v="46"/>
    <s v="Standard order"/>
    <x v="2291"/>
    <x v="2104"/>
    <s v="2125"/>
    <s v="BTS 21RR25"/>
    <s v="5002395"/>
    <s v="2125 BTS PB XL"/>
    <n v="48"/>
    <n v="0"/>
    <n v="48"/>
    <x v="4"/>
    <s v="AP92"/>
    <s v="X-LARGE"/>
    <s v="307"/>
    <s v="4.0 UN"/>
    <s v="STANDARD"/>
    <s v="N"/>
    <s v="Y"/>
    <s v="N"/>
    <s v="N"/>
    <s v="N"/>
    <s v="N"/>
    <s v="N"/>
    <s v="N"/>
    <s v="B049"/>
    <d v="2016-12-12T00:00:00"/>
    <s v="10"/>
    <s v="TAN"/>
    <s v="OR"/>
    <d v="2016-12-06T00:00:00"/>
    <s v="ID"/>
    <s v="US"/>
    <s v="ZR"/>
    <d v="2016-12-07T00:00:00"/>
  </r>
  <r>
    <x v="1"/>
    <x v="4"/>
    <x v="2411"/>
    <x v="46"/>
    <s v="Standard order"/>
    <x v="2291"/>
    <x v="2104"/>
    <s v="4933"/>
    <s v="BTS 49RR33"/>
    <s v="5002280"/>
    <s v="4933 BTS PB XL IDH"/>
    <n v="72"/>
    <n v="0"/>
    <n v="72"/>
    <x v="4"/>
    <s v="AKMC"/>
    <s v="X-LARGE"/>
    <s v="307"/>
    <s v="4.0 UN"/>
    <s v="STANDARD"/>
    <s v="N"/>
    <s v="Y"/>
    <s v="N"/>
    <s v="N"/>
    <s v="N"/>
    <s v="N"/>
    <s v="N"/>
    <s v="N"/>
    <s v="B049"/>
    <d v="2016-12-12T00:00:00"/>
    <s v="20"/>
    <s v="TAN"/>
    <s v="OR"/>
    <d v="2016-12-06T00:00:00"/>
    <s v="ID"/>
    <s v="US"/>
    <s v="ZR"/>
    <d v="2016-12-07T00:00:00"/>
  </r>
  <r>
    <x v="1"/>
    <x v="4"/>
    <x v="2411"/>
    <x v="46"/>
    <s v="Standard order"/>
    <x v="2291"/>
    <x v="2104"/>
    <s v="2523"/>
    <s v="BTS 2523"/>
    <s v="5002529"/>
    <s v="2523 BTS PB XL"/>
    <n v="48"/>
    <n v="0"/>
    <n v="48"/>
    <x v="4"/>
    <s v="EZPC"/>
    <s v="X-LARGE"/>
    <s v="307"/>
    <s v="4.0 UN"/>
    <s v="STANDARD"/>
    <s v="N"/>
    <s v="Y"/>
    <s v="N"/>
    <s v="N"/>
    <s v="N"/>
    <s v="N"/>
    <s v="N"/>
    <s v="N"/>
    <s v="B049"/>
    <d v="2016-12-12T00:00:00"/>
    <s v="30"/>
    <s v="TAN"/>
    <s v="OR"/>
    <d v="2016-12-06T00:00:00"/>
    <s v="ID"/>
    <s v="US"/>
    <s v="ZR"/>
    <d v="2016-12-07T00:00:00"/>
  </r>
  <r>
    <x v="1"/>
    <x v="4"/>
    <x v="2411"/>
    <x v="46"/>
    <s v="Standard order"/>
    <x v="2291"/>
    <x v="2104"/>
    <s v="6027"/>
    <s v="BTS 60RR27"/>
    <s v="5002625"/>
    <s v="6027 BTS PB XL IDH"/>
    <n v="72"/>
    <n v="0"/>
    <n v="72"/>
    <x v="4"/>
    <s v="APMC"/>
    <s v="X-LARGE"/>
    <s v="307"/>
    <s v="4.0 UN"/>
    <s v="STANDARD"/>
    <s v="N"/>
    <s v="Y"/>
    <s v="N"/>
    <s v="N"/>
    <s v="N"/>
    <s v="N"/>
    <s v="N"/>
    <s v="N"/>
    <s v="B049"/>
    <d v="2016-12-12T00:00:00"/>
    <s v="40"/>
    <s v="TAN"/>
    <s v="OR"/>
    <d v="2016-12-06T00:00:00"/>
    <s v="ID"/>
    <s v="US"/>
    <s v="ZR"/>
    <d v="2016-12-07T00:00:00"/>
  </r>
  <r>
    <x v="1"/>
    <x v="4"/>
    <x v="2411"/>
    <x v="46"/>
    <s v="Standard order"/>
    <x v="2291"/>
    <x v="2104"/>
    <s v="2559"/>
    <s v="BTS 2559"/>
    <s v="5002563"/>
    <s v="2559 BTS PB XL"/>
    <n v="72"/>
    <n v="0"/>
    <n v="72"/>
    <x v="4"/>
    <s v="FGNE"/>
    <s v="X-LARGE"/>
    <s v="307"/>
    <s v="4.0 UN"/>
    <s v="STANDARD"/>
    <s v="N"/>
    <s v="Y"/>
    <s v="N"/>
    <s v="N"/>
    <s v="N"/>
    <s v="N"/>
    <s v="N"/>
    <s v="N"/>
    <s v="B049"/>
    <d v="2016-12-12T00:00:00"/>
    <s v="50"/>
    <s v="TAN"/>
    <s v="OR"/>
    <d v="2016-12-06T00:00:00"/>
    <s v="ID"/>
    <s v="US"/>
    <s v="ZR"/>
    <d v="2016-12-07T00:00:00"/>
  </r>
  <r>
    <x v="1"/>
    <x v="4"/>
    <x v="2411"/>
    <x v="46"/>
    <s v="Standard order"/>
    <x v="2291"/>
    <x v="2104"/>
    <s v="2570"/>
    <s v="BTS 2570"/>
    <s v="5002555"/>
    <s v="2570 BTS PB XL"/>
    <n v="72"/>
    <n v="0"/>
    <n v="72"/>
    <x v="4"/>
    <s v="EZNS"/>
    <s v="X-LARGE"/>
    <s v="307"/>
    <s v="4.0 UN"/>
    <s v="STANDARD"/>
    <s v="N"/>
    <s v="Y"/>
    <s v="N"/>
    <s v="N"/>
    <s v="N"/>
    <s v="N"/>
    <s v="N"/>
    <s v="N"/>
    <s v="B049"/>
    <d v="2016-12-12T00:00:00"/>
    <s v="60"/>
    <s v="TAN"/>
    <s v="OR"/>
    <d v="2016-12-06T00:00:00"/>
    <s v="ID"/>
    <s v="US"/>
    <s v="ZR"/>
    <d v="2016-12-07T00:00:00"/>
  </r>
  <r>
    <x v="1"/>
    <x v="7"/>
    <x v="2412"/>
    <x v="38"/>
    <s v="Standard order"/>
    <x v="2292"/>
    <x v="2105"/>
    <s v="8337"/>
    <s v="BTS 8337"/>
    <s v="5002795"/>
    <s v="8337 BTS T35 PB SYSTIVA RP"/>
    <n v="64"/>
    <n v="0"/>
    <n v="64"/>
    <x v="7"/>
    <s v="DHMC"/>
    <s v="RP"/>
    <s v="333"/>
    <s v="4.0 UN"/>
    <s v="STANDARD"/>
    <s v="N"/>
    <s v="Y"/>
    <s v="N"/>
    <s v="T35"/>
    <s v="Y"/>
    <s v="N"/>
    <s v="Y"/>
    <s v="N"/>
    <s v="B031"/>
    <d v="2016-12-12T00:00:00"/>
    <s v="10"/>
    <s v="TAN"/>
    <s v="OR"/>
    <d v="2016-12-07T00:00:00"/>
    <s v="MN"/>
    <s v="US"/>
    <s v="ZR"/>
    <d v="2016-12-07T00:00:00"/>
  </r>
  <r>
    <x v="1"/>
    <x v="7"/>
    <x v="2413"/>
    <x v="38"/>
    <s v="Standard order"/>
    <x v="2293"/>
    <x v="2106"/>
    <s v="8500"/>
    <s v="BTS 8500"/>
    <s v="5002856"/>
    <s v="8500 BTS T35 PB SYSTIVA RP"/>
    <n v="96"/>
    <n v="0"/>
    <n v="96"/>
    <x v="7"/>
    <s v="FTND"/>
    <s v="RP"/>
    <s v="333"/>
    <s v="4.0 UN"/>
    <s v="STANDARD"/>
    <s v="N"/>
    <s v="Y"/>
    <s v="N"/>
    <s v="T35"/>
    <s v="Y"/>
    <s v="N"/>
    <s v="Y"/>
    <s v="N"/>
    <s v="B031"/>
    <d v="2016-12-12T00:00:00"/>
    <s v="10"/>
    <s v="TAN"/>
    <s v="OR"/>
    <d v="2016-12-07T00:00:00"/>
    <s v="ND"/>
    <s v="US"/>
    <s v="ZR"/>
    <d v="2016-12-07T00:00:00"/>
  </r>
  <r>
    <x v="1"/>
    <x v="7"/>
    <x v="2413"/>
    <x v="38"/>
    <s v="Standard order"/>
    <x v="2293"/>
    <x v="2106"/>
    <s v="8337"/>
    <s v="BTS 8337"/>
    <s v="5002795"/>
    <s v="8337 BTS T35 PB SYSTIVA RP"/>
    <n v="96"/>
    <n v="0"/>
    <n v="96"/>
    <x v="7"/>
    <s v="DHMC"/>
    <s v="RP"/>
    <s v="333"/>
    <s v="4.0 UN"/>
    <s v="STANDARD"/>
    <s v="N"/>
    <s v="Y"/>
    <s v="N"/>
    <s v="T35"/>
    <s v="Y"/>
    <s v="N"/>
    <s v="Y"/>
    <s v="N"/>
    <s v="B031"/>
    <d v="2016-12-12T00:00:00"/>
    <s v="20"/>
    <s v="TAN"/>
    <s v="OR"/>
    <d v="2016-12-07T00:00:00"/>
    <s v="ND"/>
    <s v="US"/>
    <s v="ZR"/>
    <d v="2016-12-07T00:00:00"/>
  </r>
  <r>
    <x v="1"/>
    <x v="7"/>
    <x v="2414"/>
    <x v="37"/>
    <s v="Standard order"/>
    <x v="2294"/>
    <x v="2107"/>
    <s v="8337"/>
    <s v="BTS 8337"/>
    <s v="5002799"/>
    <s v="8337 BTS T35 SYSTIVA RP"/>
    <n v="24"/>
    <n v="0"/>
    <n v="24"/>
    <x v="7"/>
    <s v="DHMC"/>
    <s v="RP"/>
    <s v="334"/>
    <s v="4.0 UN"/>
    <s v="STANDARD"/>
    <s v="N"/>
    <s v="N"/>
    <s v="N"/>
    <s v="T35"/>
    <s v="Y"/>
    <s v="N"/>
    <s v="Y"/>
    <s v="N"/>
    <s v="B033"/>
    <d v="2016-12-12T00:00:00"/>
    <s v="10"/>
    <s v="TAN"/>
    <s v="OR"/>
    <d v="2016-12-07T00:00:00"/>
    <s v="MN"/>
    <s v="US"/>
    <s v="ZR"/>
    <d v="2016-12-07T00:00:00"/>
  </r>
  <r>
    <x v="1"/>
    <x v="0"/>
    <x v="2415"/>
    <x v="43"/>
    <s v="Standard order"/>
    <x v="2295"/>
    <x v="2108"/>
    <s v="122N"/>
    <s v="BTS 12RR2N"/>
    <s v="5002310"/>
    <s v="122N BTS T20 Kabina P200"/>
    <n v="40"/>
    <n v="0"/>
    <n v="40"/>
    <x v="0"/>
    <s v="4TBG"/>
    <s v="PRO 200"/>
    <s v="380"/>
    <s v="4.0 UN"/>
    <s v="STANDARD"/>
    <s v="N"/>
    <s v="N"/>
    <s v="Y"/>
    <s v="T20"/>
    <s v="N"/>
    <s v="N"/>
    <s v="N"/>
    <s v="N"/>
    <s v="B006"/>
    <d v="2016-12-12T00:00:00"/>
    <s v="10"/>
    <s v="TAN"/>
    <s v="OR"/>
    <d v="2016-12-07T00:00:00"/>
    <s v="MI"/>
    <s v="US"/>
    <s v="ZR"/>
    <d v="2016-12-07T00:00:00"/>
  </r>
  <r>
    <x v="1"/>
    <x v="0"/>
    <x v="2415"/>
    <x v="43"/>
    <s v="Standard order"/>
    <x v="2295"/>
    <x v="2108"/>
    <s v="149N"/>
    <s v="BTS 149N"/>
    <s v="5002367"/>
    <s v="149N BTS T20 Kabina P200"/>
    <n v="32"/>
    <n v="0"/>
    <n v="32"/>
    <x v="0"/>
    <s v="EEND"/>
    <s v="PRO 200"/>
    <s v="380"/>
    <s v="4.0 UN"/>
    <s v="STANDARD"/>
    <s v="N"/>
    <s v="N"/>
    <s v="Y"/>
    <s v="T20"/>
    <s v="N"/>
    <s v="N"/>
    <s v="N"/>
    <s v="N"/>
    <s v="B006"/>
    <d v="2016-12-12T00:00:00"/>
    <s v="20"/>
    <s v="TAN"/>
    <s v="OR"/>
    <d v="2016-12-07T00:00:00"/>
    <s v="MI"/>
    <s v="US"/>
    <s v="ZR"/>
    <d v="2016-12-07T00:00:00"/>
  </r>
  <r>
    <x v="1"/>
    <x v="0"/>
    <x v="2415"/>
    <x v="43"/>
    <s v="Standard order"/>
    <x v="2295"/>
    <x v="2108"/>
    <s v="133N"/>
    <s v="BTS 133N"/>
    <s v="5002328"/>
    <s v="133N BTS T20 Kabina P200"/>
    <n v="52"/>
    <n v="0"/>
    <n v="52"/>
    <x v="0"/>
    <s v="DW73"/>
    <s v="PRO 200"/>
    <s v="380"/>
    <s v="4.0 UN"/>
    <s v="STANDARD"/>
    <s v="N"/>
    <s v="N"/>
    <s v="Y"/>
    <s v="T20"/>
    <s v="N"/>
    <s v="N"/>
    <s v="N"/>
    <s v="N"/>
    <s v="B006"/>
    <d v="2016-12-12T00:00:00"/>
    <s v="30"/>
    <s v="TAN"/>
    <s v="OR"/>
    <d v="2016-12-07T00:00:00"/>
    <s v="MI"/>
    <s v="US"/>
    <s v="ZR"/>
    <d v="2016-12-07T00:00:00"/>
  </r>
  <r>
    <x v="1"/>
    <x v="7"/>
    <x v="2416"/>
    <x v="28"/>
    <s v="Standard order"/>
    <x v="2296"/>
    <x v="2109"/>
    <s v="8512"/>
    <s v="BTS 8512"/>
    <s v="5002876"/>
    <s v="8512 BTS T35 PB SYSTIVA RP"/>
    <n v="80"/>
    <n v="0"/>
    <n v="80"/>
    <x v="7"/>
    <s v="FX73"/>
    <s v="RP"/>
    <s v="333"/>
    <s v="4.0 UN"/>
    <s v="STANDARD"/>
    <s v="N"/>
    <s v="Y"/>
    <s v="N"/>
    <s v="T35"/>
    <s v="Y"/>
    <s v="N"/>
    <s v="Y"/>
    <s v="N"/>
    <s v="B056"/>
    <d v="2016-12-12T00:00:00"/>
    <s v="30"/>
    <s v="TAN"/>
    <s v="OR"/>
    <d v="2016-12-07T00:00:00"/>
    <s v="ND"/>
    <s v="US"/>
    <s v="ZR"/>
    <d v="2016-12-07T00:00:00"/>
  </r>
  <r>
    <x v="1"/>
    <x v="7"/>
    <x v="2416"/>
    <x v="28"/>
    <s v="Standard order"/>
    <x v="2296"/>
    <x v="2109"/>
    <s v="8337"/>
    <s v="BTS 8337"/>
    <s v="5002782"/>
    <s v="8337 BTS T20 PB SYSTIVA MP"/>
    <n v="88"/>
    <n v="0"/>
    <n v="88"/>
    <x v="7"/>
    <s v="DHMC"/>
    <s v="MP"/>
    <s v="322"/>
    <s v="4.0 UN"/>
    <s v="STANDARD"/>
    <s v="N"/>
    <s v="N"/>
    <s v="N"/>
    <s v="T20"/>
    <s v="Y"/>
    <s v="N"/>
    <s v="Y"/>
    <s v="N"/>
    <s v="B056"/>
    <d v="2016-12-12T00:00:00"/>
    <s v="40"/>
    <s v="TAN"/>
    <s v="OR"/>
    <d v="2016-12-07T00:00:00"/>
    <s v="ND"/>
    <s v="US"/>
    <s v="ZR"/>
    <d v="2016-12-07T00:00:00"/>
  </r>
  <r>
    <x v="1"/>
    <x v="4"/>
    <x v="2417"/>
    <x v="44"/>
    <s v="Standard order"/>
    <x v="2297"/>
    <x v="158"/>
    <s v="4933"/>
    <s v="BTS 49RR33"/>
    <s v="5002293"/>
    <s v="4933 BTS T20 PB MP IDH"/>
    <n v="108"/>
    <n v="0"/>
    <n v="108"/>
    <x v="4"/>
    <s v="AKMC"/>
    <s v="MP"/>
    <s v="308"/>
    <s v="4.0 UN"/>
    <s v="STANDARD"/>
    <s v="N"/>
    <s v="Y"/>
    <s v="N"/>
    <s v="T20"/>
    <s v="N"/>
    <s v="N"/>
    <s v="N"/>
    <s v="N"/>
    <s v="MB13"/>
    <d v="2016-12-12T00:00:00"/>
    <s v="10"/>
    <s v="TAN"/>
    <s v="OR"/>
    <d v="2016-12-07T00:00:00"/>
    <s v="WA"/>
    <s v="US"/>
    <s v="ZR"/>
    <d v="2016-12-07T00:00:00"/>
  </r>
  <r>
    <x v="1"/>
    <x v="4"/>
    <x v="2417"/>
    <x v="44"/>
    <s v="Standard order"/>
    <x v="2297"/>
    <x v="158"/>
    <s v="225N"/>
    <s v="BTS 22RR5N"/>
    <s v="5002122"/>
    <s v="225N BTS T20 PB MP"/>
    <n v="112"/>
    <n v="0"/>
    <n v="112"/>
    <x v="4"/>
    <s v="4TBD"/>
    <s v="MP"/>
    <s v="308"/>
    <s v="4.0 UN"/>
    <s v="STANDARD"/>
    <s v="N"/>
    <s v="Y"/>
    <s v="N"/>
    <s v="T20"/>
    <s v="N"/>
    <s v="N"/>
    <s v="N"/>
    <s v="N"/>
    <s v="MB13"/>
    <d v="2016-12-12T00:00:00"/>
    <s v="20"/>
    <s v="TAN"/>
    <s v="OR"/>
    <d v="2016-12-07T00:00:00"/>
    <s v="WA"/>
    <s v="US"/>
    <s v="ZR"/>
    <d v="2016-12-07T00:00:00"/>
  </r>
  <r>
    <x v="1"/>
    <x v="0"/>
    <x v="2418"/>
    <x v="45"/>
    <s v="Standard order"/>
    <x v="2298"/>
    <x v="981"/>
    <s v="1399"/>
    <s v="BTS 1399"/>
    <s v="5002348"/>
    <s v="1399 BTS T20 Kabina RP"/>
    <n v="16"/>
    <n v="0"/>
    <n v="16"/>
    <x v="0"/>
    <s v="EG74"/>
    <s v="RP"/>
    <s v="380"/>
    <s v="4.0 UN"/>
    <s v="STANDARD"/>
    <s v="N"/>
    <s v="N"/>
    <s v="Y"/>
    <s v="T20"/>
    <s v="N"/>
    <s v="N"/>
    <s v="N"/>
    <s v="N"/>
    <s v="B003"/>
    <d v="2016-12-12T00:00:00"/>
    <s v="10"/>
    <s v="TAN"/>
    <s v="OR"/>
    <d v="2016-12-07T00:00:00"/>
    <s v="MI"/>
    <s v="US"/>
    <s v="ZR"/>
    <d v="2016-12-07T00:00:00"/>
  </r>
  <r>
    <x v="1"/>
    <x v="0"/>
    <x v="2419"/>
    <x v="54"/>
    <s v="Standard order"/>
    <x v="2299"/>
    <x v="534"/>
    <s v="1399"/>
    <s v="BTS 1399"/>
    <s v="5002346"/>
    <s v="1399 BTS T20 Kabina MP"/>
    <n v="132"/>
    <n v="0"/>
    <n v="132"/>
    <x v="0"/>
    <s v="EG74"/>
    <s v="MP"/>
    <s v="380"/>
    <s v="4.0 UN"/>
    <s v="STANDARD"/>
    <s v="N"/>
    <s v="N"/>
    <s v="Y"/>
    <s v="T20"/>
    <s v="N"/>
    <s v="N"/>
    <s v="N"/>
    <s v="N"/>
    <s v="B002"/>
    <d v="2016-12-12T00:00:00"/>
    <s v="10"/>
    <s v="TAN"/>
    <s v="OR"/>
    <d v="2016-12-07T00:00:00"/>
    <s v="MI"/>
    <s v="US"/>
    <s v="ZR"/>
    <d v="2016-12-07T00:00:00"/>
  </r>
  <r>
    <x v="1"/>
    <x v="0"/>
    <x v="2419"/>
    <x v="54"/>
    <s v="Standard order"/>
    <x v="2299"/>
    <x v="534"/>
    <s v="122N"/>
    <s v="BTS 12RR2N"/>
    <s v="5002309"/>
    <s v="122N BTS T20 Kabina MP"/>
    <n v="24"/>
    <n v="0"/>
    <n v="24"/>
    <x v="0"/>
    <s v="4TBG"/>
    <s v="MP"/>
    <s v="380"/>
    <s v="4.0 UN"/>
    <s v="STANDARD"/>
    <s v="N"/>
    <s v="N"/>
    <s v="Y"/>
    <s v="T20"/>
    <s v="N"/>
    <s v="N"/>
    <s v="N"/>
    <s v="N"/>
    <s v="B002"/>
    <d v="2016-12-12T00:00:00"/>
    <s v="20"/>
    <s v="TAN"/>
    <s v="OR"/>
    <d v="2016-12-07T00:00:00"/>
    <s v="MI"/>
    <s v="US"/>
    <s v="ZR"/>
    <d v="2016-12-07T00:00:00"/>
  </r>
  <r>
    <x v="1"/>
    <x v="0"/>
    <x v="2419"/>
    <x v="54"/>
    <s v="Standard order"/>
    <x v="2299"/>
    <x v="534"/>
    <s v="122N"/>
    <s v="BTS 12RR2N"/>
    <s v="5002311"/>
    <s v="122N BTS T20 Kabina RP"/>
    <n v="12"/>
    <n v="0"/>
    <n v="12"/>
    <x v="0"/>
    <s v="4TBG"/>
    <s v="RP"/>
    <s v="380"/>
    <s v="4.0 UN"/>
    <s v="STANDARD"/>
    <s v="N"/>
    <s v="N"/>
    <s v="Y"/>
    <s v="T20"/>
    <s v="N"/>
    <s v="N"/>
    <s v="N"/>
    <s v="N"/>
    <s v="B002"/>
    <d v="2016-12-12T00:00:00"/>
    <s v="30"/>
    <s v="TAN"/>
    <s v="OR"/>
    <d v="2016-12-07T00:00:00"/>
    <s v="MI"/>
    <s v="US"/>
    <s v="ZR"/>
    <d v="2016-12-07T00:00:00"/>
  </r>
  <r>
    <x v="1"/>
    <x v="0"/>
    <x v="2420"/>
    <x v="54"/>
    <s v="Standard order"/>
    <x v="2300"/>
    <x v="2110"/>
    <s v="149N"/>
    <s v="BTS 149N"/>
    <s v="5002366"/>
    <s v="149N BTS T20 Kabina MP"/>
    <n v="120"/>
    <n v="0"/>
    <n v="120"/>
    <x v="0"/>
    <s v="EEND"/>
    <s v="MP"/>
    <s v="380"/>
    <s v="4.0 UN"/>
    <s v="STANDARD"/>
    <s v="N"/>
    <s v="N"/>
    <s v="Y"/>
    <s v="T20"/>
    <s v="N"/>
    <s v="N"/>
    <s v="N"/>
    <s v="N"/>
    <s v="B002"/>
    <d v="2016-12-12T00:00:00"/>
    <s v="10"/>
    <s v="TAN"/>
    <s v="OR"/>
    <d v="2016-12-07T00:00:00"/>
    <s v="MI"/>
    <s v="US"/>
    <s v="ZR"/>
    <d v="2016-12-07T00:00:00"/>
  </r>
  <r>
    <x v="1"/>
    <x v="0"/>
    <x v="2420"/>
    <x v="54"/>
    <s v="Standard order"/>
    <x v="2300"/>
    <x v="2110"/>
    <s v="122N"/>
    <s v="BTS 12RR2N"/>
    <s v="5002309"/>
    <s v="122N BTS T20 Kabina MP"/>
    <n v="56"/>
    <n v="0"/>
    <n v="56"/>
    <x v="0"/>
    <s v="4TBG"/>
    <s v="MP"/>
    <s v="380"/>
    <s v="4.0 UN"/>
    <s v="STANDARD"/>
    <s v="N"/>
    <s v="N"/>
    <s v="Y"/>
    <s v="T20"/>
    <s v="N"/>
    <s v="N"/>
    <s v="N"/>
    <s v="N"/>
    <s v="B002"/>
    <d v="2016-12-12T00:00:00"/>
    <s v="20"/>
    <s v="TAN"/>
    <s v="OR"/>
    <d v="2016-12-07T00:00:00"/>
    <s v="MI"/>
    <s v="US"/>
    <s v="ZR"/>
    <d v="2016-12-07T00:00:00"/>
  </r>
  <r>
    <x v="1"/>
    <x v="0"/>
    <x v="2420"/>
    <x v="54"/>
    <s v="Standard order"/>
    <x v="2300"/>
    <x v="2110"/>
    <s v="1399"/>
    <s v="BTS 1399"/>
    <s v="5002346"/>
    <s v="1399 BTS T20 Kabina MP"/>
    <n v="24"/>
    <n v="0"/>
    <n v="24"/>
    <x v="0"/>
    <s v="EG74"/>
    <s v="MP"/>
    <s v="380"/>
    <s v="4.0 UN"/>
    <s v="STANDARD"/>
    <s v="N"/>
    <s v="N"/>
    <s v="Y"/>
    <s v="T20"/>
    <s v="N"/>
    <s v="N"/>
    <s v="N"/>
    <s v="N"/>
    <s v="B002"/>
    <d v="2016-12-12T00:00:00"/>
    <s v="30"/>
    <s v="TAN"/>
    <s v="OR"/>
    <d v="2016-12-07T00:00:00"/>
    <s v="MI"/>
    <s v="US"/>
    <s v="ZR"/>
    <d v="2016-12-07T00:00:00"/>
  </r>
  <r>
    <x v="1"/>
    <x v="4"/>
    <x v="2421"/>
    <x v="50"/>
    <s v="Standard order"/>
    <x v="2301"/>
    <x v="2111"/>
    <s v="2720"/>
    <s v="BTS 27RR20"/>
    <s v="5002142"/>
    <s v="2720 BTS PB XL"/>
    <n v="104"/>
    <n v="0"/>
    <n v="104"/>
    <x v="4"/>
    <s v="4GAY"/>
    <s v="X-LARGE"/>
    <s v="307"/>
    <s v="4.0 UN"/>
    <s v="STANDARD"/>
    <s v="N"/>
    <s v="Y"/>
    <s v="N"/>
    <s v="N"/>
    <s v="N"/>
    <s v="N"/>
    <s v="N"/>
    <s v="N"/>
    <s v="B047"/>
    <d v="2016-12-12T00:00:00"/>
    <s v="10"/>
    <s v="TAN"/>
    <s v="OR"/>
    <d v="2016-12-06T00:00:00"/>
    <s v="ID"/>
    <s v="US"/>
    <s v="ZR"/>
    <d v="2016-12-07T00:00:00"/>
  </r>
  <r>
    <x v="1"/>
    <x v="4"/>
    <x v="2421"/>
    <x v="50"/>
    <s v="Standard order"/>
    <x v="2301"/>
    <x v="2111"/>
    <s v="225N"/>
    <s v="BTS 22RR5N"/>
    <s v="5002119"/>
    <s v="225N BTS PB XL"/>
    <n v="48"/>
    <n v="0"/>
    <n v="48"/>
    <x v="4"/>
    <s v="4TBD"/>
    <s v="X-LARGE"/>
    <s v="307"/>
    <s v="4.0 UN"/>
    <s v="STANDARD"/>
    <s v="N"/>
    <s v="Y"/>
    <s v="N"/>
    <s v="N"/>
    <s v="N"/>
    <s v="N"/>
    <s v="N"/>
    <s v="N"/>
    <s v="B047"/>
    <d v="2016-12-12T00:00:00"/>
    <s v="20"/>
    <s v="TAN"/>
    <s v="OR"/>
    <d v="2016-12-06T00:00:00"/>
    <s v="ID"/>
    <s v="US"/>
    <s v="ZR"/>
    <d v="2016-12-07T00:00:00"/>
  </r>
  <r>
    <x v="1"/>
    <x v="4"/>
    <x v="2421"/>
    <x v="50"/>
    <s v="Standard order"/>
    <x v="2301"/>
    <x v="2111"/>
    <s v="2570"/>
    <s v="BTS 2570"/>
    <s v="5002555"/>
    <s v="2570 BTS PB XL"/>
    <n v="24"/>
    <n v="0"/>
    <n v="24"/>
    <x v="4"/>
    <s v="EZNS"/>
    <s v="X-LARGE"/>
    <s v="307"/>
    <s v="4.0 UN"/>
    <s v="STANDARD"/>
    <s v="N"/>
    <s v="Y"/>
    <s v="N"/>
    <s v="N"/>
    <s v="N"/>
    <s v="N"/>
    <s v="N"/>
    <s v="N"/>
    <s v="B047"/>
    <d v="2016-12-12T00:00:00"/>
    <s v="30"/>
    <s v="TAN"/>
    <s v="OR"/>
    <d v="2016-12-06T00:00:00"/>
    <s v="ID"/>
    <s v="US"/>
    <s v="ZR"/>
    <d v="2016-12-07T00:00:00"/>
  </r>
  <r>
    <x v="1"/>
    <x v="4"/>
    <x v="2422"/>
    <x v="47"/>
    <s v="Standard order"/>
    <x v="2302"/>
    <x v="2112"/>
    <s v="251N"/>
    <s v="BTS 251N"/>
    <s v="5002194"/>
    <s v="251N BTS PB LRG"/>
    <n v="76"/>
    <n v="0"/>
    <n v="76"/>
    <x v="4"/>
    <s v="5HBR"/>
    <s v="LARGE"/>
    <s v="307"/>
    <s v="4.0 UN"/>
    <s v="STANDARD"/>
    <s v="N"/>
    <s v="Y"/>
    <s v="N"/>
    <s v="N"/>
    <s v="N"/>
    <s v="N"/>
    <s v="N"/>
    <s v="N"/>
    <s v="B050"/>
    <d v="2016-12-12T00:00:00"/>
    <s v="10"/>
    <s v="TAN"/>
    <s v="OR"/>
    <d v="2016-12-06T00:00:00"/>
    <s v="ID"/>
    <s v="US"/>
    <s v="ZR"/>
    <d v="2016-12-07T00:00:00"/>
  </r>
  <r>
    <x v="1"/>
    <x v="4"/>
    <x v="2422"/>
    <x v="47"/>
    <s v="Standard order"/>
    <x v="2302"/>
    <x v="2112"/>
    <s v="2570"/>
    <s v="BTS 2570"/>
    <s v="5002553"/>
    <s v="2570 BTS PB LRG"/>
    <n v="48"/>
    <n v="0"/>
    <n v="48"/>
    <x v="4"/>
    <s v="EZNS"/>
    <s v="LARGE"/>
    <s v="307"/>
    <s v="4.0 UN"/>
    <s v="STANDARD"/>
    <s v="N"/>
    <s v="Y"/>
    <s v="N"/>
    <s v="N"/>
    <s v="N"/>
    <s v="N"/>
    <s v="N"/>
    <s v="N"/>
    <s v="B050"/>
    <d v="2016-12-12T00:00:00"/>
    <s v="20"/>
    <s v="TAN"/>
    <s v="OR"/>
    <d v="2016-12-06T00:00:00"/>
    <s v="ID"/>
    <s v="US"/>
    <s v="ZR"/>
    <d v="2016-12-07T00:00:00"/>
  </r>
  <r>
    <x v="1"/>
    <x v="4"/>
    <x v="2422"/>
    <x v="47"/>
    <s v="Standard order"/>
    <x v="2302"/>
    <x v="2112"/>
    <s v="2523"/>
    <s v="BTS 2523"/>
    <s v="5002527"/>
    <s v="2523 BTS PB LRG"/>
    <n v="48"/>
    <n v="0"/>
    <n v="48"/>
    <x v="4"/>
    <s v="EZPC"/>
    <s v="LARGE"/>
    <s v="307"/>
    <s v="4.0 UN"/>
    <s v="STANDARD"/>
    <s v="N"/>
    <s v="Y"/>
    <s v="N"/>
    <s v="N"/>
    <s v="N"/>
    <s v="N"/>
    <s v="N"/>
    <s v="N"/>
    <s v="B050"/>
    <d v="2016-12-12T00:00:00"/>
    <s v="30"/>
    <s v="TAN"/>
    <s v="OR"/>
    <d v="2016-12-06T00:00:00"/>
    <s v="ID"/>
    <s v="US"/>
    <s v="ZR"/>
    <d v="2016-12-07T00:00:00"/>
  </r>
  <r>
    <x v="1"/>
    <x v="4"/>
    <x v="2422"/>
    <x v="47"/>
    <s v="Standard order"/>
    <x v="2302"/>
    <x v="2112"/>
    <s v="2559"/>
    <s v="BTS 2559"/>
    <s v="5002561"/>
    <s v="2559 BTS PB LRG"/>
    <n v="48"/>
    <n v="0"/>
    <n v="48"/>
    <x v="4"/>
    <s v="FGNE"/>
    <s v="LARGE"/>
    <s v="307"/>
    <s v="4.0 UN"/>
    <s v="STANDARD"/>
    <s v="N"/>
    <s v="Y"/>
    <s v="N"/>
    <s v="N"/>
    <s v="N"/>
    <s v="N"/>
    <s v="N"/>
    <s v="N"/>
    <s v="B050"/>
    <d v="2016-12-12T00:00:00"/>
    <s v="40"/>
    <s v="TAN"/>
    <s v="OR"/>
    <d v="2016-12-06T00:00:00"/>
    <s v="ID"/>
    <s v="US"/>
    <s v="ZR"/>
    <d v="2016-12-07T00:00:00"/>
  </r>
  <r>
    <x v="1"/>
    <x v="4"/>
    <x v="2423"/>
    <x v="52"/>
    <s v="Standard order"/>
    <x v="2303"/>
    <x v="2113"/>
    <s v="225N"/>
    <s v="BTS 22RR5N"/>
    <s v="5002109"/>
    <s v="225N BTS PB Kabina XL"/>
    <n v="52"/>
    <n v="0"/>
    <n v="52"/>
    <x v="4"/>
    <s v="4TBD"/>
    <s v="X-LARGE"/>
    <s v="384"/>
    <s v="4.0 UN"/>
    <s v="STANDARD"/>
    <s v="N"/>
    <s v="Y"/>
    <s v="Y"/>
    <s v="N"/>
    <s v="N"/>
    <s v="N"/>
    <s v="N"/>
    <s v="N"/>
    <s v="B048"/>
    <d v="2016-12-12T00:00:00"/>
    <s v="10"/>
    <s v="TAN"/>
    <s v="OR"/>
    <d v="2016-12-06T00:00:00"/>
    <s v="ID"/>
    <s v="US"/>
    <s v="ZR"/>
    <d v="2016-12-07T00:00:00"/>
  </r>
  <r>
    <x v="1"/>
    <x v="4"/>
    <x v="2423"/>
    <x v="52"/>
    <s v="Standard order"/>
    <x v="2303"/>
    <x v="2113"/>
    <s v="251N"/>
    <s v="BTS 251N"/>
    <s v="5002505"/>
    <s v="251N BTS PB Kabina XL"/>
    <n v="28"/>
    <n v="0"/>
    <n v="28"/>
    <x v="4"/>
    <s v="5HBR"/>
    <s v="X-LARGE"/>
    <s v="384"/>
    <s v="4.0 UN"/>
    <s v="STANDARD"/>
    <s v="N"/>
    <s v="Y"/>
    <s v="Y"/>
    <s v="N"/>
    <s v="N"/>
    <s v="N"/>
    <s v="N"/>
    <s v="N"/>
    <s v="B048"/>
    <d v="2016-12-12T00:00:00"/>
    <s v="20"/>
    <s v="TAN"/>
    <s v="OR"/>
    <d v="2016-12-06T00:00:00"/>
    <s v="ID"/>
    <s v="US"/>
    <s v="ZR"/>
    <d v="2016-12-07T00:00:00"/>
  </r>
  <r>
    <x v="1"/>
    <x v="5"/>
    <x v="2424"/>
    <x v="9"/>
    <s v="Standard order"/>
    <x v="2304"/>
    <x v="2114"/>
    <s v="353N"/>
    <s v="BTS 353N"/>
    <s v="5002524"/>
    <s v="353N BTS T20 PB SYSTIVA RP"/>
    <n v="20"/>
    <n v="0"/>
    <n v="20"/>
    <x v="5"/>
    <s v="EENZ"/>
    <s v="RP"/>
    <s v="322"/>
    <s v="4.0 UN"/>
    <s v="STANDARD"/>
    <s v="N"/>
    <s v="Y"/>
    <s v="N"/>
    <s v="T20"/>
    <s v="Y"/>
    <s v="N"/>
    <s v="N"/>
    <s v="N"/>
    <s v="B016"/>
    <d v="2016-12-12T00:00:00"/>
    <s v="10"/>
    <s v="TAN"/>
    <s v="OR"/>
    <d v="2016-12-06T00:00:00"/>
    <s v="WY"/>
    <s v="US"/>
    <s v="ZR"/>
    <d v="2016-12-07T00:00:00"/>
  </r>
  <r>
    <x v="1"/>
    <x v="5"/>
    <x v="2425"/>
    <x v="9"/>
    <s v="Standard order"/>
    <x v="2305"/>
    <x v="374"/>
    <s v="336N"/>
    <s v="BTS 336N"/>
    <s v="5002400"/>
    <s v="336N BTS T20 PB SYSTIVA RP"/>
    <n v="20"/>
    <n v="0"/>
    <n v="20"/>
    <x v="5"/>
    <s v="EEMG"/>
    <s v="RP"/>
    <s v="322"/>
    <s v="4.0 UN"/>
    <s v="STANDARD"/>
    <s v="N"/>
    <s v="N"/>
    <s v="N"/>
    <s v="T20"/>
    <s v="Y"/>
    <s v="N"/>
    <s v="N"/>
    <s v="N"/>
    <s v="B016"/>
    <d v="2016-12-12T00:00:00"/>
    <s v="10"/>
    <s v="TAN"/>
    <s v="OR"/>
    <d v="2016-12-06T00:00:00"/>
    <s v="WY"/>
    <s v="US"/>
    <s v="ZR"/>
    <d v="2016-12-07T00:00:00"/>
  </r>
  <r>
    <x v="1"/>
    <x v="5"/>
    <x v="2426"/>
    <x v="9"/>
    <s v="Standard order"/>
    <x v="2306"/>
    <x v="328"/>
    <s v="353N"/>
    <s v="BTS 353N"/>
    <s v="5002524"/>
    <s v="353N BTS T20 PB SYSTIVA RP"/>
    <n v="20"/>
    <n v="0"/>
    <n v="20"/>
    <x v="5"/>
    <s v="EENZ"/>
    <s v="RP"/>
    <s v="322"/>
    <s v="4.0 UN"/>
    <s v="STANDARD"/>
    <s v="N"/>
    <s v="Y"/>
    <s v="N"/>
    <s v="T20"/>
    <s v="Y"/>
    <s v="N"/>
    <s v="N"/>
    <s v="N"/>
    <s v="B016"/>
    <d v="2016-12-12T00:00:00"/>
    <s v="10"/>
    <s v="TAN"/>
    <s v="OR"/>
    <d v="2016-12-06T00:00:00"/>
    <s v="WY"/>
    <s v="US"/>
    <s v="ZR"/>
    <d v="2016-12-07T00:00:00"/>
  </r>
  <r>
    <x v="1"/>
    <x v="5"/>
    <x v="2426"/>
    <x v="9"/>
    <s v="Standard order"/>
    <x v="2306"/>
    <x v="328"/>
    <s v="3650"/>
    <s v="BTS 36RR50"/>
    <s v="5002548"/>
    <s v="3650 BTS T20 PB SYSTIVA RP"/>
    <n v="20"/>
    <n v="0"/>
    <n v="20"/>
    <x v="5"/>
    <s v="4DAY"/>
    <s v="RP"/>
    <s v="322"/>
    <s v="4.0 UN"/>
    <s v="STANDARD"/>
    <s v="N"/>
    <s v="Y"/>
    <s v="N"/>
    <s v="T20"/>
    <s v="Y"/>
    <s v="N"/>
    <s v="N"/>
    <s v="N"/>
    <s v="B016"/>
    <d v="2016-12-12T00:00:00"/>
    <s v="20"/>
    <s v="TAN"/>
    <s v="OR"/>
    <d v="2016-12-06T00:00:00"/>
    <s v="WY"/>
    <s v="US"/>
    <s v="ZR"/>
    <d v="2016-12-07T00:00:00"/>
  </r>
  <r>
    <x v="1"/>
    <x v="5"/>
    <x v="2427"/>
    <x v="9"/>
    <s v="Standard order"/>
    <x v="2307"/>
    <x v="375"/>
    <s v="336N"/>
    <s v="BTS 336N"/>
    <s v="5002400"/>
    <s v="336N BTS T20 PB SYSTIVA RP"/>
    <n v="16"/>
    <n v="0"/>
    <n v="16"/>
    <x v="5"/>
    <s v="EEMG"/>
    <s v="RP"/>
    <s v="322"/>
    <s v="4.0 UN"/>
    <s v="STANDARD"/>
    <s v="N"/>
    <s v="N"/>
    <s v="N"/>
    <s v="T20"/>
    <s v="Y"/>
    <s v="N"/>
    <s v="N"/>
    <s v="N"/>
    <s v="B016"/>
    <d v="2016-12-12T00:00:00"/>
    <s v="10"/>
    <s v="TAN"/>
    <s v="OR"/>
    <d v="2016-12-06T00:00:00"/>
    <s v="WY"/>
    <s v="US"/>
    <s v="ZR"/>
    <d v="2016-12-07T00:00:00"/>
  </r>
  <r>
    <x v="1"/>
    <x v="2"/>
    <x v="2428"/>
    <x v="22"/>
    <s v="Standard order"/>
    <x v="2308"/>
    <x v="2115"/>
    <s v="628N"/>
    <s v="BTS 62RR8N"/>
    <s v="5002683"/>
    <s v="628N BTS T20 PB SYSTIVA P100"/>
    <n v="16"/>
    <n v="0"/>
    <n v="16"/>
    <x v="2"/>
    <s v="BL73"/>
    <s v="PRO 100"/>
    <s v="322"/>
    <s v="4.0 UN"/>
    <s v="STANDARD"/>
    <s v="N"/>
    <s v="N"/>
    <s v="N"/>
    <s v="T20"/>
    <s v="Y"/>
    <s v="N"/>
    <s v="Y"/>
    <s v="N"/>
    <s v="B018"/>
    <d v="2016-12-12T00:00:00"/>
    <s v="10"/>
    <s v="TAN"/>
    <s v="OR"/>
    <d v="2016-12-06T00:00:00"/>
    <s v="CO"/>
    <s v="US"/>
    <s v="ZR"/>
    <d v="2016-12-07T00:00:00"/>
  </r>
  <r>
    <x v="1"/>
    <x v="4"/>
    <x v="2429"/>
    <x v="46"/>
    <s v="Standard order"/>
    <x v="2309"/>
    <x v="185"/>
    <s v="4933"/>
    <s v="BTS 49RR33"/>
    <s v="5002280"/>
    <s v="4933 BTS PB XL IDH"/>
    <n v="76"/>
    <n v="0"/>
    <n v="76"/>
    <x v="4"/>
    <s v="AKMC"/>
    <s v="X-LARGE"/>
    <s v="307"/>
    <s v="4.0 UN"/>
    <s v="STANDARD"/>
    <s v="N"/>
    <s v="Y"/>
    <s v="N"/>
    <s v="N"/>
    <s v="N"/>
    <s v="N"/>
    <s v="N"/>
    <s v="N"/>
    <s v="B049"/>
    <d v="2016-12-12T00:00:00"/>
    <s v="10"/>
    <s v="TAN"/>
    <s v="OR"/>
    <d v="2016-12-06T00:00:00"/>
    <s v="ID"/>
    <s v="US"/>
    <s v="ZR"/>
    <d v="2016-12-07T00:00:00"/>
  </r>
  <r>
    <x v="1"/>
    <x v="0"/>
    <x v="2430"/>
    <x v="45"/>
    <s v="Standard order"/>
    <x v="2310"/>
    <x v="2116"/>
    <s v="122N"/>
    <s v="BTS 12RR2N"/>
    <s v="5002317"/>
    <s v="122N BTS T20 SYSTIVA RP"/>
    <n v="24"/>
    <n v="0"/>
    <n v="24"/>
    <x v="0"/>
    <s v="4TBG"/>
    <s v="RP"/>
    <s v="326"/>
    <s v="4.0 UN"/>
    <s v="STANDARD"/>
    <s v="N"/>
    <s v="N"/>
    <s v="N"/>
    <s v="T20"/>
    <s v="Y"/>
    <s v="N"/>
    <s v="Y"/>
    <s v="N"/>
    <s v="B003"/>
    <d v="2016-12-12T00:00:00"/>
    <s v="10"/>
    <s v="TAN"/>
    <s v="OR"/>
    <d v="2016-12-07T00:00:00"/>
    <s v="MI"/>
    <s v="US"/>
    <s v="ZR"/>
    <d v="2016-12-07T00:00:00"/>
  </r>
  <r>
    <x v="1"/>
    <x v="0"/>
    <x v="2430"/>
    <x v="45"/>
    <s v="Standard order"/>
    <x v="2310"/>
    <x v="2116"/>
    <s v="149N"/>
    <s v="BTS 149N"/>
    <s v="5002368"/>
    <s v="149N BTS T20 Kabina RP"/>
    <n v="24"/>
    <n v="0"/>
    <n v="24"/>
    <x v="0"/>
    <s v="EEND"/>
    <s v="RP"/>
    <s v="380"/>
    <s v="4.0 UN"/>
    <s v="STANDARD"/>
    <s v="N"/>
    <s v="N"/>
    <s v="Y"/>
    <s v="T20"/>
    <s v="N"/>
    <s v="N"/>
    <s v="N"/>
    <s v="N"/>
    <s v="B003"/>
    <d v="2016-12-12T00:00:00"/>
    <s v="20"/>
    <s v="TAN"/>
    <s v="OR"/>
    <d v="2016-12-07T00:00:00"/>
    <s v="MI"/>
    <s v="US"/>
    <s v="ZR"/>
    <d v="2016-12-07T00:00:00"/>
  </r>
  <r>
    <x v="1"/>
    <x v="0"/>
    <x v="2431"/>
    <x v="43"/>
    <s v="Standard order"/>
    <x v="2311"/>
    <x v="2117"/>
    <s v="122N"/>
    <s v="BTS 12RR2N"/>
    <s v="5002310"/>
    <s v="122N BTS T20 Kabina P200"/>
    <n v="212"/>
    <n v="0"/>
    <n v="212"/>
    <x v="0"/>
    <s v="4TBG"/>
    <s v="PRO 200"/>
    <s v="380"/>
    <s v="4.0 UN"/>
    <s v="STANDARD"/>
    <s v="N"/>
    <s v="N"/>
    <s v="Y"/>
    <s v="T20"/>
    <s v="N"/>
    <s v="N"/>
    <s v="N"/>
    <s v="N"/>
    <s v="B006"/>
    <d v="2016-12-12T00:00:00"/>
    <s v="10"/>
    <s v="TAN"/>
    <s v="OR"/>
    <d v="2016-12-07T00:00:00"/>
    <s v="MI"/>
    <s v="US"/>
    <s v="ZR"/>
    <d v="2016-12-07T00:00:00"/>
  </r>
  <r>
    <x v="1"/>
    <x v="0"/>
    <x v="2431"/>
    <x v="43"/>
    <s v="Standard order"/>
    <x v="2311"/>
    <x v="2117"/>
    <s v="149N"/>
    <s v="BTS 149N"/>
    <s v="5002367"/>
    <s v="149N BTS T20 Kabina P200"/>
    <n v="120"/>
    <n v="0"/>
    <n v="120"/>
    <x v="0"/>
    <s v="EEND"/>
    <s v="PRO 200"/>
    <s v="380"/>
    <s v="4.0 UN"/>
    <s v="STANDARD"/>
    <s v="N"/>
    <s v="N"/>
    <s v="Y"/>
    <s v="T20"/>
    <s v="N"/>
    <s v="N"/>
    <s v="N"/>
    <s v="N"/>
    <s v="B006"/>
    <d v="2016-12-12T00:00:00"/>
    <s v="20"/>
    <s v="TAN"/>
    <s v="OR"/>
    <d v="2016-12-07T00:00:00"/>
    <s v="MI"/>
    <s v="US"/>
    <s v="ZR"/>
    <d v="2016-12-07T00:00:00"/>
  </r>
  <r>
    <x v="1"/>
    <x v="0"/>
    <x v="2432"/>
    <x v="45"/>
    <s v="Standard order"/>
    <x v="2312"/>
    <x v="2118"/>
    <s v="1399"/>
    <s v="BTS 1399"/>
    <s v="5002348"/>
    <s v="1399 BTS T20 Kabina RP"/>
    <n v="56"/>
    <n v="0"/>
    <n v="56"/>
    <x v="0"/>
    <s v="EG74"/>
    <s v="RP"/>
    <s v="380"/>
    <s v="4.0 UN"/>
    <s v="STANDARD"/>
    <s v="N"/>
    <s v="N"/>
    <s v="Y"/>
    <s v="T20"/>
    <s v="N"/>
    <s v="N"/>
    <s v="N"/>
    <s v="N"/>
    <s v="B003"/>
    <d v="2016-12-12T00:00:00"/>
    <s v="10"/>
    <s v="TAN"/>
    <s v="OR"/>
    <d v="2016-12-07T00:00:00"/>
    <s v="MI"/>
    <s v="US"/>
    <s v="ZR"/>
    <d v="2016-12-07T00:00:00"/>
  </r>
  <r>
    <x v="1"/>
    <x v="0"/>
    <x v="2432"/>
    <x v="45"/>
    <s v="Standard order"/>
    <x v="2312"/>
    <x v="2118"/>
    <s v="122N"/>
    <s v="BTS 12RR2N"/>
    <s v="5002317"/>
    <s v="122N BTS T20 SYSTIVA RP"/>
    <n v="16"/>
    <n v="0"/>
    <n v="16"/>
    <x v="0"/>
    <s v="4TBG"/>
    <s v="RP"/>
    <s v="326"/>
    <s v="4.0 UN"/>
    <s v="STANDARD"/>
    <s v="N"/>
    <s v="N"/>
    <s v="N"/>
    <s v="T20"/>
    <s v="Y"/>
    <s v="N"/>
    <s v="Y"/>
    <s v="N"/>
    <s v="B003"/>
    <d v="2016-12-12T00:00:00"/>
    <s v="20"/>
    <s v="TAN"/>
    <s v="OR"/>
    <d v="2016-12-07T00:00:00"/>
    <s v="MI"/>
    <s v="US"/>
    <s v="ZR"/>
    <d v="2016-12-07T00:00:00"/>
  </r>
  <r>
    <x v="1"/>
    <x v="4"/>
    <x v="2433"/>
    <x v="52"/>
    <s v="Standard order"/>
    <x v="2313"/>
    <x v="2119"/>
    <s v="251N"/>
    <s v="BTS 251N"/>
    <s v="5002503"/>
    <s v="251N BTS PB Kabina LRG"/>
    <n v="20"/>
    <n v="0"/>
    <n v="20"/>
    <x v="4"/>
    <s v="5HBR"/>
    <s v="LARGE"/>
    <s v="384"/>
    <s v="4.0 UN"/>
    <s v="STANDARD"/>
    <s v="N"/>
    <s v="Y"/>
    <s v="Y"/>
    <s v="N"/>
    <s v="N"/>
    <s v="N"/>
    <s v="N"/>
    <s v="N"/>
    <s v="B048"/>
    <d v="2016-12-12T00:00:00"/>
    <s v="10"/>
    <s v="TAN"/>
    <s v="OR"/>
    <d v="2016-12-07T00:00:00"/>
    <s v="ID"/>
    <s v="US"/>
    <s v="ZR"/>
    <d v="2016-12-07T00:00:00"/>
  </r>
  <r>
    <x v="1"/>
    <x v="4"/>
    <x v="2433"/>
    <x v="52"/>
    <s v="Standard order"/>
    <x v="2313"/>
    <x v="2119"/>
    <s v="225N"/>
    <s v="BTS 22RR5N"/>
    <s v="5002106"/>
    <s v="225N BTS PB Kabina LRG"/>
    <n v="44"/>
    <n v="0"/>
    <n v="44"/>
    <x v="4"/>
    <s v="4TBD"/>
    <s v="LARGE"/>
    <s v="384"/>
    <s v="4.0 UN"/>
    <s v="STANDARD"/>
    <s v="N"/>
    <s v="Y"/>
    <s v="Y"/>
    <s v="N"/>
    <s v="N"/>
    <s v="N"/>
    <s v="N"/>
    <s v="N"/>
    <s v="B048"/>
    <d v="2016-12-12T00:00:00"/>
    <s v="20"/>
    <s v="TAN"/>
    <s v="OR"/>
    <d v="2016-12-07T00:00:00"/>
    <s v="ID"/>
    <s v="US"/>
    <s v="ZR"/>
    <d v="2016-12-07T00:00:00"/>
  </r>
  <r>
    <x v="1"/>
    <x v="7"/>
    <x v="2434"/>
    <x v="28"/>
    <s v="Standard order"/>
    <x v="2314"/>
    <x v="2120"/>
    <s v="8363"/>
    <s v="BTS 8363"/>
    <s v="5002816"/>
    <s v="8363 BTS T35 PB SYSTIVA RP"/>
    <n v="96"/>
    <n v="0"/>
    <n v="96"/>
    <x v="7"/>
    <s v="DMMZ"/>
    <s v="RP"/>
    <s v="333"/>
    <s v="4.0 UN"/>
    <s v="STANDARD"/>
    <s v="N"/>
    <s v="Y"/>
    <s v="N"/>
    <s v="T35"/>
    <s v="Y"/>
    <s v="N"/>
    <s v="Y"/>
    <s v="N"/>
    <s v="B056"/>
    <d v="2016-12-12T00:00:00"/>
    <s v="10"/>
    <s v="TAN"/>
    <s v="OR"/>
    <d v="2016-12-07T00:00:00"/>
    <s v="ND"/>
    <s v="US"/>
    <s v="ZR"/>
    <d v="2016-12-07T00:00:00"/>
  </r>
  <r>
    <x v="1"/>
    <x v="7"/>
    <x v="2434"/>
    <x v="28"/>
    <s v="Standard order"/>
    <x v="2314"/>
    <x v="2120"/>
    <s v="8363"/>
    <s v="BTS 8363"/>
    <s v="5002816"/>
    <s v="8363 BTS T35 PB SYSTIVA RP"/>
    <n v="96"/>
    <n v="0"/>
    <n v="96"/>
    <x v="7"/>
    <s v="DMMZ"/>
    <s v="RP"/>
    <s v="333"/>
    <s v="4.0 UN"/>
    <s v="STANDARD"/>
    <s v="N"/>
    <s v="Y"/>
    <s v="N"/>
    <s v="T35"/>
    <s v="Y"/>
    <s v="N"/>
    <s v="Y"/>
    <s v="N"/>
    <s v="B056"/>
    <d v="2016-12-12T00:00:00"/>
    <s v="20"/>
    <s v="TAN"/>
    <s v="OR"/>
    <d v="2016-12-07T00:00:00"/>
    <s v="ND"/>
    <s v="US"/>
    <s v="ZR"/>
    <d v="2016-12-07T00:00:00"/>
  </r>
  <r>
    <x v="1"/>
    <x v="7"/>
    <x v="2435"/>
    <x v="41"/>
    <s v="Standard order"/>
    <x v="2315"/>
    <x v="2121"/>
    <s v="8512"/>
    <s v="BTS 8512"/>
    <s v="5002876"/>
    <s v="8512 BTS T35 PB SYSTIVA RP"/>
    <n v="88"/>
    <n v="0"/>
    <n v="88"/>
    <x v="7"/>
    <s v="FX73"/>
    <s v="RP"/>
    <s v="333"/>
    <s v="4.0 UN"/>
    <s v="STANDARD"/>
    <s v="N"/>
    <s v="Y"/>
    <s v="N"/>
    <s v="T35"/>
    <s v="Y"/>
    <s v="N"/>
    <s v="Y"/>
    <s v="N"/>
    <s v="B032"/>
    <d v="2016-12-12T00:00:00"/>
    <s v="10"/>
    <s v="TAN"/>
    <s v="OR"/>
    <d v="2016-12-07T00:00:00"/>
    <s v="MN"/>
    <s v="US"/>
    <s v="ZR"/>
    <d v="2016-12-07T00:00:00"/>
  </r>
  <r>
    <x v="1"/>
    <x v="7"/>
    <x v="2436"/>
    <x v="28"/>
    <s v="Standard order"/>
    <x v="2316"/>
    <x v="2122"/>
    <s v="8500"/>
    <s v="BTS 8500"/>
    <s v="5002856"/>
    <s v="8500 BTS T35 PB SYSTIVA RP"/>
    <n v="60"/>
    <n v="0"/>
    <n v="60"/>
    <x v="7"/>
    <s v="FTND"/>
    <s v="RP"/>
    <s v="333"/>
    <s v="4.0 UN"/>
    <s v="STANDARD"/>
    <s v="N"/>
    <s v="Y"/>
    <s v="N"/>
    <s v="T35"/>
    <s v="Y"/>
    <s v="N"/>
    <s v="Y"/>
    <s v="N"/>
    <s v="B056"/>
    <d v="2016-12-12T00:00:00"/>
    <s v="10"/>
    <s v="TAN"/>
    <s v="OR"/>
    <d v="2016-12-07T00:00:00"/>
    <s v="ND"/>
    <s v="US"/>
    <s v="ZR"/>
    <d v="2016-12-07T00:00:00"/>
  </r>
  <r>
    <x v="1"/>
    <x v="7"/>
    <x v="2437"/>
    <x v="28"/>
    <s v="Standard order"/>
    <x v="1346"/>
    <x v="1341"/>
    <s v="8052"/>
    <s v="BTS 80RR52"/>
    <s v="5002739"/>
    <s v="8052 BTS T35 SYSTIVA RP"/>
    <n v="20"/>
    <n v="0"/>
    <n v="20"/>
    <x v="7"/>
    <s v="AP82"/>
    <s v="RP"/>
    <s v="334"/>
    <s v="4.0 UN"/>
    <s v="STANDARD"/>
    <s v="N"/>
    <s v="N"/>
    <s v="N"/>
    <s v="T35"/>
    <s v="Y"/>
    <s v="N"/>
    <s v="Y"/>
    <s v="N"/>
    <s v="B056"/>
    <d v="2016-12-12T00:00:00"/>
    <s v="10"/>
    <s v="TAN"/>
    <s v="OR"/>
    <d v="2016-12-07T00:00:00"/>
    <s v="ND"/>
    <s v="US"/>
    <s v="ZR"/>
    <d v="2016-12-07T00:00:00"/>
  </r>
  <r>
    <x v="1"/>
    <x v="7"/>
    <x v="2437"/>
    <x v="28"/>
    <s v="Standard order"/>
    <x v="1346"/>
    <x v="1341"/>
    <s v="8512"/>
    <s v="BTS 8512"/>
    <s v="5002880"/>
    <s v="8512 BTS T35 SYSTIVA RP"/>
    <n v="20"/>
    <n v="0"/>
    <n v="20"/>
    <x v="7"/>
    <s v="FX73"/>
    <s v="RP"/>
    <s v="334"/>
    <s v="4.0 UN"/>
    <s v="STANDARD"/>
    <s v="N"/>
    <s v="N"/>
    <s v="N"/>
    <s v="T35"/>
    <s v="Y"/>
    <s v="N"/>
    <s v="Y"/>
    <s v="N"/>
    <s v="B056"/>
    <d v="2016-12-12T00:00:00"/>
    <s v="20"/>
    <s v="TAN"/>
    <s v="OR"/>
    <d v="2016-12-07T00:00:00"/>
    <s v="ND"/>
    <s v="US"/>
    <s v="ZR"/>
    <d v="2016-12-07T00:00:00"/>
  </r>
  <r>
    <x v="1"/>
    <x v="7"/>
    <x v="2438"/>
    <x v="37"/>
    <s v="Standard order"/>
    <x v="2317"/>
    <x v="2123"/>
    <s v="8500"/>
    <s v="BTS 8500"/>
    <s v="5002856"/>
    <s v="8500 BTS T35 PB SYSTIVA RP"/>
    <n v="180"/>
    <n v="0"/>
    <n v="180"/>
    <x v="7"/>
    <s v="FTND"/>
    <s v="RP"/>
    <s v="333"/>
    <s v="4.0 UN"/>
    <s v="STANDARD"/>
    <s v="N"/>
    <s v="Y"/>
    <s v="N"/>
    <s v="T35"/>
    <s v="Y"/>
    <s v="N"/>
    <s v="Y"/>
    <s v="N"/>
    <s v="B033"/>
    <d v="2016-12-12T00:00:00"/>
    <s v="20"/>
    <s v="TAN"/>
    <s v="OR"/>
    <d v="2016-12-07T00:00:00"/>
    <s v="ND"/>
    <s v="US"/>
    <s v="ZR"/>
    <d v="2016-12-07T00:00:00"/>
  </r>
  <r>
    <x v="1"/>
    <x v="5"/>
    <x v="2439"/>
    <x v="13"/>
    <s v="Standard order"/>
    <x v="2318"/>
    <x v="2124"/>
    <s v="398N"/>
    <s v="BTS 39RR8N"/>
    <s v="5002568"/>
    <s v="398N BTS T20 PB SYSTIVA MP"/>
    <n v="80"/>
    <n v="0"/>
    <n v="80"/>
    <x v="5"/>
    <s v="2771"/>
    <s v="MP"/>
    <s v="322"/>
    <s v="4.0 UN"/>
    <s v="STANDARD"/>
    <s v="N"/>
    <s v="Y"/>
    <s v="N"/>
    <s v="T20"/>
    <s v="Y"/>
    <s v="N"/>
    <s v="N"/>
    <s v="N"/>
    <s v="B015"/>
    <d v="2016-12-12T00:00:00"/>
    <s v="10"/>
    <s v="TAN"/>
    <s v="OR"/>
    <d v="2016-12-07T00:00:00"/>
    <s v="MT"/>
    <s v="US"/>
    <s v="ZR"/>
    <d v="2016-12-07T00:00:00"/>
  </r>
  <r>
    <x v="1"/>
    <x v="5"/>
    <x v="2439"/>
    <x v="13"/>
    <s v="Standard order"/>
    <x v="2318"/>
    <x v="2124"/>
    <s v="336N"/>
    <s v="BTS 336N"/>
    <s v="5002197"/>
    <s v="336N BTS T20 PB SYSTIVA MP"/>
    <n v="80"/>
    <n v="0"/>
    <n v="80"/>
    <x v="5"/>
    <s v="EEMG"/>
    <s v="MP"/>
    <s v="322"/>
    <s v="4.0 UN"/>
    <s v="STANDARD"/>
    <s v="N"/>
    <s v="N"/>
    <s v="N"/>
    <s v="T20"/>
    <s v="Y"/>
    <s v="N"/>
    <s v="N"/>
    <s v="N"/>
    <s v="B015"/>
    <d v="2016-12-12T00:00:00"/>
    <s v="20"/>
    <s v="TAN"/>
    <s v="OR"/>
    <d v="2016-12-07T00:00:00"/>
    <s v="MT"/>
    <s v="US"/>
    <s v="ZR"/>
    <d v="2016-12-07T00:00:00"/>
  </r>
  <r>
    <x v="1"/>
    <x v="5"/>
    <x v="2440"/>
    <x v="13"/>
    <s v="Standard order"/>
    <x v="2319"/>
    <x v="339"/>
    <s v="398N"/>
    <s v="BTS 39RR8N"/>
    <s v="5002572"/>
    <s v="398N BTS T20 PB SYSTIVA RP"/>
    <n v="196"/>
    <n v="0"/>
    <n v="196"/>
    <x v="5"/>
    <s v="2771"/>
    <s v="RP"/>
    <s v="322"/>
    <s v="4.0 UN"/>
    <s v="STANDARD"/>
    <s v="N"/>
    <s v="Y"/>
    <s v="N"/>
    <s v="T20"/>
    <s v="Y"/>
    <s v="N"/>
    <s v="N"/>
    <s v="N"/>
    <s v="B015"/>
    <d v="2016-12-12T00:00:00"/>
    <s v="10"/>
    <s v="TAN"/>
    <s v="OR"/>
    <d v="2016-12-07T00:00:00"/>
    <s v="MT"/>
    <s v="US"/>
    <s v="ZR"/>
    <d v="2016-12-07T00:00:00"/>
  </r>
  <r>
    <x v="1"/>
    <x v="5"/>
    <x v="2440"/>
    <x v="13"/>
    <s v="Standard order"/>
    <x v="2319"/>
    <x v="339"/>
    <s v="336N"/>
    <s v="BTS 336N"/>
    <s v="5002400"/>
    <s v="336N BTS T20 PB SYSTIVA RP"/>
    <n v="52"/>
    <n v="0"/>
    <n v="52"/>
    <x v="5"/>
    <s v="EEMG"/>
    <s v="RP"/>
    <s v="322"/>
    <s v="4.0 UN"/>
    <s v="STANDARD"/>
    <s v="N"/>
    <s v="N"/>
    <s v="N"/>
    <s v="T20"/>
    <s v="Y"/>
    <s v="N"/>
    <s v="N"/>
    <s v="N"/>
    <s v="B015"/>
    <d v="2016-12-12T00:00:00"/>
    <s v="20"/>
    <s v="TAN"/>
    <s v="OR"/>
    <d v="2016-12-07T00:00:00"/>
    <s v="MT"/>
    <s v="US"/>
    <s v="ZR"/>
    <d v="2016-12-07T00:00:00"/>
  </r>
  <r>
    <x v="1"/>
    <x v="5"/>
    <x v="2441"/>
    <x v="12"/>
    <s v="Standard order"/>
    <x v="2320"/>
    <x v="341"/>
    <s v="336N"/>
    <s v="BTS 336N"/>
    <s v="5002199"/>
    <s v="336N BTS T20 PB SYSTIVA P200"/>
    <n v="100"/>
    <n v="0"/>
    <n v="100"/>
    <x v="5"/>
    <s v="EEMG"/>
    <s v="PRO 200"/>
    <s v="322"/>
    <s v="4.0 UN"/>
    <s v="STANDARD"/>
    <s v="N"/>
    <s v="N"/>
    <s v="N"/>
    <s v="T20"/>
    <s v="Y"/>
    <s v="N"/>
    <s v="N"/>
    <s v="N"/>
    <s v="B014"/>
    <d v="2016-12-12T00:00:00"/>
    <s v="10"/>
    <s v="TAN"/>
    <s v="OR"/>
    <d v="2016-12-07T00:00:00"/>
    <s v="MT"/>
    <s v="US"/>
    <s v="ZR"/>
    <d v="2016-12-07T00:00:00"/>
  </r>
  <r>
    <x v="1"/>
    <x v="5"/>
    <x v="2441"/>
    <x v="12"/>
    <s v="Standard order"/>
    <x v="2320"/>
    <x v="341"/>
    <s v="353N"/>
    <s v="BTS 353N"/>
    <s v="5002522"/>
    <s v="353N BTS T20 PB SYSTIVA P200"/>
    <n v="12"/>
    <n v="0"/>
    <n v="12"/>
    <x v="5"/>
    <s v="EENZ"/>
    <s v="PRO 200"/>
    <s v="322"/>
    <s v="4.0 UN"/>
    <s v="STANDARD"/>
    <s v="N"/>
    <s v="Y"/>
    <s v="N"/>
    <s v="T20"/>
    <s v="Y"/>
    <s v="N"/>
    <s v="N"/>
    <s v="N"/>
    <s v="B014"/>
    <d v="2016-12-12T00:00:00"/>
    <s v="20"/>
    <s v="TAN"/>
    <s v="OR"/>
    <d v="2016-12-07T00:00:00"/>
    <s v="MT"/>
    <s v="US"/>
    <s v="ZR"/>
    <d v="2016-12-07T00:00:00"/>
  </r>
  <r>
    <x v="1"/>
    <x v="2"/>
    <x v="2442"/>
    <x v="3"/>
    <s v="Standard order"/>
    <x v="2321"/>
    <x v="364"/>
    <s v="6543"/>
    <s v="BTS 6543"/>
    <s v="5002438"/>
    <s v="6543 BTS T20 PB SYSTIVA P100"/>
    <n v="16"/>
    <n v="0"/>
    <n v="16"/>
    <x v="2"/>
    <s v="FXND"/>
    <s v="PRO 100"/>
    <s v="322"/>
    <s v="4.0 UN"/>
    <s v="STANDARD"/>
    <s v="N"/>
    <s v="N"/>
    <s v="N"/>
    <s v="T20"/>
    <s v="Y"/>
    <s v="N"/>
    <s v="Y"/>
    <s v="N"/>
    <s v="B024"/>
    <d v="2016-12-12T00:00:00"/>
    <s v="10"/>
    <s v="TAN"/>
    <s v="OR"/>
    <d v="2016-12-07T00:00:00"/>
    <s v="NE"/>
    <s v="US"/>
    <s v="ZR"/>
    <d v="2016-12-07T00:00:00"/>
  </r>
  <r>
    <x v="1"/>
    <x v="2"/>
    <x v="2442"/>
    <x v="3"/>
    <s v="Standard order"/>
    <x v="2321"/>
    <x v="364"/>
    <s v="630N"/>
    <s v="BTS 630N"/>
    <s v="5002402"/>
    <s v="630N BTS T20 PB SYSTIVA P100"/>
    <n v="36"/>
    <n v="0"/>
    <n v="36"/>
    <x v="2"/>
    <s v="DW73"/>
    <s v="PRO 100"/>
    <s v="322"/>
    <s v="4.0 UN"/>
    <s v="STANDARD"/>
    <s v="N"/>
    <s v="N"/>
    <s v="N"/>
    <s v="T20"/>
    <s v="Y"/>
    <s v="N"/>
    <s v="Y"/>
    <s v="N"/>
    <s v="B024"/>
    <d v="2016-12-12T00:00:00"/>
    <s v="20"/>
    <s v="TAN"/>
    <s v="OR"/>
    <d v="2016-12-07T00:00:00"/>
    <s v="NE"/>
    <s v="US"/>
    <s v="ZR"/>
    <d v="2016-12-07T00:00:00"/>
  </r>
  <r>
    <x v="1"/>
    <x v="2"/>
    <x v="2442"/>
    <x v="3"/>
    <s v="Standard order"/>
    <x v="2321"/>
    <x v="364"/>
    <s v="64SN"/>
    <s v="BTS 64SN"/>
    <s v="5002420"/>
    <s v="64SN BTS T20 PB SYSTIVA P100"/>
    <n v="80"/>
    <n v="0"/>
    <n v="80"/>
    <x v="2"/>
    <s v="DVNB"/>
    <s v="PRO 100"/>
    <s v="322"/>
    <s v="4.0 UN"/>
    <s v="STANDARD"/>
    <s v="N"/>
    <s v="N"/>
    <s v="N"/>
    <s v="T20"/>
    <s v="Y"/>
    <s v="N"/>
    <s v="Y"/>
    <s v="N"/>
    <s v="B024"/>
    <d v="2016-12-12T00:00:00"/>
    <s v="30"/>
    <s v="TAN"/>
    <s v="OR"/>
    <d v="2016-12-07T00:00:00"/>
    <s v="NE"/>
    <s v="US"/>
    <s v="ZR"/>
    <d v="2016-12-07T00:00:00"/>
  </r>
  <r>
    <x v="1"/>
    <x v="2"/>
    <x v="2442"/>
    <x v="3"/>
    <s v="Standard order"/>
    <x v="2321"/>
    <x v="364"/>
    <s v="628N"/>
    <s v="BTS 62RR8N"/>
    <s v="5002683"/>
    <s v="628N BTS T20 PB SYSTIVA P100"/>
    <n v="80"/>
    <n v="0"/>
    <n v="80"/>
    <x v="2"/>
    <s v="BL73"/>
    <s v="PRO 100"/>
    <s v="322"/>
    <s v="4.0 UN"/>
    <s v="STANDARD"/>
    <s v="N"/>
    <s v="N"/>
    <s v="N"/>
    <s v="T20"/>
    <s v="Y"/>
    <s v="N"/>
    <s v="Y"/>
    <s v="N"/>
    <s v="B024"/>
    <d v="2016-12-12T00:00:00"/>
    <s v="40"/>
    <s v="TAN"/>
    <s v="OR"/>
    <d v="2016-12-07T00:00:00"/>
    <s v="NE"/>
    <s v="US"/>
    <s v="ZR"/>
    <d v="2016-12-07T00:00:00"/>
  </r>
  <r>
    <x v="1"/>
    <x v="4"/>
    <x v="2443"/>
    <x v="46"/>
    <s v="Standard order"/>
    <x v="2322"/>
    <x v="1009"/>
    <s v="2125"/>
    <s v="BTS 21RR25"/>
    <s v="5002395"/>
    <s v="2125 BTS PB XL"/>
    <n v="276"/>
    <n v="0"/>
    <n v="276"/>
    <x v="4"/>
    <s v="AP92"/>
    <s v="X-LARGE"/>
    <s v="307"/>
    <s v="4.0 UN"/>
    <s v="STANDARD"/>
    <s v="N"/>
    <s v="Y"/>
    <s v="N"/>
    <s v="N"/>
    <s v="N"/>
    <s v="N"/>
    <s v="N"/>
    <s v="N"/>
    <s v="B049"/>
    <d v="2016-12-12T00:00:00"/>
    <s v="10"/>
    <s v="TAN"/>
    <s v="OR"/>
    <d v="2016-12-07T00:00:00"/>
    <s v="ID"/>
    <s v="US"/>
    <s v="ZR"/>
    <d v="2016-12-07T00:00:00"/>
  </r>
  <r>
    <x v="1"/>
    <x v="4"/>
    <x v="2443"/>
    <x v="46"/>
    <s v="Standard order"/>
    <x v="2322"/>
    <x v="1009"/>
    <s v="2570"/>
    <s v="BTS 2570"/>
    <s v="5002555"/>
    <s v="2570 BTS PB XL"/>
    <n v="80"/>
    <n v="0"/>
    <n v="80"/>
    <x v="4"/>
    <s v="EZNS"/>
    <s v="X-LARGE"/>
    <s v="307"/>
    <s v="4.0 UN"/>
    <s v="STANDARD"/>
    <s v="N"/>
    <s v="Y"/>
    <s v="N"/>
    <s v="N"/>
    <s v="N"/>
    <s v="N"/>
    <s v="N"/>
    <s v="N"/>
    <s v="B049"/>
    <d v="2016-12-12T00:00:00"/>
    <s v="20"/>
    <s v="TAN"/>
    <s v="OR"/>
    <d v="2016-12-07T00:00:00"/>
    <s v="ID"/>
    <s v="US"/>
    <s v="ZR"/>
    <d v="2016-12-07T00:00:00"/>
  </r>
  <r>
    <x v="1"/>
    <x v="4"/>
    <x v="2443"/>
    <x v="46"/>
    <s v="Standard order"/>
    <x v="2322"/>
    <x v="1009"/>
    <s v="2523"/>
    <s v="BTS 2523"/>
    <s v="5002529"/>
    <s v="2523 BTS PB XL"/>
    <n v="36"/>
    <n v="0"/>
    <n v="36"/>
    <x v="4"/>
    <s v="EZPC"/>
    <s v="X-LARGE"/>
    <s v="307"/>
    <s v="4.0 UN"/>
    <s v="STANDARD"/>
    <s v="N"/>
    <s v="Y"/>
    <s v="N"/>
    <s v="N"/>
    <s v="N"/>
    <s v="N"/>
    <s v="N"/>
    <s v="N"/>
    <s v="B049"/>
    <d v="2016-12-12T00:00:00"/>
    <s v="30"/>
    <s v="TAN"/>
    <s v="OR"/>
    <d v="2016-12-07T00:00:00"/>
    <s v="ID"/>
    <s v="US"/>
    <s v="ZR"/>
    <d v="2016-12-07T00:00:00"/>
  </r>
  <r>
    <x v="1"/>
    <x v="4"/>
    <x v="2443"/>
    <x v="46"/>
    <s v="Standard order"/>
    <x v="2322"/>
    <x v="1009"/>
    <s v="6027"/>
    <s v="BTS 60RR27"/>
    <s v="5002625"/>
    <s v="6027 BTS PB XL IDH"/>
    <n v="68"/>
    <n v="0"/>
    <n v="68"/>
    <x v="4"/>
    <s v="APMC"/>
    <s v="X-LARGE"/>
    <s v="307"/>
    <s v="4.0 UN"/>
    <s v="STANDARD"/>
    <s v="N"/>
    <s v="Y"/>
    <s v="N"/>
    <s v="N"/>
    <s v="N"/>
    <s v="N"/>
    <s v="N"/>
    <s v="N"/>
    <s v="B049"/>
    <d v="2016-12-12T00:00:00"/>
    <s v="40"/>
    <s v="TAN"/>
    <s v="OR"/>
    <d v="2016-12-07T00:00:00"/>
    <s v="ID"/>
    <s v="US"/>
    <s v="ZR"/>
    <d v="2016-12-07T00:00:00"/>
  </r>
  <r>
    <x v="1"/>
    <x v="2"/>
    <x v="2444"/>
    <x v="22"/>
    <s v="Standard order"/>
    <x v="2323"/>
    <x v="382"/>
    <s v="628N"/>
    <s v="BTS 62RR8N"/>
    <s v="5002683"/>
    <s v="628N BTS T20 PB SYSTIVA P100"/>
    <n v="32"/>
    <n v="0"/>
    <n v="32"/>
    <x v="2"/>
    <s v="BL73"/>
    <s v="PRO 100"/>
    <s v="322"/>
    <s v="4.0 UN"/>
    <s v="STANDARD"/>
    <s v="N"/>
    <s v="N"/>
    <s v="N"/>
    <s v="T20"/>
    <s v="Y"/>
    <s v="N"/>
    <s v="Y"/>
    <s v="N"/>
    <s v="B018"/>
    <d v="2016-12-12T00:00:00"/>
    <s v="10"/>
    <s v="TAN"/>
    <s v="OR"/>
    <d v="2016-12-07T00:00:00"/>
    <s v="CO"/>
    <s v="US"/>
    <s v="ZR"/>
    <d v="2016-12-07T00:00:00"/>
  </r>
  <r>
    <x v="1"/>
    <x v="4"/>
    <x v="2445"/>
    <x v="47"/>
    <s v="Standard order"/>
    <x v="2324"/>
    <x v="423"/>
    <s v="251N"/>
    <s v="BTS 251N"/>
    <s v="5002194"/>
    <s v="251N BTS PB LRG"/>
    <n v="308"/>
    <n v="0"/>
    <n v="308"/>
    <x v="4"/>
    <s v="5HBR"/>
    <s v="LARGE"/>
    <s v="307"/>
    <s v="4.0 UN"/>
    <s v="STANDARD"/>
    <s v="N"/>
    <s v="Y"/>
    <s v="N"/>
    <s v="N"/>
    <s v="N"/>
    <s v="N"/>
    <s v="N"/>
    <s v="N"/>
    <s v="B050"/>
    <d v="2016-12-12T00:00:00"/>
    <s v="10"/>
    <s v="TAN"/>
    <s v="OR"/>
    <d v="2016-12-07T00:00:00"/>
    <s v="ID"/>
    <s v="US"/>
    <s v="ZR"/>
    <d v="2016-12-07T00:00:00"/>
  </r>
  <r>
    <x v="1"/>
    <x v="4"/>
    <x v="2445"/>
    <x v="47"/>
    <s v="Standard order"/>
    <x v="2324"/>
    <x v="423"/>
    <s v="225N"/>
    <s v="BTS 22RR5N"/>
    <s v="5002111"/>
    <s v="225N BTS PB LRG"/>
    <n v="848"/>
    <n v="0"/>
    <n v="848"/>
    <x v="4"/>
    <s v="4TBD"/>
    <s v="LARGE"/>
    <s v="307"/>
    <s v="4.0 UN"/>
    <s v="STANDARD"/>
    <s v="N"/>
    <s v="Y"/>
    <s v="N"/>
    <s v="N"/>
    <s v="N"/>
    <s v="N"/>
    <s v="N"/>
    <s v="N"/>
    <s v="B050"/>
    <d v="2016-12-12T00:00:00"/>
    <s v="20"/>
    <s v="TAN"/>
    <s v="OR"/>
    <d v="2016-12-07T00:00:00"/>
    <s v="ID"/>
    <s v="US"/>
    <s v="ZR"/>
    <d v="2016-12-07T00:00:00"/>
  </r>
  <r>
    <x v="1"/>
    <x v="7"/>
    <x v="2446"/>
    <x v="37"/>
    <s v="Standard order"/>
    <x v="2325"/>
    <x v="2125"/>
    <s v="8052"/>
    <s v="BTS 80RR52"/>
    <s v="5002735"/>
    <s v="8052 BTS T35 PB SYSTIVA RP"/>
    <n v="96"/>
    <n v="0"/>
    <n v="96"/>
    <x v="7"/>
    <s v="AP82"/>
    <s v="RP"/>
    <s v="333"/>
    <s v="4.0 UN"/>
    <s v="STANDARD"/>
    <s v="N"/>
    <s v="Y"/>
    <s v="N"/>
    <s v="T35"/>
    <s v="Y"/>
    <s v="N"/>
    <s v="Y"/>
    <s v="N"/>
    <s v="B033"/>
    <d v="2016-12-12T00:00:00"/>
    <s v="10"/>
    <s v="TAN"/>
    <s v="OR"/>
    <d v="2016-12-07T00:00:00"/>
    <s v="ND"/>
    <s v="US"/>
    <s v="ZR"/>
    <d v="2016-12-07T00:00:00"/>
  </r>
  <r>
    <x v="1"/>
    <x v="0"/>
    <x v="2447"/>
    <x v="30"/>
    <s v="Standard order"/>
    <x v="2326"/>
    <x v="787"/>
    <s v="1399"/>
    <s v="BTS 1399"/>
    <s v="5002346"/>
    <s v="1399 BTS T20 Kabina MP"/>
    <n v="60"/>
    <n v="0"/>
    <n v="60"/>
    <x v="0"/>
    <s v="EG74"/>
    <s v="MP"/>
    <s v="380"/>
    <s v="4.0 UN"/>
    <s v="STANDARD"/>
    <s v="N"/>
    <s v="N"/>
    <s v="Y"/>
    <s v="T20"/>
    <s v="N"/>
    <s v="N"/>
    <s v="N"/>
    <s v="N"/>
    <s v="B001"/>
    <d v="2016-12-12T00:00:00"/>
    <s v="10"/>
    <s v="TAN"/>
    <s v="OR"/>
    <d v="2016-12-07T00:00:00"/>
    <s v="MI"/>
    <s v="US"/>
    <s v="ZR"/>
    <d v="2016-12-07T00:00:00"/>
  </r>
  <r>
    <x v="1"/>
    <x v="4"/>
    <x v="2448"/>
    <x v="44"/>
    <s v="Standard order"/>
    <x v="2327"/>
    <x v="2126"/>
    <s v="251N"/>
    <s v="BTS 251N"/>
    <s v="5002194"/>
    <s v="251N BTS PB LRG"/>
    <n v="8"/>
    <n v="0"/>
    <n v="8"/>
    <x v="4"/>
    <s v="5HBR"/>
    <s v="LARGE"/>
    <s v="307"/>
    <s v="4.0 UN"/>
    <s v="STANDARD"/>
    <s v="N"/>
    <s v="Y"/>
    <s v="N"/>
    <s v="N"/>
    <s v="N"/>
    <s v="N"/>
    <s v="N"/>
    <s v="N"/>
    <s v="MB13"/>
    <d v="2016-12-12T00:00:00"/>
    <s v="10"/>
    <s v="TAN"/>
    <s v="OR"/>
    <d v="2016-12-07T00:00:00"/>
    <s v="ID"/>
    <s v="US"/>
    <s v="ZR"/>
    <d v="2016-12-07T00:00:00"/>
  </r>
  <r>
    <x v="1"/>
    <x v="4"/>
    <x v="2448"/>
    <x v="44"/>
    <s v="Standard order"/>
    <x v="2327"/>
    <x v="2126"/>
    <s v="225N"/>
    <s v="BTS 22RR5N"/>
    <s v="5002111"/>
    <s v="225N BTS PB LRG"/>
    <n v="32"/>
    <n v="0"/>
    <n v="32"/>
    <x v="4"/>
    <s v="4TBD"/>
    <s v="LARGE"/>
    <s v="307"/>
    <s v="4.0 UN"/>
    <s v="STANDARD"/>
    <s v="N"/>
    <s v="Y"/>
    <s v="N"/>
    <s v="N"/>
    <s v="N"/>
    <s v="N"/>
    <s v="N"/>
    <s v="N"/>
    <s v="MB13"/>
    <d v="2016-12-12T00:00:00"/>
    <s v="20"/>
    <s v="TAN"/>
    <s v="OR"/>
    <d v="2016-12-07T00:00:00"/>
    <s v="ID"/>
    <s v="US"/>
    <s v="ZR"/>
    <d v="2016-12-07T00:00:00"/>
  </r>
  <r>
    <x v="1"/>
    <x v="0"/>
    <x v="2449"/>
    <x v="43"/>
    <s v="Standard order"/>
    <x v="2328"/>
    <x v="2127"/>
    <s v="122N"/>
    <s v="BTS 12RR2N"/>
    <s v="5002309"/>
    <s v="122N BTS T20 Kabina MP"/>
    <n v="32"/>
    <n v="0"/>
    <n v="32"/>
    <x v="0"/>
    <s v="4TBG"/>
    <s v="MP"/>
    <s v="380"/>
    <s v="4.0 UN"/>
    <s v="STANDARD"/>
    <s v="N"/>
    <s v="N"/>
    <s v="Y"/>
    <s v="T20"/>
    <s v="N"/>
    <s v="N"/>
    <s v="N"/>
    <s v="N"/>
    <s v="B006"/>
    <d v="2016-12-12T00:00:00"/>
    <s v="10"/>
    <s v="TAN"/>
    <s v="OR"/>
    <d v="2016-12-07T00:00:00"/>
    <s v="MI"/>
    <s v="US"/>
    <s v="ZR"/>
    <d v="2016-12-07T00:00:00"/>
  </r>
  <r>
    <x v="1"/>
    <x v="0"/>
    <x v="2449"/>
    <x v="43"/>
    <s v="Standard order"/>
    <x v="2328"/>
    <x v="2127"/>
    <s v="149N"/>
    <s v="BTS 149N"/>
    <s v="5002366"/>
    <s v="149N BTS T20 Kabina MP"/>
    <n v="20"/>
    <n v="0"/>
    <n v="20"/>
    <x v="0"/>
    <s v="EEND"/>
    <s v="MP"/>
    <s v="380"/>
    <s v="4.0 UN"/>
    <s v="STANDARD"/>
    <s v="N"/>
    <s v="N"/>
    <s v="Y"/>
    <s v="T20"/>
    <s v="N"/>
    <s v="N"/>
    <s v="N"/>
    <s v="N"/>
    <s v="B006"/>
    <d v="2016-12-12T00:00:00"/>
    <s v="20"/>
    <s v="TAN"/>
    <s v="OR"/>
    <d v="2016-12-07T00:00:00"/>
    <s v="MI"/>
    <s v="US"/>
    <s v="ZR"/>
    <d v="2016-12-07T00:00:00"/>
  </r>
  <r>
    <x v="1"/>
    <x v="5"/>
    <x v="2450"/>
    <x v="9"/>
    <s v="Standard order"/>
    <x v="2329"/>
    <x v="2128"/>
    <s v="336N"/>
    <s v="BTS 336N"/>
    <s v="5002400"/>
    <s v="336N BTS T20 PB SYSTIVA RP"/>
    <n v="20"/>
    <n v="0"/>
    <n v="20"/>
    <x v="5"/>
    <s v="EEMG"/>
    <s v="RP"/>
    <s v="322"/>
    <s v="4.0 UN"/>
    <s v="STANDARD"/>
    <s v="N"/>
    <s v="N"/>
    <s v="N"/>
    <s v="T20"/>
    <s v="Y"/>
    <s v="N"/>
    <s v="N"/>
    <s v="N"/>
    <s v="B016"/>
    <d v="2016-12-13T00:00:00"/>
    <s v="10"/>
    <s v="TAN"/>
    <s v="OR"/>
    <d v="2016-12-07T00:00:00"/>
    <s v="WY"/>
    <s v="US"/>
    <s v="ZR"/>
    <d v="2016-12-08T00:00:00"/>
  </r>
  <r>
    <x v="1"/>
    <x v="5"/>
    <x v="2450"/>
    <x v="9"/>
    <s v="Standard order"/>
    <x v="2329"/>
    <x v="2128"/>
    <s v="398N"/>
    <s v="BTS 39RR8N"/>
    <s v="5002572"/>
    <s v="398N BTS T20 PB SYSTIVA RP"/>
    <n v="20"/>
    <n v="0"/>
    <n v="20"/>
    <x v="5"/>
    <s v="2771"/>
    <s v="RP"/>
    <s v="322"/>
    <s v="4.0 UN"/>
    <s v="STANDARD"/>
    <s v="N"/>
    <s v="Y"/>
    <s v="N"/>
    <s v="T20"/>
    <s v="Y"/>
    <s v="N"/>
    <s v="N"/>
    <s v="N"/>
    <s v="B016"/>
    <d v="2016-12-13T00:00:00"/>
    <s v="20"/>
    <s v="TAN"/>
    <s v="OR"/>
    <d v="2016-12-07T00:00:00"/>
    <s v="WY"/>
    <s v="US"/>
    <s v="ZR"/>
    <d v="2016-12-08T00:00:00"/>
  </r>
  <r>
    <x v="1"/>
    <x v="5"/>
    <x v="2451"/>
    <x v="14"/>
    <s v="Standard order"/>
    <x v="2330"/>
    <x v="392"/>
    <s v="353N"/>
    <s v="BTS 353N"/>
    <s v="5002524"/>
    <s v="353N BTS T20 PB SYSTIVA RP"/>
    <n v="60"/>
    <n v="0"/>
    <n v="60"/>
    <x v="5"/>
    <s v="EENZ"/>
    <s v="RP"/>
    <s v="322"/>
    <s v="4.0 UN"/>
    <s v="STANDARD"/>
    <s v="N"/>
    <s v="Y"/>
    <s v="N"/>
    <s v="T20"/>
    <s v="Y"/>
    <s v="N"/>
    <s v="N"/>
    <s v="N"/>
    <s v="B017"/>
    <d v="2016-12-13T00:00:00"/>
    <s v="10"/>
    <s v="TAN"/>
    <s v="OR"/>
    <d v="2016-12-07T00:00:00"/>
    <s v="WY"/>
    <s v="US"/>
    <s v="ZR"/>
    <d v="2016-12-08T00:00:00"/>
  </r>
  <r>
    <x v="1"/>
    <x v="0"/>
    <x v="2452"/>
    <x v="29"/>
    <s v="Standard order"/>
    <x v="2331"/>
    <x v="2129"/>
    <s v="149N"/>
    <s v="BTS 149N"/>
    <s v="5002367"/>
    <s v="149N BTS T20 Kabina P200"/>
    <n v="52"/>
    <n v="0"/>
    <n v="52"/>
    <x v="0"/>
    <s v="EEND"/>
    <s v="PRO 200"/>
    <s v="380"/>
    <s v="4.0 UN"/>
    <s v="STANDARD"/>
    <s v="N"/>
    <s v="N"/>
    <s v="Y"/>
    <s v="T20"/>
    <s v="N"/>
    <s v="N"/>
    <s v="N"/>
    <s v="N"/>
    <s v="B005"/>
    <d v="2016-12-13T00:00:00"/>
    <s v="10"/>
    <s v="TAN"/>
    <s v="OR"/>
    <d v="2016-12-07T00:00:00"/>
    <s v="MI"/>
    <s v="US"/>
    <s v="ZR"/>
    <d v="2016-12-08T00:00:00"/>
  </r>
  <r>
    <x v="1"/>
    <x v="0"/>
    <x v="2452"/>
    <x v="29"/>
    <s v="Standard order"/>
    <x v="2331"/>
    <x v="2129"/>
    <s v="122N"/>
    <s v="BTS 12RR2N"/>
    <s v="5002310"/>
    <s v="122N BTS T20 Kabina P200"/>
    <n v="40"/>
    <n v="0"/>
    <n v="40"/>
    <x v="0"/>
    <s v="4TBG"/>
    <s v="PRO 200"/>
    <s v="380"/>
    <s v="4.0 UN"/>
    <s v="STANDARD"/>
    <s v="N"/>
    <s v="N"/>
    <s v="Y"/>
    <s v="T20"/>
    <s v="N"/>
    <s v="N"/>
    <s v="N"/>
    <s v="N"/>
    <s v="B005"/>
    <d v="2016-12-13T00:00:00"/>
    <s v="20"/>
    <s v="TAN"/>
    <s v="OR"/>
    <d v="2016-12-07T00:00:00"/>
    <s v="MI"/>
    <s v="US"/>
    <s v="ZR"/>
    <d v="2016-12-08T00:00:00"/>
  </r>
  <r>
    <x v="1"/>
    <x v="0"/>
    <x v="2452"/>
    <x v="29"/>
    <s v="Standard order"/>
    <x v="2331"/>
    <x v="2129"/>
    <s v="1399"/>
    <s v="BTS 1399"/>
    <s v="5002347"/>
    <s v="1399 BTS T20 Kabina P200"/>
    <n v="12"/>
    <n v="0"/>
    <n v="12"/>
    <x v="0"/>
    <s v="EG74"/>
    <s v="PRO 200"/>
    <s v="380"/>
    <s v="4.0 UN"/>
    <s v="STANDARD"/>
    <s v="N"/>
    <s v="N"/>
    <s v="Y"/>
    <s v="T20"/>
    <s v="N"/>
    <s v="N"/>
    <s v="N"/>
    <s v="N"/>
    <s v="B005"/>
    <d v="2016-12-13T00:00:00"/>
    <s v="30"/>
    <s v="TAN"/>
    <s v="OR"/>
    <d v="2016-12-07T00:00:00"/>
    <s v="MI"/>
    <s v="US"/>
    <s v="ZR"/>
    <d v="2016-12-08T00:00:00"/>
  </r>
  <r>
    <x v="1"/>
    <x v="7"/>
    <x v="2453"/>
    <x v="33"/>
    <s v="Standard order"/>
    <x v="1338"/>
    <x v="1334"/>
    <s v="8337"/>
    <s v="BTS 8337"/>
    <s v="5002794"/>
    <s v="8337 BTS T35 PB SYSTIVA P200"/>
    <n v="60"/>
    <n v="0"/>
    <n v="60"/>
    <x v="7"/>
    <s v="DHMC"/>
    <s v="PRO 200"/>
    <s v="333"/>
    <s v="4.0 UN"/>
    <s v="STANDARD"/>
    <s v="N"/>
    <s v="Y"/>
    <s v="N"/>
    <s v="T35"/>
    <s v="Y"/>
    <s v="N"/>
    <s v="Y"/>
    <s v="N"/>
    <s v="B026"/>
    <d v="2016-12-13T00:00:00"/>
    <s v="10"/>
    <s v="TAN"/>
    <s v="OR"/>
    <d v="2016-12-08T00:00:00"/>
    <s v="ND"/>
    <s v="US"/>
    <s v="ZR"/>
    <d v="2016-12-08T00:00:00"/>
  </r>
  <r>
    <x v="1"/>
    <x v="7"/>
    <x v="2453"/>
    <x v="33"/>
    <s v="Standard order"/>
    <x v="1338"/>
    <x v="1334"/>
    <s v="8500"/>
    <s v="BTS 8500"/>
    <s v="5002855"/>
    <s v="8500 BTS T35 PB SYSTIVA P200"/>
    <n v="24"/>
    <n v="0"/>
    <n v="24"/>
    <x v="7"/>
    <s v="FTND"/>
    <s v="PRO 200"/>
    <s v="333"/>
    <s v="4.0 UN"/>
    <s v="STANDARD"/>
    <s v="N"/>
    <s v="Y"/>
    <s v="N"/>
    <s v="T35"/>
    <s v="Y"/>
    <s v="N"/>
    <s v="Y"/>
    <s v="N"/>
    <s v="B026"/>
    <d v="2016-12-13T00:00:00"/>
    <s v="20"/>
    <s v="TAN"/>
    <s v="OR"/>
    <d v="2016-12-08T00:00:00"/>
    <s v="ND"/>
    <s v="US"/>
    <s v="ZR"/>
    <d v="2016-12-08T00:00:00"/>
  </r>
  <r>
    <x v="1"/>
    <x v="5"/>
    <x v="2454"/>
    <x v="12"/>
    <s v="Standard order"/>
    <x v="2332"/>
    <x v="325"/>
    <s v="398N"/>
    <s v="BTS 39RR8N"/>
    <s v="5002570"/>
    <s v="39RR8N P200 BetaShield PLUS"/>
    <n v="12"/>
    <n v="0"/>
    <n v="12"/>
    <x v="5"/>
    <s v="2771"/>
    <s v="PRO 200"/>
    <s v="322"/>
    <s v="4.0 UN"/>
    <s v="STANDARD"/>
    <s v="N"/>
    <s v="Y"/>
    <s v="N"/>
    <s v="T20"/>
    <s v="Y"/>
    <s v="N"/>
    <s v="N"/>
    <s v="N"/>
    <s v=""/>
    <d v="2016-12-13T00:00:00"/>
    <s v="40"/>
    <s v="TAN"/>
    <s v="OR"/>
    <d v="2016-12-08T00:00:00"/>
    <s v="MT"/>
    <s v="US"/>
    <s v="ZR"/>
    <d v="2016-12-08T00:00:00"/>
  </r>
  <r>
    <x v="1"/>
    <x v="5"/>
    <x v="2454"/>
    <x v="12"/>
    <s v="Standard order"/>
    <x v="2332"/>
    <x v="325"/>
    <s v="336N"/>
    <s v="BTS 336N"/>
    <s v="5002199"/>
    <s v="336N BTS T20 PB SYSTIVA P200"/>
    <n v="48"/>
    <n v="0"/>
    <n v="48"/>
    <x v="5"/>
    <s v="EEMG"/>
    <s v="PRO 200"/>
    <s v="322"/>
    <s v="4.0 UN"/>
    <s v="STANDARD"/>
    <s v="N"/>
    <s v="N"/>
    <s v="N"/>
    <s v="T20"/>
    <s v="Y"/>
    <s v="N"/>
    <s v="N"/>
    <s v="N"/>
    <s v="B014"/>
    <d v="2016-12-13T00:00:00"/>
    <s v="10"/>
    <s v="TAN"/>
    <s v="OR"/>
    <d v="2016-12-08T00:00:00"/>
    <s v="MT"/>
    <s v="US"/>
    <s v="ZR"/>
    <d v="2016-12-08T00:00:00"/>
  </r>
  <r>
    <x v="1"/>
    <x v="5"/>
    <x v="2454"/>
    <x v="12"/>
    <s v="Standard order"/>
    <x v="2332"/>
    <x v="325"/>
    <s v="353N"/>
    <s v="BTS 353N"/>
    <s v="5002522"/>
    <s v="353N BTS T20 PB SYSTIVA P200"/>
    <n v="12"/>
    <n v="0"/>
    <n v="12"/>
    <x v="5"/>
    <s v="EENZ"/>
    <s v="PRO 200"/>
    <s v="322"/>
    <s v="4.0 UN"/>
    <s v="STANDARD"/>
    <s v="N"/>
    <s v="Y"/>
    <s v="N"/>
    <s v="T20"/>
    <s v="Y"/>
    <s v="N"/>
    <s v="N"/>
    <s v="N"/>
    <s v="B014"/>
    <d v="2016-12-13T00:00:00"/>
    <s v="20"/>
    <s v="TAN"/>
    <s v="OR"/>
    <d v="2016-12-08T00:00:00"/>
    <s v="MT"/>
    <s v="US"/>
    <s v="ZR"/>
    <d v="2016-12-08T00:00:00"/>
  </r>
  <r>
    <x v="1"/>
    <x v="5"/>
    <x v="2455"/>
    <x v="21"/>
    <s v="Standard order"/>
    <x v="2333"/>
    <x v="470"/>
    <s v="353N"/>
    <s v="BTS 353N"/>
    <s v="5002524"/>
    <s v="353N BTS T20 PB SYSTIVA RP"/>
    <n v="8"/>
    <n v="0"/>
    <n v="8"/>
    <x v="5"/>
    <s v="EENZ"/>
    <s v="RP"/>
    <s v="322"/>
    <s v="4.0 UN"/>
    <s v="STANDARD"/>
    <s v="N"/>
    <s v="Y"/>
    <s v="N"/>
    <s v="T20"/>
    <s v="Y"/>
    <s v="N"/>
    <s v="N"/>
    <s v="N"/>
    <s v="B013"/>
    <d v="2016-12-13T00:00:00"/>
    <s v="10"/>
    <s v="TAN"/>
    <s v="OR"/>
    <d v="2016-12-08T00:00:00"/>
    <s v="MT"/>
    <s v="US"/>
    <s v="ZR"/>
    <d v="2016-12-08T00:00:00"/>
  </r>
  <r>
    <x v="1"/>
    <x v="5"/>
    <x v="2455"/>
    <x v="21"/>
    <s v="Standard order"/>
    <x v="2333"/>
    <x v="470"/>
    <s v="336N"/>
    <s v="BTS 336N"/>
    <s v="5002400"/>
    <s v="336N BTS T20 PB SYSTIVA RP"/>
    <n v="68"/>
    <n v="0"/>
    <n v="68"/>
    <x v="5"/>
    <s v="EEMG"/>
    <s v="RP"/>
    <s v="322"/>
    <s v="4.0 UN"/>
    <s v="STANDARD"/>
    <s v="N"/>
    <s v="N"/>
    <s v="N"/>
    <s v="T20"/>
    <s v="Y"/>
    <s v="N"/>
    <s v="N"/>
    <s v="N"/>
    <s v="B013"/>
    <d v="2016-12-13T00:00:00"/>
    <s v="20"/>
    <s v="TAN"/>
    <s v="OR"/>
    <d v="2016-12-08T00:00:00"/>
    <s v="MT"/>
    <s v="US"/>
    <s v="ZR"/>
    <d v="2016-12-08T00:00:00"/>
  </r>
  <r>
    <x v="1"/>
    <x v="4"/>
    <x v="2456"/>
    <x v="53"/>
    <s v="Standard order"/>
    <x v="2334"/>
    <x v="424"/>
    <s v="2570"/>
    <s v="BTS 2570"/>
    <s v="5002555"/>
    <s v="2570 BTS PB XL"/>
    <n v="100"/>
    <n v="0"/>
    <n v="100"/>
    <x v="4"/>
    <s v="EZNS"/>
    <s v="X-LARGE"/>
    <s v="307"/>
    <s v="4.0 UN"/>
    <s v="STANDARD"/>
    <s v="N"/>
    <s v="Y"/>
    <s v="N"/>
    <s v="N"/>
    <s v="N"/>
    <s v="N"/>
    <s v="N"/>
    <s v="N"/>
    <s v="B051"/>
    <d v="2016-12-13T00:00:00"/>
    <s v="10"/>
    <s v="TAN"/>
    <s v="OR"/>
    <d v="2016-12-08T00:00:00"/>
    <s v="ID"/>
    <s v="US"/>
    <s v="ZR"/>
    <d v="2016-12-08T00:00:00"/>
  </r>
  <r>
    <x v="1"/>
    <x v="4"/>
    <x v="2456"/>
    <x v="53"/>
    <s v="Standard order"/>
    <x v="2334"/>
    <x v="424"/>
    <s v="2523"/>
    <s v="BTS 2523"/>
    <s v="5002529"/>
    <s v="2523 BTS PB XL"/>
    <n v="100"/>
    <n v="0"/>
    <n v="100"/>
    <x v="4"/>
    <s v="EZPC"/>
    <s v="X-LARGE"/>
    <s v="307"/>
    <s v="4.0 UN"/>
    <s v="STANDARD"/>
    <s v="N"/>
    <s v="Y"/>
    <s v="N"/>
    <s v="N"/>
    <s v="N"/>
    <s v="N"/>
    <s v="N"/>
    <s v="N"/>
    <s v="B051"/>
    <d v="2016-12-13T00:00:00"/>
    <s v="20"/>
    <s v="TAN"/>
    <s v="OR"/>
    <d v="2016-12-08T00:00:00"/>
    <s v="ID"/>
    <s v="US"/>
    <s v="ZR"/>
    <d v="2016-12-08T00:00:00"/>
  </r>
  <r>
    <x v="1"/>
    <x v="0"/>
    <x v="2457"/>
    <x v="56"/>
    <s v="Standard order"/>
    <x v="2335"/>
    <x v="2130"/>
    <s v="1399"/>
    <s v="BTS 1399"/>
    <s v="5002355"/>
    <s v="1399 RP BetaShield (O)"/>
    <n v="52"/>
    <n v="0"/>
    <n v="52"/>
    <x v="0"/>
    <s v="EG74"/>
    <s v="RP"/>
    <s v="365"/>
    <s v="4.0 UN"/>
    <s v="STANDARD"/>
    <s v="N"/>
    <s v="N"/>
    <s v="N"/>
    <s v="N"/>
    <s v="N"/>
    <s v="N"/>
    <s v="N"/>
    <s v="Y"/>
    <s v=""/>
    <d v="2016-12-13T00:00:00"/>
    <s v="20"/>
    <s v="TAN"/>
    <s v="OR"/>
    <d v="2016-12-08T00:00:00"/>
    <s v="ON"/>
    <s v="CA"/>
    <s v="ZR"/>
    <d v="2016-12-08T00:00:00"/>
  </r>
  <r>
    <x v="1"/>
    <x v="0"/>
    <x v="2458"/>
    <x v="56"/>
    <s v="Standard order"/>
    <x v="2336"/>
    <x v="2131"/>
    <s v="1399"/>
    <s v="BTS 1399"/>
    <s v="5002338"/>
    <s v="1399 BTS CM Vibrance RP"/>
    <n v="44"/>
    <n v="0"/>
    <n v="44"/>
    <x v="0"/>
    <s v="EG74"/>
    <s v="RP"/>
    <s v="366"/>
    <s v="4.0 UN"/>
    <s v="STANDARD"/>
    <s v="Y"/>
    <s v="N"/>
    <s v="N"/>
    <s v="N"/>
    <s v="N"/>
    <s v="N"/>
    <s v="N"/>
    <s v="Y"/>
    <s v="B010"/>
    <d v="2016-12-13T00:00:00"/>
    <s v="10"/>
    <s v="TAN"/>
    <s v="OR"/>
    <d v="2016-12-08T00:00:00"/>
    <s v="ON"/>
    <s v="CA"/>
    <s v="ZR"/>
    <d v="2016-12-08T00:00:00"/>
  </r>
  <r>
    <x v="1"/>
    <x v="0"/>
    <x v="2458"/>
    <x v="56"/>
    <s v="Standard order"/>
    <x v="2336"/>
    <x v="2131"/>
    <s v="122N"/>
    <s v="BTS 12RR2N"/>
    <s v="5002301"/>
    <s v="122N BTS CM Vibrance RP"/>
    <n v="16"/>
    <n v="0"/>
    <n v="16"/>
    <x v="0"/>
    <s v="4TBG"/>
    <s v="RP"/>
    <s v="366"/>
    <s v="4.0 UN"/>
    <s v="STANDARD"/>
    <s v="Y"/>
    <s v="N"/>
    <s v="N"/>
    <s v="N"/>
    <s v="N"/>
    <s v="N"/>
    <s v="N"/>
    <s v="Y"/>
    <s v="B010"/>
    <d v="2016-12-13T00:00:00"/>
    <s v="20"/>
    <s v="TAN"/>
    <s v="OR"/>
    <d v="2016-12-08T00:00:00"/>
    <s v="ON"/>
    <s v="CA"/>
    <s v="ZR"/>
    <d v="2016-12-08T00:00:00"/>
  </r>
  <r>
    <x v="1"/>
    <x v="0"/>
    <x v="2459"/>
    <x v="56"/>
    <s v="Standard order"/>
    <x v="2337"/>
    <x v="2132"/>
    <s v="1399"/>
    <s v="BTS 1399"/>
    <s v="5002338"/>
    <s v="1399 BTS CM Vibrance RP"/>
    <n v="24"/>
    <n v="0"/>
    <n v="24"/>
    <x v="0"/>
    <s v="EG74"/>
    <s v="RP"/>
    <s v="366"/>
    <s v="4.0 UN"/>
    <s v="STANDARD"/>
    <s v="Y"/>
    <s v="N"/>
    <s v="N"/>
    <s v="N"/>
    <s v="N"/>
    <s v="N"/>
    <s v="N"/>
    <s v="Y"/>
    <s v="B010"/>
    <d v="2016-12-13T00:00:00"/>
    <s v="10"/>
    <s v="TAN"/>
    <s v="OR"/>
    <d v="2016-12-08T00:00:00"/>
    <s v="ON"/>
    <s v="CA"/>
    <s v="ZR"/>
    <d v="2016-12-08T00:00:00"/>
  </r>
  <r>
    <x v="1"/>
    <x v="4"/>
    <x v="2460"/>
    <x v="46"/>
    <s v="Standard order"/>
    <x v="2338"/>
    <x v="2133"/>
    <s v="4933"/>
    <s v="BTS 49RR33"/>
    <s v="5002272"/>
    <s v="4933 BTS PB LRG IDH"/>
    <n v="56"/>
    <n v="0"/>
    <n v="56"/>
    <x v="4"/>
    <s v="AKMC"/>
    <s v="LARGE"/>
    <s v="307"/>
    <s v="4.0 UN"/>
    <s v="STANDARD"/>
    <s v="N"/>
    <s v="Y"/>
    <s v="N"/>
    <s v="N"/>
    <s v="N"/>
    <s v="N"/>
    <s v="N"/>
    <s v="N"/>
    <s v="B049"/>
    <d v="2016-12-13T00:00:00"/>
    <s v="10"/>
    <s v="TAN"/>
    <s v="OR"/>
    <d v="2016-12-08T00:00:00"/>
    <s v="ID"/>
    <s v="US"/>
    <s v="ZR"/>
    <d v="2016-12-08T00:00:00"/>
  </r>
  <r>
    <x v="1"/>
    <x v="4"/>
    <x v="2460"/>
    <x v="46"/>
    <s v="Standard order"/>
    <x v="2338"/>
    <x v="2133"/>
    <s v="2559"/>
    <s v="BTS 2559"/>
    <s v="5002561"/>
    <s v="2559 BTS PB LRG"/>
    <n v="40"/>
    <n v="0"/>
    <n v="40"/>
    <x v="4"/>
    <s v="FGNE"/>
    <s v="LARGE"/>
    <s v="307"/>
    <s v="4.0 UN"/>
    <s v="STANDARD"/>
    <s v="N"/>
    <s v="Y"/>
    <s v="N"/>
    <s v="N"/>
    <s v="N"/>
    <s v="N"/>
    <s v="N"/>
    <s v="N"/>
    <s v="B049"/>
    <d v="2016-12-13T00:00:00"/>
    <s v="20"/>
    <s v="TAN"/>
    <s v="OR"/>
    <d v="2016-12-08T00:00:00"/>
    <s v="ID"/>
    <s v="US"/>
    <s v="ZR"/>
    <d v="2016-12-08T00:00:00"/>
  </r>
  <r>
    <x v="1"/>
    <x v="4"/>
    <x v="2460"/>
    <x v="46"/>
    <s v="Standard order"/>
    <x v="2338"/>
    <x v="2133"/>
    <s v="2570"/>
    <s v="BTS 2570"/>
    <s v="5002553"/>
    <s v="2570 BTS PB LRG"/>
    <n v="40"/>
    <n v="0"/>
    <n v="40"/>
    <x v="4"/>
    <s v="EZNS"/>
    <s v="LARGE"/>
    <s v="307"/>
    <s v="4.0 UN"/>
    <s v="STANDARD"/>
    <s v="N"/>
    <s v="Y"/>
    <s v="N"/>
    <s v="N"/>
    <s v="N"/>
    <s v="N"/>
    <s v="N"/>
    <s v="N"/>
    <s v="B049"/>
    <d v="2016-12-13T00:00:00"/>
    <s v="30"/>
    <s v="TAN"/>
    <s v="OR"/>
    <d v="2016-12-08T00:00:00"/>
    <s v="ID"/>
    <s v="US"/>
    <s v="ZR"/>
    <d v="2016-12-08T00:00:00"/>
  </r>
  <r>
    <x v="1"/>
    <x v="0"/>
    <x v="2461"/>
    <x v="54"/>
    <s v="Standard order"/>
    <x v="2339"/>
    <x v="496"/>
    <s v="1399"/>
    <s v="BTS 1399"/>
    <s v="5002348"/>
    <s v="1399 BTS T20 Kabina RP"/>
    <n v="60"/>
    <n v="0"/>
    <n v="60"/>
    <x v="0"/>
    <s v="EG74"/>
    <s v="RP"/>
    <s v="380"/>
    <s v="4.0 UN"/>
    <s v="STANDARD"/>
    <s v="N"/>
    <s v="N"/>
    <s v="Y"/>
    <s v="T20"/>
    <s v="N"/>
    <s v="N"/>
    <s v="N"/>
    <s v="N"/>
    <s v="B002"/>
    <d v="2016-12-13T00:00:00"/>
    <s v="10"/>
    <s v="TAN"/>
    <s v="OR"/>
    <d v="2016-12-08T00:00:00"/>
    <s v="MI"/>
    <s v="US"/>
    <s v="ZR"/>
    <d v="2016-12-08T00:00:00"/>
  </r>
  <r>
    <x v="1"/>
    <x v="0"/>
    <x v="2461"/>
    <x v="54"/>
    <s v="Standard order"/>
    <x v="2339"/>
    <x v="496"/>
    <s v="122N"/>
    <s v="BTS 12RR2N"/>
    <s v="5002311"/>
    <s v="122N BTS T20 Kabina RP"/>
    <n v="36"/>
    <n v="0"/>
    <n v="36"/>
    <x v="0"/>
    <s v="4TBG"/>
    <s v="RP"/>
    <s v="380"/>
    <s v="4.0 UN"/>
    <s v="STANDARD"/>
    <s v="N"/>
    <s v="N"/>
    <s v="Y"/>
    <s v="T20"/>
    <s v="N"/>
    <s v="N"/>
    <s v="N"/>
    <s v="N"/>
    <s v="B002"/>
    <d v="2016-12-13T00:00:00"/>
    <s v="20"/>
    <s v="TAN"/>
    <s v="OR"/>
    <d v="2016-12-08T00:00:00"/>
    <s v="MI"/>
    <s v="US"/>
    <s v="ZR"/>
    <d v="2016-12-08T00:00:00"/>
  </r>
  <r>
    <x v="1"/>
    <x v="0"/>
    <x v="2461"/>
    <x v="54"/>
    <s v="Standard order"/>
    <x v="2339"/>
    <x v="496"/>
    <s v="149N"/>
    <s v="BTS 149N"/>
    <s v="5002368"/>
    <s v="149N BTS T20 Kabina RP"/>
    <n v="36"/>
    <n v="0"/>
    <n v="36"/>
    <x v="0"/>
    <s v="EEND"/>
    <s v="RP"/>
    <s v="380"/>
    <s v="4.0 UN"/>
    <s v="STANDARD"/>
    <s v="N"/>
    <s v="N"/>
    <s v="Y"/>
    <s v="T20"/>
    <s v="N"/>
    <s v="N"/>
    <s v="N"/>
    <s v="N"/>
    <s v="B002"/>
    <d v="2016-12-13T00:00:00"/>
    <s v="30"/>
    <s v="TAN"/>
    <s v="OR"/>
    <d v="2016-12-08T00:00:00"/>
    <s v="MI"/>
    <s v="US"/>
    <s v="ZR"/>
    <d v="2016-12-08T00:00:00"/>
  </r>
  <r>
    <x v="1"/>
    <x v="4"/>
    <x v="2462"/>
    <x v="47"/>
    <s v="Standard order"/>
    <x v="2340"/>
    <x v="525"/>
    <s v="2523"/>
    <s v="BTS 2523"/>
    <s v="5002527"/>
    <s v="2523 BTS PB LRG"/>
    <n v="28"/>
    <n v="0"/>
    <n v="28"/>
    <x v="4"/>
    <s v="EZPC"/>
    <s v="LARGE"/>
    <s v="307"/>
    <s v="4.0 UN"/>
    <s v="STANDARD"/>
    <s v="N"/>
    <s v="Y"/>
    <s v="N"/>
    <s v="N"/>
    <s v="N"/>
    <s v="N"/>
    <s v="N"/>
    <s v="N"/>
    <s v="B050"/>
    <d v="2016-12-13T00:00:00"/>
    <s v="10"/>
    <s v="TAN"/>
    <s v="OR"/>
    <d v="2016-12-08T00:00:00"/>
    <s v="ID"/>
    <s v="US"/>
    <s v="ZR"/>
    <d v="2016-12-08T00:00:00"/>
  </r>
  <r>
    <x v="1"/>
    <x v="4"/>
    <x v="2462"/>
    <x v="47"/>
    <s v="Standard order"/>
    <x v="2340"/>
    <x v="525"/>
    <s v="251N"/>
    <s v="BTS 251N"/>
    <s v="5002196"/>
    <s v="251N BTS PB XL"/>
    <n v="28"/>
    <n v="0"/>
    <n v="28"/>
    <x v="4"/>
    <s v="5HBR"/>
    <s v="X-LARGE"/>
    <s v="307"/>
    <s v="4.0 UN"/>
    <s v="STANDARD"/>
    <s v="N"/>
    <s v="Y"/>
    <s v="N"/>
    <s v="N"/>
    <s v="N"/>
    <s v="N"/>
    <s v="N"/>
    <s v="N"/>
    <s v="B050"/>
    <d v="2016-12-13T00:00:00"/>
    <s v="20"/>
    <s v="TAN"/>
    <s v="OR"/>
    <d v="2016-12-08T00:00:00"/>
    <s v="ID"/>
    <s v="US"/>
    <s v="ZR"/>
    <d v="2016-12-08T00:00:00"/>
  </r>
  <r>
    <x v="1"/>
    <x v="4"/>
    <x v="2462"/>
    <x v="47"/>
    <s v="Standard order"/>
    <x v="2340"/>
    <x v="525"/>
    <s v="225N"/>
    <s v="BTS 22RR5N"/>
    <s v="5002119"/>
    <s v="225N BTS PB XL"/>
    <n v="28"/>
    <n v="0"/>
    <n v="28"/>
    <x v="4"/>
    <s v="4TBD"/>
    <s v="X-LARGE"/>
    <s v="307"/>
    <s v="4.0 UN"/>
    <s v="STANDARD"/>
    <s v="N"/>
    <s v="Y"/>
    <s v="N"/>
    <s v="N"/>
    <s v="N"/>
    <s v="N"/>
    <s v="N"/>
    <s v="N"/>
    <s v="B050"/>
    <d v="2016-12-13T00:00:00"/>
    <s v="30"/>
    <s v="TAN"/>
    <s v="OR"/>
    <d v="2016-12-08T00:00:00"/>
    <s v="ID"/>
    <s v="US"/>
    <s v="ZR"/>
    <d v="2016-12-08T00:00:00"/>
  </r>
  <r>
    <x v="1"/>
    <x v="0"/>
    <x v="2463"/>
    <x v="42"/>
    <s v="Standard order"/>
    <x v="2341"/>
    <x v="2134"/>
    <s v="1399"/>
    <s v="BTS 1399"/>
    <s v="5002348"/>
    <s v="1399 BTS T20 Kabina RP"/>
    <n v="52"/>
    <n v="0"/>
    <n v="52"/>
    <x v="0"/>
    <s v="EG74"/>
    <s v="RP"/>
    <s v="380"/>
    <s v="4.0 UN"/>
    <s v="STANDARD"/>
    <s v="N"/>
    <s v="N"/>
    <s v="Y"/>
    <s v="T20"/>
    <s v="N"/>
    <s v="N"/>
    <s v="N"/>
    <s v="N"/>
    <s v="B007"/>
    <d v="2016-12-13T00:00:00"/>
    <s v="10"/>
    <s v="TAN"/>
    <s v="OR"/>
    <d v="2016-12-08T00:00:00"/>
    <s v="MI"/>
    <s v="US"/>
    <s v="ZR"/>
    <d v="2016-12-08T00:00:00"/>
  </r>
  <r>
    <x v="1"/>
    <x v="5"/>
    <x v="2464"/>
    <x v="9"/>
    <s v="Standard order"/>
    <x v="2342"/>
    <x v="450"/>
    <s v="336N"/>
    <s v="BTS 336N"/>
    <s v="5002199"/>
    <s v="336N BTS T20 PB SYSTIVA P200"/>
    <n v="200"/>
    <n v="0"/>
    <n v="200"/>
    <x v="5"/>
    <s v="EEMG"/>
    <s v="PRO 200"/>
    <s v="322"/>
    <s v="4.0 UN"/>
    <s v="STANDARD"/>
    <s v="N"/>
    <s v="N"/>
    <s v="N"/>
    <s v="T20"/>
    <s v="Y"/>
    <s v="N"/>
    <s v="N"/>
    <s v="N"/>
    <s v="B016"/>
    <d v="2016-12-13T00:00:00"/>
    <s v="10"/>
    <s v="TAN"/>
    <s v="OR"/>
    <d v="2016-12-07T00:00:00"/>
    <s v="WY"/>
    <s v="US"/>
    <s v="ZR"/>
    <d v="2016-12-08T00:00:00"/>
  </r>
  <r>
    <x v="1"/>
    <x v="5"/>
    <x v="2465"/>
    <x v="14"/>
    <s v="Standard order"/>
    <x v="2343"/>
    <x v="359"/>
    <s v="398N"/>
    <s v="BTS 39RR8N"/>
    <s v="5002568"/>
    <s v="398N BTS T20 PB SYSTIVA MP"/>
    <n v="80"/>
    <n v="0"/>
    <n v="80"/>
    <x v="5"/>
    <s v="2771"/>
    <s v="MP"/>
    <s v="322"/>
    <s v="4.0 UN"/>
    <s v="STANDARD"/>
    <s v="N"/>
    <s v="Y"/>
    <s v="N"/>
    <s v="T20"/>
    <s v="Y"/>
    <s v="N"/>
    <s v="N"/>
    <s v="N"/>
    <s v="B017"/>
    <d v="2016-12-13T00:00:00"/>
    <s v="10"/>
    <s v="TAN"/>
    <s v="OR"/>
    <d v="2016-12-07T00:00:00"/>
    <s v="WY"/>
    <s v="US"/>
    <s v="ZR"/>
    <d v="2016-12-08T00:00:00"/>
  </r>
  <r>
    <x v="1"/>
    <x v="2"/>
    <x v="2466"/>
    <x v="6"/>
    <s v="Standard order"/>
    <x v="2344"/>
    <x v="422"/>
    <s v="6027"/>
    <s v="BTS 60RR27"/>
    <s v="5002645"/>
    <s v="6027 BTS T20 PB SYSTIVA P100 WSS"/>
    <n v="24"/>
    <n v="0"/>
    <n v="24"/>
    <x v="2"/>
    <s v="APMC"/>
    <s v="PRO 100"/>
    <s v="322"/>
    <s v="4.0 UN"/>
    <s v="STANDARD"/>
    <s v="N"/>
    <s v="N"/>
    <s v="N"/>
    <s v="T20"/>
    <s v="Y"/>
    <s v="N"/>
    <s v="Y"/>
    <s v="N"/>
    <s v="B025"/>
    <d v="2016-12-13T00:00:00"/>
    <s v="10"/>
    <s v="TAN"/>
    <s v="OR"/>
    <d v="2016-12-08T00:00:00"/>
    <s v="NE"/>
    <s v="US"/>
    <s v="ZR"/>
    <d v="2016-12-08T00:00:00"/>
  </r>
  <r>
    <x v="1"/>
    <x v="6"/>
    <x v="2467"/>
    <x v="51"/>
    <s v="Standard order"/>
    <x v="2345"/>
    <x v="2135"/>
    <s v="444N"/>
    <s v="BTS 444N"/>
    <s v="5002226"/>
    <s v="444N BTS T20 PB SYSTIVA P100"/>
    <n v="28"/>
    <n v="0"/>
    <n v="28"/>
    <x v="6"/>
    <s v="DVND"/>
    <s v="PRO 100"/>
    <s v="322"/>
    <s v="4.0 UN"/>
    <s v="STANDARD"/>
    <s v="N"/>
    <s v="N"/>
    <s v="N"/>
    <s v="T20"/>
    <s v="Y"/>
    <s v="N"/>
    <s v="Y"/>
    <s v="N"/>
    <s v="B011"/>
    <d v="2016-12-13T00:00:00"/>
    <s v="10"/>
    <s v="TAN"/>
    <s v="OR"/>
    <d v="2016-12-08T00:00:00"/>
    <s v="MT"/>
    <s v="US"/>
    <s v="ZR"/>
    <d v="2016-12-08T00:00:00"/>
  </r>
  <r>
    <x v="1"/>
    <x v="6"/>
    <x v="2467"/>
    <x v="51"/>
    <s v="Standard order"/>
    <x v="2345"/>
    <x v="2135"/>
    <s v="437N"/>
    <s v="BTS 437N"/>
    <s v="5002208"/>
    <s v="437N BTS T20 PB SYSTIVA P100"/>
    <n v="72"/>
    <n v="0"/>
    <n v="72"/>
    <x v="6"/>
    <s v="EE73"/>
    <s v="PRO 100"/>
    <s v="322"/>
    <s v="4.0 UN"/>
    <s v="STANDARD"/>
    <s v="N"/>
    <s v="N"/>
    <s v="N"/>
    <s v="T20"/>
    <s v="Y"/>
    <s v="N"/>
    <s v="Y"/>
    <s v="N"/>
    <s v="B011"/>
    <d v="2016-12-13T00:00:00"/>
    <s v="20"/>
    <s v="TAN"/>
    <s v="OR"/>
    <d v="2016-12-08T00:00:00"/>
    <s v="MT"/>
    <s v="US"/>
    <s v="ZR"/>
    <d v="2016-12-08T00:00:00"/>
  </r>
  <r>
    <x v="1"/>
    <x v="5"/>
    <x v="2468"/>
    <x v="13"/>
    <s v="Standard order"/>
    <x v="2346"/>
    <x v="2136"/>
    <s v="398N"/>
    <s v="BTS 39RR8N"/>
    <s v="5002572"/>
    <s v="398N BTS T20 PB SYSTIVA RP"/>
    <n v="160"/>
    <n v="0"/>
    <n v="160"/>
    <x v="5"/>
    <s v="2771"/>
    <s v="RP"/>
    <s v="322"/>
    <s v="4.0 UN"/>
    <s v="STANDARD"/>
    <s v="N"/>
    <s v="Y"/>
    <s v="N"/>
    <s v="T20"/>
    <s v="Y"/>
    <s v="N"/>
    <s v="N"/>
    <s v="N"/>
    <s v="B015"/>
    <d v="2016-12-13T00:00:00"/>
    <s v="10"/>
    <s v="TAN"/>
    <s v="OR"/>
    <d v="2016-12-08T00:00:00"/>
    <s v="MT"/>
    <s v="US"/>
    <s v="ZR"/>
    <d v="2016-12-08T00:00:00"/>
  </r>
  <r>
    <x v="1"/>
    <x v="5"/>
    <x v="2468"/>
    <x v="13"/>
    <s v="Standard order"/>
    <x v="2346"/>
    <x v="2136"/>
    <s v="336N"/>
    <s v="BTS 336N"/>
    <s v="5002400"/>
    <s v="336N BTS T20 PB SYSTIVA RP"/>
    <n v="20"/>
    <n v="0"/>
    <n v="20"/>
    <x v="5"/>
    <s v="EEMG"/>
    <s v="RP"/>
    <s v="322"/>
    <s v="4.0 UN"/>
    <s v="STANDARD"/>
    <s v="N"/>
    <s v="N"/>
    <s v="N"/>
    <s v="T20"/>
    <s v="Y"/>
    <s v="N"/>
    <s v="N"/>
    <s v="N"/>
    <s v="B015"/>
    <d v="2016-12-13T00:00:00"/>
    <s v="20"/>
    <s v="TAN"/>
    <s v="OR"/>
    <d v="2016-12-08T00:00:00"/>
    <s v="MT"/>
    <s v="US"/>
    <s v="ZR"/>
    <d v="2016-12-08T00:00:00"/>
  </r>
  <r>
    <x v="1"/>
    <x v="7"/>
    <x v="2469"/>
    <x v="36"/>
    <s v="Standard order"/>
    <x v="2347"/>
    <x v="2137"/>
    <s v="8524"/>
    <s v="BTS 8524"/>
    <s v="5002884"/>
    <s v="8524 BTS T20 SYSTIVA MP"/>
    <n v="36"/>
    <n v="0"/>
    <n v="36"/>
    <x v="7"/>
    <s v="FWND"/>
    <s v="MP"/>
    <s v="326"/>
    <s v="4.0 UN"/>
    <s v="STANDARD"/>
    <s v="N"/>
    <s v="N"/>
    <s v="N"/>
    <s v="T20"/>
    <s v="Y"/>
    <s v="N"/>
    <s v="Y"/>
    <s v="N"/>
    <s v="B027"/>
    <d v="2016-12-13T00:00:00"/>
    <s v="10"/>
    <s v="TAN"/>
    <s v="OR"/>
    <d v="2016-12-08T00:00:00"/>
    <s v="MN"/>
    <s v="US"/>
    <s v="ZR"/>
    <d v="2016-12-08T00:00:00"/>
  </r>
  <r>
    <x v="1"/>
    <x v="2"/>
    <x v="2470"/>
    <x v="22"/>
    <s v="Standard order"/>
    <x v="2348"/>
    <x v="432"/>
    <s v="64SN"/>
    <s v="BTS 64SN"/>
    <s v="5002420"/>
    <s v="64SN BTS T20 PB SYSTIVA P100"/>
    <n v="8"/>
    <n v="0"/>
    <n v="8"/>
    <x v="2"/>
    <s v="DVNB"/>
    <s v="PRO 100"/>
    <s v="322"/>
    <s v="4.0 UN"/>
    <s v="STANDARD"/>
    <s v="N"/>
    <s v="N"/>
    <s v="N"/>
    <s v="T20"/>
    <s v="Y"/>
    <s v="N"/>
    <s v="Y"/>
    <s v="N"/>
    <s v="B018"/>
    <d v="2016-12-13T00:00:00"/>
    <s v="10"/>
    <s v="TAN"/>
    <s v="OR"/>
    <d v="2016-12-08T00:00:00"/>
    <s v="CO"/>
    <s v="US"/>
    <s v="ZR"/>
    <d v="2016-12-08T00:00:00"/>
  </r>
  <r>
    <x v="1"/>
    <x v="4"/>
    <x v="2471"/>
    <x v="47"/>
    <s v="Standard order"/>
    <x v="2349"/>
    <x v="2138"/>
    <s v="225N"/>
    <s v="BTS 22RR5N"/>
    <s v="5002111"/>
    <s v="225N BTS PB LRG"/>
    <n v="24"/>
    <n v="0"/>
    <n v="24"/>
    <x v="4"/>
    <s v="4TBD"/>
    <s v="LARGE"/>
    <s v="307"/>
    <s v="4.0 UN"/>
    <s v="STANDARD"/>
    <s v="N"/>
    <s v="Y"/>
    <s v="N"/>
    <s v="N"/>
    <s v="N"/>
    <s v="N"/>
    <s v="N"/>
    <s v="N"/>
    <s v="B050"/>
    <d v="2016-12-13T00:00:00"/>
    <s v="10"/>
    <s v="TAN"/>
    <s v="OR"/>
    <d v="2016-12-08T00:00:00"/>
    <s v="ID"/>
    <s v="US"/>
    <s v="ZR"/>
    <d v="2016-12-08T00:00:00"/>
  </r>
  <r>
    <x v="1"/>
    <x v="4"/>
    <x v="2471"/>
    <x v="47"/>
    <s v="Standard order"/>
    <x v="2349"/>
    <x v="2138"/>
    <s v="251N"/>
    <s v="BTS 251N"/>
    <s v="5002194"/>
    <s v="251N BTS PB LRG"/>
    <n v="20"/>
    <n v="0"/>
    <n v="20"/>
    <x v="4"/>
    <s v="5HBR"/>
    <s v="LARGE"/>
    <s v="307"/>
    <s v="4.0 UN"/>
    <s v="STANDARD"/>
    <s v="N"/>
    <s v="Y"/>
    <s v="N"/>
    <s v="N"/>
    <s v="N"/>
    <s v="N"/>
    <s v="N"/>
    <s v="N"/>
    <s v="B050"/>
    <d v="2016-12-13T00:00:00"/>
    <s v="20"/>
    <s v="TAN"/>
    <s v="OR"/>
    <d v="2016-12-08T00:00:00"/>
    <s v="ID"/>
    <s v="US"/>
    <s v="ZR"/>
    <d v="2016-12-08T00:00:00"/>
  </r>
  <r>
    <x v="1"/>
    <x v="7"/>
    <x v="2472"/>
    <x v="28"/>
    <s v="Standard order"/>
    <x v="2350"/>
    <x v="2139"/>
    <s v="8500"/>
    <s v="BTS 8500"/>
    <s v="5002856"/>
    <s v="8500 BTS T35 PB SYSTIVA RP"/>
    <n v="96"/>
    <n v="0"/>
    <n v="96"/>
    <x v="7"/>
    <s v="FTND"/>
    <s v="RP"/>
    <s v="333"/>
    <s v="4.0 UN"/>
    <s v="STANDARD"/>
    <s v="N"/>
    <s v="Y"/>
    <s v="N"/>
    <s v="T35"/>
    <s v="Y"/>
    <s v="N"/>
    <s v="Y"/>
    <s v="N"/>
    <s v="B056"/>
    <d v="2016-12-13T00:00:00"/>
    <s v="10"/>
    <s v="TAN"/>
    <s v="OR"/>
    <d v="2016-12-08T00:00:00"/>
    <s v="ND"/>
    <s v="US"/>
    <s v="ZR"/>
    <d v="2016-12-08T00:00:00"/>
  </r>
  <r>
    <x v="1"/>
    <x v="0"/>
    <x v="2473"/>
    <x v="45"/>
    <s v="Standard order"/>
    <x v="2351"/>
    <x v="274"/>
    <s v="1399"/>
    <s v="BTS 1399"/>
    <s v="5002348"/>
    <s v="1399 BTS T20 Kabina RP"/>
    <n v="40"/>
    <n v="0"/>
    <n v="40"/>
    <x v="0"/>
    <s v="EG74"/>
    <s v="RP"/>
    <s v="380"/>
    <s v="4.0 UN"/>
    <s v="STANDARD"/>
    <s v="N"/>
    <s v="N"/>
    <s v="Y"/>
    <s v="T20"/>
    <s v="N"/>
    <s v="N"/>
    <s v="N"/>
    <s v="N"/>
    <s v="B003"/>
    <d v="2016-12-13T00:00:00"/>
    <s v="10"/>
    <s v="TAN"/>
    <s v="OR"/>
    <d v="2016-12-08T00:00:00"/>
    <s v="MI"/>
    <s v="US"/>
    <s v="ZR"/>
    <d v="2016-12-08T00:00:00"/>
  </r>
  <r>
    <x v="1"/>
    <x v="0"/>
    <x v="2473"/>
    <x v="45"/>
    <s v="Standard order"/>
    <x v="2351"/>
    <x v="274"/>
    <s v="122N"/>
    <s v="BTS 12RR2N"/>
    <s v="5002311"/>
    <s v="122N BTS T20 Kabina RP"/>
    <n v="20"/>
    <n v="0"/>
    <n v="20"/>
    <x v="0"/>
    <s v="4TBG"/>
    <s v="RP"/>
    <s v="380"/>
    <s v="4.0 UN"/>
    <s v="STANDARD"/>
    <s v="N"/>
    <s v="N"/>
    <s v="Y"/>
    <s v="T20"/>
    <s v="N"/>
    <s v="N"/>
    <s v="N"/>
    <s v="N"/>
    <s v="B003"/>
    <d v="2016-12-13T00:00:00"/>
    <s v="20"/>
    <s v="TAN"/>
    <s v="OR"/>
    <d v="2016-12-08T00:00:00"/>
    <s v="MI"/>
    <s v="US"/>
    <s v="ZR"/>
    <d v="2016-12-08T00:00:00"/>
  </r>
  <r>
    <x v="1"/>
    <x v="0"/>
    <x v="2474"/>
    <x v="57"/>
    <s v="Standard order"/>
    <x v="2352"/>
    <x v="2140"/>
    <s v="133N"/>
    <s v="BTS 133N"/>
    <s v="5002328"/>
    <s v="133N BTS T20 Kabina P200"/>
    <n v="40"/>
    <n v="0"/>
    <n v="40"/>
    <x v="0"/>
    <s v="DW73"/>
    <s v="PRO 200"/>
    <s v="380"/>
    <s v="4.0 UN"/>
    <s v="STANDARD"/>
    <s v="N"/>
    <s v="N"/>
    <s v="Y"/>
    <s v="T20"/>
    <s v="N"/>
    <s v="N"/>
    <s v="N"/>
    <s v="N"/>
    <s v="B008"/>
    <d v="2016-12-13T00:00:00"/>
    <s v="10"/>
    <s v="TAN"/>
    <s v="OR"/>
    <d v="2016-12-08T00:00:00"/>
    <s v="MI"/>
    <s v="US"/>
    <s v="ZR"/>
    <d v="2016-12-08T00:00:00"/>
  </r>
  <r>
    <x v="1"/>
    <x v="0"/>
    <x v="2474"/>
    <x v="57"/>
    <s v="Standard order"/>
    <x v="2352"/>
    <x v="2140"/>
    <s v="133N"/>
    <s v="BTS 133N"/>
    <s v="5002329"/>
    <s v="133N BTS T20 Kabina RP"/>
    <n v="8"/>
    <n v="0"/>
    <n v="8"/>
    <x v="0"/>
    <s v="DW73"/>
    <s v="RP"/>
    <s v="380"/>
    <s v="4.0 UN"/>
    <s v="STANDARD"/>
    <s v="N"/>
    <s v="N"/>
    <s v="Y"/>
    <s v="T20"/>
    <s v="N"/>
    <s v="N"/>
    <s v="N"/>
    <s v="N"/>
    <s v="B008"/>
    <d v="2016-12-13T00:00:00"/>
    <s v="20"/>
    <s v="TAN"/>
    <s v="OR"/>
    <d v="2016-12-08T00:00:00"/>
    <s v="MI"/>
    <s v="US"/>
    <s v="ZR"/>
    <d v="2016-12-08T00:00:00"/>
  </r>
  <r>
    <x v="1"/>
    <x v="6"/>
    <x v="2475"/>
    <x v="48"/>
    <s v="Standard order"/>
    <x v="2353"/>
    <x v="299"/>
    <s v="444N"/>
    <s v="BTS 444N"/>
    <s v="5002226"/>
    <s v="444N BTS T20 PB SYSTIVA P100"/>
    <n v="192"/>
    <n v="0"/>
    <n v="192"/>
    <x v="6"/>
    <s v="DVND"/>
    <s v="PRO 100"/>
    <s v="322"/>
    <s v="4.0 UN"/>
    <s v="STANDARD"/>
    <s v="N"/>
    <s v="N"/>
    <s v="N"/>
    <s v="T20"/>
    <s v="Y"/>
    <s v="N"/>
    <s v="Y"/>
    <s v="N"/>
    <s v="B012"/>
    <d v="2016-12-13T00:00:00"/>
    <s v="10"/>
    <s v="TAN"/>
    <s v="OR"/>
    <d v="2016-12-07T00:00:00"/>
    <s v="MT"/>
    <s v="US"/>
    <s v="ZR"/>
    <d v="2016-12-08T00:00:00"/>
  </r>
  <r>
    <x v="1"/>
    <x v="6"/>
    <x v="2476"/>
    <x v="48"/>
    <s v="Standard order"/>
    <x v="2354"/>
    <x v="2141"/>
    <s v="459N"/>
    <s v="BTS 459N"/>
    <s v="5002256"/>
    <s v="459N BTS T20 PB SYSTIVA P100"/>
    <n v="24"/>
    <n v="0"/>
    <n v="24"/>
    <x v="6"/>
    <s v="DVNU"/>
    <s v="PRO 100"/>
    <s v="322"/>
    <s v="4.0 UN"/>
    <s v="STANDARD"/>
    <s v="N"/>
    <s v="N"/>
    <s v="N"/>
    <s v="T20"/>
    <s v="Y"/>
    <s v="N"/>
    <s v="Y"/>
    <s v="N"/>
    <s v="B012"/>
    <d v="2016-12-13T00:00:00"/>
    <s v="10"/>
    <s v="TAN"/>
    <s v="OR"/>
    <d v="2016-12-07T00:00:00"/>
    <s v="MT"/>
    <s v="US"/>
    <s v="ZR"/>
    <d v="2016-12-08T00:00:00"/>
  </r>
  <r>
    <x v="1"/>
    <x v="6"/>
    <x v="2476"/>
    <x v="48"/>
    <s v="Standard order"/>
    <x v="2354"/>
    <x v="2141"/>
    <s v="444N"/>
    <s v="BTS 444N"/>
    <s v="5002226"/>
    <s v="444N BTS T20 PB SYSTIVA P100"/>
    <n v="24"/>
    <n v="0"/>
    <n v="24"/>
    <x v="6"/>
    <s v="DVND"/>
    <s v="PRO 100"/>
    <s v="322"/>
    <s v="4.0 UN"/>
    <s v="STANDARD"/>
    <s v="N"/>
    <s v="N"/>
    <s v="N"/>
    <s v="T20"/>
    <s v="Y"/>
    <s v="N"/>
    <s v="Y"/>
    <s v="N"/>
    <s v="B012"/>
    <d v="2016-12-13T00:00:00"/>
    <s v="20"/>
    <s v="TAN"/>
    <s v="OR"/>
    <d v="2016-12-07T00:00:00"/>
    <s v="MT"/>
    <s v="US"/>
    <s v="ZR"/>
    <d v="2016-12-08T00:00:00"/>
  </r>
  <r>
    <x v="1"/>
    <x v="6"/>
    <x v="2476"/>
    <x v="48"/>
    <s v="Standard order"/>
    <x v="2354"/>
    <x v="2141"/>
    <s v="428N"/>
    <s v="BTS 42RR8N"/>
    <s v="5002595"/>
    <s v="428N BTS T20 PB SYSTIVA P100"/>
    <n v="12"/>
    <n v="0"/>
    <n v="12"/>
    <x v="6"/>
    <s v="4TBG"/>
    <s v="PRO 100"/>
    <s v="322"/>
    <s v="4.0 UN"/>
    <s v="STANDARD"/>
    <s v="N"/>
    <s v="N"/>
    <s v="N"/>
    <s v="T20"/>
    <s v="Y"/>
    <s v="N"/>
    <s v="Y"/>
    <s v="N"/>
    <s v="B012"/>
    <d v="2016-12-13T00:00:00"/>
    <s v="30"/>
    <s v="TAN"/>
    <s v="OR"/>
    <d v="2016-12-07T00:00:00"/>
    <s v="MT"/>
    <s v="US"/>
    <s v="ZR"/>
    <d v="2016-12-08T00:00:00"/>
  </r>
  <r>
    <x v="1"/>
    <x v="6"/>
    <x v="2477"/>
    <x v="48"/>
    <s v="Standard order"/>
    <x v="2355"/>
    <x v="2142"/>
    <s v="459N"/>
    <s v="BTS 459N"/>
    <s v="5002257"/>
    <s v="459N BTS T20 PB SYSTIVA P200"/>
    <n v="32"/>
    <n v="0"/>
    <n v="32"/>
    <x v="6"/>
    <s v="DVNU"/>
    <s v="PRO 200"/>
    <s v="322"/>
    <s v="4.0 UN"/>
    <s v="STANDARD"/>
    <s v="N"/>
    <s v="N"/>
    <s v="N"/>
    <s v="T20"/>
    <s v="Y"/>
    <s v="N"/>
    <s v="Y"/>
    <s v="N"/>
    <s v="B012"/>
    <d v="2016-12-13T00:00:00"/>
    <s v="10"/>
    <s v="TAN"/>
    <s v="OR"/>
    <d v="2016-12-07T00:00:00"/>
    <s v="ND"/>
    <s v="US"/>
    <s v="ZR"/>
    <d v="2016-12-08T00:00:00"/>
  </r>
  <r>
    <x v="1"/>
    <x v="6"/>
    <x v="2477"/>
    <x v="48"/>
    <s v="Standard order"/>
    <x v="2355"/>
    <x v="2142"/>
    <s v="428N"/>
    <s v="BTS 42RR8N"/>
    <s v="5002596"/>
    <s v="428N BTS T20 PB SYSTIVA P200"/>
    <n v="76"/>
    <n v="0"/>
    <n v="76"/>
    <x v="6"/>
    <s v="4TBG"/>
    <s v="PRO 200"/>
    <s v="322"/>
    <s v="4.0 UN"/>
    <s v="STANDARD"/>
    <s v="N"/>
    <s v="N"/>
    <s v="N"/>
    <s v="T20"/>
    <s v="Y"/>
    <s v="N"/>
    <s v="Y"/>
    <s v="N"/>
    <s v="B012"/>
    <d v="2016-12-13T00:00:00"/>
    <s v="20"/>
    <s v="TAN"/>
    <s v="OR"/>
    <d v="2016-12-07T00:00:00"/>
    <s v="ND"/>
    <s v="US"/>
    <s v="ZR"/>
    <d v="2016-12-08T00:00:00"/>
  </r>
  <r>
    <x v="1"/>
    <x v="6"/>
    <x v="2477"/>
    <x v="48"/>
    <s v="Standard order"/>
    <x v="2355"/>
    <x v="2142"/>
    <s v="437N"/>
    <s v="BTS 437N"/>
    <s v="5002209"/>
    <s v="437N BTS T20 PB SYSTIVA P200"/>
    <n v="148"/>
    <n v="0"/>
    <n v="148"/>
    <x v="6"/>
    <s v="EE73"/>
    <s v="PRO 200"/>
    <s v="322"/>
    <s v="4.0 UN"/>
    <s v="STANDARD"/>
    <s v="N"/>
    <s v="N"/>
    <s v="N"/>
    <s v="T20"/>
    <s v="Y"/>
    <s v="N"/>
    <s v="Y"/>
    <s v="N"/>
    <s v="B012"/>
    <d v="2016-12-13T00:00:00"/>
    <s v="30"/>
    <s v="TAN"/>
    <s v="OR"/>
    <d v="2016-12-07T00:00:00"/>
    <s v="ND"/>
    <s v="US"/>
    <s v="ZR"/>
    <d v="2016-12-08T00:00:00"/>
  </r>
  <r>
    <x v="1"/>
    <x v="6"/>
    <x v="2478"/>
    <x v="48"/>
    <s v="Standard order"/>
    <x v="2356"/>
    <x v="493"/>
    <s v="444N"/>
    <s v="BTS 444N"/>
    <s v="5002226"/>
    <s v="444N BTS T20 PB SYSTIVA P100"/>
    <n v="56"/>
    <n v="0"/>
    <n v="56"/>
    <x v="6"/>
    <s v="DVND"/>
    <s v="PRO 100"/>
    <s v="322"/>
    <s v="4.0 UN"/>
    <s v="STANDARD"/>
    <s v="N"/>
    <s v="N"/>
    <s v="N"/>
    <s v="T20"/>
    <s v="Y"/>
    <s v="N"/>
    <s v="Y"/>
    <s v="N"/>
    <s v="B012"/>
    <d v="2016-12-13T00:00:00"/>
    <s v="10"/>
    <s v="TAN"/>
    <s v="OR"/>
    <d v="2016-12-07T00:00:00"/>
    <s v="MT"/>
    <s v="US"/>
    <s v="ZR"/>
    <d v="2016-12-08T00:00:00"/>
  </r>
  <r>
    <x v="1"/>
    <x v="6"/>
    <x v="2478"/>
    <x v="48"/>
    <s v="Standard order"/>
    <x v="2356"/>
    <x v="493"/>
    <s v="4548"/>
    <s v="BTS 4548"/>
    <s v="5002244"/>
    <s v="4548 BTS T20 PB SYSTIVA P100"/>
    <n v="16"/>
    <n v="0"/>
    <n v="16"/>
    <x v="6"/>
    <s v="FENR"/>
    <s v="PRO 100"/>
    <s v="322"/>
    <s v="4.0 UN"/>
    <s v="STANDARD"/>
    <s v="N"/>
    <s v="N"/>
    <s v="N"/>
    <s v="T20"/>
    <s v="Y"/>
    <s v="N"/>
    <s v="Y"/>
    <s v="N"/>
    <s v="B012"/>
    <d v="2016-12-13T00:00:00"/>
    <s v="20"/>
    <s v="TAN"/>
    <s v="OR"/>
    <d v="2016-12-07T00:00:00"/>
    <s v="MT"/>
    <s v="US"/>
    <s v="ZR"/>
    <d v="2016-12-08T00:00:00"/>
  </r>
  <r>
    <x v="1"/>
    <x v="6"/>
    <x v="2478"/>
    <x v="48"/>
    <s v="Standard order"/>
    <x v="2356"/>
    <x v="493"/>
    <s v="437N"/>
    <s v="BTS 437N"/>
    <s v="5002208"/>
    <s v="437N BTS T20 PB SYSTIVA P100"/>
    <n v="24"/>
    <n v="0"/>
    <n v="24"/>
    <x v="6"/>
    <s v="EE73"/>
    <s v="PRO 100"/>
    <s v="322"/>
    <s v="4.0 UN"/>
    <s v="STANDARD"/>
    <s v="N"/>
    <s v="N"/>
    <s v="N"/>
    <s v="T20"/>
    <s v="Y"/>
    <s v="N"/>
    <s v="Y"/>
    <s v="N"/>
    <s v="B012"/>
    <d v="2016-12-13T00:00:00"/>
    <s v="30"/>
    <s v="TAN"/>
    <s v="OR"/>
    <d v="2016-12-07T00:00:00"/>
    <s v="MT"/>
    <s v="US"/>
    <s v="ZR"/>
    <d v="2016-12-08T00:00:00"/>
  </r>
  <r>
    <x v="1"/>
    <x v="5"/>
    <x v="2479"/>
    <x v="13"/>
    <s v="Standard order"/>
    <x v="2357"/>
    <x v="479"/>
    <s v="336N"/>
    <s v="BTS 336N"/>
    <s v="5002197"/>
    <s v="336N BTS T20 PB SYSTIVA MP"/>
    <n v="24"/>
    <n v="0"/>
    <n v="24"/>
    <x v="5"/>
    <s v="EEMG"/>
    <s v="MP"/>
    <s v="322"/>
    <s v="4.0 UN"/>
    <s v="STANDARD"/>
    <s v="N"/>
    <s v="N"/>
    <s v="N"/>
    <s v="T20"/>
    <s v="Y"/>
    <s v="N"/>
    <s v="N"/>
    <s v="N"/>
    <s v="B015"/>
    <d v="2016-12-13T00:00:00"/>
    <s v="10"/>
    <s v="TAN"/>
    <s v="OR"/>
    <d v="2016-12-07T00:00:00"/>
    <s v="MT"/>
    <s v="US"/>
    <s v="ZR"/>
    <d v="2016-12-08T00:00:00"/>
  </r>
  <r>
    <x v="1"/>
    <x v="5"/>
    <x v="2480"/>
    <x v="14"/>
    <s v="Standard order"/>
    <x v="2358"/>
    <x v="463"/>
    <s v="398N"/>
    <s v="BTS 39RR8N"/>
    <s v="5002572"/>
    <s v="398N BTS T20 PB SYSTIVA RP"/>
    <n v="8"/>
    <n v="0"/>
    <n v="8"/>
    <x v="5"/>
    <s v="2771"/>
    <s v="RP"/>
    <s v="322"/>
    <s v="4.0 UN"/>
    <s v="STANDARD"/>
    <s v="N"/>
    <s v="Y"/>
    <s v="N"/>
    <s v="T20"/>
    <s v="Y"/>
    <s v="N"/>
    <s v="N"/>
    <s v="N"/>
    <s v="B017"/>
    <d v="2016-12-13T00:00:00"/>
    <s v="10"/>
    <s v="TAN"/>
    <s v="OR"/>
    <d v="2016-12-07T00:00:00"/>
    <s v="WY"/>
    <s v="US"/>
    <s v="ZR"/>
    <d v="2016-12-08T00:00:00"/>
  </r>
  <r>
    <x v="1"/>
    <x v="5"/>
    <x v="2481"/>
    <x v="14"/>
    <s v="Standard order"/>
    <x v="2359"/>
    <x v="414"/>
    <s v="398N"/>
    <s v="BTS 39RR8N"/>
    <s v="5002572"/>
    <s v="398N BTS T20 PB SYSTIVA RP"/>
    <n v="312"/>
    <n v="0"/>
    <n v="312"/>
    <x v="5"/>
    <s v="2771"/>
    <s v="RP"/>
    <s v="322"/>
    <s v="4.0 UN"/>
    <s v="STANDARD"/>
    <s v="N"/>
    <s v="Y"/>
    <s v="N"/>
    <s v="T20"/>
    <s v="Y"/>
    <s v="N"/>
    <s v="N"/>
    <s v="N"/>
    <s v="B017"/>
    <d v="2016-12-13T00:00:00"/>
    <s v="20"/>
    <s v="TAN"/>
    <s v="OR"/>
    <d v="2016-12-07T00:00:00"/>
    <s v="WY"/>
    <s v="US"/>
    <s v="ZR"/>
    <d v="2016-12-08T00:00:00"/>
  </r>
  <r>
    <x v="1"/>
    <x v="5"/>
    <x v="2481"/>
    <x v="14"/>
    <s v="Standard order"/>
    <x v="2359"/>
    <x v="414"/>
    <s v="353N"/>
    <s v="BTS 353N"/>
    <s v="5002524"/>
    <s v="353N BTS T20 PB SYSTIVA RP"/>
    <n v="32"/>
    <n v="0"/>
    <n v="32"/>
    <x v="5"/>
    <s v="EENZ"/>
    <s v="RP"/>
    <s v="322"/>
    <s v="4.0 UN"/>
    <s v="STANDARD"/>
    <s v="N"/>
    <s v="Y"/>
    <s v="N"/>
    <s v="T20"/>
    <s v="Y"/>
    <s v="N"/>
    <s v="N"/>
    <s v="N"/>
    <s v="B017"/>
    <d v="2016-12-13T00:00:00"/>
    <s v="10"/>
    <s v="TAN"/>
    <s v="OR"/>
    <d v="2016-12-07T00:00:00"/>
    <s v="WY"/>
    <s v="US"/>
    <s v="ZR"/>
    <d v="2016-12-08T00:00:00"/>
  </r>
  <r>
    <x v="1"/>
    <x v="5"/>
    <x v="2482"/>
    <x v="14"/>
    <s v="Standard order"/>
    <x v="2360"/>
    <x v="464"/>
    <s v="353N"/>
    <s v="BTS 353N"/>
    <s v="5002524"/>
    <s v="353N BTS T20 PB SYSTIVA RP"/>
    <n v="44"/>
    <n v="0"/>
    <n v="44"/>
    <x v="5"/>
    <s v="EENZ"/>
    <s v="RP"/>
    <s v="322"/>
    <s v="4.0 UN"/>
    <s v="STANDARD"/>
    <s v="N"/>
    <s v="Y"/>
    <s v="N"/>
    <s v="T20"/>
    <s v="Y"/>
    <s v="N"/>
    <s v="N"/>
    <s v="N"/>
    <s v="B017"/>
    <d v="2016-12-13T00:00:00"/>
    <s v="10"/>
    <s v="TAN"/>
    <s v="OR"/>
    <d v="2016-12-07T00:00:00"/>
    <s v="WY"/>
    <s v="US"/>
    <s v="ZR"/>
    <d v="2016-12-08T00:00:00"/>
  </r>
  <r>
    <x v="1"/>
    <x v="5"/>
    <x v="2482"/>
    <x v="14"/>
    <s v="Standard order"/>
    <x v="2360"/>
    <x v="464"/>
    <s v="398N"/>
    <s v="BTS 39RR8N"/>
    <s v="5002572"/>
    <s v="398N BTS T20 PB SYSTIVA RP"/>
    <n v="124"/>
    <n v="0"/>
    <n v="124"/>
    <x v="5"/>
    <s v="2771"/>
    <s v="RP"/>
    <s v="322"/>
    <s v="4.0 UN"/>
    <s v="STANDARD"/>
    <s v="N"/>
    <s v="Y"/>
    <s v="N"/>
    <s v="T20"/>
    <s v="Y"/>
    <s v="N"/>
    <s v="N"/>
    <s v="N"/>
    <s v="B017"/>
    <d v="2016-12-13T00:00:00"/>
    <s v="20"/>
    <s v="TAN"/>
    <s v="OR"/>
    <d v="2016-12-07T00:00:00"/>
    <s v="WY"/>
    <s v="US"/>
    <s v="ZR"/>
    <d v="2016-12-08T00:00:00"/>
  </r>
  <r>
    <x v="1"/>
    <x v="5"/>
    <x v="2483"/>
    <x v="9"/>
    <s v="Standard order"/>
    <x v="2361"/>
    <x v="2143"/>
    <s v="353N"/>
    <s v="BTS 353N"/>
    <s v="5002522"/>
    <s v="353N BTS T20 PB SYSTIVA P200"/>
    <n v="40"/>
    <n v="0"/>
    <n v="40"/>
    <x v="5"/>
    <s v="EENZ"/>
    <s v="PRO 200"/>
    <s v="322"/>
    <s v="4.0 UN"/>
    <s v="STANDARD"/>
    <s v="N"/>
    <s v="Y"/>
    <s v="N"/>
    <s v="T20"/>
    <s v="Y"/>
    <s v="N"/>
    <s v="N"/>
    <s v="N"/>
    <s v="B016"/>
    <d v="2016-12-13T00:00:00"/>
    <s v="10"/>
    <s v="TAN"/>
    <s v="OR"/>
    <d v="2016-12-07T00:00:00"/>
    <s v="WY"/>
    <s v="US"/>
    <s v="ZR"/>
    <d v="2016-12-08T00:00:00"/>
  </r>
  <r>
    <x v="1"/>
    <x v="7"/>
    <x v="2484"/>
    <x v="28"/>
    <s v="Standard order"/>
    <x v="2362"/>
    <x v="2144"/>
    <s v="8512"/>
    <s v="BTS 8512"/>
    <s v="5002863"/>
    <s v="8512 BTS T20 PB SYSTIVA MP"/>
    <n v="48"/>
    <n v="0"/>
    <n v="48"/>
    <x v="7"/>
    <s v="FX73"/>
    <s v="MP"/>
    <s v="322"/>
    <s v="4.0 UN"/>
    <s v="STANDARD"/>
    <s v="N"/>
    <s v="N"/>
    <s v="N"/>
    <s v="T20"/>
    <s v="Y"/>
    <s v="N"/>
    <s v="Y"/>
    <s v="N"/>
    <s v="B056"/>
    <d v="2016-12-13T00:00:00"/>
    <s v="10"/>
    <s v="TAN"/>
    <s v="OR"/>
    <d v="2016-12-07T00:00:00"/>
    <s v="ND"/>
    <s v="US"/>
    <s v="ZR"/>
    <d v="2016-12-08T00:00:00"/>
  </r>
  <r>
    <x v="1"/>
    <x v="0"/>
    <x v="2485"/>
    <x v="45"/>
    <s v="Standard order"/>
    <x v="2363"/>
    <x v="783"/>
    <s v="1399"/>
    <s v="BTS 1399"/>
    <s v="5002348"/>
    <s v="1399 BTS T20 Kabina RP"/>
    <n v="40"/>
    <n v="0"/>
    <n v="40"/>
    <x v="0"/>
    <s v="EG74"/>
    <s v="RP"/>
    <s v="380"/>
    <s v="4.0 UN"/>
    <s v="STANDARD"/>
    <s v="N"/>
    <s v="N"/>
    <s v="Y"/>
    <s v="T20"/>
    <s v="N"/>
    <s v="N"/>
    <s v="N"/>
    <s v="N"/>
    <s v="B003"/>
    <d v="2016-12-13T00:00:00"/>
    <s v="10"/>
    <s v="TAN"/>
    <s v="OR"/>
    <d v="2016-12-08T00:00:00"/>
    <s v="MI"/>
    <s v="US"/>
    <s v="ZR"/>
    <d v="2016-12-08T00:00:00"/>
  </r>
  <r>
    <x v="1"/>
    <x v="0"/>
    <x v="2485"/>
    <x v="45"/>
    <s v="Standard order"/>
    <x v="2363"/>
    <x v="783"/>
    <s v="122N"/>
    <s v="BTS 12RR2N"/>
    <s v="5002311"/>
    <s v="122N BTS T20 Kabina RP"/>
    <n v="100"/>
    <n v="0"/>
    <n v="100"/>
    <x v="0"/>
    <s v="4TBG"/>
    <s v="RP"/>
    <s v="380"/>
    <s v="4.0 UN"/>
    <s v="STANDARD"/>
    <s v="N"/>
    <s v="N"/>
    <s v="Y"/>
    <s v="T20"/>
    <s v="N"/>
    <s v="N"/>
    <s v="N"/>
    <s v="N"/>
    <s v="B003"/>
    <d v="2016-12-13T00:00:00"/>
    <s v="20"/>
    <s v="TAN"/>
    <s v="OR"/>
    <d v="2016-12-08T00:00:00"/>
    <s v="MI"/>
    <s v="US"/>
    <s v="ZR"/>
    <d v="2016-12-08T00:00:00"/>
  </r>
  <r>
    <x v="1"/>
    <x v="5"/>
    <x v="2486"/>
    <x v="12"/>
    <s v="Standard order"/>
    <x v="2364"/>
    <x v="380"/>
    <s v="336N"/>
    <s v="BTS 336N"/>
    <s v="5002400"/>
    <s v="336N BTS T20 PB SYSTIVA RP"/>
    <n v="184"/>
    <n v="0"/>
    <n v="184"/>
    <x v="5"/>
    <s v="EEMG"/>
    <s v="RP"/>
    <s v="322"/>
    <s v="4.0 UN"/>
    <s v="STANDARD"/>
    <s v="N"/>
    <s v="N"/>
    <s v="N"/>
    <s v="T20"/>
    <s v="Y"/>
    <s v="N"/>
    <s v="N"/>
    <s v="N"/>
    <s v="B014"/>
    <d v="2016-12-13T00:00:00"/>
    <s v="10"/>
    <s v="TAN"/>
    <s v="OR"/>
    <d v="2016-12-08T00:00:00"/>
    <s v="MT"/>
    <s v="US"/>
    <s v="ZR"/>
    <d v="2016-12-08T00:00:00"/>
  </r>
  <r>
    <x v="1"/>
    <x v="5"/>
    <x v="2486"/>
    <x v="12"/>
    <s v="Standard order"/>
    <x v="2364"/>
    <x v="380"/>
    <s v="398N"/>
    <s v="BTS 39RR8N"/>
    <s v="5002572"/>
    <s v="39RR8N RP BetaShield PLUS"/>
    <n v="184"/>
    <n v="0"/>
    <n v="184"/>
    <x v="5"/>
    <s v="2771"/>
    <s v="RP"/>
    <s v="322"/>
    <s v="4.0 UN"/>
    <s v="STANDARD"/>
    <s v="N"/>
    <s v="Y"/>
    <s v="N"/>
    <s v="T20"/>
    <s v="Y"/>
    <s v="N"/>
    <s v="N"/>
    <s v="N"/>
    <s v=""/>
    <d v="2016-12-13T00:00:00"/>
    <s v="30"/>
    <s v="TAN"/>
    <s v="OR"/>
    <d v="2016-12-08T00:00:00"/>
    <s v="MT"/>
    <s v="US"/>
    <s v="ZR"/>
    <d v="2016-12-08T00:00:00"/>
  </r>
  <r>
    <x v="1"/>
    <x v="0"/>
    <x v="2487"/>
    <x v="43"/>
    <s v="Standard order"/>
    <x v="2365"/>
    <x v="2145"/>
    <s v="122N"/>
    <s v="BTS 12RR2N"/>
    <s v="5002309"/>
    <s v="122N BTS T20 Kabina MP"/>
    <n v="28"/>
    <n v="0"/>
    <n v="28"/>
    <x v="0"/>
    <s v="4TBG"/>
    <s v="MP"/>
    <s v="380"/>
    <s v="4.0 UN"/>
    <s v="STANDARD"/>
    <s v="N"/>
    <s v="N"/>
    <s v="Y"/>
    <s v="T20"/>
    <s v="N"/>
    <s v="N"/>
    <s v="N"/>
    <s v="N"/>
    <s v="B006"/>
    <d v="2016-12-13T00:00:00"/>
    <s v="10"/>
    <s v="TAN"/>
    <s v="OR"/>
    <d v="2016-12-08T00:00:00"/>
    <s v="MI"/>
    <s v="US"/>
    <s v="ZR"/>
    <d v="2016-12-08T00:00:00"/>
  </r>
  <r>
    <x v="1"/>
    <x v="0"/>
    <x v="2488"/>
    <x v="56"/>
    <s v="Standard order"/>
    <x v="2366"/>
    <x v="2146"/>
    <s v="1399"/>
    <s v="BTS 1399"/>
    <s v="5002338"/>
    <s v="1399 BTS CM Vibrance RP"/>
    <n v="8"/>
    <n v="0"/>
    <n v="8"/>
    <x v="0"/>
    <s v="EG74"/>
    <s v="RP"/>
    <s v="366"/>
    <s v="4.0 UN"/>
    <s v="STANDARD"/>
    <s v="Y"/>
    <s v="N"/>
    <s v="N"/>
    <s v="N"/>
    <s v="N"/>
    <s v="N"/>
    <s v="N"/>
    <s v="Y"/>
    <s v="B010"/>
    <d v="2016-12-13T00:00:00"/>
    <s v="10"/>
    <s v="TAN"/>
    <s v="OR"/>
    <d v="2016-12-08T00:00:00"/>
    <s v="ON"/>
    <s v="CA"/>
    <s v="ZR"/>
    <d v="2016-12-08T00:00:00"/>
  </r>
  <r>
    <x v="1"/>
    <x v="0"/>
    <x v="2489"/>
    <x v="42"/>
    <s v="Standard order"/>
    <x v="2367"/>
    <x v="2147"/>
    <s v="1399"/>
    <s v="BTS 1399"/>
    <s v="5002348"/>
    <s v="1399 BTS T20 Kabina RP"/>
    <n v="32"/>
    <n v="0"/>
    <n v="32"/>
    <x v="0"/>
    <s v="EG74"/>
    <s v="RP"/>
    <s v="380"/>
    <s v="4.0 UN"/>
    <s v="STANDARD"/>
    <s v="N"/>
    <s v="N"/>
    <s v="Y"/>
    <s v="T20"/>
    <s v="N"/>
    <s v="N"/>
    <s v="N"/>
    <s v="N"/>
    <s v="B007"/>
    <d v="2016-12-13T00:00:00"/>
    <s v="10"/>
    <s v="TAN"/>
    <s v="OR"/>
    <d v="2016-12-08T00:00:00"/>
    <s v="MI"/>
    <s v="US"/>
    <s v="ZR"/>
    <d v="2016-12-08T00:00:00"/>
  </r>
  <r>
    <x v="1"/>
    <x v="4"/>
    <x v="2490"/>
    <x v="47"/>
    <s v="Standard order"/>
    <x v="2368"/>
    <x v="2148"/>
    <s v="2523"/>
    <s v="BTS 2523"/>
    <s v="5002527"/>
    <s v="2523 BTS PB LRG"/>
    <n v="28"/>
    <n v="0"/>
    <n v="28"/>
    <x v="4"/>
    <s v="EZPC"/>
    <s v="LARGE"/>
    <s v="307"/>
    <s v="4.0 UN"/>
    <s v="STANDARD"/>
    <s v="N"/>
    <s v="Y"/>
    <s v="N"/>
    <s v="N"/>
    <s v="N"/>
    <s v="N"/>
    <s v="N"/>
    <s v="N"/>
    <s v="B050"/>
    <d v="2016-12-13T00:00:00"/>
    <s v="10"/>
    <s v="TAN"/>
    <s v="OR"/>
    <d v="2016-12-08T00:00:00"/>
    <s v="ID"/>
    <s v="US"/>
    <s v="ZR"/>
    <d v="2016-12-08T00:00:00"/>
  </r>
  <r>
    <x v="1"/>
    <x v="4"/>
    <x v="2490"/>
    <x v="47"/>
    <s v="Standard order"/>
    <x v="2368"/>
    <x v="2148"/>
    <s v="251N"/>
    <s v="BTS 251N"/>
    <s v="5002196"/>
    <s v="251N BTS PB XL"/>
    <n v="36"/>
    <n v="0"/>
    <n v="36"/>
    <x v="4"/>
    <s v="5HBR"/>
    <s v="X-LARGE"/>
    <s v="307"/>
    <s v="4.0 UN"/>
    <s v="STANDARD"/>
    <s v="N"/>
    <s v="Y"/>
    <s v="N"/>
    <s v="N"/>
    <s v="N"/>
    <s v="N"/>
    <s v="N"/>
    <s v="N"/>
    <s v="B050"/>
    <d v="2016-12-13T00:00:00"/>
    <s v="20"/>
    <s v="TAN"/>
    <s v="OR"/>
    <d v="2016-12-08T00:00:00"/>
    <s v="ID"/>
    <s v="US"/>
    <s v="ZR"/>
    <d v="2016-12-08T00:00:00"/>
  </r>
  <r>
    <x v="1"/>
    <x v="2"/>
    <x v="2491"/>
    <x v="6"/>
    <s v="Standard order"/>
    <x v="2369"/>
    <x v="417"/>
    <s v="6027"/>
    <s v="BTS 60RR27"/>
    <s v="5002645"/>
    <s v="6027 BTS T20 PB SYSTIVA P100 WSS"/>
    <n v="52"/>
    <n v="0"/>
    <n v="52"/>
    <x v="2"/>
    <s v="APMC"/>
    <s v="PRO 100"/>
    <s v="322"/>
    <s v="4.0 UN"/>
    <s v="STANDARD"/>
    <s v="N"/>
    <s v="N"/>
    <s v="N"/>
    <s v="T20"/>
    <s v="Y"/>
    <s v="N"/>
    <s v="Y"/>
    <s v="N"/>
    <s v="B025"/>
    <d v="2016-12-13T00:00:00"/>
    <s v="10"/>
    <s v="TAN"/>
    <s v="OR"/>
    <d v="2016-12-08T00:00:00"/>
    <s v="NE"/>
    <s v="US"/>
    <s v="ZR"/>
    <d v="2016-12-08T00:00:00"/>
  </r>
  <r>
    <x v="1"/>
    <x v="0"/>
    <x v="2492"/>
    <x v="43"/>
    <s v="Standard order"/>
    <x v="2370"/>
    <x v="870"/>
    <s v="1399"/>
    <s v="BTS 1399"/>
    <s v="5002348"/>
    <s v="1399 BTS T20 Kabina RP"/>
    <n v="128"/>
    <n v="0"/>
    <n v="128"/>
    <x v="0"/>
    <s v="EG74"/>
    <s v="RP"/>
    <s v="380"/>
    <s v="4.0 UN"/>
    <s v="STANDARD"/>
    <s v="N"/>
    <s v="N"/>
    <s v="Y"/>
    <s v="T20"/>
    <s v="N"/>
    <s v="N"/>
    <s v="N"/>
    <s v="N"/>
    <s v="B006"/>
    <d v="2016-12-13T00:00:00"/>
    <s v="10"/>
    <s v="TAN"/>
    <s v="OR"/>
    <d v="2016-12-08T00:00:00"/>
    <s v="MI"/>
    <s v="US"/>
    <s v="ZR"/>
    <d v="2016-12-08T00:00:00"/>
  </r>
  <r>
    <x v="1"/>
    <x v="4"/>
    <x v="2493"/>
    <x v="47"/>
    <s v="Standard order"/>
    <x v="2371"/>
    <x v="474"/>
    <s v="251N"/>
    <s v="BTS 251N"/>
    <s v="5002194"/>
    <s v="251N BTS PB LRG"/>
    <n v="52"/>
    <n v="0"/>
    <n v="52"/>
    <x v="4"/>
    <s v="5HBR"/>
    <s v="LARGE"/>
    <s v="307"/>
    <s v="4.0 UN"/>
    <s v="STANDARD"/>
    <s v="N"/>
    <s v="Y"/>
    <s v="N"/>
    <s v="N"/>
    <s v="N"/>
    <s v="N"/>
    <s v="N"/>
    <s v="N"/>
    <s v="B050"/>
    <d v="2016-12-13T00:00:00"/>
    <s v="10"/>
    <s v="TAN"/>
    <s v="OR"/>
    <d v="2016-12-08T00:00:00"/>
    <s v="ID"/>
    <s v="US"/>
    <s v="ZR"/>
    <d v="2016-12-08T00:00:00"/>
  </r>
  <r>
    <x v="1"/>
    <x v="4"/>
    <x v="2493"/>
    <x v="47"/>
    <s v="Standard order"/>
    <x v="2371"/>
    <x v="474"/>
    <s v="2559"/>
    <s v="BTS 2559"/>
    <s v="5002571"/>
    <s v="2559 BTS PB Kabina LRG"/>
    <n v="48"/>
    <n v="0"/>
    <n v="48"/>
    <x v="4"/>
    <s v="FGNE"/>
    <s v="LARGE"/>
    <s v="384"/>
    <s v="4.0 UN"/>
    <s v="STANDARD"/>
    <s v="N"/>
    <s v="Y"/>
    <s v="Y"/>
    <s v="N"/>
    <s v="N"/>
    <s v="N"/>
    <s v="N"/>
    <s v="N"/>
    <s v="B050"/>
    <d v="2016-12-13T00:00:00"/>
    <s v="20"/>
    <s v="TAN"/>
    <s v="OR"/>
    <d v="2016-12-08T00:00:00"/>
    <s v="ID"/>
    <s v="US"/>
    <s v="ZR"/>
    <d v="2016-12-08T00:00:00"/>
  </r>
  <r>
    <x v="1"/>
    <x v="4"/>
    <x v="2493"/>
    <x v="47"/>
    <s v="Standard order"/>
    <x v="2371"/>
    <x v="474"/>
    <s v="2523"/>
    <s v="BTS 2523"/>
    <s v="5002527"/>
    <s v="2523 BTS PB LRG"/>
    <n v="108"/>
    <n v="0"/>
    <n v="108"/>
    <x v="4"/>
    <s v="EZPC"/>
    <s v="LARGE"/>
    <s v="307"/>
    <s v="4.0 UN"/>
    <s v="STANDARD"/>
    <s v="N"/>
    <s v="Y"/>
    <s v="N"/>
    <s v="N"/>
    <s v="N"/>
    <s v="N"/>
    <s v="N"/>
    <s v="N"/>
    <s v="B050"/>
    <d v="2016-12-13T00:00:00"/>
    <s v="30"/>
    <s v="TAN"/>
    <s v="OR"/>
    <d v="2016-12-08T00:00:00"/>
    <s v="ID"/>
    <s v="US"/>
    <s v="ZR"/>
    <d v="2016-12-08T00:00:00"/>
  </r>
  <r>
    <x v="1"/>
    <x v="4"/>
    <x v="2494"/>
    <x v="47"/>
    <s v="Standard order"/>
    <x v="2372"/>
    <x v="2149"/>
    <s v="2720"/>
    <s v="BTS 27RR20"/>
    <s v="5002134"/>
    <s v="2720 BTS PB LRG"/>
    <n v="536"/>
    <n v="0"/>
    <n v="536"/>
    <x v="4"/>
    <s v="4GAY"/>
    <s v="LARGE"/>
    <s v="307"/>
    <s v="4.0 UN"/>
    <s v="STANDARD"/>
    <s v="N"/>
    <s v="Y"/>
    <s v="N"/>
    <s v="N"/>
    <s v="N"/>
    <s v="N"/>
    <s v="N"/>
    <s v="N"/>
    <s v="B050"/>
    <d v="2016-12-13T00:00:00"/>
    <s v="10"/>
    <s v="TAN"/>
    <s v="OR"/>
    <d v="2016-12-08T00:00:00"/>
    <s v="ID"/>
    <s v="US"/>
    <s v="ZR"/>
    <d v="2016-12-08T00:00:00"/>
  </r>
  <r>
    <x v="1"/>
    <x v="0"/>
    <x v="2495"/>
    <x v="56"/>
    <s v="Standard order"/>
    <x v="2373"/>
    <x v="2150"/>
    <s v="1399"/>
    <s v="BTS 1399"/>
    <s v="5002338"/>
    <s v="1399 BTS CM Vibrance RP"/>
    <n v="8"/>
    <n v="0"/>
    <n v="8"/>
    <x v="0"/>
    <s v="EG74"/>
    <s v="RP"/>
    <s v="366"/>
    <s v="4.0 UN"/>
    <s v="STANDARD"/>
    <s v="Y"/>
    <s v="N"/>
    <s v="N"/>
    <s v="N"/>
    <s v="N"/>
    <s v="N"/>
    <s v="N"/>
    <s v="Y"/>
    <s v="B010"/>
    <d v="2016-12-13T00:00:00"/>
    <s v="10"/>
    <s v="TAN"/>
    <s v="OR"/>
    <d v="2016-12-08T00:00:00"/>
    <s v="ON"/>
    <s v="CA"/>
    <s v="ZR"/>
    <d v="2016-12-08T00:00:00"/>
  </r>
  <r>
    <x v="1"/>
    <x v="0"/>
    <x v="2496"/>
    <x v="45"/>
    <s v="Standard order"/>
    <x v="2374"/>
    <x v="2151"/>
    <s v="1399"/>
    <s v="BTS 1399"/>
    <s v="5002346"/>
    <s v="1399 BTS T20 Kabina MP"/>
    <n v="40"/>
    <n v="0"/>
    <n v="40"/>
    <x v="0"/>
    <s v="EG74"/>
    <s v="MP"/>
    <s v="380"/>
    <s v="4.0 UN"/>
    <s v="STANDARD"/>
    <s v="N"/>
    <s v="N"/>
    <s v="Y"/>
    <s v="T20"/>
    <s v="N"/>
    <s v="N"/>
    <s v="N"/>
    <s v="N"/>
    <s v="B003"/>
    <d v="2016-12-13T00:00:00"/>
    <s v="10"/>
    <s v="TAN"/>
    <s v="OR"/>
    <d v="2016-12-08T00:00:00"/>
    <s v="MI"/>
    <s v="US"/>
    <s v="ZR"/>
    <d v="2016-12-08T00:00:00"/>
  </r>
  <r>
    <x v="1"/>
    <x v="2"/>
    <x v="2497"/>
    <x v="6"/>
    <s v="Standard order"/>
    <x v="2375"/>
    <x v="437"/>
    <s v="628N"/>
    <s v="BTS 62RR8N"/>
    <s v="5002683"/>
    <s v="628N BTS T20 PB SYSTIVA P100"/>
    <n v="52"/>
    <n v="0"/>
    <n v="52"/>
    <x v="2"/>
    <s v="BL73"/>
    <s v="PRO 100"/>
    <s v="322"/>
    <s v="4.0 UN"/>
    <s v="STANDARD"/>
    <s v="N"/>
    <s v="N"/>
    <s v="N"/>
    <s v="T20"/>
    <s v="Y"/>
    <s v="N"/>
    <s v="Y"/>
    <s v="N"/>
    <s v="B025"/>
    <d v="2016-12-13T00:00:00"/>
    <s v="10"/>
    <s v="TAN"/>
    <s v="OR"/>
    <d v="2016-12-08T00:00:00"/>
    <s v="NE"/>
    <s v="US"/>
    <s v="ZR"/>
    <d v="2016-12-08T00:00:00"/>
  </r>
  <r>
    <x v="1"/>
    <x v="2"/>
    <x v="2498"/>
    <x v="6"/>
    <s v="Standard order"/>
    <x v="2376"/>
    <x v="404"/>
    <s v="630N"/>
    <s v="BTS 630N"/>
    <s v="5002402"/>
    <s v="630N BTS T20 PB SYSTIVA P100"/>
    <n v="16"/>
    <n v="0"/>
    <n v="16"/>
    <x v="2"/>
    <s v="DW73"/>
    <s v="PRO 100"/>
    <s v="322"/>
    <s v="4.0 UN"/>
    <s v="STANDARD"/>
    <s v="N"/>
    <s v="N"/>
    <s v="N"/>
    <s v="T20"/>
    <s v="Y"/>
    <s v="N"/>
    <s v="Y"/>
    <s v="N"/>
    <s v="B025"/>
    <d v="2016-12-13T00:00:00"/>
    <s v="10"/>
    <s v="TAN"/>
    <s v="OR"/>
    <d v="2016-12-08T00:00:00"/>
    <s v="NE"/>
    <s v="US"/>
    <s v="ZR"/>
    <d v="2016-12-08T00:00:00"/>
  </r>
  <r>
    <x v="1"/>
    <x v="4"/>
    <x v="2499"/>
    <x v="47"/>
    <s v="Standard order"/>
    <x v="2377"/>
    <x v="2152"/>
    <s v="251N"/>
    <s v="BTS 251N"/>
    <s v="5002194"/>
    <s v="251N BTS PB LRG"/>
    <n v="28"/>
    <n v="0"/>
    <n v="28"/>
    <x v="4"/>
    <s v="5HBR"/>
    <s v="LARGE"/>
    <s v="307"/>
    <s v="4.0 UN"/>
    <s v="STANDARD"/>
    <s v="N"/>
    <s v="Y"/>
    <s v="N"/>
    <s v="N"/>
    <s v="N"/>
    <s v="N"/>
    <s v="N"/>
    <s v="N"/>
    <s v="B050"/>
    <d v="2016-12-13T00:00:00"/>
    <s v="10"/>
    <s v="TAN"/>
    <s v="OR"/>
    <d v="2016-12-08T00:00:00"/>
    <s v="ID"/>
    <s v="US"/>
    <s v="ZR"/>
    <d v="2016-12-08T00:00:00"/>
  </r>
  <r>
    <x v="1"/>
    <x v="0"/>
    <x v="2500"/>
    <x v="29"/>
    <s v="Standard order"/>
    <x v="2378"/>
    <x v="2153"/>
    <s v="149N"/>
    <s v="BTS 149N"/>
    <s v="5002368"/>
    <s v="149N BTS T20 Kabina RP"/>
    <n v="32"/>
    <n v="0"/>
    <n v="32"/>
    <x v="0"/>
    <s v="EEND"/>
    <s v="RP"/>
    <s v="380"/>
    <s v="4.0 UN"/>
    <s v="STANDARD"/>
    <s v="N"/>
    <s v="N"/>
    <s v="Y"/>
    <s v="T20"/>
    <s v="N"/>
    <s v="N"/>
    <s v="N"/>
    <s v="N"/>
    <s v="B005"/>
    <d v="2016-12-13T00:00:00"/>
    <s v="10"/>
    <s v="TAN"/>
    <s v="OR"/>
    <d v="2016-12-08T00:00:00"/>
    <s v="MI"/>
    <s v="US"/>
    <s v="ZR"/>
    <d v="2016-12-08T00:00:00"/>
  </r>
  <r>
    <x v="1"/>
    <x v="0"/>
    <x v="2500"/>
    <x v="29"/>
    <s v="Standard order"/>
    <x v="2378"/>
    <x v="2153"/>
    <s v="1399"/>
    <s v="BTS 1399"/>
    <s v="5002348"/>
    <s v="1399 BTS T20 Kabina RP"/>
    <n v="28"/>
    <n v="0"/>
    <n v="28"/>
    <x v="0"/>
    <s v="EG74"/>
    <s v="RP"/>
    <s v="380"/>
    <s v="4.0 UN"/>
    <s v="STANDARD"/>
    <s v="N"/>
    <s v="N"/>
    <s v="Y"/>
    <s v="T20"/>
    <s v="N"/>
    <s v="N"/>
    <s v="N"/>
    <s v="N"/>
    <s v="B005"/>
    <d v="2016-12-13T00:00:00"/>
    <s v="20"/>
    <s v="TAN"/>
    <s v="OR"/>
    <d v="2016-12-08T00:00:00"/>
    <s v="MI"/>
    <s v="US"/>
    <s v="ZR"/>
    <d v="2016-12-08T00:00:00"/>
  </r>
  <r>
    <x v="1"/>
    <x v="5"/>
    <x v="2501"/>
    <x v="21"/>
    <s v="Standard order"/>
    <x v="2379"/>
    <x v="2154"/>
    <s v="398N"/>
    <s v="BTS 39RR8N"/>
    <s v="5002572"/>
    <s v="39RR8N RP BetaShield PLUS"/>
    <n v="56"/>
    <n v="0"/>
    <n v="56"/>
    <x v="5"/>
    <s v="2771"/>
    <s v="RP"/>
    <s v="322"/>
    <s v="4.0 UN"/>
    <s v="STANDARD"/>
    <s v="N"/>
    <s v="Y"/>
    <s v="N"/>
    <s v="T20"/>
    <s v="Y"/>
    <s v="N"/>
    <s v="N"/>
    <s v="N"/>
    <s v=""/>
    <d v="2016-12-13T00:00:00"/>
    <s v="20"/>
    <s v="TAN"/>
    <s v="OR"/>
    <d v="2016-12-08T00:00:00"/>
    <s v="MT"/>
    <s v="US"/>
    <s v="ZR"/>
    <d v="2016-12-08T00:00:00"/>
  </r>
  <r>
    <x v="1"/>
    <x v="7"/>
    <x v="2502"/>
    <x v="28"/>
    <s v="Standard order"/>
    <x v="2380"/>
    <x v="2155"/>
    <s v="8052"/>
    <s v="BTS 80RR52"/>
    <s v="5002722"/>
    <s v="8052 BTS T20 PB SYSTIVA MP"/>
    <n v="48"/>
    <n v="0"/>
    <n v="48"/>
    <x v="7"/>
    <s v="AP82"/>
    <s v="MP"/>
    <s v="322"/>
    <s v="4.0 UN"/>
    <s v="STANDARD"/>
    <s v="N"/>
    <s v="N"/>
    <s v="N"/>
    <s v="T20"/>
    <s v="Y"/>
    <s v="N"/>
    <s v="Y"/>
    <s v="N"/>
    <s v="B056"/>
    <d v="2016-12-13T00:00:00"/>
    <s v="10"/>
    <s v="TAN"/>
    <s v="OR"/>
    <d v="2016-12-08T00:00:00"/>
    <s v="ND"/>
    <s v="US"/>
    <s v="ZR"/>
    <d v="2016-12-08T00:00:00"/>
  </r>
  <r>
    <x v="1"/>
    <x v="7"/>
    <x v="2502"/>
    <x v="28"/>
    <s v="Standard order"/>
    <x v="2380"/>
    <x v="2155"/>
    <s v="8512"/>
    <s v="BTS 8512"/>
    <s v="5002863"/>
    <s v="8512 BTS T20 PB SYSTIVA MP"/>
    <n v="48"/>
    <n v="0"/>
    <n v="48"/>
    <x v="7"/>
    <s v="FX73"/>
    <s v="MP"/>
    <s v="322"/>
    <s v="4.0 UN"/>
    <s v="STANDARD"/>
    <s v="N"/>
    <s v="N"/>
    <s v="N"/>
    <s v="T20"/>
    <s v="Y"/>
    <s v="N"/>
    <s v="Y"/>
    <s v="N"/>
    <s v="B056"/>
    <d v="2016-12-13T00:00:00"/>
    <s v="20"/>
    <s v="TAN"/>
    <s v="OR"/>
    <d v="2016-12-08T00:00:00"/>
    <s v="ND"/>
    <s v="US"/>
    <s v="ZR"/>
    <d v="2016-12-08T00:00:00"/>
  </r>
  <r>
    <x v="1"/>
    <x v="7"/>
    <x v="2502"/>
    <x v="28"/>
    <s v="Standard order"/>
    <x v="2380"/>
    <x v="2155"/>
    <s v="8500"/>
    <s v="BTS 8500"/>
    <s v="5002843"/>
    <s v="8500 BTS T20 PB SYSTIVA MP"/>
    <n v="48"/>
    <n v="0"/>
    <n v="48"/>
    <x v="7"/>
    <s v="FTND"/>
    <s v="MP"/>
    <s v="322"/>
    <s v="4.0 UN"/>
    <s v="STANDARD"/>
    <s v="N"/>
    <s v="N"/>
    <s v="N"/>
    <s v="T20"/>
    <s v="Y"/>
    <s v="N"/>
    <s v="Y"/>
    <s v="N"/>
    <s v="B056"/>
    <d v="2016-12-13T00:00:00"/>
    <s v="30"/>
    <s v="TAN"/>
    <s v="OR"/>
    <d v="2016-12-08T00:00:00"/>
    <s v="ND"/>
    <s v="US"/>
    <s v="ZR"/>
    <d v="2016-12-08T00:00:00"/>
  </r>
  <r>
    <x v="1"/>
    <x v="5"/>
    <x v="2503"/>
    <x v="21"/>
    <s v="Standard order"/>
    <x v="2381"/>
    <x v="453"/>
    <s v="398N"/>
    <s v="BTS 39RR8N"/>
    <s v="5002572"/>
    <s v="39RR8N RP BetaShield PLUS"/>
    <n v="56"/>
    <n v="0"/>
    <n v="56"/>
    <x v="5"/>
    <s v="2771"/>
    <s v="RP"/>
    <s v="322"/>
    <s v="4.0 UN"/>
    <s v="STANDARD"/>
    <s v="N"/>
    <s v="Y"/>
    <s v="N"/>
    <s v="T20"/>
    <s v="Y"/>
    <s v="N"/>
    <s v="N"/>
    <s v="N"/>
    <s v=""/>
    <d v="2016-12-13T00:00:00"/>
    <s v="30"/>
    <s v="TAN"/>
    <s v="OR"/>
    <d v="2016-12-08T00:00:00"/>
    <s v="MT"/>
    <s v="US"/>
    <s v="ZR"/>
    <d v="2016-12-08T00:00:00"/>
  </r>
  <r>
    <x v="1"/>
    <x v="5"/>
    <x v="2503"/>
    <x v="21"/>
    <s v="Standard order"/>
    <x v="2381"/>
    <x v="453"/>
    <s v="336N"/>
    <s v="BTS 336N"/>
    <s v="5002400"/>
    <s v="336N BTS T20 PB SYSTIVA RP"/>
    <n v="36"/>
    <n v="0"/>
    <n v="36"/>
    <x v="5"/>
    <s v="EEMG"/>
    <s v="RP"/>
    <s v="322"/>
    <s v="4.0 UN"/>
    <s v="STANDARD"/>
    <s v="N"/>
    <s v="N"/>
    <s v="N"/>
    <s v="T20"/>
    <s v="Y"/>
    <s v="N"/>
    <s v="N"/>
    <s v="N"/>
    <s v="B013"/>
    <d v="2016-12-13T00:00:00"/>
    <s v="20"/>
    <s v="TAN"/>
    <s v="OR"/>
    <d v="2016-12-08T00:00:00"/>
    <s v="MT"/>
    <s v="US"/>
    <s v="ZR"/>
    <d v="2016-12-08T00:00:00"/>
  </r>
  <r>
    <x v="1"/>
    <x v="0"/>
    <x v="2504"/>
    <x v="54"/>
    <s v="Standard order"/>
    <x v="2382"/>
    <x v="714"/>
    <s v="1399"/>
    <s v="BTS 1399"/>
    <s v="5002348"/>
    <s v="1399 BTS T20 Kabina RP"/>
    <n v="52"/>
    <n v="0"/>
    <n v="52"/>
    <x v="0"/>
    <s v="EG74"/>
    <s v="RP"/>
    <s v="380"/>
    <s v="4.0 UN"/>
    <s v="STANDARD"/>
    <s v="N"/>
    <s v="N"/>
    <s v="Y"/>
    <s v="T20"/>
    <s v="N"/>
    <s v="N"/>
    <s v="N"/>
    <s v="N"/>
    <s v="B002"/>
    <d v="2016-12-13T00:00:00"/>
    <s v="10"/>
    <s v="TAN"/>
    <s v="OR"/>
    <d v="2016-12-08T00:00:00"/>
    <s v="MI"/>
    <s v="US"/>
    <s v="ZR"/>
    <d v="2016-12-08T00:00:00"/>
  </r>
  <r>
    <x v="1"/>
    <x v="7"/>
    <x v="2505"/>
    <x v="37"/>
    <s v="Standard order"/>
    <x v="2383"/>
    <x v="2156"/>
    <s v="8500"/>
    <s v="BTS 8500"/>
    <s v="5002856"/>
    <s v="8500 BTS T35 PB SYSTIVA RP"/>
    <n v="188"/>
    <n v="0"/>
    <n v="188"/>
    <x v="7"/>
    <s v="FTND"/>
    <s v="RP"/>
    <s v="333"/>
    <s v="4.0 UN"/>
    <s v="STANDARD"/>
    <s v="N"/>
    <s v="Y"/>
    <s v="N"/>
    <s v="T35"/>
    <s v="Y"/>
    <s v="N"/>
    <s v="Y"/>
    <s v="N"/>
    <s v="B033"/>
    <d v="2016-12-13T00:00:00"/>
    <s v="10"/>
    <s v="TAN"/>
    <s v="OR"/>
    <d v="2016-12-08T00:00:00"/>
    <s v="ND"/>
    <s v="US"/>
    <s v="ZR"/>
    <d v="2016-12-08T00:00:00"/>
  </r>
  <r>
    <x v="1"/>
    <x v="7"/>
    <x v="2505"/>
    <x v="37"/>
    <s v="Standard order"/>
    <x v="2383"/>
    <x v="2156"/>
    <s v="8052"/>
    <s v="BTS 80RR52"/>
    <s v="5002735"/>
    <s v="8052 BTS T35 PB SYSTIVA RP"/>
    <n v="188"/>
    <n v="0"/>
    <n v="188"/>
    <x v="7"/>
    <s v="AP82"/>
    <s v="RP"/>
    <s v="333"/>
    <s v="4.0 UN"/>
    <s v="STANDARD"/>
    <s v="N"/>
    <s v="Y"/>
    <s v="N"/>
    <s v="T35"/>
    <s v="Y"/>
    <s v="N"/>
    <s v="Y"/>
    <s v="N"/>
    <s v="B033"/>
    <d v="2016-12-13T00:00:00"/>
    <s v="20"/>
    <s v="TAN"/>
    <s v="OR"/>
    <d v="2016-12-08T00:00:00"/>
    <s v="ND"/>
    <s v="US"/>
    <s v="ZR"/>
    <d v="2016-12-08T00:00:00"/>
  </r>
  <r>
    <x v="1"/>
    <x v="6"/>
    <x v="2506"/>
    <x v="51"/>
    <s v="Standard order"/>
    <x v="2384"/>
    <x v="613"/>
    <s v="4548"/>
    <s v="BTS 4548"/>
    <s v="5002246"/>
    <s v="4548 BTS T20 PB SYSTIVA P50"/>
    <n v="24"/>
    <n v="0"/>
    <n v="24"/>
    <x v="6"/>
    <s v="FENR"/>
    <s v="PRO 50"/>
    <s v="322"/>
    <s v="4.0 UN"/>
    <s v="STANDARD"/>
    <s v="N"/>
    <s v="N"/>
    <s v="N"/>
    <s v="T20"/>
    <s v="Y"/>
    <s v="N"/>
    <s v="Y"/>
    <s v="N"/>
    <s v="B011"/>
    <d v="2016-12-13T00:00:00"/>
    <s v="10"/>
    <s v="TAN"/>
    <s v="OR"/>
    <d v="2016-12-08T00:00:00"/>
    <s v="MT"/>
    <s v="US"/>
    <s v="ZR"/>
    <d v="2016-12-08T00:00:00"/>
  </r>
  <r>
    <x v="1"/>
    <x v="6"/>
    <x v="2506"/>
    <x v="51"/>
    <s v="Standard order"/>
    <x v="2384"/>
    <x v="613"/>
    <s v="4265"/>
    <s v="BTS 42RR65"/>
    <s v="5002585"/>
    <s v="4265 BTS T20 PB SYSTIVA P50"/>
    <n v="36"/>
    <n v="0"/>
    <n v="36"/>
    <x v="6"/>
    <s v="BR73"/>
    <s v="PRO 50"/>
    <s v="322"/>
    <s v="4.0 UN"/>
    <s v="STANDARD"/>
    <s v="N"/>
    <s v="N"/>
    <s v="N"/>
    <s v="T20"/>
    <s v="Y"/>
    <s v="N"/>
    <s v="Y"/>
    <s v="N"/>
    <s v="B011"/>
    <d v="2016-12-13T00:00:00"/>
    <s v="20"/>
    <s v="TAN"/>
    <s v="OR"/>
    <d v="2016-12-08T00:00:00"/>
    <s v="MT"/>
    <s v="US"/>
    <s v="ZR"/>
    <d v="2016-12-08T00:00:00"/>
  </r>
  <r>
    <x v="1"/>
    <x v="7"/>
    <x v="2507"/>
    <x v="37"/>
    <s v="Standard order"/>
    <x v="2385"/>
    <x v="2157"/>
    <s v="8500"/>
    <s v="BTS 8500"/>
    <s v="5002856"/>
    <s v="8500 BTS T35 PB SYSTIVA RP"/>
    <n v="160"/>
    <n v="0"/>
    <n v="160"/>
    <x v="7"/>
    <s v="FTND"/>
    <s v="RP"/>
    <s v="333"/>
    <s v="4.0 UN"/>
    <s v="STANDARD"/>
    <s v="N"/>
    <s v="Y"/>
    <s v="N"/>
    <s v="T35"/>
    <s v="Y"/>
    <s v="N"/>
    <s v="Y"/>
    <s v="N"/>
    <s v="B033"/>
    <d v="2016-12-13T00:00:00"/>
    <s v="10"/>
    <s v="TAN"/>
    <s v="OR"/>
    <d v="2016-12-08T00:00:00"/>
    <s v="ND"/>
    <s v="US"/>
    <s v="ZR"/>
    <d v="2016-12-08T00:00:00"/>
  </r>
  <r>
    <x v="1"/>
    <x v="6"/>
    <x v="2508"/>
    <x v="51"/>
    <s v="Standard order"/>
    <x v="2386"/>
    <x v="624"/>
    <s v="4548"/>
    <s v="BTS 4548"/>
    <s v="5002246"/>
    <s v="4548 BTS T20 PB SYSTIVA P50"/>
    <n v="24"/>
    <n v="0"/>
    <n v="24"/>
    <x v="6"/>
    <s v="FENR"/>
    <s v="PRO 50"/>
    <s v="322"/>
    <s v="4.0 UN"/>
    <s v="STANDARD"/>
    <s v="N"/>
    <s v="N"/>
    <s v="N"/>
    <s v="T20"/>
    <s v="Y"/>
    <s v="N"/>
    <s v="Y"/>
    <s v="N"/>
    <s v="B011"/>
    <d v="2016-12-13T00:00:00"/>
    <s v="10"/>
    <s v="TAN"/>
    <s v="OR"/>
    <d v="2016-12-08T00:00:00"/>
    <s v="MT"/>
    <s v="US"/>
    <s v="ZR"/>
    <d v="2016-12-08T00:00:00"/>
  </r>
  <r>
    <x v="1"/>
    <x v="6"/>
    <x v="2508"/>
    <x v="51"/>
    <s v="Standard order"/>
    <x v="2386"/>
    <x v="624"/>
    <s v="4265"/>
    <s v="BTS 42RR65"/>
    <s v="5002585"/>
    <s v="4265 BTS T20 PB SYSTIVA P50"/>
    <n v="64"/>
    <n v="0"/>
    <n v="64"/>
    <x v="6"/>
    <s v="BR73"/>
    <s v="PRO 50"/>
    <s v="322"/>
    <s v="4.0 UN"/>
    <s v="STANDARD"/>
    <s v="N"/>
    <s v="N"/>
    <s v="N"/>
    <s v="T20"/>
    <s v="Y"/>
    <s v="N"/>
    <s v="Y"/>
    <s v="N"/>
    <s v="B011"/>
    <d v="2016-12-13T00:00:00"/>
    <s v="20"/>
    <s v="TAN"/>
    <s v="OR"/>
    <d v="2016-12-08T00:00:00"/>
    <s v="MT"/>
    <s v="US"/>
    <s v="ZR"/>
    <d v="2016-12-08T00:00:00"/>
  </r>
  <r>
    <x v="1"/>
    <x v="0"/>
    <x v="2509"/>
    <x v="42"/>
    <s v="Standard order"/>
    <x v="2387"/>
    <x v="472"/>
    <s v="1399"/>
    <s v="BTS 1399"/>
    <s v="5002348"/>
    <s v="1399 BTS T20 Kabina RP"/>
    <n v="32"/>
    <n v="0"/>
    <n v="32"/>
    <x v="0"/>
    <s v="EG74"/>
    <s v="RP"/>
    <s v="380"/>
    <s v="4.0 UN"/>
    <s v="STANDARD"/>
    <s v="N"/>
    <s v="N"/>
    <s v="Y"/>
    <s v="T20"/>
    <s v="N"/>
    <s v="N"/>
    <s v="N"/>
    <s v="N"/>
    <s v="B007"/>
    <d v="2016-12-13T00:00:00"/>
    <s v="10"/>
    <s v="TAN"/>
    <s v="OR"/>
    <d v="2016-12-08T00:00:00"/>
    <s v="MI"/>
    <s v="US"/>
    <s v="ZR"/>
    <d v="2016-12-08T00:00:00"/>
  </r>
  <r>
    <x v="1"/>
    <x v="4"/>
    <x v="2510"/>
    <x v="47"/>
    <s v="Standard order"/>
    <x v="2388"/>
    <x v="602"/>
    <s v="251N"/>
    <s v="BTS 251N"/>
    <s v="5002194"/>
    <s v="251N BTS PB LRG"/>
    <n v="12"/>
    <n v="0"/>
    <n v="12"/>
    <x v="4"/>
    <s v="5HBR"/>
    <s v="LARGE"/>
    <s v="307"/>
    <s v="4.0 UN"/>
    <s v="STANDARD"/>
    <s v="N"/>
    <s v="Y"/>
    <s v="N"/>
    <s v="N"/>
    <s v="N"/>
    <s v="N"/>
    <s v="N"/>
    <s v="N"/>
    <s v="B050"/>
    <d v="2016-12-13T00:00:00"/>
    <s v="10"/>
    <s v="TAN"/>
    <s v="OR"/>
    <d v="2016-12-08T00:00:00"/>
    <s v="ID"/>
    <s v="US"/>
    <s v="ZR"/>
    <d v="2016-12-08T00:00:00"/>
  </r>
  <r>
    <x v="1"/>
    <x v="0"/>
    <x v="2511"/>
    <x v="42"/>
    <s v="Standard order"/>
    <x v="2389"/>
    <x v="2158"/>
    <s v="122N"/>
    <s v="BTS 12RR2N"/>
    <s v="5002311"/>
    <s v="122N BTS T20 Kabina RP"/>
    <n v="96"/>
    <n v="0"/>
    <n v="96"/>
    <x v="0"/>
    <s v="4TBG"/>
    <s v="RP"/>
    <s v="380"/>
    <s v="4.0 UN"/>
    <s v="STANDARD"/>
    <s v="N"/>
    <s v="N"/>
    <s v="Y"/>
    <s v="T20"/>
    <s v="N"/>
    <s v="N"/>
    <s v="N"/>
    <s v="N"/>
    <s v="B007"/>
    <d v="2016-12-13T00:00:00"/>
    <s v="10"/>
    <s v="TAN"/>
    <s v="OR"/>
    <d v="2016-12-08T00:00:00"/>
    <s v="MI"/>
    <s v="US"/>
    <s v="ZR"/>
    <d v="2016-12-08T00:00:00"/>
  </r>
  <r>
    <x v="1"/>
    <x v="0"/>
    <x v="2511"/>
    <x v="42"/>
    <s v="Standard order"/>
    <x v="2389"/>
    <x v="2158"/>
    <s v="1399"/>
    <s v="BTS 1399"/>
    <s v="5002348"/>
    <s v="1399 BTS T20 Kabina RP"/>
    <n v="200"/>
    <n v="0"/>
    <n v="200"/>
    <x v="0"/>
    <s v="EG74"/>
    <s v="RP"/>
    <s v="380"/>
    <s v="4.0 UN"/>
    <s v="STANDARD"/>
    <s v="N"/>
    <s v="N"/>
    <s v="Y"/>
    <s v="T20"/>
    <s v="N"/>
    <s v="N"/>
    <s v="N"/>
    <s v="N"/>
    <s v="B007"/>
    <d v="2016-12-13T00:00:00"/>
    <s v="20"/>
    <s v="TAN"/>
    <s v="OR"/>
    <d v="2016-12-08T00:00:00"/>
    <s v="MI"/>
    <s v="US"/>
    <s v="ZR"/>
    <d v="2016-12-08T00:00:00"/>
  </r>
  <r>
    <x v="1"/>
    <x v="2"/>
    <x v="2512"/>
    <x v="22"/>
    <s v="Standard order"/>
    <x v="2390"/>
    <x v="486"/>
    <s v="628N"/>
    <s v="BTS 62RR8N"/>
    <s v="5002683"/>
    <s v="628N BTS T20 PB SYSTIVA P100"/>
    <n v="12"/>
    <n v="0"/>
    <n v="12"/>
    <x v="2"/>
    <s v="BL73"/>
    <s v="PRO 100"/>
    <s v="322"/>
    <s v="4.0 UN"/>
    <s v="STANDARD"/>
    <s v="N"/>
    <s v="N"/>
    <s v="N"/>
    <s v="T20"/>
    <s v="Y"/>
    <s v="N"/>
    <s v="Y"/>
    <s v="N"/>
    <s v="B018"/>
    <d v="2016-12-13T00:00:00"/>
    <s v="10"/>
    <s v="TAN"/>
    <s v="OR"/>
    <d v="2016-12-07T00:00:00"/>
    <s v="CO"/>
    <s v="US"/>
    <s v="ZR"/>
    <d v="2016-12-08T00:00:00"/>
  </r>
  <r>
    <x v="1"/>
    <x v="2"/>
    <x v="2512"/>
    <x v="22"/>
    <s v="Standard order"/>
    <x v="2390"/>
    <x v="486"/>
    <s v="64SN"/>
    <s v="BTS 64SN"/>
    <s v="5002420"/>
    <s v="64SN BTS T20 PB SYSTIVA P100"/>
    <n v="12"/>
    <n v="0"/>
    <n v="12"/>
    <x v="2"/>
    <s v="DVNB"/>
    <s v="PRO 100"/>
    <s v="322"/>
    <s v="4.0 UN"/>
    <s v="STANDARD"/>
    <s v="N"/>
    <s v="N"/>
    <s v="N"/>
    <s v="T20"/>
    <s v="Y"/>
    <s v="N"/>
    <s v="Y"/>
    <s v="N"/>
    <s v="B018"/>
    <d v="2016-12-13T00:00:00"/>
    <s v="20"/>
    <s v="TAN"/>
    <s v="OR"/>
    <d v="2016-12-07T00:00:00"/>
    <s v="CO"/>
    <s v="US"/>
    <s v="ZR"/>
    <d v="2016-12-08T00:00:00"/>
  </r>
  <r>
    <x v="1"/>
    <x v="5"/>
    <x v="2513"/>
    <x v="13"/>
    <s v="Standard order"/>
    <x v="2391"/>
    <x v="448"/>
    <s v="336N"/>
    <s v="BTS 336N"/>
    <s v="5002197"/>
    <s v="336N BTS T20 PB SYSTIVA MP"/>
    <n v="24"/>
    <n v="0"/>
    <n v="24"/>
    <x v="5"/>
    <s v="EEMG"/>
    <s v="MP"/>
    <s v="322"/>
    <s v="4.0 UN"/>
    <s v="STANDARD"/>
    <s v="N"/>
    <s v="N"/>
    <s v="N"/>
    <s v="T20"/>
    <s v="Y"/>
    <s v="N"/>
    <s v="N"/>
    <s v="N"/>
    <s v="B015"/>
    <d v="2016-12-13T00:00:00"/>
    <s v="10"/>
    <s v="TAN"/>
    <s v="OR"/>
    <d v="2016-12-07T00:00:00"/>
    <s v="MT"/>
    <s v="US"/>
    <s v="ZR"/>
    <d v="2016-12-08T00:00:00"/>
  </r>
  <r>
    <x v="1"/>
    <x v="0"/>
    <x v="2514"/>
    <x v="43"/>
    <s v="Standard order"/>
    <x v="2392"/>
    <x v="2159"/>
    <s v="1399"/>
    <s v="BTS 1399"/>
    <s v="5002347"/>
    <s v="1399 BTS T20 Kabina P200"/>
    <n v="16"/>
    <n v="0"/>
    <n v="16"/>
    <x v="0"/>
    <s v="EG74"/>
    <s v="PRO 200"/>
    <s v="380"/>
    <s v="4.0 UN"/>
    <s v="STANDARD"/>
    <s v="N"/>
    <s v="N"/>
    <s v="Y"/>
    <s v="T20"/>
    <s v="N"/>
    <s v="N"/>
    <s v="N"/>
    <s v="N"/>
    <s v="B006"/>
    <d v="2016-12-13T00:00:00"/>
    <s v="10"/>
    <s v="TAN"/>
    <s v="OR"/>
    <d v="2016-12-07T00:00:00"/>
    <s v="MI"/>
    <s v="US"/>
    <s v="ZR"/>
    <d v="2016-12-08T00:00:00"/>
  </r>
  <r>
    <x v="1"/>
    <x v="0"/>
    <x v="2515"/>
    <x v="43"/>
    <s v="Standard order"/>
    <x v="2393"/>
    <x v="2160"/>
    <s v="122N"/>
    <s v="BTS 12RR2N"/>
    <s v="5002311"/>
    <s v="122N BTS T20 Kabina RP"/>
    <n v="120"/>
    <n v="0"/>
    <n v="120"/>
    <x v="0"/>
    <s v="4TBG"/>
    <s v="RP"/>
    <s v="380"/>
    <s v="4.0 UN"/>
    <s v="STANDARD"/>
    <s v="N"/>
    <s v="N"/>
    <s v="Y"/>
    <s v="T20"/>
    <s v="N"/>
    <s v="N"/>
    <s v="N"/>
    <s v="N"/>
    <s v="B006"/>
    <d v="2016-12-13T00:00:00"/>
    <s v="10"/>
    <s v="TAN"/>
    <s v="OR"/>
    <d v="2016-12-07T00:00:00"/>
    <s v="MI"/>
    <s v="US"/>
    <s v="ZR"/>
    <d v="2016-12-08T00:00:00"/>
  </r>
  <r>
    <x v="1"/>
    <x v="0"/>
    <x v="2515"/>
    <x v="43"/>
    <s v="Standard order"/>
    <x v="2393"/>
    <x v="2160"/>
    <s v="1399"/>
    <s v="BTS 1399"/>
    <s v="5002348"/>
    <s v="1399 BTS T20 Kabina RP"/>
    <n v="144"/>
    <n v="0"/>
    <n v="144"/>
    <x v="0"/>
    <s v="EG74"/>
    <s v="RP"/>
    <s v="380"/>
    <s v="4.0 UN"/>
    <s v="STANDARD"/>
    <s v="N"/>
    <s v="N"/>
    <s v="Y"/>
    <s v="T20"/>
    <s v="N"/>
    <s v="N"/>
    <s v="N"/>
    <s v="N"/>
    <s v="B006"/>
    <d v="2016-12-13T00:00:00"/>
    <s v="20"/>
    <s v="TAN"/>
    <s v="OR"/>
    <d v="2016-12-07T00:00:00"/>
    <s v="MI"/>
    <s v="US"/>
    <s v="ZR"/>
    <d v="2016-12-08T00:00:00"/>
  </r>
  <r>
    <x v="1"/>
    <x v="0"/>
    <x v="2516"/>
    <x v="43"/>
    <s v="Standard order"/>
    <x v="2394"/>
    <x v="2161"/>
    <s v="133N"/>
    <s v="BTS 133N"/>
    <s v="5002329"/>
    <s v="133N BTS T20 Kabina RP"/>
    <n v="36"/>
    <n v="0"/>
    <n v="36"/>
    <x v="0"/>
    <s v="DW73"/>
    <s v="RP"/>
    <s v="380"/>
    <s v="4.0 UN"/>
    <s v="STANDARD"/>
    <s v="N"/>
    <s v="N"/>
    <s v="Y"/>
    <s v="T20"/>
    <s v="N"/>
    <s v="N"/>
    <s v="N"/>
    <s v="N"/>
    <s v="B006"/>
    <d v="2016-12-13T00:00:00"/>
    <s v="10"/>
    <s v="TAN"/>
    <s v="OR"/>
    <d v="2016-12-07T00:00:00"/>
    <s v="MI"/>
    <s v="US"/>
    <s v="ZR"/>
    <d v="2016-12-08T00:00:00"/>
  </r>
  <r>
    <x v="1"/>
    <x v="0"/>
    <x v="2516"/>
    <x v="43"/>
    <s v="Standard order"/>
    <x v="2394"/>
    <x v="2161"/>
    <s v="1399"/>
    <s v="BTS 1399"/>
    <s v="5002348"/>
    <s v="1399 BTS T20 Kabina RP"/>
    <n v="100"/>
    <n v="0"/>
    <n v="100"/>
    <x v="0"/>
    <s v="EG74"/>
    <s v="RP"/>
    <s v="380"/>
    <s v="4.0 UN"/>
    <s v="STANDARD"/>
    <s v="N"/>
    <s v="N"/>
    <s v="Y"/>
    <s v="T20"/>
    <s v="N"/>
    <s v="N"/>
    <s v="N"/>
    <s v="N"/>
    <s v="B006"/>
    <d v="2016-12-13T00:00:00"/>
    <s v="20"/>
    <s v="TAN"/>
    <s v="OR"/>
    <d v="2016-12-07T00:00:00"/>
    <s v="MI"/>
    <s v="US"/>
    <s v="ZR"/>
    <d v="2016-12-08T00:00:00"/>
  </r>
  <r>
    <x v="1"/>
    <x v="0"/>
    <x v="2517"/>
    <x v="45"/>
    <s v="Standard order"/>
    <x v="2395"/>
    <x v="2162"/>
    <s v="122N"/>
    <s v="BTS 12RR2N"/>
    <s v="5002311"/>
    <s v="122N BTS T20 Kabina RP"/>
    <n v="24"/>
    <n v="0"/>
    <n v="24"/>
    <x v="0"/>
    <s v="4TBG"/>
    <s v="RP"/>
    <s v="380"/>
    <s v="4.0 UN"/>
    <s v="STANDARD"/>
    <s v="N"/>
    <s v="N"/>
    <s v="Y"/>
    <s v="T20"/>
    <s v="N"/>
    <s v="N"/>
    <s v="N"/>
    <s v="N"/>
    <s v="B003"/>
    <d v="2016-12-13T00:00:00"/>
    <s v="10"/>
    <s v="TAN"/>
    <s v="OR"/>
    <d v="2016-12-07T00:00:00"/>
    <s v="MI"/>
    <s v="US"/>
    <s v="ZR"/>
    <d v="2016-12-08T00:00:00"/>
  </r>
  <r>
    <x v="1"/>
    <x v="0"/>
    <x v="2517"/>
    <x v="45"/>
    <s v="Standard order"/>
    <x v="2395"/>
    <x v="2162"/>
    <s v="149N"/>
    <s v="BTS 149N"/>
    <s v="5002368"/>
    <s v="149N BTS T20 Kabina RP"/>
    <n v="20"/>
    <n v="0"/>
    <n v="20"/>
    <x v="0"/>
    <s v="EEND"/>
    <s v="RP"/>
    <s v="380"/>
    <s v="4.0 UN"/>
    <s v="STANDARD"/>
    <s v="N"/>
    <s v="N"/>
    <s v="Y"/>
    <s v="T20"/>
    <s v="N"/>
    <s v="N"/>
    <s v="N"/>
    <s v="N"/>
    <s v="B003"/>
    <d v="2016-12-13T00:00:00"/>
    <s v="20"/>
    <s v="TAN"/>
    <s v="OR"/>
    <d v="2016-12-07T00:00:00"/>
    <s v="MI"/>
    <s v="US"/>
    <s v="ZR"/>
    <d v="2016-12-08T00:00:00"/>
  </r>
  <r>
    <x v="1"/>
    <x v="0"/>
    <x v="2518"/>
    <x v="43"/>
    <s v="Standard order"/>
    <x v="2396"/>
    <x v="2163"/>
    <s v="1399"/>
    <s v="BTS 1399"/>
    <s v="5002348"/>
    <s v="1399 BTS T20 Kabina RP"/>
    <n v="48"/>
    <n v="0"/>
    <n v="48"/>
    <x v="0"/>
    <s v="EG74"/>
    <s v="RP"/>
    <s v="380"/>
    <s v="4.0 UN"/>
    <s v="STANDARD"/>
    <s v="N"/>
    <s v="N"/>
    <s v="Y"/>
    <s v="T20"/>
    <s v="N"/>
    <s v="N"/>
    <s v="N"/>
    <s v="N"/>
    <s v="B006"/>
    <d v="2016-12-13T00:00:00"/>
    <s v="10"/>
    <s v="TAN"/>
    <s v="OR"/>
    <d v="2016-12-07T00:00:00"/>
    <s v="MI"/>
    <s v="US"/>
    <s v="ZR"/>
    <d v="2016-12-08T00:00:00"/>
  </r>
  <r>
    <x v="1"/>
    <x v="5"/>
    <x v="2519"/>
    <x v="14"/>
    <s v="Standard order"/>
    <x v="2397"/>
    <x v="462"/>
    <s v="398N"/>
    <s v="BTS 39RR8N"/>
    <s v="5002570"/>
    <s v="398N BTS T20 PB SYSTIVA P200"/>
    <n v="256"/>
    <n v="0"/>
    <n v="256"/>
    <x v="5"/>
    <s v="2771"/>
    <s v="PRO 200"/>
    <s v="322"/>
    <s v="4.0 UN"/>
    <s v="STANDARD"/>
    <s v="N"/>
    <s v="Y"/>
    <s v="N"/>
    <s v="T20"/>
    <s v="Y"/>
    <s v="N"/>
    <s v="N"/>
    <s v="N"/>
    <s v="B017"/>
    <d v="2016-12-13T00:00:00"/>
    <s v="20"/>
    <s v="TAN"/>
    <s v="OR"/>
    <d v="2016-12-07T00:00:00"/>
    <s v="WY"/>
    <s v="US"/>
    <s v="ZR"/>
    <d v="2016-12-08T00:00:00"/>
  </r>
  <r>
    <x v="1"/>
    <x v="5"/>
    <x v="2519"/>
    <x v="14"/>
    <s v="Standard order"/>
    <x v="2397"/>
    <x v="462"/>
    <s v="353N"/>
    <s v="BTS 353N"/>
    <s v="5002522"/>
    <s v="353N BTS T20 PB SYSTIVA P200"/>
    <n v="20"/>
    <n v="0"/>
    <n v="20"/>
    <x v="5"/>
    <s v="EENZ"/>
    <s v="PRO 200"/>
    <s v="322"/>
    <s v="4.0 UN"/>
    <s v="STANDARD"/>
    <s v="N"/>
    <s v="Y"/>
    <s v="N"/>
    <s v="T20"/>
    <s v="Y"/>
    <s v="N"/>
    <s v="N"/>
    <s v="N"/>
    <s v="B017"/>
    <d v="2016-12-13T00:00:00"/>
    <s v="10"/>
    <s v="TAN"/>
    <s v="OR"/>
    <d v="2016-12-07T00:00:00"/>
    <s v="WY"/>
    <s v="US"/>
    <s v="ZR"/>
    <d v="2016-12-08T00:00:00"/>
  </r>
  <r>
    <x v="1"/>
    <x v="5"/>
    <x v="2520"/>
    <x v="14"/>
    <s v="Standard order"/>
    <x v="2398"/>
    <x v="415"/>
    <s v="353N"/>
    <s v="BTS 353N"/>
    <s v="5002524"/>
    <s v="353N BTS T20 PB SYSTIVA RP"/>
    <n v="52"/>
    <n v="0"/>
    <n v="52"/>
    <x v="5"/>
    <s v="EENZ"/>
    <s v="RP"/>
    <s v="322"/>
    <s v="4.0 UN"/>
    <s v="STANDARD"/>
    <s v="N"/>
    <s v="Y"/>
    <s v="N"/>
    <s v="T20"/>
    <s v="Y"/>
    <s v="N"/>
    <s v="N"/>
    <s v="N"/>
    <s v="B017"/>
    <d v="2016-12-13T00:00:00"/>
    <s v="10"/>
    <s v="TAN"/>
    <s v="OR"/>
    <d v="2016-12-07T00:00:00"/>
    <s v="WY"/>
    <s v="US"/>
    <s v="ZR"/>
    <d v="2016-12-08T00:00:00"/>
  </r>
  <r>
    <x v="1"/>
    <x v="5"/>
    <x v="2520"/>
    <x v="14"/>
    <s v="Standard order"/>
    <x v="2398"/>
    <x v="415"/>
    <s v="398N"/>
    <s v="BTS 39RR8N"/>
    <s v="5002572"/>
    <s v="398N BTS T20 PB SYSTIVA RP"/>
    <n v="280"/>
    <n v="0"/>
    <n v="280"/>
    <x v="5"/>
    <s v="2771"/>
    <s v="RP"/>
    <s v="322"/>
    <s v="4.0 UN"/>
    <s v="STANDARD"/>
    <s v="N"/>
    <s v="Y"/>
    <s v="N"/>
    <s v="T20"/>
    <s v="Y"/>
    <s v="N"/>
    <s v="N"/>
    <s v="N"/>
    <s v="B017"/>
    <d v="2016-12-13T00:00:00"/>
    <s v="20"/>
    <s v="TAN"/>
    <s v="OR"/>
    <d v="2016-12-07T00:00:00"/>
    <s v="WY"/>
    <s v="US"/>
    <s v="ZR"/>
    <d v="2016-12-08T00:00:00"/>
  </r>
  <r>
    <x v="1"/>
    <x v="5"/>
    <x v="2521"/>
    <x v="14"/>
    <s v="Standard order"/>
    <x v="2399"/>
    <x v="416"/>
    <s v="353N"/>
    <s v="BTS 353N"/>
    <s v="5002520"/>
    <s v="353N BTS T20 PB SYSTIVA MP"/>
    <n v="24"/>
    <n v="0"/>
    <n v="24"/>
    <x v="5"/>
    <s v="EENZ"/>
    <s v="MP"/>
    <s v="322"/>
    <s v="4.0 UN"/>
    <s v="STANDARD"/>
    <s v="N"/>
    <s v="Y"/>
    <s v="N"/>
    <s v="T20"/>
    <s v="Y"/>
    <s v="N"/>
    <s v="N"/>
    <s v="N"/>
    <s v="B017"/>
    <d v="2016-12-13T00:00:00"/>
    <s v="10"/>
    <s v="TAN"/>
    <s v="OR"/>
    <d v="2016-12-07T00:00:00"/>
    <s v="WY"/>
    <s v="US"/>
    <s v="ZR"/>
    <d v="2016-12-08T00:00:00"/>
  </r>
  <r>
    <x v="1"/>
    <x v="5"/>
    <x v="2521"/>
    <x v="14"/>
    <s v="Standard order"/>
    <x v="2399"/>
    <x v="416"/>
    <s v="398N"/>
    <s v="BTS 39RR8N"/>
    <s v="5002568"/>
    <s v="398N BTS T20 PB SYSTIVA MP"/>
    <n v="160"/>
    <n v="0"/>
    <n v="160"/>
    <x v="5"/>
    <s v="2771"/>
    <s v="MP"/>
    <s v="322"/>
    <s v="4.0 UN"/>
    <s v="STANDARD"/>
    <s v="N"/>
    <s v="Y"/>
    <s v="N"/>
    <s v="T20"/>
    <s v="Y"/>
    <s v="N"/>
    <s v="N"/>
    <s v="N"/>
    <s v="B017"/>
    <d v="2016-12-13T00:00:00"/>
    <s v="20"/>
    <s v="TAN"/>
    <s v="OR"/>
    <d v="2016-12-07T00:00:00"/>
    <s v="WY"/>
    <s v="US"/>
    <s v="ZR"/>
    <d v="2016-12-08T00:00:00"/>
  </r>
  <r>
    <x v="1"/>
    <x v="5"/>
    <x v="2522"/>
    <x v="9"/>
    <s v="Standard order"/>
    <x v="2400"/>
    <x v="465"/>
    <s v="353N"/>
    <s v="BTS 353N"/>
    <s v="5002524"/>
    <s v="353N BTS T20 PB SYSTIVA RP"/>
    <n v="44"/>
    <n v="0"/>
    <n v="44"/>
    <x v="5"/>
    <s v="EENZ"/>
    <s v="RP"/>
    <s v="322"/>
    <s v="4.0 UN"/>
    <s v="STANDARD"/>
    <s v="N"/>
    <s v="Y"/>
    <s v="N"/>
    <s v="T20"/>
    <s v="Y"/>
    <s v="N"/>
    <s v="N"/>
    <s v="N"/>
    <s v="B016"/>
    <d v="2016-12-13T00:00:00"/>
    <s v="10"/>
    <s v="TAN"/>
    <s v="OR"/>
    <d v="2016-12-07T00:00:00"/>
    <s v="WY"/>
    <s v="US"/>
    <s v="ZR"/>
    <d v="2016-12-08T00:00:00"/>
  </r>
  <r>
    <x v="1"/>
    <x v="4"/>
    <x v="2523"/>
    <x v="52"/>
    <s v="Standard order"/>
    <x v="2401"/>
    <x v="2164"/>
    <s v="251N"/>
    <s v="BTS 251N"/>
    <s v="5002505"/>
    <s v="251N BTS PB Kabina XL"/>
    <n v="20"/>
    <n v="0"/>
    <n v="20"/>
    <x v="4"/>
    <s v="5HBR"/>
    <s v="X-LARGE"/>
    <s v="384"/>
    <s v="4.0 UN"/>
    <s v="STANDARD"/>
    <s v="N"/>
    <s v="Y"/>
    <s v="Y"/>
    <s v="N"/>
    <s v="N"/>
    <s v="N"/>
    <s v="N"/>
    <s v="N"/>
    <s v="B048"/>
    <d v="2016-12-13T00:00:00"/>
    <s v="10"/>
    <s v="TAN"/>
    <s v="OR"/>
    <d v="2016-12-08T00:00:00"/>
    <s v="ID"/>
    <s v="US"/>
    <s v="ZR"/>
    <d v="2016-12-08T00:00:00"/>
  </r>
  <r>
    <x v="1"/>
    <x v="7"/>
    <x v="2524"/>
    <x v="33"/>
    <s v="Standard order"/>
    <x v="2402"/>
    <x v="2165"/>
    <s v="8052"/>
    <s v="BTS 80RR52"/>
    <s v="5002735"/>
    <s v="8052 BTS T35 PB SYSTIVA RP"/>
    <n v="68"/>
    <n v="0"/>
    <n v="68"/>
    <x v="7"/>
    <s v="AP82"/>
    <s v="RP"/>
    <s v="333"/>
    <s v="4.0 UN"/>
    <s v="STANDARD"/>
    <s v="N"/>
    <s v="Y"/>
    <s v="N"/>
    <s v="T35"/>
    <s v="Y"/>
    <s v="N"/>
    <s v="Y"/>
    <s v="N"/>
    <s v="B026"/>
    <d v="2016-12-13T00:00:00"/>
    <s v="10"/>
    <s v="TAN"/>
    <s v="OR"/>
    <d v="2016-12-08T00:00:00"/>
    <s v="MN"/>
    <s v="US"/>
    <s v="ZR"/>
    <d v="2016-12-08T00:00:00"/>
  </r>
  <r>
    <x v="1"/>
    <x v="7"/>
    <x v="2525"/>
    <x v="33"/>
    <s v="Standard order"/>
    <x v="2403"/>
    <x v="2166"/>
    <s v="8524"/>
    <s v="BTS 8524"/>
    <s v="5002896"/>
    <s v="8524 BTS T35 PB SYSTIVA RP"/>
    <n v="68"/>
    <n v="0"/>
    <n v="68"/>
    <x v="7"/>
    <s v="FWND"/>
    <s v="RP"/>
    <s v="333"/>
    <s v="4.0 UN"/>
    <s v="STANDARD"/>
    <s v="N"/>
    <s v="Y"/>
    <s v="N"/>
    <s v="T35"/>
    <s v="Y"/>
    <s v="N"/>
    <s v="Y"/>
    <s v="N"/>
    <s v="B026"/>
    <d v="2016-12-13T00:00:00"/>
    <s v="10"/>
    <s v="TAN"/>
    <s v="OR"/>
    <d v="2016-12-08T00:00:00"/>
    <s v="MN"/>
    <s v="US"/>
    <s v="ZR"/>
    <d v="2016-12-08T00:00:00"/>
  </r>
  <r>
    <x v="1"/>
    <x v="0"/>
    <x v="2526"/>
    <x v="45"/>
    <s v="Standard order"/>
    <x v="2404"/>
    <x v="983"/>
    <s v="1399"/>
    <s v="BTS 1399"/>
    <s v="5002348"/>
    <s v="1399 BTS T20 Kabina RP"/>
    <n v="8"/>
    <n v="0"/>
    <n v="8"/>
    <x v="0"/>
    <s v="EG74"/>
    <s v="RP"/>
    <s v="380"/>
    <s v="4.0 UN"/>
    <s v="STANDARD"/>
    <s v="N"/>
    <s v="N"/>
    <s v="Y"/>
    <s v="T20"/>
    <s v="N"/>
    <s v="N"/>
    <s v="N"/>
    <s v="N"/>
    <s v="B003"/>
    <d v="2016-12-13T00:00:00"/>
    <s v="10"/>
    <s v="TAN"/>
    <s v="OR"/>
    <d v="2016-12-08T00:00:00"/>
    <s v="MI"/>
    <s v="US"/>
    <s v="ZR"/>
    <d v="2016-12-08T00:00:00"/>
  </r>
  <r>
    <x v="1"/>
    <x v="0"/>
    <x v="2527"/>
    <x v="42"/>
    <s v="Standard order"/>
    <x v="2405"/>
    <x v="2167"/>
    <s v="1399"/>
    <s v="BTS 1399"/>
    <s v="5002348"/>
    <s v="1399 BTS T20 Kabina RP"/>
    <n v="24"/>
    <n v="0"/>
    <n v="24"/>
    <x v="0"/>
    <s v="EG74"/>
    <s v="RP"/>
    <s v="380"/>
    <s v="4.0 UN"/>
    <s v="STANDARD"/>
    <s v="N"/>
    <s v="N"/>
    <s v="Y"/>
    <s v="T20"/>
    <s v="N"/>
    <s v="N"/>
    <s v="N"/>
    <s v="N"/>
    <s v="B007"/>
    <d v="2016-12-13T00:00:00"/>
    <s v="10"/>
    <s v="TAN"/>
    <s v="OR"/>
    <d v="2016-12-08T00:00:00"/>
    <s v="MI"/>
    <s v="US"/>
    <s v="ZR"/>
    <d v="2016-12-08T00:00:00"/>
  </r>
  <r>
    <x v="1"/>
    <x v="2"/>
    <x v="2528"/>
    <x v="6"/>
    <s v="Standard order"/>
    <x v="2406"/>
    <x v="469"/>
    <s v="630N"/>
    <s v="BTS 630N"/>
    <s v="5002404"/>
    <s v="630N BTS T20 PB SYSTIVA P50"/>
    <n v="12"/>
    <n v="0"/>
    <n v="12"/>
    <x v="2"/>
    <s v="DW73"/>
    <s v="PRO 50"/>
    <s v="322"/>
    <s v="4.0 UN"/>
    <s v="STANDARD"/>
    <s v="N"/>
    <s v="N"/>
    <s v="N"/>
    <s v="T20"/>
    <s v="Y"/>
    <s v="N"/>
    <s v="Y"/>
    <s v="N"/>
    <s v="B025"/>
    <d v="2016-12-13T00:00:00"/>
    <s v="10"/>
    <s v="TAN"/>
    <s v="OR"/>
    <d v="2016-12-08T00:00:00"/>
    <s v="NE"/>
    <s v="US"/>
    <s v="ZR"/>
    <d v="2016-12-08T00:00:00"/>
  </r>
  <r>
    <x v="1"/>
    <x v="2"/>
    <x v="2528"/>
    <x v="6"/>
    <s v="Standard order"/>
    <x v="2406"/>
    <x v="469"/>
    <s v="64SN"/>
    <s v="BTS 64SN"/>
    <s v="5002422"/>
    <s v="64SN BTS T20 PB SYSTIVA P50"/>
    <n v="40"/>
    <n v="0"/>
    <n v="40"/>
    <x v="2"/>
    <s v="DVNB"/>
    <s v="PRO 50"/>
    <s v="322"/>
    <s v="4.0 UN"/>
    <s v="STANDARD"/>
    <s v="N"/>
    <s v="N"/>
    <s v="N"/>
    <s v="T20"/>
    <s v="Y"/>
    <s v="N"/>
    <s v="Y"/>
    <s v="N"/>
    <s v="B025"/>
    <d v="2016-12-13T00:00:00"/>
    <s v="20"/>
    <s v="TAN"/>
    <s v="OR"/>
    <d v="2016-12-08T00:00:00"/>
    <s v="NE"/>
    <s v="US"/>
    <s v="ZR"/>
    <d v="2016-12-08T00:00:00"/>
  </r>
  <r>
    <x v="1"/>
    <x v="6"/>
    <x v="2529"/>
    <x v="51"/>
    <s v="Standard order"/>
    <x v="2407"/>
    <x v="444"/>
    <s v="459N"/>
    <s v="BTS 459N"/>
    <s v="5002256"/>
    <s v="459N BTS T20 PB SYSTIVA P100"/>
    <n v="28"/>
    <n v="0"/>
    <n v="28"/>
    <x v="6"/>
    <s v="DVNU"/>
    <s v="PRO 100"/>
    <s v="322"/>
    <s v="4.0 UN"/>
    <s v="STANDARD"/>
    <s v="N"/>
    <s v="N"/>
    <s v="N"/>
    <s v="T20"/>
    <s v="Y"/>
    <s v="N"/>
    <s v="Y"/>
    <s v="N"/>
    <s v="B011"/>
    <d v="2016-12-13T00:00:00"/>
    <s v="10"/>
    <s v="TAN"/>
    <s v="OR"/>
    <d v="2016-12-08T00:00:00"/>
    <s v="MT"/>
    <s v="US"/>
    <s v="ZR"/>
    <d v="2016-12-08T00:00:00"/>
  </r>
  <r>
    <x v="1"/>
    <x v="0"/>
    <x v="2530"/>
    <x v="45"/>
    <s v="Standard order"/>
    <x v="2408"/>
    <x v="714"/>
    <s v="122N"/>
    <s v="BTS 12RR2N"/>
    <s v="5002311"/>
    <s v="122N BTS T20 Kabina RP"/>
    <n v="52"/>
    <n v="0"/>
    <n v="52"/>
    <x v="0"/>
    <s v="4TBG"/>
    <s v="RP"/>
    <s v="380"/>
    <s v="4.0 UN"/>
    <s v="STANDARD"/>
    <s v="N"/>
    <s v="N"/>
    <s v="Y"/>
    <s v="T20"/>
    <s v="N"/>
    <s v="N"/>
    <s v="N"/>
    <s v="N"/>
    <s v="B003"/>
    <d v="2016-12-13T00:00:00"/>
    <s v="10"/>
    <s v="TAN"/>
    <s v="OR"/>
    <d v="2016-12-08T00:00:00"/>
    <s v="MI"/>
    <s v="US"/>
    <s v="ZR"/>
    <d v="2016-12-08T00:00:00"/>
  </r>
  <r>
    <x v="1"/>
    <x v="4"/>
    <x v="2531"/>
    <x v="52"/>
    <s v="Standard order"/>
    <x v="2409"/>
    <x v="2168"/>
    <s v="225N"/>
    <s v="BTS 22RR5N"/>
    <s v="5002113"/>
    <s v="225N BTS PB MP"/>
    <n v="44"/>
    <n v="0"/>
    <n v="44"/>
    <x v="4"/>
    <s v="4TBD"/>
    <s v="MP"/>
    <s v="307"/>
    <s v="4.0 UN"/>
    <s v="STANDARD"/>
    <s v="N"/>
    <s v="Y"/>
    <s v="N"/>
    <s v="N"/>
    <s v="N"/>
    <s v="N"/>
    <s v="N"/>
    <s v="N"/>
    <s v="B048"/>
    <d v="2016-12-13T00:00:00"/>
    <s v="10"/>
    <s v="TAN"/>
    <s v="OR"/>
    <d v="2016-12-08T00:00:00"/>
    <s v="ID"/>
    <s v="US"/>
    <s v="ZR"/>
    <d v="2016-12-08T00:00:00"/>
  </r>
  <r>
    <x v="1"/>
    <x v="4"/>
    <x v="2531"/>
    <x v="52"/>
    <s v="Standard order"/>
    <x v="2409"/>
    <x v="2168"/>
    <s v="251N"/>
    <s v="BTS 251N"/>
    <s v="5002190"/>
    <s v="251N BTS PB MP"/>
    <n v="8"/>
    <n v="0"/>
    <n v="8"/>
    <x v="4"/>
    <s v="5HBR"/>
    <s v="MP"/>
    <s v="307"/>
    <s v="4.0 UN"/>
    <s v="STANDARD"/>
    <s v="N"/>
    <s v="Y"/>
    <s v="N"/>
    <s v="N"/>
    <s v="N"/>
    <s v="N"/>
    <s v="N"/>
    <s v="N"/>
    <s v="B048"/>
    <d v="2016-12-13T00:00:00"/>
    <s v="20"/>
    <s v="TAN"/>
    <s v="OR"/>
    <d v="2016-12-08T00:00:00"/>
    <s v="ID"/>
    <s v="US"/>
    <s v="ZR"/>
    <d v="2016-12-08T00:00:00"/>
  </r>
  <r>
    <x v="1"/>
    <x v="4"/>
    <x v="2532"/>
    <x v="46"/>
    <s v="Standard order"/>
    <x v="2410"/>
    <x v="2169"/>
    <s v="2125"/>
    <s v="BTS 21RR25"/>
    <s v="5002379"/>
    <s v="2125 BTS LRG"/>
    <n v="96"/>
    <n v="0"/>
    <n v="96"/>
    <x v="4"/>
    <s v="AP92"/>
    <s v="LARGE"/>
    <s v="306"/>
    <s v="4.0 UN"/>
    <s v="STANDARD"/>
    <s v="N"/>
    <s v="N"/>
    <s v="N"/>
    <s v="N"/>
    <s v="N"/>
    <s v="N"/>
    <s v="N"/>
    <s v="N"/>
    <s v="B049"/>
    <d v="2016-12-13T00:00:00"/>
    <s v="10"/>
    <s v="TAN"/>
    <s v="OR"/>
    <d v="2016-12-08T00:00:00"/>
    <s v="ID"/>
    <s v="US"/>
    <s v="ZR"/>
    <d v="2016-12-08T00:00:00"/>
  </r>
  <r>
    <x v="1"/>
    <x v="4"/>
    <x v="2532"/>
    <x v="46"/>
    <s v="Standard order"/>
    <x v="2410"/>
    <x v="2169"/>
    <s v="2570"/>
    <s v="BTS 2570"/>
    <s v="5002553"/>
    <s v="2570 BTS PB LRG"/>
    <n v="48"/>
    <n v="0"/>
    <n v="48"/>
    <x v="4"/>
    <s v="EZNS"/>
    <s v="LARGE"/>
    <s v="307"/>
    <s v="4.0 UN"/>
    <s v="STANDARD"/>
    <s v="N"/>
    <s v="Y"/>
    <s v="N"/>
    <s v="N"/>
    <s v="N"/>
    <s v="N"/>
    <s v="N"/>
    <s v="N"/>
    <s v="B049"/>
    <d v="2016-12-13T00:00:00"/>
    <s v="20"/>
    <s v="TAN"/>
    <s v="OR"/>
    <d v="2016-12-08T00:00:00"/>
    <s v="ID"/>
    <s v="US"/>
    <s v="ZR"/>
    <d v="2016-12-08T00:00:00"/>
  </r>
  <r>
    <x v="1"/>
    <x v="4"/>
    <x v="2532"/>
    <x v="46"/>
    <s v="Standard order"/>
    <x v="2410"/>
    <x v="2169"/>
    <s v="2523"/>
    <s v="BTS 2523"/>
    <s v="5002527"/>
    <s v="2523 BTS PB LRG"/>
    <n v="48"/>
    <n v="0"/>
    <n v="48"/>
    <x v="4"/>
    <s v="EZPC"/>
    <s v="LARGE"/>
    <s v="307"/>
    <s v="4.0 UN"/>
    <s v="STANDARD"/>
    <s v="N"/>
    <s v="Y"/>
    <s v="N"/>
    <s v="N"/>
    <s v="N"/>
    <s v="N"/>
    <s v="N"/>
    <s v="N"/>
    <s v="B049"/>
    <d v="2016-12-13T00:00:00"/>
    <s v="30"/>
    <s v="TAN"/>
    <s v="OR"/>
    <d v="2016-12-08T00:00:00"/>
    <s v="ID"/>
    <s v="US"/>
    <s v="ZR"/>
    <d v="2016-12-08T00:00:00"/>
  </r>
  <r>
    <x v="1"/>
    <x v="4"/>
    <x v="2532"/>
    <x v="46"/>
    <s v="Standard order"/>
    <x v="2410"/>
    <x v="2169"/>
    <s v="2559"/>
    <s v="BTS 2559"/>
    <s v="5002561"/>
    <s v="2559 BTS PB LRG"/>
    <n v="96"/>
    <n v="0"/>
    <n v="96"/>
    <x v="4"/>
    <s v="FGNE"/>
    <s v="LARGE"/>
    <s v="307"/>
    <s v="4.0 UN"/>
    <s v="STANDARD"/>
    <s v="N"/>
    <s v="Y"/>
    <s v="N"/>
    <s v="N"/>
    <s v="N"/>
    <s v="N"/>
    <s v="N"/>
    <s v="N"/>
    <s v="B049"/>
    <d v="2016-12-13T00:00:00"/>
    <s v="40"/>
    <s v="TAN"/>
    <s v="OR"/>
    <d v="2016-12-08T00:00:00"/>
    <s v="ID"/>
    <s v="US"/>
    <s v="ZR"/>
    <d v="2016-12-08T00:00:00"/>
  </r>
  <r>
    <x v="1"/>
    <x v="0"/>
    <x v="2533"/>
    <x v="56"/>
    <s v="Standard order"/>
    <x v="2411"/>
    <x v="834"/>
    <s v="122N"/>
    <s v="BTS 12RR2N"/>
    <s v="5002301"/>
    <s v="12RR2N RP BetaShield PLUS (O)"/>
    <n v="12"/>
    <n v="0"/>
    <n v="12"/>
    <x v="0"/>
    <s v="4TBG"/>
    <s v="RP"/>
    <s v="366"/>
    <s v="4.0 UN"/>
    <s v="STANDARD"/>
    <s v="Y"/>
    <s v="N"/>
    <s v="N"/>
    <s v="N"/>
    <s v="N"/>
    <s v="N"/>
    <s v="N"/>
    <s v="Y"/>
    <s v=""/>
    <d v="2016-12-13T00:00:00"/>
    <s v="30"/>
    <s v="TAN"/>
    <s v="OR"/>
    <d v="2016-12-08T00:00:00"/>
    <s v="ON"/>
    <s v="CA"/>
    <s v="ZR"/>
    <d v="2016-12-08T00:00:00"/>
  </r>
  <r>
    <x v="1"/>
    <x v="0"/>
    <x v="2533"/>
    <x v="56"/>
    <s v="Standard order"/>
    <x v="2411"/>
    <x v="834"/>
    <s v="1399"/>
    <s v="BTS 1399"/>
    <s v="5002338"/>
    <s v="1399 BTS CM Vibrance RP"/>
    <n v="8"/>
    <n v="0"/>
    <n v="8"/>
    <x v="0"/>
    <s v="EG74"/>
    <s v="RP"/>
    <s v="366"/>
    <s v="4.0 UN"/>
    <s v="STANDARD"/>
    <s v="Y"/>
    <s v="N"/>
    <s v="N"/>
    <s v="N"/>
    <s v="N"/>
    <s v="N"/>
    <s v="N"/>
    <s v="Y"/>
    <s v="B010"/>
    <d v="2016-12-13T00:00:00"/>
    <s v="20"/>
    <s v="TAN"/>
    <s v="OR"/>
    <d v="2016-12-08T00:00:00"/>
    <s v="ON"/>
    <s v="CA"/>
    <s v="ZR"/>
    <d v="2016-12-08T00:00:00"/>
  </r>
  <r>
    <x v="1"/>
    <x v="0"/>
    <x v="2534"/>
    <x v="56"/>
    <s v="Standard order"/>
    <x v="2412"/>
    <x v="2170"/>
    <s v="122N"/>
    <s v="BTS 12RR2N"/>
    <s v="5002301"/>
    <s v="12RR2N RP BetaShield PLUS (O)"/>
    <n v="12"/>
    <n v="0"/>
    <n v="12"/>
    <x v="0"/>
    <s v="4TBG"/>
    <s v="RP"/>
    <s v="366"/>
    <s v="4.0 UN"/>
    <s v="STANDARD"/>
    <s v="Y"/>
    <s v="N"/>
    <s v="N"/>
    <s v="N"/>
    <s v="N"/>
    <s v="N"/>
    <s v="N"/>
    <s v="Y"/>
    <s v=""/>
    <d v="2016-12-13T00:00:00"/>
    <s v="30"/>
    <s v="TAN"/>
    <s v="OR"/>
    <d v="2016-12-08T00:00:00"/>
    <s v="ON"/>
    <s v="CA"/>
    <s v="ZR"/>
    <d v="2016-12-08T00:00:00"/>
  </r>
  <r>
    <x v="1"/>
    <x v="0"/>
    <x v="2534"/>
    <x v="56"/>
    <s v="Standard order"/>
    <x v="2412"/>
    <x v="2170"/>
    <s v="1399"/>
    <s v="BTS 1399"/>
    <s v="5002338"/>
    <s v="1399 BTS CM Vibrance RP"/>
    <n v="12"/>
    <n v="0"/>
    <n v="12"/>
    <x v="0"/>
    <s v="EG74"/>
    <s v="RP"/>
    <s v="366"/>
    <s v="4.0 UN"/>
    <s v="STANDARD"/>
    <s v="Y"/>
    <s v="N"/>
    <s v="N"/>
    <s v="N"/>
    <s v="N"/>
    <s v="N"/>
    <s v="N"/>
    <s v="Y"/>
    <s v="B010"/>
    <d v="2016-12-13T00:00:00"/>
    <s v="10"/>
    <s v="TAN"/>
    <s v="OR"/>
    <d v="2016-12-08T00:00:00"/>
    <s v="ON"/>
    <s v="CA"/>
    <s v="ZR"/>
    <d v="2016-12-08T00:00:00"/>
  </r>
  <r>
    <x v="1"/>
    <x v="0"/>
    <x v="2535"/>
    <x v="56"/>
    <s v="Standard order"/>
    <x v="2413"/>
    <x v="735"/>
    <s v="1399"/>
    <s v="BTS 1399"/>
    <s v="5002338"/>
    <s v="1399 BTS CM Vibrance RP"/>
    <n v="28"/>
    <n v="0"/>
    <n v="28"/>
    <x v="0"/>
    <s v="EG74"/>
    <s v="RP"/>
    <s v="366"/>
    <s v="4.0 UN"/>
    <s v="STANDARD"/>
    <s v="Y"/>
    <s v="N"/>
    <s v="N"/>
    <s v="N"/>
    <s v="N"/>
    <s v="N"/>
    <s v="N"/>
    <s v="Y"/>
    <s v="B010"/>
    <d v="2016-12-13T00:00:00"/>
    <s v="10"/>
    <s v="TAN"/>
    <s v="OR"/>
    <d v="2016-12-08T00:00:00"/>
    <s v="ON"/>
    <s v="CA"/>
    <s v="ZR"/>
    <d v="2016-12-08T00:00:00"/>
  </r>
  <r>
    <x v="1"/>
    <x v="4"/>
    <x v="2536"/>
    <x v="52"/>
    <s v="Standard order"/>
    <x v="2414"/>
    <x v="2171"/>
    <s v="251N"/>
    <s v="BTS 251N"/>
    <s v="5002196"/>
    <s v="251N BTS PB XL"/>
    <n v="48"/>
    <n v="0"/>
    <n v="48"/>
    <x v="4"/>
    <s v="5HBR"/>
    <s v="X-LARGE"/>
    <s v="307"/>
    <s v="4.0 UN"/>
    <s v="STANDARD"/>
    <s v="N"/>
    <s v="Y"/>
    <s v="N"/>
    <s v="N"/>
    <s v="N"/>
    <s v="N"/>
    <s v="N"/>
    <s v="N"/>
    <s v="B048"/>
    <d v="2016-12-13T00:00:00"/>
    <s v="10"/>
    <s v="TAN"/>
    <s v="OR"/>
    <d v="2016-12-08T00:00:00"/>
    <s v="ID"/>
    <s v="US"/>
    <s v="ZR"/>
    <d v="2016-12-08T00:00:00"/>
  </r>
  <r>
    <x v="1"/>
    <x v="4"/>
    <x v="2537"/>
    <x v="52"/>
    <s v="Standard order"/>
    <x v="2415"/>
    <x v="2172"/>
    <s v="251N"/>
    <s v="BTS 251N"/>
    <s v="5002503"/>
    <s v="251N BTS PB Kabina LRG"/>
    <n v="44"/>
    <n v="0"/>
    <n v="44"/>
    <x v="4"/>
    <s v="5HBR"/>
    <s v="LARGE"/>
    <s v="384"/>
    <s v="4.0 UN"/>
    <s v="STANDARD"/>
    <s v="N"/>
    <s v="Y"/>
    <s v="Y"/>
    <s v="N"/>
    <s v="N"/>
    <s v="N"/>
    <s v="N"/>
    <s v="N"/>
    <s v="B048"/>
    <d v="2016-12-13T00:00:00"/>
    <s v="10"/>
    <s v="TAN"/>
    <s v="OR"/>
    <d v="2016-12-08T00:00:00"/>
    <s v="ID"/>
    <s v="US"/>
    <s v="ZR"/>
    <d v="2016-12-08T00:00:00"/>
  </r>
  <r>
    <x v="1"/>
    <x v="4"/>
    <x v="2537"/>
    <x v="52"/>
    <s v="Standard order"/>
    <x v="2415"/>
    <x v="2172"/>
    <s v="225N"/>
    <s v="BTS 22RR5N"/>
    <s v="5002106"/>
    <s v="225N BTS PB Kabina LRG"/>
    <n v="32"/>
    <n v="0"/>
    <n v="32"/>
    <x v="4"/>
    <s v="4TBD"/>
    <s v="LARGE"/>
    <s v="384"/>
    <s v="4.0 UN"/>
    <s v="STANDARD"/>
    <s v="N"/>
    <s v="Y"/>
    <s v="Y"/>
    <s v="N"/>
    <s v="N"/>
    <s v="N"/>
    <s v="N"/>
    <s v="N"/>
    <s v="B048"/>
    <d v="2016-12-13T00:00:00"/>
    <s v="20"/>
    <s v="TAN"/>
    <s v="OR"/>
    <d v="2016-12-08T00:00:00"/>
    <s v="ID"/>
    <s v="US"/>
    <s v="ZR"/>
    <d v="2016-12-08T00:00:00"/>
  </r>
  <r>
    <x v="1"/>
    <x v="2"/>
    <x v="2538"/>
    <x v="6"/>
    <s v="Standard order"/>
    <x v="2416"/>
    <x v="403"/>
    <s v="628N"/>
    <s v="BTS 62RR8N"/>
    <s v="5002683"/>
    <s v="628N BTS T20 PB SYSTIVA P100"/>
    <n v="60"/>
    <n v="0"/>
    <n v="60"/>
    <x v="2"/>
    <s v="BL73"/>
    <s v="PRO 100"/>
    <s v="322"/>
    <s v="4.0 UN"/>
    <s v="STANDARD"/>
    <s v="N"/>
    <s v="N"/>
    <s v="N"/>
    <s v="T20"/>
    <s v="Y"/>
    <s v="N"/>
    <s v="Y"/>
    <s v="N"/>
    <s v="B025"/>
    <d v="2016-12-13T00:00:00"/>
    <s v="10"/>
    <s v="TAN"/>
    <s v="OR"/>
    <d v="2016-12-08T00:00:00"/>
    <s v="NE"/>
    <s v="US"/>
    <s v="ZR"/>
    <d v="2016-12-08T00:00:00"/>
  </r>
  <r>
    <x v="1"/>
    <x v="0"/>
    <x v="2539"/>
    <x v="45"/>
    <s v="Standard order"/>
    <x v="2417"/>
    <x v="2173"/>
    <s v="133N"/>
    <s v="BTS 133N"/>
    <s v="5002329"/>
    <s v="133N BTS T20 Kabina RP"/>
    <n v="8"/>
    <n v="0"/>
    <n v="8"/>
    <x v="0"/>
    <s v="DW73"/>
    <s v="RP"/>
    <s v="380"/>
    <s v="4.0 UN"/>
    <s v="STANDARD"/>
    <s v="N"/>
    <s v="N"/>
    <s v="Y"/>
    <s v="T20"/>
    <s v="N"/>
    <s v="N"/>
    <s v="N"/>
    <s v="N"/>
    <s v="B003"/>
    <d v="2016-12-13T00:00:00"/>
    <s v="10"/>
    <s v="TAN"/>
    <s v="OR"/>
    <d v="2016-12-08T00:00:00"/>
    <s v="MI"/>
    <s v="US"/>
    <s v="ZR"/>
    <d v="2016-12-08T00:00:00"/>
  </r>
  <r>
    <x v="1"/>
    <x v="0"/>
    <x v="2539"/>
    <x v="45"/>
    <s v="Standard order"/>
    <x v="2417"/>
    <x v="2173"/>
    <s v="122N"/>
    <s v="BTS 12RR2N"/>
    <s v="5002311"/>
    <s v="122N BTS T20 Kabina RP"/>
    <n v="8"/>
    <n v="0"/>
    <n v="8"/>
    <x v="0"/>
    <s v="4TBG"/>
    <s v="RP"/>
    <s v="380"/>
    <s v="4.0 UN"/>
    <s v="STANDARD"/>
    <s v="N"/>
    <s v="N"/>
    <s v="Y"/>
    <s v="T20"/>
    <s v="N"/>
    <s v="N"/>
    <s v="N"/>
    <s v="N"/>
    <s v="B003"/>
    <d v="2016-12-13T00:00:00"/>
    <s v="20"/>
    <s v="TAN"/>
    <s v="OR"/>
    <d v="2016-12-08T00:00:00"/>
    <s v="MI"/>
    <s v="US"/>
    <s v="ZR"/>
    <d v="2016-12-08T00:00:00"/>
  </r>
  <r>
    <x v="1"/>
    <x v="7"/>
    <x v="2540"/>
    <x v="28"/>
    <s v="Standard order"/>
    <x v="2418"/>
    <x v="2174"/>
    <s v="8512"/>
    <s v="BTS 8512"/>
    <s v="5002876"/>
    <s v="8512 BTS T35 PB SYSTIVA RP"/>
    <n v="100"/>
    <n v="0"/>
    <n v="100"/>
    <x v="7"/>
    <s v="FX73"/>
    <s v="RP"/>
    <s v="333"/>
    <s v="4.0 UN"/>
    <s v="STANDARD"/>
    <s v="N"/>
    <s v="Y"/>
    <s v="N"/>
    <s v="T35"/>
    <s v="Y"/>
    <s v="N"/>
    <s v="Y"/>
    <s v="N"/>
    <s v="B056"/>
    <d v="2016-12-13T00:00:00"/>
    <s v="10"/>
    <s v="TAN"/>
    <s v="OR"/>
    <d v="2016-12-08T00:00:00"/>
    <s v="ND"/>
    <s v="US"/>
    <s v="ZR"/>
    <d v="2016-12-08T00:00:00"/>
  </r>
  <r>
    <x v="1"/>
    <x v="4"/>
    <x v="2541"/>
    <x v="46"/>
    <s v="Standard order"/>
    <x v="2419"/>
    <x v="2175"/>
    <s v="6027"/>
    <s v="BTS 60RR27"/>
    <s v="5002618"/>
    <s v="6027 BTS PB MED IDH"/>
    <n v="80"/>
    <n v="0"/>
    <n v="80"/>
    <x v="4"/>
    <s v="APMC"/>
    <s v="MEDIUM"/>
    <s v="307"/>
    <s v="4.0 UN"/>
    <s v="STANDARD"/>
    <s v="N"/>
    <s v="Y"/>
    <s v="N"/>
    <s v="N"/>
    <s v="N"/>
    <s v="N"/>
    <s v="N"/>
    <s v="N"/>
    <s v="B049"/>
    <d v="2016-12-13T00:00:00"/>
    <s v="10"/>
    <s v="TAN"/>
    <s v="OR"/>
    <d v="2016-12-07T00:00:00"/>
    <s v="ID"/>
    <s v="US"/>
    <s v="ZR"/>
    <d v="2016-12-08T00:00:00"/>
  </r>
  <r>
    <x v="1"/>
    <x v="4"/>
    <x v="2541"/>
    <x v="46"/>
    <s v="Standard order"/>
    <x v="2419"/>
    <x v="2175"/>
    <s v="4933"/>
    <s v="BTS 49RR33"/>
    <s v="5002273"/>
    <s v="4933 BTS PB MED IDH"/>
    <n v="48"/>
    <n v="0"/>
    <n v="48"/>
    <x v="4"/>
    <s v="AKMC"/>
    <s v="MEDIUM"/>
    <s v="307"/>
    <s v="4.0 UN"/>
    <s v="STANDARD"/>
    <s v="N"/>
    <s v="Y"/>
    <s v="N"/>
    <s v="N"/>
    <s v="N"/>
    <s v="N"/>
    <s v="N"/>
    <s v="N"/>
    <s v="B049"/>
    <d v="2016-12-13T00:00:00"/>
    <s v="20"/>
    <s v="TAN"/>
    <s v="OR"/>
    <d v="2016-12-07T00:00:00"/>
    <s v="ID"/>
    <s v="US"/>
    <s v="ZR"/>
    <d v="2016-12-08T00:00:00"/>
  </r>
  <r>
    <x v="1"/>
    <x v="4"/>
    <x v="2541"/>
    <x v="46"/>
    <s v="Standard order"/>
    <x v="2419"/>
    <x v="2175"/>
    <s v="2125"/>
    <s v="BTS 21RR25"/>
    <s v="5002388"/>
    <s v="2125 BTS PB MED"/>
    <n v="60"/>
    <n v="0"/>
    <n v="60"/>
    <x v="4"/>
    <s v="AP92"/>
    <s v="MEDIUM"/>
    <s v="307"/>
    <s v="4.0 UN"/>
    <s v="STANDARD"/>
    <s v="N"/>
    <s v="Y"/>
    <s v="N"/>
    <s v="N"/>
    <s v="N"/>
    <s v="N"/>
    <s v="N"/>
    <s v="N"/>
    <s v="B049"/>
    <d v="2016-12-13T00:00:00"/>
    <s v="30"/>
    <s v="TAN"/>
    <s v="OR"/>
    <d v="2016-12-07T00:00:00"/>
    <s v="ID"/>
    <s v="US"/>
    <s v="ZR"/>
    <d v="2016-12-08T00:00:00"/>
  </r>
  <r>
    <x v="1"/>
    <x v="4"/>
    <x v="2541"/>
    <x v="46"/>
    <s v="Standard order"/>
    <x v="2419"/>
    <x v="2175"/>
    <s v="2559"/>
    <s v="BTS 2559"/>
    <s v="5002559"/>
    <s v="2559 BTS PB MED"/>
    <n v="88"/>
    <n v="0"/>
    <n v="88"/>
    <x v="4"/>
    <s v="FGNE"/>
    <s v="MEDIUM"/>
    <s v="307"/>
    <s v="4.0 UN"/>
    <s v="STANDARD"/>
    <s v="N"/>
    <s v="Y"/>
    <s v="N"/>
    <s v="N"/>
    <s v="N"/>
    <s v="N"/>
    <s v="N"/>
    <s v="N"/>
    <s v="B049"/>
    <d v="2016-12-13T00:00:00"/>
    <s v="40"/>
    <s v="TAN"/>
    <s v="OR"/>
    <d v="2016-12-07T00:00:00"/>
    <s v="ID"/>
    <s v="US"/>
    <s v="ZR"/>
    <d v="2016-12-08T00:00:00"/>
  </r>
  <r>
    <x v="1"/>
    <x v="4"/>
    <x v="2541"/>
    <x v="46"/>
    <s v="Standard order"/>
    <x v="2419"/>
    <x v="2175"/>
    <s v="2570"/>
    <s v="BTS 2570"/>
    <s v="5002551"/>
    <s v="2570 BTS PB MED"/>
    <n v="76"/>
    <n v="0"/>
    <n v="76"/>
    <x v="4"/>
    <s v="EZNS"/>
    <s v="MEDIUM"/>
    <s v="307"/>
    <s v="4.0 UN"/>
    <s v="STANDARD"/>
    <s v="N"/>
    <s v="Y"/>
    <s v="N"/>
    <s v="N"/>
    <s v="N"/>
    <s v="N"/>
    <s v="N"/>
    <s v="N"/>
    <s v="B049"/>
    <d v="2016-12-13T00:00:00"/>
    <s v="50"/>
    <s v="TAN"/>
    <s v="OR"/>
    <d v="2016-12-07T00:00:00"/>
    <s v="ID"/>
    <s v="US"/>
    <s v="ZR"/>
    <d v="2016-12-08T00:00:00"/>
  </r>
  <r>
    <x v="1"/>
    <x v="4"/>
    <x v="2541"/>
    <x v="46"/>
    <s v="Standard order"/>
    <x v="2419"/>
    <x v="2175"/>
    <s v="2523"/>
    <s v="BTS 2523"/>
    <s v="5002525"/>
    <s v="2523 BTS PB MED"/>
    <n v="36"/>
    <n v="0"/>
    <n v="36"/>
    <x v="4"/>
    <s v="EZPC"/>
    <s v="MEDIUM"/>
    <s v="307"/>
    <s v="4.0 UN"/>
    <s v="STANDARD"/>
    <s v="N"/>
    <s v="Y"/>
    <s v="N"/>
    <s v="N"/>
    <s v="N"/>
    <s v="N"/>
    <s v="N"/>
    <s v="N"/>
    <s v="B049"/>
    <d v="2016-12-13T00:00:00"/>
    <s v="60"/>
    <s v="TAN"/>
    <s v="OR"/>
    <d v="2016-12-07T00:00:00"/>
    <s v="ID"/>
    <s v="US"/>
    <s v="ZR"/>
    <d v="2016-12-08T00:00:00"/>
  </r>
  <r>
    <x v="1"/>
    <x v="0"/>
    <x v="2542"/>
    <x v="43"/>
    <s v="Standard order"/>
    <x v="2420"/>
    <x v="2176"/>
    <s v="122N"/>
    <s v="BTS 12RR2N"/>
    <s v="5002309"/>
    <s v="122N BTS T20 Kabina MP"/>
    <n v="44"/>
    <n v="0"/>
    <n v="44"/>
    <x v="0"/>
    <s v="4TBG"/>
    <s v="MP"/>
    <s v="380"/>
    <s v="4.0 UN"/>
    <s v="STANDARD"/>
    <s v="N"/>
    <s v="N"/>
    <s v="Y"/>
    <s v="T20"/>
    <s v="N"/>
    <s v="N"/>
    <s v="N"/>
    <s v="N"/>
    <s v="B006"/>
    <d v="2016-12-13T00:00:00"/>
    <s v="10"/>
    <s v="TAN"/>
    <s v="OR"/>
    <d v="2016-12-07T00:00:00"/>
    <s v="MI"/>
    <s v="US"/>
    <s v="ZR"/>
    <d v="2016-12-08T00:00:00"/>
  </r>
  <r>
    <x v="1"/>
    <x v="0"/>
    <x v="2542"/>
    <x v="43"/>
    <s v="Standard order"/>
    <x v="2420"/>
    <x v="2176"/>
    <s v="149N"/>
    <s v="BTS 149N"/>
    <s v="5002366"/>
    <s v="149N BTS T20 Kabina MP"/>
    <n v="28"/>
    <n v="0"/>
    <n v="28"/>
    <x v="0"/>
    <s v="EEND"/>
    <s v="MP"/>
    <s v="380"/>
    <s v="4.0 UN"/>
    <s v="STANDARD"/>
    <s v="N"/>
    <s v="N"/>
    <s v="Y"/>
    <s v="T20"/>
    <s v="N"/>
    <s v="N"/>
    <s v="N"/>
    <s v="N"/>
    <s v="B006"/>
    <d v="2016-12-13T00:00:00"/>
    <s v="20"/>
    <s v="TAN"/>
    <s v="OR"/>
    <d v="2016-12-07T00:00:00"/>
    <s v="MI"/>
    <s v="US"/>
    <s v="ZR"/>
    <d v="2016-12-08T00:00:00"/>
  </r>
  <r>
    <x v="1"/>
    <x v="5"/>
    <x v="2543"/>
    <x v="14"/>
    <s v="Standard order"/>
    <x v="2421"/>
    <x v="1185"/>
    <s v="353N"/>
    <s v="BTS 353N"/>
    <s v="5002520"/>
    <s v="353N BTS T20 PB SYSTIVA MP"/>
    <n v="24"/>
    <n v="0"/>
    <n v="24"/>
    <x v="5"/>
    <s v="EENZ"/>
    <s v="MP"/>
    <s v="322"/>
    <s v="4.0 UN"/>
    <s v="STANDARD"/>
    <s v="N"/>
    <s v="Y"/>
    <s v="N"/>
    <s v="T20"/>
    <s v="Y"/>
    <s v="N"/>
    <s v="N"/>
    <s v="N"/>
    <s v="B017"/>
    <d v="2016-12-13T00:00:00"/>
    <s v="10"/>
    <s v="TAN"/>
    <s v="OR"/>
    <d v="2016-12-07T00:00:00"/>
    <s v="WY"/>
    <s v="US"/>
    <s v="ZR"/>
    <d v="2016-12-08T00:00:00"/>
  </r>
  <r>
    <x v="1"/>
    <x v="5"/>
    <x v="2543"/>
    <x v="14"/>
    <s v="Standard order"/>
    <x v="2421"/>
    <x v="1185"/>
    <s v="398N"/>
    <s v="BTS 39RR8N"/>
    <s v="5002568"/>
    <s v="398N BTS T20 PB SYSTIVA MP"/>
    <n v="100"/>
    <n v="0"/>
    <n v="100"/>
    <x v="5"/>
    <s v="2771"/>
    <s v="MP"/>
    <s v="322"/>
    <s v="4.0 UN"/>
    <s v="STANDARD"/>
    <s v="N"/>
    <s v="Y"/>
    <s v="N"/>
    <s v="T20"/>
    <s v="Y"/>
    <s v="N"/>
    <s v="N"/>
    <s v="N"/>
    <s v="B017"/>
    <d v="2016-12-13T00:00:00"/>
    <s v="20"/>
    <s v="TAN"/>
    <s v="OR"/>
    <d v="2016-12-07T00:00:00"/>
    <s v="WY"/>
    <s v="US"/>
    <s v="ZR"/>
    <d v="2016-12-08T00:00:00"/>
  </r>
  <r>
    <x v="1"/>
    <x v="7"/>
    <x v="2544"/>
    <x v="28"/>
    <s v="Standard order"/>
    <x v="2422"/>
    <x v="2177"/>
    <s v="8052"/>
    <s v="BTS 80RR52"/>
    <s v="5002739"/>
    <s v="8052 BTS T35 SYSTIVA RP"/>
    <n v="40"/>
    <n v="0"/>
    <n v="40"/>
    <x v="7"/>
    <s v="AP82"/>
    <s v="RP"/>
    <s v="334"/>
    <s v="4.0 UN"/>
    <s v="STANDARD"/>
    <s v="N"/>
    <s v="N"/>
    <s v="N"/>
    <s v="T35"/>
    <s v="Y"/>
    <s v="N"/>
    <s v="Y"/>
    <s v="N"/>
    <s v="B056"/>
    <d v="2016-12-13T00:00:00"/>
    <s v="20"/>
    <s v="TAN"/>
    <s v="OR"/>
    <d v="2016-12-07T00:00:00"/>
    <s v="ND"/>
    <s v="US"/>
    <s v="ZR"/>
    <d v="2016-12-08T00:00:00"/>
  </r>
  <r>
    <x v="1"/>
    <x v="5"/>
    <x v="2545"/>
    <x v="14"/>
    <s v="Standard order"/>
    <x v="2423"/>
    <x v="452"/>
    <s v="353N"/>
    <s v="BTS 353N"/>
    <s v="5002524"/>
    <s v="353N BTS T20 PB SYSTIVA RP"/>
    <n v="36"/>
    <n v="0"/>
    <n v="36"/>
    <x v="5"/>
    <s v="EENZ"/>
    <s v="RP"/>
    <s v="322"/>
    <s v="4.0 UN"/>
    <s v="STANDARD"/>
    <s v="N"/>
    <s v="Y"/>
    <s v="N"/>
    <s v="T20"/>
    <s v="Y"/>
    <s v="N"/>
    <s v="N"/>
    <s v="N"/>
    <s v="B017"/>
    <d v="2016-12-13T00:00:00"/>
    <s v="10"/>
    <s v="TAN"/>
    <s v="OR"/>
    <d v="2016-12-07T00:00:00"/>
    <s v="WY"/>
    <s v="US"/>
    <s v="ZR"/>
    <d v="2016-12-08T00:00:00"/>
  </r>
  <r>
    <x v="1"/>
    <x v="5"/>
    <x v="2545"/>
    <x v="14"/>
    <s v="Standard order"/>
    <x v="2423"/>
    <x v="452"/>
    <s v="398N"/>
    <s v="BTS 39RR8N"/>
    <s v="5002572"/>
    <s v="398N BTS T20 PB SYSTIVA RP"/>
    <n v="52"/>
    <n v="0"/>
    <n v="52"/>
    <x v="5"/>
    <s v="2771"/>
    <s v="RP"/>
    <s v="322"/>
    <s v="4.0 UN"/>
    <s v="STANDARD"/>
    <s v="N"/>
    <s v="Y"/>
    <s v="N"/>
    <s v="T20"/>
    <s v="Y"/>
    <s v="N"/>
    <s v="N"/>
    <s v="N"/>
    <s v="B017"/>
    <d v="2016-12-13T00:00:00"/>
    <s v="20"/>
    <s v="TAN"/>
    <s v="OR"/>
    <d v="2016-12-07T00:00:00"/>
    <s v="WY"/>
    <s v="US"/>
    <s v="ZR"/>
    <d v="2016-12-08T00:00:00"/>
  </r>
  <r>
    <x v="1"/>
    <x v="0"/>
    <x v="2546"/>
    <x v="45"/>
    <s v="Standard order"/>
    <x v="2424"/>
    <x v="2178"/>
    <s v="122N"/>
    <s v="BTS 12RR2N"/>
    <s v="5002311"/>
    <s v="122N BTS T20 Kabina RP"/>
    <n v="12"/>
    <n v="0"/>
    <n v="12"/>
    <x v="0"/>
    <s v="4TBG"/>
    <s v="RP"/>
    <s v="380"/>
    <s v="4.0 UN"/>
    <s v="STANDARD"/>
    <s v="N"/>
    <s v="N"/>
    <s v="Y"/>
    <s v="T20"/>
    <s v="N"/>
    <s v="N"/>
    <s v="N"/>
    <s v="N"/>
    <s v="B003"/>
    <d v="2016-12-14T00:00:00"/>
    <s v="10"/>
    <s v="TAN"/>
    <s v="OR"/>
    <d v="2016-12-08T00:00:00"/>
    <s v="MI"/>
    <s v="US"/>
    <s v="ZR"/>
    <d v="2016-12-09T00:00:00"/>
  </r>
  <r>
    <x v="1"/>
    <x v="0"/>
    <x v="2547"/>
    <x v="45"/>
    <s v="Standard order"/>
    <x v="2425"/>
    <x v="2179"/>
    <s v="122N"/>
    <s v="BTS 12RR2N"/>
    <s v="5002311"/>
    <s v="122N BTS T20 Kabina RP"/>
    <n v="28"/>
    <n v="0"/>
    <n v="28"/>
    <x v="0"/>
    <s v="4TBG"/>
    <s v="RP"/>
    <s v="380"/>
    <s v="4.0 UN"/>
    <s v="STANDARD"/>
    <s v="N"/>
    <s v="N"/>
    <s v="Y"/>
    <s v="T20"/>
    <s v="N"/>
    <s v="N"/>
    <s v="N"/>
    <s v="N"/>
    <s v="B003"/>
    <d v="2016-12-14T00:00:00"/>
    <s v="10"/>
    <s v="TAN"/>
    <s v="OR"/>
    <d v="2016-12-08T00:00:00"/>
    <s v="MI"/>
    <s v="US"/>
    <s v="ZR"/>
    <d v="2016-12-09T00:00:00"/>
  </r>
  <r>
    <x v="1"/>
    <x v="0"/>
    <x v="2548"/>
    <x v="29"/>
    <s v="Standard order"/>
    <x v="2426"/>
    <x v="381"/>
    <s v="149N"/>
    <s v="BTS 149N"/>
    <s v="5002367"/>
    <s v="149N BTS T20 Kabina P200"/>
    <n v="24"/>
    <n v="0"/>
    <n v="24"/>
    <x v="0"/>
    <s v="EEND"/>
    <s v="PRO 200"/>
    <s v="380"/>
    <s v="4.0 UN"/>
    <s v="STANDARD"/>
    <s v="N"/>
    <s v="N"/>
    <s v="Y"/>
    <s v="T20"/>
    <s v="N"/>
    <s v="N"/>
    <s v="N"/>
    <s v="N"/>
    <s v="B005"/>
    <d v="2016-12-14T00:00:00"/>
    <s v="10"/>
    <s v="TAN"/>
    <s v="OR"/>
    <d v="2016-12-08T00:00:00"/>
    <s v="MI"/>
    <s v="US"/>
    <s v="ZR"/>
    <d v="2016-12-09T00:00:00"/>
  </r>
  <r>
    <x v="1"/>
    <x v="0"/>
    <x v="2548"/>
    <x v="29"/>
    <s v="Standard order"/>
    <x v="2426"/>
    <x v="381"/>
    <s v="1399"/>
    <s v="BTS 1399"/>
    <s v="5002347"/>
    <s v="1399 BTS T20 Kabina P200"/>
    <n v="24"/>
    <n v="0"/>
    <n v="24"/>
    <x v="0"/>
    <s v="EG74"/>
    <s v="PRO 200"/>
    <s v="380"/>
    <s v="4.0 UN"/>
    <s v="STANDARD"/>
    <s v="N"/>
    <s v="N"/>
    <s v="Y"/>
    <s v="T20"/>
    <s v="N"/>
    <s v="N"/>
    <s v="N"/>
    <s v="N"/>
    <s v="B005"/>
    <d v="2016-12-14T00:00:00"/>
    <s v="20"/>
    <s v="TAN"/>
    <s v="OR"/>
    <d v="2016-12-08T00:00:00"/>
    <s v="MI"/>
    <s v="US"/>
    <s v="ZR"/>
    <d v="2016-12-09T00:00:00"/>
  </r>
  <r>
    <x v="1"/>
    <x v="0"/>
    <x v="2549"/>
    <x v="43"/>
    <s v="Standard order"/>
    <x v="2427"/>
    <x v="2180"/>
    <s v="1399"/>
    <s v="BTS 1399"/>
    <s v="5002348"/>
    <s v="1399 BTS T20 Kabina RP"/>
    <n v="100"/>
    <n v="0"/>
    <n v="100"/>
    <x v="0"/>
    <s v="EG74"/>
    <s v="RP"/>
    <s v="380"/>
    <s v="4.0 UN"/>
    <s v="STANDARD"/>
    <s v="N"/>
    <s v="N"/>
    <s v="Y"/>
    <s v="T20"/>
    <s v="N"/>
    <s v="N"/>
    <s v="N"/>
    <s v="N"/>
    <s v="B006"/>
    <d v="2016-12-14T00:00:00"/>
    <s v="10"/>
    <s v="TAN"/>
    <s v="OR"/>
    <d v="2016-12-08T00:00:00"/>
    <s v="MI"/>
    <s v="US"/>
    <s v="ZR"/>
    <d v="2016-12-09T00:00:00"/>
  </r>
  <r>
    <x v="1"/>
    <x v="0"/>
    <x v="2550"/>
    <x v="43"/>
    <s v="Standard order"/>
    <x v="2428"/>
    <x v="669"/>
    <s v="122N"/>
    <s v="BTS 12RR2N"/>
    <s v="5002310"/>
    <s v="122N BTS T20 Kabina P200"/>
    <n v="28"/>
    <n v="0"/>
    <n v="28"/>
    <x v="0"/>
    <s v="4TBG"/>
    <s v="PRO 200"/>
    <s v="380"/>
    <s v="4.0 UN"/>
    <s v="STANDARD"/>
    <s v="N"/>
    <s v="N"/>
    <s v="Y"/>
    <s v="T20"/>
    <s v="N"/>
    <s v="N"/>
    <s v="N"/>
    <s v="N"/>
    <s v="B006"/>
    <d v="2016-12-14T00:00:00"/>
    <s v="10"/>
    <s v="TAN"/>
    <s v="OR"/>
    <d v="2016-12-09T00:00:00"/>
    <s v="MI"/>
    <s v="US"/>
    <s v="ZR"/>
    <d v="2016-12-09T00:00:00"/>
  </r>
  <r>
    <x v="1"/>
    <x v="0"/>
    <x v="2550"/>
    <x v="43"/>
    <s v="Standard order"/>
    <x v="2428"/>
    <x v="669"/>
    <s v="149N"/>
    <s v="BTS 149N"/>
    <s v="5002367"/>
    <s v="149N BTS T20 Kabina P200"/>
    <n v="64"/>
    <n v="0"/>
    <n v="64"/>
    <x v="0"/>
    <s v="EEND"/>
    <s v="PRO 200"/>
    <s v="380"/>
    <s v="4.0 UN"/>
    <s v="STANDARD"/>
    <s v="N"/>
    <s v="N"/>
    <s v="Y"/>
    <s v="T20"/>
    <s v="N"/>
    <s v="N"/>
    <s v="N"/>
    <s v="N"/>
    <s v="B006"/>
    <d v="2016-12-14T00:00:00"/>
    <s v="20"/>
    <s v="TAN"/>
    <s v="OR"/>
    <d v="2016-12-09T00:00:00"/>
    <s v="MI"/>
    <s v="US"/>
    <s v="ZR"/>
    <d v="2016-12-09T00:00:00"/>
  </r>
  <r>
    <x v="1"/>
    <x v="0"/>
    <x v="2550"/>
    <x v="43"/>
    <s v="Standard order"/>
    <x v="2428"/>
    <x v="669"/>
    <s v="133N"/>
    <s v="BTS 133N"/>
    <s v="5002328"/>
    <s v="133N BTS T20 Kabina P200"/>
    <n v="36"/>
    <n v="0"/>
    <n v="36"/>
    <x v="0"/>
    <s v="DW73"/>
    <s v="PRO 200"/>
    <s v="380"/>
    <s v="4.0 UN"/>
    <s v="STANDARD"/>
    <s v="N"/>
    <s v="N"/>
    <s v="Y"/>
    <s v="T20"/>
    <s v="N"/>
    <s v="N"/>
    <s v="N"/>
    <s v="N"/>
    <s v="B006"/>
    <d v="2016-12-14T00:00:00"/>
    <s v="30"/>
    <s v="TAN"/>
    <s v="OR"/>
    <d v="2016-12-09T00:00:00"/>
    <s v="MI"/>
    <s v="US"/>
    <s v="ZR"/>
    <d v="2016-12-09T00:00:00"/>
  </r>
  <r>
    <x v="1"/>
    <x v="5"/>
    <x v="2551"/>
    <x v="12"/>
    <s v="Standard order"/>
    <x v="2429"/>
    <x v="500"/>
    <s v="398N"/>
    <s v="BTS 39RR8N"/>
    <s v="5002570"/>
    <s v="398N BTS T20 PB SYSTIVA P200"/>
    <n v="24"/>
    <n v="0"/>
    <n v="24"/>
    <x v="5"/>
    <s v="2771"/>
    <s v="PRO 200"/>
    <s v="322"/>
    <s v="4.0 UN"/>
    <s v="STANDARD"/>
    <s v="N"/>
    <s v="Y"/>
    <s v="N"/>
    <s v="T20"/>
    <s v="Y"/>
    <s v="N"/>
    <s v="N"/>
    <s v="N"/>
    <s v="B014"/>
    <d v="2016-12-14T00:00:00"/>
    <s v="10"/>
    <s v="TAN"/>
    <s v="OR"/>
    <d v="2016-12-09T00:00:00"/>
    <s v="MT"/>
    <s v="US"/>
    <s v="ZR"/>
    <d v="2016-12-09T00:00:00"/>
  </r>
  <r>
    <x v="1"/>
    <x v="5"/>
    <x v="2551"/>
    <x v="12"/>
    <s v="Standard order"/>
    <x v="2429"/>
    <x v="500"/>
    <s v="336N"/>
    <s v="BTS 336N"/>
    <s v="5002199"/>
    <s v="336N BTS T20 PB SYSTIVA P200"/>
    <n v="32"/>
    <n v="0"/>
    <n v="32"/>
    <x v="5"/>
    <s v="EEMG"/>
    <s v="PRO 200"/>
    <s v="322"/>
    <s v="4.0 UN"/>
    <s v="STANDARD"/>
    <s v="N"/>
    <s v="N"/>
    <s v="N"/>
    <s v="T20"/>
    <s v="Y"/>
    <s v="N"/>
    <s v="N"/>
    <s v="N"/>
    <s v="B014"/>
    <d v="2016-12-14T00:00:00"/>
    <s v="20"/>
    <s v="TAN"/>
    <s v="OR"/>
    <d v="2016-12-09T00:00:00"/>
    <s v="MT"/>
    <s v="US"/>
    <s v="ZR"/>
    <d v="2016-12-09T00:00:00"/>
  </r>
  <r>
    <x v="1"/>
    <x v="5"/>
    <x v="2551"/>
    <x v="12"/>
    <s v="Standard order"/>
    <x v="2429"/>
    <x v="500"/>
    <s v="353N"/>
    <s v="BTS 353N"/>
    <s v="5002522"/>
    <s v="353N BTS T20 PB SYSTIVA P200"/>
    <n v="8"/>
    <n v="0"/>
    <n v="8"/>
    <x v="5"/>
    <s v="EENZ"/>
    <s v="PRO 200"/>
    <s v="322"/>
    <s v="4.0 UN"/>
    <s v="STANDARD"/>
    <s v="N"/>
    <s v="Y"/>
    <s v="N"/>
    <s v="T20"/>
    <s v="Y"/>
    <s v="N"/>
    <s v="N"/>
    <s v="N"/>
    <s v="B014"/>
    <d v="2016-12-14T00:00:00"/>
    <s v="30"/>
    <s v="TAN"/>
    <s v="OR"/>
    <d v="2016-12-09T00:00:00"/>
    <s v="MT"/>
    <s v="US"/>
    <s v="ZR"/>
    <d v="2016-12-09T00:00:00"/>
  </r>
  <r>
    <x v="1"/>
    <x v="0"/>
    <x v="2552"/>
    <x v="43"/>
    <s v="Standard order"/>
    <x v="2430"/>
    <x v="1282"/>
    <s v="1399"/>
    <s v="BTS 1399"/>
    <s v="5002348"/>
    <s v="1399 BTS T20 Kabina RP"/>
    <n v="56"/>
    <n v="0"/>
    <n v="56"/>
    <x v="0"/>
    <s v="EG74"/>
    <s v="RP"/>
    <s v="380"/>
    <s v="4.0 UN"/>
    <s v="STANDARD"/>
    <s v="N"/>
    <s v="N"/>
    <s v="Y"/>
    <s v="T20"/>
    <s v="N"/>
    <s v="N"/>
    <s v="N"/>
    <s v="N"/>
    <s v="B006"/>
    <d v="2016-12-14T00:00:00"/>
    <s v="10"/>
    <s v="TAN"/>
    <s v="OR"/>
    <d v="2016-12-09T00:00:00"/>
    <s v="MI"/>
    <s v="US"/>
    <s v="ZR"/>
    <d v="2016-12-09T00:00:00"/>
  </r>
  <r>
    <x v="1"/>
    <x v="7"/>
    <x v="2553"/>
    <x v="28"/>
    <s v="Standard order"/>
    <x v="2431"/>
    <x v="2181"/>
    <s v="8512"/>
    <s v="BTS 8512"/>
    <s v="5002875"/>
    <s v="8512 BTS T35 PB SYSTIVA P200"/>
    <n v="96"/>
    <n v="0"/>
    <n v="96"/>
    <x v="7"/>
    <s v="FX73"/>
    <s v="PRO 200"/>
    <s v="333"/>
    <s v="4.0 UN"/>
    <s v="STANDARD"/>
    <s v="N"/>
    <s v="Y"/>
    <s v="N"/>
    <s v="T35"/>
    <s v="Y"/>
    <s v="N"/>
    <s v="Y"/>
    <s v="N"/>
    <s v="B056"/>
    <d v="2016-12-14T00:00:00"/>
    <s v="10"/>
    <s v="TAN"/>
    <s v="OR"/>
    <d v="2016-12-09T00:00:00"/>
    <s v="ND"/>
    <s v="US"/>
    <s v="ZR"/>
    <d v="2016-12-09T00:00:00"/>
  </r>
  <r>
    <x v="1"/>
    <x v="7"/>
    <x v="2554"/>
    <x v="28"/>
    <s v="Standard order"/>
    <x v="2432"/>
    <x v="2182"/>
    <s v="8337"/>
    <s v="BTS 8337"/>
    <s v="5002794"/>
    <s v="8337 BTS T35 PB SYSTIVA P200"/>
    <n v="16"/>
    <n v="0"/>
    <n v="16"/>
    <x v="7"/>
    <s v="DHMC"/>
    <s v="PRO 200"/>
    <s v="333"/>
    <s v="4.0 UN"/>
    <s v="STANDARD"/>
    <s v="N"/>
    <s v="Y"/>
    <s v="N"/>
    <s v="T35"/>
    <s v="Y"/>
    <s v="N"/>
    <s v="Y"/>
    <s v="N"/>
    <s v="B056"/>
    <d v="2016-12-14T00:00:00"/>
    <s v="10"/>
    <s v="TAN"/>
    <s v="OR"/>
    <d v="2016-12-09T00:00:00"/>
    <s v="ND"/>
    <s v="US"/>
    <s v="ZR"/>
    <d v="2016-12-09T00:00:00"/>
  </r>
  <r>
    <x v="1"/>
    <x v="0"/>
    <x v="2555"/>
    <x v="42"/>
    <s v="Standard order"/>
    <x v="2433"/>
    <x v="2183"/>
    <s v="1399"/>
    <s v="BTS 1399"/>
    <s v="5002348"/>
    <s v="1399 BTS T20 Kabina RP"/>
    <n v="260"/>
    <n v="0"/>
    <n v="260"/>
    <x v="0"/>
    <s v="EG74"/>
    <s v="RP"/>
    <s v="380"/>
    <s v="4.0 UN"/>
    <s v="STANDARD"/>
    <s v="N"/>
    <s v="N"/>
    <s v="Y"/>
    <s v="T20"/>
    <s v="N"/>
    <s v="N"/>
    <s v="N"/>
    <s v="N"/>
    <s v="B007"/>
    <d v="2016-12-14T00:00:00"/>
    <s v="10"/>
    <s v="TAN"/>
    <s v="OR"/>
    <d v="2016-12-09T00:00:00"/>
    <s v="MI"/>
    <s v="US"/>
    <s v="ZR"/>
    <d v="2016-12-09T00:00:00"/>
  </r>
  <r>
    <x v="1"/>
    <x v="0"/>
    <x v="2556"/>
    <x v="45"/>
    <s v="Standard order"/>
    <x v="2434"/>
    <x v="2184"/>
    <s v="1399"/>
    <s v="BTS 1399"/>
    <s v="5002347"/>
    <s v="1399 BTS T20 Kabina P200"/>
    <n v="24"/>
    <n v="0"/>
    <n v="24"/>
    <x v="0"/>
    <s v="EG74"/>
    <s v="PRO 200"/>
    <s v="380"/>
    <s v="4.0 UN"/>
    <s v="STANDARD"/>
    <s v="N"/>
    <s v="N"/>
    <s v="Y"/>
    <s v="T20"/>
    <s v="N"/>
    <s v="N"/>
    <s v="N"/>
    <s v="N"/>
    <s v="B003"/>
    <d v="2016-12-14T00:00:00"/>
    <s v="10"/>
    <s v="TAN"/>
    <s v="OR"/>
    <d v="2016-12-09T00:00:00"/>
    <s v="MI"/>
    <s v="US"/>
    <s v="ZR"/>
    <d v="2016-12-09T00:00:00"/>
  </r>
  <r>
    <x v="1"/>
    <x v="5"/>
    <x v="2557"/>
    <x v="21"/>
    <s v="Standard order"/>
    <x v="2435"/>
    <x v="501"/>
    <s v="353N"/>
    <s v="BTS 353N"/>
    <s v="5002524"/>
    <s v="353N BTS T20 PB SYSTIVA RP"/>
    <n v="16"/>
    <n v="0"/>
    <n v="16"/>
    <x v="5"/>
    <s v="EENZ"/>
    <s v="RP"/>
    <s v="322"/>
    <s v="4.0 UN"/>
    <s v="STANDARD"/>
    <s v="N"/>
    <s v="Y"/>
    <s v="N"/>
    <s v="T20"/>
    <s v="Y"/>
    <s v="N"/>
    <s v="N"/>
    <s v="N"/>
    <s v="B013"/>
    <d v="2016-12-14T00:00:00"/>
    <s v="10"/>
    <s v="TAN"/>
    <s v="OR"/>
    <d v="2016-12-09T00:00:00"/>
    <s v="MT"/>
    <s v="US"/>
    <s v="ZR"/>
    <d v="2016-12-09T00:00:00"/>
  </r>
  <r>
    <x v="1"/>
    <x v="5"/>
    <x v="2557"/>
    <x v="21"/>
    <s v="Standard order"/>
    <x v="2435"/>
    <x v="501"/>
    <s v="336N"/>
    <s v="BTS 336N"/>
    <s v="5002400"/>
    <s v="336N BTS T20 PB SYSTIVA RP"/>
    <n v="60"/>
    <n v="0"/>
    <n v="60"/>
    <x v="5"/>
    <s v="EEMG"/>
    <s v="RP"/>
    <s v="322"/>
    <s v="4.0 UN"/>
    <s v="STANDARD"/>
    <s v="N"/>
    <s v="N"/>
    <s v="N"/>
    <s v="T20"/>
    <s v="Y"/>
    <s v="N"/>
    <s v="N"/>
    <s v="N"/>
    <s v="B013"/>
    <d v="2016-12-14T00:00:00"/>
    <s v="20"/>
    <s v="TAN"/>
    <s v="OR"/>
    <d v="2016-12-09T00:00:00"/>
    <s v="MT"/>
    <s v="US"/>
    <s v="ZR"/>
    <d v="2016-12-09T00:00:00"/>
  </r>
  <r>
    <x v="1"/>
    <x v="0"/>
    <x v="2558"/>
    <x v="29"/>
    <s v="Standard order"/>
    <x v="2436"/>
    <x v="345"/>
    <s v="1399"/>
    <s v="BTS 1399"/>
    <s v="5002348"/>
    <s v="1399 BTS T20 Kabina RP"/>
    <n v="36"/>
    <n v="0"/>
    <n v="36"/>
    <x v="0"/>
    <s v="EG74"/>
    <s v="RP"/>
    <s v="380"/>
    <s v="4.0 UN"/>
    <s v="STANDARD"/>
    <s v="N"/>
    <s v="N"/>
    <s v="Y"/>
    <s v="T20"/>
    <s v="N"/>
    <s v="N"/>
    <s v="N"/>
    <s v="N"/>
    <s v="B005"/>
    <d v="2016-12-14T00:00:00"/>
    <s v="10"/>
    <s v="TAN"/>
    <s v="OR"/>
    <d v="2016-12-09T00:00:00"/>
    <s v="MI"/>
    <s v="US"/>
    <s v="ZR"/>
    <d v="2016-12-09T00:00:00"/>
  </r>
  <r>
    <x v="1"/>
    <x v="0"/>
    <x v="2558"/>
    <x v="29"/>
    <s v="Standard order"/>
    <x v="2436"/>
    <x v="345"/>
    <s v="149N"/>
    <s v="BTS 149N"/>
    <s v="5002368"/>
    <s v="149N BTS T20 Kabina RP"/>
    <n v="56"/>
    <n v="0"/>
    <n v="56"/>
    <x v="0"/>
    <s v="EEND"/>
    <s v="RP"/>
    <s v="380"/>
    <s v="4.0 UN"/>
    <s v="STANDARD"/>
    <s v="N"/>
    <s v="N"/>
    <s v="Y"/>
    <s v="T20"/>
    <s v="N"/>
    <s v="N"/>
    <s v="N"/>
    <s v="N"/>
    <s v="B005"/>
    <d v="2016-12-14T00:00:00"/>
    <s v="20"/>
    <s v="TAN"/>
    <s v="OR"/>
    <d v="2016-12-09T00:00:00"/>
    <s v="MI"/>
    <s v="US"/>
    <s v="ZR"/>
    <d v="2016-12-09T00:00:00"/>
  </r>
  <r>
    <x v="1"/>
    <x v="0"/>
    <x v="2558"/>
    <x v="29"/>
    <s v="Standard order"/>
    <x v="2436"/>
    <x v="345"/>
    <s v="122N"/>
    <s v="BTS 12RR2N"/>
    <s v="5002311"/>
    <s v="122N BTS T20 Kabina RP"/>
    <n v="104"/>
    <n v="0"/>
    <n v="104"/>
    <x v="0"/>
    <s v="4TBG"/>
    <s v="RP"/>
    <s v="380"/>
    <s v="4.0 UN"/>
    <s v="STANDARD"/>
    <s v="N"/>
    <s v="N"/>
    <s v="Y"/>
    <s v="T20"/>
    <s v="N"/>
    <s v="N"/>
    <s v="N"/>
    <s v="N"/>
    <s v="B005"/>
    <d v="2016-12-14T00:00:00"/>
    <s v="30"/>
    <s v="TAN"/>
    <s v="OR"/>
    <d v="2016-12-09T00:00:00"/>
    <s v="MI"/>
    <s v="US"/>
    <s v="ZR"/>
    <d v="2016-12-09T00:00:00"/>
  </r>
  <r>
    <x v="1"/>
    <x v="4"/>
    <x v="2559"/>
    <x v="47"/>
    <s v="Standard order"/>
    <x v="2437"/>
    <x v="2185"/>
    <s v="2570"/>
    <s v="BTS 2570"/>
    <s v="5002555"/>
    <s v="2570 BTS PB XL"/>
    <n v="52"/>
    <n v="0"/>
    <n v="52"/>
    <x v="4"/>
    <s v="EZNS"/>
    <s v="X-LARGE"/>
    <s v="307"/>
    <s v="4.0 UN"/>
    <s v="STANDARD"/>
    <s v="N"/>
    <s v="Y"/>
    <s v="N"/>
    <s v="N"/>
    <s v="N"/>
    <s v="N"/>
    <s v="N"/>
    <s v="N"/>
    <s v="B050"/>
    <d v="2016-12-14T00:00:00"/>
    <s v="10"/>
    <s v="TAN"/>
    <s v="OR"/>
    <d v="2016-12-09T00:00:00"/>
    <s v="ID"/>
    <s v="US"/>
    <s v="ZR"/>
    <d v="2016-12-09T00:00:00"/>
  </r>
  <r>
    <x v="1"/>
    <x v="4"/>
    <x v="2559"/>
    <x v="47"/>
    <s v="Standard order"/>
    <x v="2437"/>
    <x v="2185"/>
    <s v="2523"/>
    <s v="BTS 2523"/>
    <s v="5002529"/>
    <s v="2523 BTS PB XL"/>
    <n v="48"/>
    <n v="0"/>
    <n v="48"/>
    <x v="4"/>
    <s v="EZPC"/>
    <s v="X-LARGE"/>
    <s v="307"/>
    <s v="4.0 UN"/>
    <s v="STANDARD"/>
    <s v="N"/>
    <s v="Y"/>
    <s v="N"/>
    <s v="N"/>
    <s v="N"/>
    <s v="N"/>
    <s v="N"/>
    <s v="N"/>
    <s v="B050"/>
    <d v="2016-12-14T00:00:00"/>
    <s v="20"/>
    <s v="TAN"/>
    <s v="OR"/>
    <d v="2016-12-09T00:00:00"/>
    <s v="ID"/>
    <s v="US"/>
    <s v="ZR"/>
    <d v="2016-12-09T00:00:00"/>
  </r>
  <r>
    <x v="1"/>
    <x v="4"/>
    <x v="2559"/>
    <x v="47"/>
    <s v="Standard order"/>
    <x v="2437"/>
    <x v="2185"/>
    <s v="2559"/>
    <s v="BTS 2559"/>
    <s v="5002563"/>
    <s v="2559 BTS PB XL"/>
    <n v="48"/>
    <n v="0"/>
    <n v="48"/>
    <x v="4"/>
    <s v="FGNE"/>
    <s v="X-LARGE"/>
    <s v="307"/>
    <s v="4.0 UN"/>
    <s v="STANDARD"/>
    <s v="N"/>
    <s v="Y"/>
    <s v="N"/>
    <s v="N"/>
    <s v="N"/>
    <s v="N"/>
    <s v="N"/>
    <s v="N"/>
    <s v="B050"/>
    <d v="2016-12-14T00:00:00"/>
    <s v="30"/>
    <s v="TAN"/>
    <s v="OR"/>
    <d v="2016-12-09T00:00:00"/>
    <s v="ID"/>
    <s v="US"/>
    <s v="ZR"/>
    <d v="2016-12-09T00:00:00"/>
  </r>
  <r>
    <x v="1"/>
    <x v="7"/>
    <x v="2560"/>
    <x v="28"/>
    <s v="Standard order"/>
    <x v="2438"/>
    <x v="2186"/>
    <s v="8363"/>
    <s v="BTS 8363"/>
    <s v="5002816"/>
    <s v="8363 BTS T35 PB SYSTIVA RP"/>
    <n v="128"/>
    <n v="0"/>
    <n v="128"/>
    <x v="7"/>
    <s v="DMMZ"/>
    <s v="RP"/>
    <s v="333"/>
    <s v="4.0 UN"/>
    <s v="STANDARD"/>
    <s v="N"/>
    <s v="Y"/>
    <s v="N"/>
    <s v="T35"/>
    <s v="Y"/>
    <s v="N"/>
    <s v="Y"/>
    <s v="N"/>
    <s v="B056"/>
    <d v="2016-12-14T00:00:00"/>
    <s v="30"/>
    <s v="TAN"/>
    <s v="OR"/>
    <d v="2016-12-09T00:00:00"/>
    <s v="ND"/>
    <s v="US"/>
    <s v="ZR"/>
    <d v="2016-12-09T00:00:00"/>
  </r>
  <r>
    <x v="1"/>
    <x v="4"/>
    <x v="2561"/>
    <x v="46"/>
    <s v="Standard order"/>
    <x v="2439"/>
    <x v="111"/>
    <s v="2559"/>
    <s v="BTS 2559"/>
    <s v="5002559"/>
    <s v="2559 BTS PB MED"/>
    <n v="52"/>
    <n v="0"/>
    <n v="52"/>
    <x v="4"/>
    <s v="FGNE"/>
    <s v="MEDIUM"/>
    <s v="307"/>
    <s v="4.0 UN"/>
    <s v="STANDARD"/>
    <s v="N"/>
    <s v="Y"/>
    <s v="N"/>
    <s v="N"/>
    <s v="N"/>
    <s v="N"/>
    <s v="N"/>
    <s v="N"/>
    <s v="B049"/>
    <d v="2016-12-14T00:00:00"/>
    <s v="10"/>
    <s v="TAN"/>
    <s v="OR"/>
    <d v="2016-12-09T00:00:00"/>
    <s v="ID"/>
    <s v="US"/>
    <s v="ZR"/>
    <d v="2016-12-09T00:00:00"/>
  </r>
  <r>
    <x v="1"/>
    <x v="4"/>
    <x v="2561"/>
    <x v="46"/>
    <s v="Standard order"/>
    <x v="2439"/>
    <x v="111"/>
    <s v="2125"/>
    <s v="BTS 21RR25"/>
    <s v="5002388"/>
    <s v="2125 BTS PB MED"/>
    <n v="48"/>
    <n v="0"/>
    <n v="48"/>
    <x v="4"/>
    <s v="AP92"/>
    <s v="MEDIUM"/>
    <s v="307"/>
    <s v="4.0 UN"/>
    <s v="STANDARD"/>
    <s v="N"/>
    <s v="Y"/>
    <s v="N"/>
    <s v="N"/>
    <s v="N"/>
    <s v="N"/>
    <s v="N"/>
    <s v="N"/>
    <s v="B049"/>
    <d v="2016-12-14T00:00:00"/>
    <s v="20"/>
    <s v="TAN"/>
    <s v="OR"/>
    <d v="2016-12-09T00:00:00"/>
    <s v="ID"/>
    <s v="US"/>
    <s v="ZR"/>
    <d v="2016-12-09T00:00:00"/>
  </r>
  <r>
    <x v="1"/>
    <x v="5"/>
    <x v="2562"/>
    <x v="12"/>
    <s v="Standard order"/>
    <x v="2440"/>
    <x v="502"/>
    <s v="336N"/>
    <s v="BTS 336N"/>
    <s v="5002197"/>
    <s v="336N BTS T20 PB SYSTIVA MP"/>
    <n v="32"/>
    <n v="0"/>
    <n v="32"/>
    <x v="5"/>
    <s v="EEMG"/>
    <s v="MP"/>
    <s v="322"/>
    <s v="4.0 UN"/>
    <s v="STANDARD"/>
    <s v="N"/>
    <s v="N"/>
    <s v="N"/>
    <s v="T20"/>
    <s v="Y"/>
    <s v="N"/>
    <s v="N"/>
    <s v="N"/>
    <s v="B014"/>
    <d v="2016-12-14T00:00:00"/>
    <s v="10"/>
    <s v="TAN"/>
    <s v="OR"/>
    <d v="2016-12-09T00:00:00"/>
    <s v="MT"/>
    <s v="US"/>
    <s v="ZR"/>
    <d v="2016-12-09T00:00:00"/>
  </r>
  <r>
    <x v="1"/>
    <x v="5"/>
    <x v="2562"/>
    <x v="12"/>
    <s v="Standard order"/>
    <x v="2440"/>
    <x v="502"/>
    <s v="353N"/>
    <s v="BTS 353N"/>
    <s v="5002520"/>
    <s v="353N BTS T20 PB SYSTIVA MP"/>
    <n v="8"/>
    <n v="0"/>
    <n v="8"/>
    <x v="5"/>
    <s v="EENZ"/>
    <s v="MP"/>
    <s v="322"/>
    <s v="4.0 UN"/>
    <s v="STANDARD"/>
    <s v="N"/>
    <s v="Y"/>
    <s v="N"/>
    <s v="T20"/>
    <s v="Y"/>
    <s v="N"/>
    <s v="N"/>
    <s v="N"/>
    <s v="B014"/>
    <d v="2016-12-14T00:00:00"/>
    <s v="20"/>
    <s v="TAN"/>
    <s v="OR"/>
    <d v="2016-12-09T00:00:00"/>
    <s v="MT"/>
    <s v="US"/>
    <s v="ZR"/>
    <d v="2016-12-09T00:00:00"/>
  </r>
  <r>
    <x v="1"/>
    <x v="4"/>
    <x v="2563"/>
    <x v="53"/>
    <s v="Standard order"/>
    <x v="2441"/>
    <x v="504"/>
    <s v="2559"/>
    <s v="BTS 2559"/>
    <s v="5002563"/>
    <s v="2559 BTS PB XL"/>
    <n v="48"/>
    <n v="0"/>
    <n v="48"/>
    <x v="4"/>
    <s v="FGNE"/>
    <s v="X-LARGE"/>
    <s v="307"/>
    <s v="4.0 UN"/>
    <s v="STANDARD"/>
    <s v="N"/>
    <s v="Y"/>
    <s v="N"/>
    <s v="N"/>
    <s v="N"/>
    <s v="N"/>
    <s v="N"/>
    <s v="N"/>
    <s v="B051"/>
    <d v="2016-12-14T00:00:00"/>
    <s v="10"/>
    <s v="TAN"/>
    <s v="OR"/>
    <d v="2016-12-09T00:00:00"/>
    <s v="ID"/>
    <s v="US"/>
    <s v="ZR"/>
    <d v="2016-12-09T00:00:00"/>
  </r>
  <r>
    <x v="1"/>
    <x v="0"/>
    <x v="2564"/>
    <x v="42"/>
    <s v="Standard order"/>
    <x v="2442"/>
    <x v="2187"/>
    <s v="1399"/>
    <s v="BTS 1399"/>
    <s v="5002348"/>
    <s v="1399 BTS T20 Kabina RP"/>
    <n v="16"/>
    <n v="0"/>
    <n v="16"/>
    <x v="0"/>
    <s v="EG74"/>
    <s v="RP"/>
    <s v="380"/>
    <s v="4.0 UN"/>
    <s v="STANDARD"/>
    <s v="N"/>
    <s v="N"/>
    <s v="Y"/>
    <s v="T20"/>
    <s v="N"/>
    <s v="N"/>
    <s v="N"/>
    <s v="N"/>
    <s v="B007"/>
    <d v="2016-12-14T00:00:00"/>
    <s v="10"/>
    <s v="TAN"/>
    <s v="OR"/>
    <d v="2016-12-09T00:00:00"/>
    <s v="MI"/>
    <s v="US"/>
    <s v="ZR"/>
    <d v="2016-12-09T00:00:00"/>
  </r>
  <r>
    <x v="1"/>
    <x v="0"/>
    <x v="2565"/>
    <x v="49"/>
    <s v="Standard order"/>
    <x v="2443"/>
    <x v="2188"/>
    <s v="122N"/>
    <s v="BTS 12RR2N"/>
    <s v="5002315"/>
    <s v="122N BTS T20 SYSTIVA MP"/>
    <n v="24"/>
    <n v="0"/>
    <n v="24"/>
    <x v="0"/>
    <s v="4TBG"/>
    <s v="MP"/>
    <s v="326"/>
    <s v="4.0 UN"/>
    <s v="STANDARD"/>
    <s v="N"/>
    <s v="N"/>
    <s v="N"/>
    <s v="T20"/>
    <s v="Y"/>
    <s v="N"/>
    <s v="Y"/>
    <s v="N"/>
    <s v="B004"/>
    <d v="2016-12-14T00:00:00"/>
    <s v="10"/>
    <s v="TAN"/>
    <s v="OR"/>
    <d v="2016-12-09T00:00:00"/>
    <s v="MI"/>
    <s v="US"/>
    <s v="ZR"/>
    <d v="2016-12-09T00:00:00"/>
  </r>
  <r>
    <x v="1"/>
    <x v="0"/>
    <x v="2565"/>
    <x v="49"/>
    <s v="Standard order"/>
    <x v="2443"/>
    <x v="2188"/>
    <s v="149N"/>
    <s v="BTS 149N"/>
    <s v="5002366"/>
    <s v="149N BTS T20 Kabina MP"/>
    <n v="24"/>
    <n v="0"/>
    <n v="24"/>
    <x v="0"/>
    <s v="EEND"/>
    <s v="MP"/>
    <s v="380"/>
    <s v="4.0 UN"/>
    <s v="STANDARD"/>
    <s v="N"/>
    <s v="N"/>
    <s v="Y"/>
    <s v="T20"/>
    <s v="N"/>
    <s v="N"/>
    <s v="N"/>
    <s v="N"/>
    <s v="B004"/>
    <d v="2016-12-14T00:00:00"/>
    <s v="20"/>
    <s v="TAN"/>
    <s v="OR"/>
    <d v="2016-12-09T00:00:00"/>
    <s v="MI"/>
    <s v="US"/>
    <s v="ZR"/>
    <d v="2016-12-09T00:00:00"/>
  </r>
  <r>
    <x v="1"/>
    <x v="4"/>
    <x v="2566"/>
    <x v="53"/>
    <s v="Standard order"/>
    <x v="2444"/>
    <x v="2189"/>
    <s v="251N"/>
    <s v="BTS 251N"/>
    <s v="5002196"/>
    <s v="251N BTS PB XL"/>
    <n v="72"/>
    <n v="0"/>
    <n v="72"/>
    <x v="4"/>
    <s v="5HBR"/>
    <s v="X-LARGE"/>
    <s v="307"/>
    <s v="4.0 UN"/>
    <s v="STANDARD"/>
    <s v="N"/>
    <s v="Y"/>
    <s v="N"/>
    <s v="N"/>
    <s v="N"/>
    <s v="N"/>
    <s v="N"/>
    <s v="N"/>
    <s v="B051"/>
    <d v="2016-12-14T00:00:00"/>
    <s v="10"/>
    <s v="TAN"/>
    <s v="OR"/>
    <d v="2016-12-09T00:00:00"/>
    <s v="ID"/>
    <s v="US"/>
    <s v="ZR"/>
    <d v="2016-12-09T00:00:00"/>
  </r>
  <r>
    <x v="1"/>
    <x v="4"/>
    <x v="2566"/>
    <x v="53"/>
    <s v="Standard order"/>
    <x v="2444"/>
    <x v="2189"/>
    <s v="225N"/>
    <s v="BTS 22RR5N"/>
    <s v="5002119"/>
    <s v="225N BTS PB XL"/>
    <n v="44"/>
    <n v="0"/>
    <n v="44"/>
    <x v="4"/>
    <s v="4TBD"/>
    <s v="X-LARGE"/>
    <s v="307"/>
    <s v="4.0 UN"/>
    <s v="STANDARD"/>
    <s v="N"/>
    <s v="Y"/>
    <s v="N"/>
    <s v="N"/>
    <s v="N"/>
    <s v="N"/>
    <s v="N"/>
    <s v="N"/>
    <s v="B051"/>
    <d v="2016-12-14T00:00:00"/>
    <s v="20"/>
    <s v="TAN"/>
    <s v="OR"/>
    <d v="2016-12-09T00:00:00"/>
    <s v="ID"/>
    <s v="US"/>
    <s v="ZR"/>
    <d v="2016-12-09T00:00:00"/>
  </r>
  <r>
    <x v="1"/>
    <x v="7"/>
    <x v="2567"/>
    <x v="28"/>
    <s v="Standard order"/>
    <x v="2445"/>
    <x v="2190"/>
    <s v="8500"/>
    <s v="BTS 8500"/>
    <s v="5002856"/>
    <s v="8500 BTS T35 PB SYSTIVA RP"/>
    <n v="60"/>
    <n v="0"/>
    <n v="60"/>
    <x v="7"/>
    <s v="FTND"/>
    <s v="RP"/>
    <s v="333"/>
    <s v="4.0 UN"/>
    <s v="STANDARD"/>
    <s v="N"/>
    <s v="Y"/>
    <s v="N"/>
    <s v="T35"/>
    <s v="Y"/>
    <s v="N"/>
    <s v="Y"/>
    <s v="N"/>
    <s v="B056"/>
    <d v="2016-12-14T00:00:00"/>
    <s v="10"/>
    <s v="TAN"/>
    <s v="OR"/>
    <d v="2016-12-09T00:00:00"/>
    <s v="ND"/>
    <s v="US"/>
    <s v="ZR"/>
    <d v="2016-12-09T00:00:00"/>
  </r>
  <r>
    <x v="1"/>
    <x v="0"/>
    <x v="2568"/>
    <x v="45"/>
    <s v="Standard order"/>
    <x v="2446"/>
    <x v="533"/>
    <s v="149N"/>
    <s v="BTS 149N"/>
    <s v="5002368"/>
    <s v="149N BTS T20 Kabina RP"/>
    <n v="4"/>
    <n v="0"/>
    <n v="4"/>
    <x v="0"/>
    <s v="EEND"/>
    <s v="RP"/>
    <s v="380"/>
    <s v="4.0 UN"/>
    <s v="STANDARD"/>
    <s v="N"/>
    <s v="N"/>
    <s v="Y"/>
    <s v="T20"/>
    <s v="N"/>
    <s v="N"/>
    <s v="N"/>
    <s v="N"/>
    <s v="B003"/>
    <d v="2016-12-14T00:00:00"/>
    <s v="10"/>
    <s v="TAN"/>
    <s v="OR"/>
    <d v="2016-12-09T00:00:00"/>
    <s v="MI"/>
    <s v="US"/>
    <s v="ZR"/>
    <d v="2016-12-09T00:00:00"/>
  </r>
  <r>
    <x v="1"/>
    <x v="0"/>
    <x v="2568"/>
    <x v="45"/>
    <s v="Standard order"/>
    <x v="2446"/>
    <x v="533"/>
    <s v="122N"/>
    <s v="BTS 12RR2N"/>
    <s v="5002317"/>
    <s v="122N BTS T20 SYSTIVA RP"/>
    <n v="16"/>
    <n v="0"/>
    <n v="16"/>
    <x v="0"/>
    <s v="4TBG"/>
    <s v="RP"/>
    <s v="326"/>
    <s v="4.0 UN"/>
    <s v="STANDARD"/>
    <s v="N"/>
    <s v="N"/>
    <s v="N"/>
    <s v="T20"/>
    <s v="Y"/>
    <s v="N"/>
    <s v="Y"/>
    <s v="N"/>
    <s v="B003"/>
    <d v="2016-12-14T00:00:00"/>
    <s v="20"/>
    <s v="TAN"/>
    <s v="OR"/>
    <d v="2016-12-09T00:00:00"/>
    <s v="MI"/>
    <s v="US"/>
    <s v="ZR"/>
    <d v="2016-12-09T00:00:00"/>
  </r>
  <r>
    <x v="1"/>
    <x v="0"/>
    <x v="2569"/>
    <x v="56"/>
    <s v="Standard order"/>
    <x v="2447"/>
    <x v="2191"/>
    <s v="149N"/>
    <s v="BTS 149N"/>
    <s v="5002358"/>
    <s v="149N BTS CM Vibrance RP"/>
    <n v="80"/>
    <n v="0"/>
    <n v="80"/>
    <x v="0"/>
    <s v="EEND"/>
    <s v="RP"/>
    <s v="366"/>
    <s v="4.0 UN"/>
    <s v="STANDARD"/>
    <s v="Y"/>
    <s v="N"/>
    <s v="N"/>
    <s v="N"/>
    <s v="N"/>
    <s v="N"/>
    <s v="N"/>
    <s v="Y"/>
    <s v="B010"/>
    <d v="2016-12-14T00:00:00"/>
    <s v="10"/>
    <s v="TAN"/>
    <s v="OR"/>
    <d v="2016-12-09T00:00:00"/>
    <s v="ON"/>
    <s v="CA"/>
    <s v="ZR"/>
    <d v="2016-12-09T00:00:00"/>
  </r>
  <r>
    <x v="1"/>
    <x v="0"/>
    <x v="2569"/>
    <x v="56"/>
    <s v="Standard order"/>
    <x v="2447"/>
    <x v="2191"/>
    <s v="1399"/>
    <s v="BTS 1399"/>
    <s v="5002338"/>
    <s v="1399 BTS CM Vibrance RP"/>
    <n v="100"/>
    <n v="0"/>
    <n v="100"/>
    <x v="0"/>
    <s v="EG74"/>
    <s v="RP"/>
    <s v="366"/>
    <s v="4.0 UN"/>
    <s v="STANDARD"/>
    <s v="Y"/>
    <s v="N"/>
    <s v="N"/>
    <s v="N"/>
    <s v="N"/>
    <s v="N"/>
    <s v="N"/>
    <s v="Y"/>
    <s v="B010"/>
    <d v="2016-12-14T00:00:00"/>
    <s v="20"/>
    <s v="TAN"/>
    <s v="OR"/>
    <d v="2016-12-09T00:00:00"/>
    <s v="ON"/>
    <s v="CA"/>
    <s v="ZR"/>
    <d v="2016-12-09T00:00:00"/>
  </r>
  <r>
    <x v="1"/>
    <x v="7"/>
    <x v="2570"/>
    <x v="37"/>
    <s v="Standard order"/>
    <x v="2448"/>
    <x v="2192"/>
    <s v="8052"/>
    <s v="BTS 80RR52"/>
    <s v="5002735"/>
    <s v="8052 BTS T35 PB SYSTIVA RP"/>
    <n v="52"/>
    <n v="0"/>
    <n v="52"/>
    <x v="7"/>
    <s v="AP82"/>
    <s v="RP"/>
    <s v="333"/>
    <s v="4.0 UN"/>
    <s v="STANDARD"/>
    <s v="N"/>
    <s v="Y"/>
    <s v="N"/>
    <s v="T35"/>
    <s v="Y"/>
    <s v="N"/>
    <s v="Y"/>
    <s v="N"/>
    <s v="B033"/>
    <d v="2016-12-14T00:00:00"/>
    <s v="10"/>
    <s v="TAN"/>
    <s v="OR"/>
    <d v="2016-12-09T00:00:00"/>
    <s v="MN"/>
    <s v="US"/>
    <s v="ZR"/>
    <d v="2016-12-09T00:00:00"/>
  </r>
  <r>
    <x v="1"/>
    <x v="7"/>
    <x v="2570"/>
    <x v="37"/>
    <s v="Standard order"/>
    <x v="2448"/>
    <x v="2192"/>
    <s v="8500"/>
    <s v="BTS 8500"/>
    <s v="5002856"/>
    <s v="8500 BTS T35 PB SYSTIVA RP"/>
    <n v="100"/>
    <n v="0"/>
    <n v="100"/>
    <x v="7"/>
    <s v="FTND"/>
    <s v="RP"/>
    <s v="333"/>
    <s v="4.0 UN"/>
    <s v="STANDARD"/>
    <s v="N"/>
    <s v="Y"/>
    <s v="N"/>
    <s v="T35"/>
    <s v="Y"/>
    <s v="N"/>
    <s v="Y"/>
    <s v="N"/>
    <s v="B033"/>
    <d v="2016-12-14T00:00:00"/>
    <s v="20"/>
    <s v="TAN"/>
    <s v="OR"/>
    <d v="2016-12-09T00:00:00"/>
    <s v="MN"/>
    <s v="US"/>
    <s v="ZR"/>
    <d v="2016-12-09T00:00:00"/>
  </r>
  <r>
    <x v="1"/>
    <x v="7"/>
    <x v="2571"/>
    <x v="37"/>
    <s v="Standard order"/>
    <x v="2449"/>
    <x v="2193"/>
    <s v="8052"/>
    <s v="BTS 80RR52"/>
    <s v="5002739"/>
    <s v="8052 BTS T35 SYSTIVA RP"/>
    <n v="72"/>
    <n v="0"/>
    <n v="72"/>
    <x v="7"/>
    <s v="AP82"/>
    <s v="RP"/>
    <s v="334"/>
    <s v="4.0 UN"/>
    <s v="STANDARD"/>
    <s v="N"/>
    <s v="N"/>
    <s v="N"/>
    <s v="T35"/>
    <s v="Y"/>
    <s v="N"/>
    <s v="Y"/>
    <s v="N"/>
    <s v="B033"/>
    <d v="2016-12-14T00:00:00"/>
    <s v="10"/>
    <s v="TAN"/>
    <s v="OR"/>
    <d v="2016-12-09T00:00:00"/>
    <s v="ND"/>
    <s v="US"/>
    <s v="ZR"/>
    <d v="2016-12-09T00:00:00"/>
  </r>
  <r>
    <x v="1"/>
    <x v="7"/>
    <x v="2571"/>
    <x v="37"/>
    <s v="Standard order"/>
    <x v="2449"/>
    <x v="2193"/>
    <s v="8500"/>
    <s v="BTS 8500"/>
    <s v="5002860"/>
    <s v="8500 BTS T35 SYSTIVA RP"/>
    <n v="32"/>
    <n v="0"/>
    <n v="32"/>
    <x v="7"/>
    <s v="FTND"/>
    <s v="RP"/>
    <s v="334"/>
    <s v="4.0 UN"/>
    <s v="STANDARD"/>
    <s v="N"/>
    <s v="N"/>
    <s v="N"/>
    <s v="T35"/>
    <s v="Y"/>
    <s v="N"/>
    <s v="Y"/>
    <s v="N"/>
    <s v="B033"/>
    <d v="2016-12-14T00:00:00"/>
    <s v="20"/>
    <s v="TAN"/>
    <s v="OR"/>
    <d v="2016-12-09T00:00:00"/>
    <s v="ND"/>
    <s v="US"/>
    <s v="ZR"/>
    <d v="2016-12-09T00:00:00"/>
  </r>
  <r>
    <x v="1"/>
    <x v="7"/>
    <x v="2571"/>
    <x v="37"/>
    <s v="Standard order"/>
    <x v="2449"/>
    <x v="2193"/>
    <s v="8233"/>
    <s v="BTS 82RR33"/>
    <s v="5002779"/>
    <s v="8233 BTS T35 SYSTIVA RP"/>
    <n v="40"/>
    <n v="0"/>
    <n v="40"/>
    <x v="7"/>
    <s v="DRMC"/>
    <s v="RP"/>
    <s v="334"/>
    <s v="4.0 UN"/>
    <s v="STANDARD"/>
    <s v="N"/>
    <s v="N"/>
    <s v="N"/>
    <s v="T35"/>
    <s v="Y"/>
    <s v="N"/>
    <s v="Y"/>
    <s v="N"/>
    <s v="B033"/>
    <d v="2016-12-14T00:00:00"/>
    <s v="30"/>
    <s v="TAN"/>
    <s v="OR"/>
    <d v="2016-12-09T00:00:00"/>
    <s v="ND"/>
    <s v="US"/>
    <s v="ZR"/>
    <d v="2016-12-09T00:00:00"/>
  </r>
  <r>
    <x v="1"/>
    <x v="7"/>
    <x v="2572"/>
    <x v="37"/>
    <s v="Standard order"/>
    <x v="2450"/>
    <x v="2194"/>
    <s v="8500"/>
    <s v="BTS 8500"/>
    <s v="5002856"/>
    <s v="8500 BTS T35 PB SYSTIVA RP"/>
    <n v="64"/>
    <n v="0"/>
    <n v="64"/>
    <x v="7"/>
    <s v="FTND"/>
    <s v="RP"/>
    <s v="333"/>
    <s v="4.0 UN"/>
    <s v="STANDARD"/>
    <s v="N"/>
    <s v="Y"/>
    <s v="N"/>
    <s v="T35"/>
    <s v="Y"/>
    <s v="N"/>
    <s v="Y"/>
    <s v="N"/>
    <s v="B033"/>
    <d v="2016-12-14T00:00:00"/>
    <s v="10"/>
    <s v="TAN"/>
    <s v="OR"/>
    <d v="2016-12-09T00:00:00"/>
    <s v="ND"/>
    <s v="US"/>
    <s v="ZR"/>
    <d v="2016-12-09T00:00:00"/>
  </r>
  <r>
    <x v="1"/>
    <x v="7"/>
    <x v="2573"/>
    <x v="37"/>
    <s v="Standard order"/>
    <x v="2451"/>
    <x v="2195"/>
    <s v="8337"/>
    <s v="BTS 8337"/>
    <s v="5002799"/>
    <s v="8337 BTS T35 SYSTIVA RP"/>
    <n v="88"/>
    <n v="0"/>
    <n v="88"/>
    <x v="7"/>
    <s v="DHMC"/>
    <s v="RP"/>
    <s v="334"/>
    <s v="4.0 UN"/>
    <s v="STANDARD"/>
    <s v="N"/>
    <s v="N"/>
    <s v="N"/>
    <s v="T35"/>
    <s v="Y"/>
    <s v="N"/>
    <s v="Y"/>
    <s v="N"/>
    <s v="B033"/>
    <d v="2016-12-14T00:00:00"/>
    <s v="10"/>
    <s v="TAN"/>
    <s v="OR"/>
    <d v="2016-12-09T00:00:00"/>
    <s v="MN"/>
    <s v="US"/>
    <s v="ZR"/>
    <d v="2016-12-09T00:00:00"/>
  </r>
  <r>
    <x v="1"/>
    <x v="7"/>
    <x v="2573"/>
    <x v="37"/>
    <s v="Standard order"/>
    <x v="2451"/>
    <x v="2195"/>
    <s v="8052"/>
    <s v="BTS 80RR52"/>
    <s v="5002739"/>
    <s v="8052 BTS T35 SYSTIVA RP"/>
    <n v="48"/>
    <n v="0"/>
    <n v="48"/>
    <x v="7"/>
    <s v="AP82"/>
    <s v="RP"/>
    <s v="334"/>
    <s v="4.0 UN"/>
    <s v="STANDARD"/>
    <s v="N"/>
    <s v="N"/>
    <s v="N"/>
    <s v="T35"/>
    <s v="Y"/>
    <s v="N"/>
    <s v="Y"/>
    <s v="N"/>
    <s v="B033"/>
    <d v="2016-12-14T00:00:00"/>
    <s v="20"/>
    <s v="TAN"/>
    <s v="OR"/>
    <d v="2016-12-09T00:00:00"/>
    <s v="MN"/>
    <s v="US"/>
    <s v="ZR"/>
    <d v="2016-12-09T00:00:00"/>
  </r>
  <r>
    <x v="1"/>
    <x v="7"/>
    <x v="2573"/>
    <x v="37"/>
    <s v="Standard order"/>
    <x v="2451"/>
    <x v="2195"/>
    <s v="8233"/>
    <s v="BTS 82RR33"/>
    <s v="5002779"/>
    <s v="8233 BTS T35 SYSTIVA RP"/>
    <n v="96"/>
    <n v="0"/>
    <n v="96"/>
    <x v="7"/>
    <s v="DRMC"/>
    <s v="RP"/>
    <s v="334"/>
    <s v="4.0 UN"/>
    <s v="STANDARD"/>
    <s v="N"/>
    <s v="N"/>
    <s v="N"/>
    <s v="T35"/>
    <s v="Y"/>
    <s v="N"/>
    <s v="Y"/>
    <s v="N"/>
    <s v="B033"/>
    <d v="2016-12-14T00:00:00"/>
    <s v="30"/>
    <s v="TAN"/>
    <s v="OR"/>
    <d v="2016-12-09T00:00:00"/>
    <s v="MN"/>
    <s v="US"/>
    <s v="ZR"/>
    <d v="2016-12-09T00:00:00"/>
  </r>
  <r>
    <x v="1"/>
    <x v="7"/>
    <x v="2573"/>
    <x v="37"/>
    <s v="Standard order"/>
    <x v="2451"/>
    <x v="2195"/>
    <s v="8500"/>
    <s v="BTS 8500"/>
    <s v="5002860"/>
    <s v="8500 BTS T35 SYSTIVA RP"/>
    <n v="96"/>
    <n v="0"/>
    <n v="96"/>
    <x v="7"/>
    <s v="FTND"/>
    <s v="RP"/>
    <s v="334"/>
    <s v="4.0 UN"/>
    <s v="STANDARD"/>
    <s v="N"/>
    <s v="N"/>
    <s v="N"/>
    <s v="T35"/>
    <s v="Y"/>
    <s v="N"/>
    <s v="Y"/>
    <s v="N"/>
    <s v="B033"/>
    <d v="2016-12-14T00:00:00"/>
    <s v="40"/>
    <s v="TAN"/>
    <s v="OR"/>
    <d v="2016-12-09T00:00:00"/>
    <s v="MN"/>
    <s v="US"/>
    <s v="ZR"/>
    <d v="2016-12-09T00:00:00"/>
  </r>
  <r>
    <x v="1"/>
    <x v="5"/>
    <x v="2574"/>
    <x v="12"/>
    <s v="Standard order"/>
    <x v="2452"/>
    <x v="508"/>
    <s v="398N"/>
    <s v="BTS 39RR8N"/>
    <s v="5002570"/>
    <s v="398N BTS T20 PB SYSTIVA P200"/>
    <n v="32"/>
    <n v="0"/>
    <n v="32"/>
    <x v="5"/>
    <s v="2771"/>
    <s v="PRO 200"/>
    <s v="322"/>
    <s v="4.0 UN"/>
    <s v="STANDARD"/>
    <s v="N"/>
    <s v="Y"/>
    <s v="N"/>
    <s v="T20"/>
    <s v="Y"/>
    <s v="N"/>
    <s v="N"/>
    <s v="N"/>
    <s v="B014"/>
    <d v="2016-12-14T00:00:00"/>
    <s v="10"/>
    <s v="TAN"/>
    <s v="OR"/>
    <d v="2016-12-09T00:00:00"/>
    <s v="MT"/>
    <s v="US"/>
    <s v="ZR"/>
    <d v="2016-12-09T00:00:00"/>
  </r>
  <r>
    <x v="1"/>
    <x v="5"/>
    <x v="2574"/>
    <x v="12"/>
    <s v="Standard order"/>
    <x v="2452"/>
    <x v="508"/>
    <s v="336N"/>
    <s v="BTS 336N"/>
    <s v="5002199"/>
    <s v="336N BTS T20 PB SYSTIVA P200"/>
    <n v="4"/>
    <n v="0"/>
    <n v="4"/>
    <x v="5"/>
    <s v="EEMG"/>
    <s v="PRO 200"/>
    <s v="322"/>
    <s v="4.0 UN"/>
    <s v="STANDARD"/>
    <s v="N"/>
    <s v="N"/>
    <s v="N"/>
    <s v="T20"/>
    <s v="Y"/>
    <s v="N"/>
    <s v="N"/>
    <s v="N"/>
    <s v="B014"/>
    <d v="2016-12-14T00:00:00"/>
    <s v="20"/>
    <s v="TAN"/>
    <s v="OR"/>
    <d v="2016-12-09T00:00:00"/>
    <s v="MT"/>
    <s v="US"/>
    <s v="ZR"/>
    <d v="2016-12-09T00:00:00"/>
  </r>
  <r>
    <x v="1"/>
    <x v="7"/>
    <x v="2575"/>
    <x v="37"/>
    <s v="Standard order"/>
    <x v="2453"/>
    <x v="2196"/>
    <s v="8052"/>
    <s v="BTS 80RR52"/>
    <s v="5002735"/>
    <s v="8052 BTS T35 PB SYSTIVA RP"/>
    <n v="80"/>
    <n v="0"/>
    <n v="80"/>
    <x v="7"/>
    <s v="AP82"/>
    <s v="RP"/>
    <s v="333"/>
    <s v="4.0 UN"/>
    <s v="STANDARD"/>
    <s v="N"/>
    <s v="Y"/>
    <s v="N"/>
    <s v="T35"/>
    <s v="Y"/>
    <s v="N"/>
    <s v="Y"/>
    <s v="N"/>
    <s v="B033"/>
    <d v="2016-12-14T00:00:00"/>
    <s v="10"/>
    <s v="TAN"/>
    <s v="OR"/>
    <d v="2016-12-09T00:00:00"/>
    <s v="ND"/>
    <s v="US"/>
    <s v="ZR"/>
    <d v="2016-12-09T00:00:00"/>
  </r>
  <r>
    <x v="1"/>
    <x v="7"/>
    <x v="2575"/>
    <x v="37"/>
    <s v="Standard order"/>
    <x v="2453"/>
    <x v="2196"/>
    <s v="8500"/>
    <s v="BTS 8500"/>
    <s v="5002856"/>
    <s v="8500 BTS T35 PB SYSTIVA RP"/>
    <n v="72"/>
    <n v="0"/>
    <n v="72"/>
    <x v="7"/>
    <s v="FTND"/>
    <s v="RP"/>
    <s v="333"/>
    <s v="4.0 UN"/>
    <s v="STANDARD"/>
    <s v="N"/>
    <s v="Y"/>
    <s v="N"/>
    <s v="T35"/>
    <s v="Y"/>
    <s v="N"/>
    <s v="Y"/>
    <s v="N"/>
    <s v="B033"/>
    <d v="2016-12-14T00:00:00"/>
    <s v="20"/>
    <s v="TAN"/>
    <s v="OR"/>
    <d v="2016-12-09T00:00:00"/>
    <s v="ND"/>
    <s v="US"/>
    <s v="ZR"/>
    <d v="2016-12-09T00:00:00"/>
  </r>
  <r>
    <x v="1"/>
    <x v="7"/>
    <x v="2576"/>
    <x v="41"/>
    <s v="Standard order"/>
    <x v="2454"/>
    <x v="2197"/>
    <s v="8512"/>
    <s v="BTS 8512"/>
    <s v="5002876"/>
    <s v="8512 BTS T35 PB SYSTIVA RP"/>
    <n v="40"/>
    <n v="0"/>
    <n v="40"/>
    <x v="7"/>
    <s v="FX73"/>
    <s v="RP"/>
    <s v="333"/>
    <s v="4.0 UN"/>
    <s v="STANDARD"/>
    <s v="N"/>
    <s v="Y"/>
    <s v="N"/>
    <s v="T35"/>
    <s v="Y"/>
    <s v="N"/>
    <s v="Y"/>
    <s v="N"/>
    <s v="B032"/>
    <d v="2016-12-14T00:00:00"/>
    <s v="10"/>
    <s v="TAN"/>
    <s v="OR"/>
    <d v="2016-12-09T00:00:00"/>
    <s v="ND"/>
    <s v="US"/>
    <s v="ZR"/>
    <d v="2016-12-09T00:00:00"/>
  </r>
  <r>
    <x v="1"/>
    <x v="4"/>
    <x v="2577"/>
    <x v="53"/>
    <s v="Standard order"/>
    <x v="2455"/>
    <x v="2198"/>
    <s v="2523"/>
    <s v="BTS 2523"/>
    <s v="5002525"/>
    <s v="2523 BTS PB MED"/>
    <n v="168"/>
    <n v="0"/>
    <n v="168"/>
    <x v="4"/>
    <s v="EZPC"/>
    <s v="MEDIUM"/>
    <s v="307"/>
    <s v="4.0 UN"/>
    <s v="STANDARD"/>
    <s v="N"/>
    <s v="Y"/>
    <s v="N"/>
    <s v="N"/>
    <s v="N"/>
    <s v="N"/>
    <s v="N"/>
    <s v="N"/>
    <s v="B051"/>
    <d v="2016-12-14T00:00:00"/>
    <s v="10"/>
    <s v="TAN"/>
    <s v="OR"/>
    <d v="2016-12-09T00:00:00"/>
    <s v="ID"/>
    <s v="US"/>
    <s v="ZR"/>
    <d v="2016-12-09T00:00:00"/>
  </r>
  <r>
    <x v="1"/>
    <x v="4"/>
    <x v="2577"/>
    <x v="53"/>
    <s v="Standard order"/>
    <x v="2455"/>
    <x v="2198"/>
    <s v="2559"/>
    <s v="BTS 2559"/>
    <s v="5002559"/>
    <s v="2559 BTS PB MED"/>
    <n v="140"/>
    <n v="0"/>
    <n v="140"/>
    <x v="4"/>
    <s v="FGNE"/>
    <s v="MEDIUM"/>
    <s v="307"/>
    <s v="4.0 UN"/>
    <s v="STANDARD"/>
    <s v="N"/>
    <s v="Y"/>
    <s v="N"/>
    <s v="N"/>
    <s v="N"/>
    <s v="N"/>
    <s v="N"/>
    <s v="N"/>
    <s v="B051"/>
    <d v="2016-12-14T00:00:00"/>
    <s v="20"/>
    <s v="TAN"/>
    <s v="OR"/>
    <d v="2016-12-09T00:00:00"/>
    <s v="ID"/>
    <s v="US"/>
    <s v="ZR"/>
    <d v="2016-12-09T00:00:00"/>
  </r>
  <r>
    <x v="1"/>
    <x v="4"/>
    <x v="2577"/>
    <x v="53"/>
    <s v="Standard order"/>
    <x v="2455"/>
    <x v="2198"/>
    <s v="2570"/>
    <s v="BTS 2570"/>
    <s v="5002551"/>
    <s v="2570 BTS PB MED"/>
    <n v="144"/>
    <n v="0"/>
    <n v="144"/>
    <x v="4"/>
    <s v="EZNS"/>
    <s v="MEDIUM"/>
    <s v="307"/>
    <s v="4.0 UN"/>
    <s v="STANDARD"/>
    <s v="N"/>
    <s v="Y"/>
    <s v="N"/>
    <s v="N"/>
    <s v="N"/>
    <s v="N"/>
    <s v="N"/>
    <s v="N"/>
    <s v="B051"/>
    <d v="2016-12-14T00:00:00"/>
    <s v="30"/>
    <s v="TAN"/>
    <s v="OR"/>
    <d v="2016-12-09T00:00:00"/>
    <s v="ID"/>
    <s v="US"/>
    <s v="ZR"/>
    <d v="2016-12-09T00:00:00"/>
  </r>
  <r>
    <x v="1"/>
    <x v="4"/>
    <x v="2577"/>
    <x v="53"/>
    <s v="Standard order"/>
    <x v="2455"/>
    <x v="2198"/>
    <s v="251N"/>
    <s v="BTS 251N"/>
    <s v="5002192"/>
    <s v="251N BTS PB MED"/>
    <n v="100"/>
    <n v="0"/>
    <n v="100"/>
    <x v="4"/>
    <s v="5HBR"/>
    <s v="MEDIUM"/>
    <s v="307"/>
    <s v="4.0 UN"/>
    <s v="STANDARD"/>
    <s v="N"/>
    <s v="Y"/>
    <s v="N"/>
    <s v="N"/>
    <s v="N"/>
    <s v="N"/>
    <s v="N"/>
    <s v="N"/>
    <s v="B051"/>
    <d v="2016-12-14T00:00:00"/>
    <s v="40"/>
    <s v="TAN"/>
    <s v="OR"/>
    <d v="2016-12-09T00:00:00"/>
    <s v="ID"/>
    <s v="US"/>
    <s v="ZR"/>
    <d v="2016-12-09T00:00:00"/>
  </r>
  <r>
    <x v="1"/>
    <x v="4"/>
    <x v="2577"/>
    <x v="53"/>
    <s v="Standard order"/>
    <x v="2455"/>
    <x v="2198"/>
    <s v="225N"/>
    <s v="BTS 22RR5N"/>
    <s v="5002112"/>
    <s v="225N BTS PB MED"/>
    <n v="100"/>
    <n v="0"/>
    <n v="100"/>
    <x v="4"/>
    <s v="4TBD"/>
    <s v="MEDIUM"/>
    <s v="307"/>
    <s v="4.0 UN"/>
    <s v="STANDARD"/>
    <s v="N"/>
    <s v="Y"/>
    <s v="N"/>
    <s v="N"/>
    <s v="N"/>
    <s v="N"/>
    <s v="N"/>
    <s v="N"/>
    <s v="B051"/>
    <d v="2016-12-14T00:00:00"/>
    <s v="50"/>
    <s v="TAN"/>
    <s v="OR"/>
    <d v="2016-12-09T00:00:00"/>
    <s v="ID"/>
    <s v="US"/>
    <s v="ZR"/>
    <d v="2016-12-09T00:00:00"/>
  </r>
  <r>
    <x v="1"/>
    <x v="0"/>
    <x v="2578"/>
    <x v="55"/>
    <s v="Standard order"/>
    <x v="2456"/>
    <x v="288"/>
    <s v="1399"/>
    <s v="BTS 1399"/>
    <s v="5002348"/>
    <s v="1399 BTS T20 Kabina RP"/>
    <n v="44"/>
    <n v="0"/>
    <n v="44"/>
    <x v="0"/>
    <s v="EG74"/>
    <s v="RP"/>
    <s v="380"/>
    <s v="4.0 UN"/>
    <s v="STANDARD"/>
    <s v="N"/>
    <s v="N"/>
    <s v="Y"/>
    <s v="T20"/>
    <s v="N"/>
    <s v="N"/>
    <s v="N"/>
    <s v="N"/>
    <s v="B009"/>
    <d v="2016-12-14T00:00:00"/>
    <s v="10"/>
    <s v="TAN"/>
    <s v="OR"/>
    <d v="2016-12-09T00:00:00"/>
    <s v="MI"/>
    <s v="US"/>
    <s v="ZR"/>
    <d v="2016-12-09T00:00:00"/>
  </r>
  <r>
    <x v="1"/>
    <x v="7"/>
    <x v="2579"/>
    <x v="38"/>
    <s v="Standard order"/>
    <x v="2457"/>
    <x v="2199"/>
    <s v="8052"/>
    <s v="BTS 80RR52"/>
    <s v="5002735"/>
    <s v="8052 BTS T35 PB SYSTIVA RP"/>
    <n v="32"/>
    <n v="0"/>
    <n v="32"/>
    <x v="7"/>
    <s v="AP82"/>
    <s v="RP"/>
    <s v="333"/>
    <s v="4.0 UN"/>
    <s v="STANDARD"/>
    <s v="N"/>
    <s v="Y"/>
    <s v="N"/>
    <s v="T35"/>
    <s v="Y"/>
    <s v="N"/>
    <s v="Y"/>
    <s v="N"/>
    <s v="B031"/>
    <d v="2016-12-14T00:00:00"/>
    <s v="10"/>
    <s v="TAN"/>
    <s v="OR"/>
    <d v="2016-12-09T00:00:00"/>
    <s v="ND"/>
    <s v="US"/>
    <s v="ZR"/>
    <d v="2016-12-09T00:00:00"/>
  </r>
  <r>
    <x v="1"/>
    <x v="5"/>
    <x v="2580"/>
    <x v="9"/>
    <s v="Standard order"/>
    <x v="2458"/>
    <x v="2200"/>
    <s v="3650"/>
    <s v="BTS 36RR50"/>
    <s v="5002548"/>
    <s v="3650 BTS T20 PB SYSTIVA RP"/>
    <n v="88"/>
    <n v="0"/>
    <n v="88"/>
    <x v="5"/>
    <s v="4DAY"/>
    <s v="RP"/>
    <s v="322"/>
    <s v="4.0 UN"/>
    <s v="STANDARD"/>
    <s v="N"/>
    <s v="Y"/>
    <s v="N"/>
    <s v="T20"/>
    <s v="Y"/>
    <s v="N"/>
    <s v="N"/>
    <s v="N"/>
    <s v="B016"/>
    <d v="2016-12-14T00:00:00"/>
    <s v="10"/>
    <s v="TAN"/>
    <s v="OR"/>
    <d v="2016-12-09T00:00:00"/>
    <s v="WY"/>
    <s v="US"/>
    <s v="ZR"/>
    <d v="2016-12-09T00:00:00"/>
  </r>
  <r>
    <x v="1"/>
    <x v="5"/>
    <x v="2581"/>
    <x v="9"/>
    <s v="Standard order"/>
    <x v="2459"/>
    <x v="526"/>
    <s v="336N"/>
    <s v="BTS 336N"/>
    <s v="5002400"/>
    <s v="336N BTS T20 PB SYSTIVA RP"/>
    <n v="12"/>
    <n v="0"/>
    <n v="12"/>
    <x v="5"/>
    <s v="EEMG"/>
    <s v="RP"/>
    <s v="322"/>
    <s v="4.0 UN"/>
    <s v="STANDARD"/>
    <s v="N"/>
    <s v="N"/>
    <s v="N"/>
    <s v="T20"/>
    <s v="Y"/>
    <s v="N"/>
    <s v="N"/>
    <s v="N"/>
    <s v="B016"/>
    <d v="2016-12-14T00:00:00"/>
    <s v="10"/>
    <s v="TAN"/>
    <s v="OR"/>
    <d v="2016-12-09T00:00:00"/>
    <s v="WY"/>
    <s v="US"/>
    <s v="ZR"/>
    <d v="2016-12-09T00:00:00"/>
  </r>
  <r>
    <x v="1"/>
    <x v="5"/>
    <x v="2582"/>
    <x v="9"/>
    <s v="Standard order"/>
    <x v="2460"/>
    <x v="506"/>
    <s v="336N"/>
    <s v="BTS 336N"/>
    <s v="5002400"/>
    <s v="336N BTS T20 PB SYSTIVA RP"/>
    <n v="44"/>
    <n v="0"/>
    <n v="44"/>
    <x v="5"/>
    <s v="EEMG"/>
    <s v="RP"/>
    <s v="322"/>
    <s v="4.0 UN"/>
    <s v="STANDARD"/>
    <s v="N"/>
    <s v="N"/>
    <s v="N"/>
    <s v="T20"/>
    <s v="Y"/>
    <s v="N"/>
    <s v="N"/>
    <s v="N"/>
    <s v="B016"/>
    <d v="2016-12-14T00:00:00"/>
    <s v="10"/>
    <s v="TAN"/>
    <s v="OR"/>
    <d v="2016-12-09T00:00:00"/>
    <s v="WY"/>
    <s v="US"/>
    <s v="ZR"/>
    <d v="2016-12-09T00:00:00"/>
  </r>
  <r>
    <x v="1"/>
    <x v="5"/>
    <x v="2583"/>
    <x v="9"/>
    <s v="Standard order"/>
    <x v="2461"/>
    <x v="536"/>
    <s v="3650"/>
    <s v="BTS 36RR50"/>
    <s v="5002548"/>
    <s v="3650 BTS T20 PB SYSTIVA RP"/>
    <n v="44"/>
    <n v="0"/>
    <n v="44"/>
    <x v="5"/>
    <s v="4DAY"/>
    <s v="RP"/>
    <s v="322"/>
    <s v="4.0 UN"/>
    <s v="STANDARD"/>
    <s v="N"/>
    <s v="Y"/>
    <s v="N"/>
    <s v="T20"/>
    <s v="Y"/>
    <s v="N"/>
    <s v="N"/>
    <s v="N"/>
    <s v="B016"/>
    <d v="2016-12-14T00:00:00"/>
    <s v="10"/>
    <s v="TAN"/>
    <s v="OR"/>
    <d v="2016-12-09T00:00:00"/>
    <s v="WY"/>
    <s v="US"/>
    <s v="ZR"/>
    <d v="2016-12-09T00:00:00"/>
  </r>
  <r>
    <x v="1"/>
    <x v="7"/>
    <x v="2584"/>
    <x v="37"/>
    <s v="Standard order"/>
    <x v="2462"/>
    <x v="2201"/>
    <s v="8500"/>
    <s v="BTS 8500"/>
    <s v="5002856"/>
    <s v="8500 BTS T35 PB SYSTIVA RP"/>
    <n v="160"/>
    <n v="0"/>
    <n v="160"/>
    <x v="7"/>
    <s v="FTND"/>
    <s v="RP"/>
    <s v="333"/>
    <s v="4.0 UN"/>
    <s v="STANDARD"/>
    <s v="N"/>
    <s v="Y"/>
    <s v="N"/>
    <s v="T35"/>
    <s v="Y"/>
    <s v="N"/>
    <s v="Y"/>
    <s v="N"/>
    <s v="B033"/>
    <d v="2016-12-14T00:00:00"/>
    <s v="10"/>
    <s v="TAN"/>
    <s v="OR"/>
    <d v="2016-12-09T00:00:00"/>
    <s v="ND"/>
    <s v="US"/>
    <s v="ZR"/>
    <d v="2016-12-09T00:00:00"/>
  </r>
  <r>
    <x v="1"/>
    <x v="0"/>
    <x v="2585"/>
    <x v="29"/>
    <s v="Standard order"/>
    <x v="2463"/>
    <x v="623"/>
    <s v="1399"/>
    <s v="BTS 1399"/>
    <s v="5002347"/>
    <s v="1399 BTS T20 Kabina P200"/>
    <n v="8"/>
    <n v="0"/>
    <n v="8"/>
    <x v="0"/>
    <s v="EG74"/>
    <s v="PRO 200"/>
    <s v="380"/>
    <s v="4.0 UN"/>
    <s v="STANDARD"/>
    <s v="N"/>
    <s v="N"/>
    <s v="Y"/>
    <s v="T20"/>
    <s v="N"/>
    <s v="N"/>
    <s v="N"/>
    <s v="N"/>
    <s v="B005"/>
    <d v="2016-12-14T00:00:00"/>
    <s v="10"/>
    <s v="TAN"/>
    <s v="OR"/>
    <d v="2016-12-08T00:00:00"/>
    <s v="MI"/>
    <s v="US"/>
    <s v="ZR"/>
    <d v="2016-12-09T00:00:00"/>
  </r>
  <r>
    <x v="1"/>
    <x v="0"/>
    <x v="2586"/>
    <x v="29"/>
    <s v="Standard order"/>
    <x v="2464"/>
    <x v="2202"/>
    <s v="1399"/>
    <s v="BTS 1399"/>
    <s v="5002347"/>
    <s v="1399 BTS T20 Kabina P200"/>
    <n v="16"/>
    <n v="0"/>
    <n v="16"/>
    <x v="0"/>
    <s v="EG74"/>
    <s v="PRO 200"/>
    <s v="380"/>
    <s v="4.0 UN"/>
    <s v="STANDARD"/>
    <s v="N"/>
    <s v="N"/>
    <s v="Y"/>
    <s v="T20"/>
    <s v="N"/>
    <s v="N"/>
    <s v="N"/>
    <s v="N"/>
    <s v="B005"/>
    <d v="2016-12-14T00:00:00"/>
    <s v="10"/>
    <s v="TAN"/>
    <s v="OR"/>
    <d v="2016-12-08T00:00:00"/>
    <s v="MI"/>
    <s v="US"/>
    <s v="ZR"/>
    <d v="2016-12-09T00:00:00"/>
  </r>
  <r>
    <x v="1"/>
    <x v="0"/>
    <x v="2586"/>
    <x v="29"/>
    <s v="Standard order"/>
    <x v="2464"/>
    <x v="2202"/>
    <s v="122N"/>
    <s v="BTS 12RR2N"/>
    <s v="5002316"/>
    <s v="122N BTS T20 SYSTIVA P200"/>
    <n v="20"/>
    <n v="0"/>
    <n v="20"/>
    <x v="0"/>
    <s v="4TBG"/>
    <s v="PRO 200"/>
    <s v="326"/>
    <s v="4.0 UN"/>
    <s v="STANDARD"/>
    <s v="N"/>
    <s v="N"/>
    <s v="N"/>
    <s v="T20"/>
    <s v="Y"/>
    <s v="N"/>
    <s v="Y"/>
    <s v="N"/>
    <s v="B005"/>
    <d v="2016-12-14T00:00:00"/>
    <s v="20"/>
    <s v="TAN"/>
    <s v="OR"/>
    <d v="2016-12-08T00:00:00"/>
    <s v="MI"/>
    <s v="US"/>
    <s v="ZR"/>
    <d v="2016-12-09T00:00:00"/>
  </r>
  <r>
    <x v="1"/>
    <x v="5"/>
    <x v="2587"/>
    <x v="12"/>
    <s v="Standard order"/>
    <x v="2465"/>
    <x v="2203"/>
    <s v="398N"/>
    <s v="BTS 39RR8N"/>
    <s v="5002572"/>
    <s v="39RR8N RP BetaShield PLUS"/>
    <n v="60"/>
    <n v="0"/>
    <n v="60"/>
    <x v="5"/>
    <s v="2771"/>
    <s v="RP"/>
    <s v="322"/>
    <s v="4.0 UN"/>
    <s v="STANDARD"/>
    <s v="N"/>
    <s v="Y"/>
    <s v="N"/>
    <s v="T20"/>
    <s v="Y"/>
    <s v="N"/>
    <s v="N"/>
    <s v="N"/>
    <s v=""/>
    <d v="2016-12-14T00:00:00"/>
    <s v="40"/>
    <s v="TAN"/>
    <s v="OR"/>
    <d v="2016-12-09T00:00:00"/>
    <s v="MT"/>
    <s v="US"/>
    <s v="ZR"/>
    <d v="2016-12-09T00:00:00"/>
  </r>
  <r>
    <x v="1"/>
    <x v="5"/>
    <x v="2587"/>
    <x v="12"/>
    <s v="Standard order"/>
    <x v="2465"/>
    <x v="2203"/>
    <s v="336N"/>
    <s v="BTS 336N"/>
    <s v="5002400"/>
    <s v="336N BTS T20 PB SYSTIVA RP"/>
    <n v="72"/>
    <n v="0"/>
    <n v="72"/>
    <x v="5"/>
    <s v="EEMG"/>
    <s v="RP"/>
    <s v="322"/>
    <s v="4.0 UN"/>
    <s v="STANDARD"/>
    <s v="N"/>
    <s v="N"/>
    <s v="N"/>
    <s v="T20"/>
    <s v="Y"/>
    <s v="N"/>
    <s v="N"/>
    <s v="N"/>
    <s v="B014"/>
    <d v="2016-12-14T00:00:00"/>
    <s v="10"/>
    <s v="TAN"/>
    <s v="OR"/>
    <d v="2016-12-09T00:00:00"/>
    <s v="MT"/>
    <s v="US"/>
    <s v="ZR"/>
    <d v="2016-12-09T00:00:00"/>
  </r>
  <r>
    <x v="1"/>
    <x v="5"/>
    <x v="2587"/>
    <x v="12"/>
    <s v="Standard order"/>
    <x v="2465"/>
    <x v="2203"/>
    <s v="353N"/>
    <s v="BTS 353N"/>
    <s v="5002524"/>
    <s v="353N BTS T20 PB SYSTIVA RP"/>
    <n v="20"/>
    <n v="0"/>
    <n v="20"/>
    <x v="5"/>
    <s v="EENZ"/>
    <s v="RP"/>
    <s v="322"/>
    <s v="4.0 UN"/>
    <s v="STANDARD"/>
    <s v="N"/>
    <s v="Y"/>
    <s v="N"/>
    <s v="T20"/>
    <s v="Y"/>
    <s v="N"/>
    <s v="N"/>
    <s v="N"/>
    <s v="B014"/>
    <d v="2016-12-14T00:00:00"/>
    <s v="20"/>
    <s v="TAN"/>
    <s v="OR"/>
    <d v="2016-12-09T00:00:00"/>
    <s v="MT"/>
    <s v="US"/>
    <s v="ZR"/>
    <d v="2016-12-09T00:00:00"/>
  </r>
  <r>
    <x v="1"/>
    <x v="2"/>
    <x v="2588"/>
    <x v="6"/>
    <s v="Standard order"/>
    <x v="2466"/>
    <x v="2204"/>
    <s v="64SN"/>
    <s v="BTS 64SN"/>
    <s v="5002420"/>
    <s v="64SN BTS T20 PB SYSTIVA P100"/>
    <n v="32"/>
    <n v="0"/>
    <n v="32"/>
    <x v="2"/>
    <s v="DVNB"/>
    <s v="PRO 100"/>
    <s v="322"/>
    <s v="4.0 UN"/>
    <s v="STANDARD"/>
    <s v="N"/>
    <s v="N"/>
    <s v="N"/>
    <s v="T20"/>
    <s v="Y"/>
    <s v="N"/>
    <s v="Y"/>
    <s v="N"/>
    <s v="B025"/>
    <d v="2016-12-14T00:00:00"/>
    <s v="10"/>
    <s v="TAN"/>
    <s v="OR"/>
    <d v="2016-12-09T00:00:00"/>
    <s v="NE"/>
    <s v="US"/>
    <s v="ZR"/>
    <d v="2016-12-09T00:00:00"/>
  </r>
  <r>
    <x v="1"/>
    <x v="7"/>
    <x v="2589"/>
    <x v="41"/>
    <s v="Standard order"/>
    <x v="2467"/>
    <x v="2205"/>
    <s v="83CN"/>
    <s v="BTS 83CN"/>
    <s v="5002840"/>
    <s v="83CN BTS T35 SYSTIVA RP"/>
    <n v="60"/>
    <n v="0"/>
    <n v="60"/>
    <x v="7"/>
    <s v="EE73"/>
    <s v="RP"/>
    <s v="334"/>
    <s v="4.0 UN"/>
    <s v="STANDARD"/>
    <s v="N"/>
    <s v="N"/>
    <s v="N"/>
    <s v="T35"/>
    <s v="Y"/>
    <s v="N"/>
    <s v="Y"/>
    <s v="N"/>
    <s v="B032"/>
    <d v="2016-12-14T00:00:00"/>
    <s v="10"/>
    <s v="TAN"/>
    <s v="OR"/>
    <d v="2016-12-09T00:00:00"/>
    <s v="MN"/>
    <s v="US"/>
    <s v="ZR"/>
    <d v="2016-12-09T00:00:00"/>
  </r>
  <r>
    <x v="1"/>
    <x v="7"/>
    <x v="2589"/>
    <x v="41"/>
    <s v="Standard order"/>
    <x v="2467"/>
    <x v="2205"/>
    <s v="8500"/>
    <s v="BTS 8500"/>
    <s v="5002860"/>
    <s v="8500 BTS T35 SYSTIVA RP"/>
    <n v="12"/>
    <n v="0"/>
    <n v="12"/>
    <x v="7"/>
    <s v="FTND"/>
    <s v="RP"/>
    <s v="334"/>
    <s v="4.0 UN"/>
    <s v="STANDARD"/>
    <s v="N"/>
    <s v="N"/>
    <s v="N"/>
    <s v="T35"/>
    <s v="Y"/>
    <s v="N"/>
    <s v="Y"/>
    <s v="N"/>
    <s v="B032"/>
    <d v="2016-12-14T00:00:00"/>
    <s v="20"/>
    <s v="TAN"/>
    <s v="OR"/>
    <d v="2016-12-09T00:00:00"/>
    <s v="MN"/>
    <s v="US"/>
    <s v="ZR"/>
    <d v="2016-12-09T00:00:00"/>
  </r>
  <r>
    <x v="1"/>
    <x v="7"/>
    <x v="2590"/>
    <x v="37"/>
    <s v="Standard order"/>
    <x v="2468"/>
    <x v="2206"/>
    <s v="8500"/>
    <s v="BTS 8500"/>
    <s v="5002856"/>
    <s v="8500 BTS T35 PB SYSTIVA RP"/>
    <n v="68"/>
    <n v="0"/>
    <n v="68"/>
    <x v="7"/>
    <s v="FTND"/>
    <s v="RP"/>
    <s v="333"/>
    <s v="4.0 UN"/>
    <s v="STANDARD"/>
    <s v="N"/>
    <s v="Y"/>
    <s v="N"/>
    <s v="T35"/>
    <s v="Y"/>
    <s v="N"/>
    <s v="Y"/>
    <s v="N"/>
    <s v="B033"/>
    <d v="2016-12-14T00:00:00"/>
    <s v="10"/>
    <s v="TAN"/>
    <s v="OR"/>
    <d v="2016-12-09T00:00:00"/>
    <s v="MN"/>
    <s v="US"/>
    <s v="ZR"/>
    <d v="2016-12-09T00:00:00"/>
  </r>
  <r>
    <x v="1"/>
    <x v="6"/>
    <x v="2591"/>
    <x v="48"/>
    <s v="Standard order"/>
    <x v="2469"/>
    <x v="2207"/>
    <s v="4548"/>
    <s v="BTS 4548"/>
    <s v="5002245"/>
    <s v="4548 BTS T20 PB SYSTIVA P200"/>
    <n v="40"/>
    <n v="0"/>
    <n v="40"/>
    <x v="6"/>
    <s v="FENR"/>
    <s v="PRO 200"/>
    <s v="322"/>
    <s v="4.0 UN"/>
    <s v="STANDARD"/>
    <s v="N"/>
    <s v="N"/>
    <s v="N"/>
    <s v="T20"/>
    <s v="Y"/>
    <s v="N"/>
    <s v="Y"/>
    <s v="N"/>
    <s v="B012"/>
    <d v="2016-12-14T00:00:00"/>
    <s v="10"/>
    <s v="TAN"/>
    <s v="OR"/>
    <d v="2016-12-08T00:00:00"/>
    <s v="MT"/>
    <s v="US"/>
    <s v="ZR"/>
    <d v="2016-12-09T00:00:00"/>
  </r>
  <r>
    <x v="1"/>
    <x v="6"/>
    <x v="2591"/>
    <x v="48"/>
    <s v="Standard order"/>
    <x v="2469"/>
    <x v="2207"/>
    <s v="4265"/>
    <s v="BTS 42RR65"/>
    <s v="5002584"/>
    <s v="4265 BTS T20 PB SYSTIVA P200"/>
    <n v="72"/>
    <n v="0"/>
    <n v="72"/>
    <x v="6"/>
    <s v="BR73"/>
    <s v="PRO 200"/>
    <s v="322"/>
    <s v="4.0 UN"/>
    <s v="STANDARD"/>
    <s v="N"/>
    <s v="N"/>
    <s v="N"/>
    <s v="T20"/>
    <s v="Y"/>
    <s v="N"/>
    <s v="Y"/>
    <s v="N"/>
    <s v="B012"/>
    <d v="2016-12-14T00:00:00"/>
    <s v="20"/>
    <s v="TAN"/>
    <s v="OR"/>
    <d v="2016-12-08T00:00:00"/>
    <s v="MT"/>
    <s v="US"/>
    <s v="ZR"/>
    <d v="2016-12-09T00:00:00"/>
  </r>
  <r>
    <x v="1"/>
    <x v="6"/>
    <x v="2592"/>
    <x v="48"/>
    <s v="Standard order"/>
    <x v="2470"/>
    <x v="2208"/>
    <s v="459N"/>
    <s v="BTS 459N"/>
    <s v="5002256"/>
    <s v="459N BTS T20 PB SYSTIVA P100"/>
    <n v="28"/>
    <n v="0"/>
    <n v="28"/>
    <x v="6"/>
    <s v="DVNU"/>
    <s v="PRO 100"/>
    <s v="322"/>
    <s v="4.0 UN"/>
    <s v="STANDARD"/>
    <s v="N"/>
    <s v="N"/>
    <s v="N"/>
    <s v="T20"/>
    <s v="Y"/>
    <s v="N"/>
    <s v="Y"/>
    <s v="N"/>
    <s v="B012"/>
    <d v="2016-12-14T00:00:00"/>
    <s v="10"/>
    <s v="TAN"/>
    <s v="OR"/>
    <d v="2016-12-08T00:00:00"/>
    <s v="MT"/>
    <s v="US"/>
    <s v="ZR"/>
    <d v="2016-12-09T00:00:00"/>
  </r>
  <r>
    <x v="1"/>
    <x v="6"/>
    <x v="2592"/>
    <x v="48"/>
    <s v="Standard order"/>
    <x v="2470"/>
    <x v="2208"/>
    <s v="444N"/>
    <s v="BTS 444N"/>
    <s v="5002226"/>
    <s v="444N BTS T20 PB SYSTIVA P100"/>
    <n v="24"/>
    <n v="0"/>
    <n v="24"/>
    <x v="6"/>
    <s v="DVND"/>
    <s v="PRO 100"/>
    <s v="322"/>
    <s v="4.0 UN"/>
    <s v="STANDARD"/>
    <s v="N"/>
    <s v="N"/>
    <s v="N"/>
    <s v="T20"/>
    <s v="Y"/>
    <s v="N"/>
    <s v="Y"/>
    <s v="N"/>
    <s v="B012"/>
    <d v="2016-12-14T00:00:00"/>
    <s v="20"/>
    <s v="TAN"/>
    <s v="OR"/>
    <d v="2016-12-08T00:00:00"/>
    <s v="MT"/>
    <s v="US"/>
    <s v="ZR"/>
    <d v="2016-12-09T00:00:00"/>
  </r>
  <r>
    <x v="1"/>
    <x v="4"/>
    <x v="2593"/>
    <x v="47"/>
    <s v="Standard order"/>
    <x v="2471"/>
    <x v="405"/>
    <s v="251N"/>
    <s v="BTS 251N"/>
    <s v="5002194"/>
    <s v="251N BTS PB LRG"/>
    <n v="80"/>
    <n v="0"/>
    <n v="80"/>
    <x v="4"/>
    <s v="5HBR"/>
    <s v="LARGE"/>
    <s v="307"/>
    <s v="4.0 UN"/>
    <s v="STANDARD"/>
    <s v="N"/>
    <s v="Y"/>
    <s v="N"/>
    <s v="N"/>
    <s v="N"/>
    <s v="N"/>
    <s v="N"/>
    <s v="N"/>
    <s v="B050"/>
    <d v="2016-12-14T00:00:00"/>
    <s v="10"/>
    <s v="TAN"/>
    <s v="OR"/>
    <d v="2016-12-08T00:00:00"/>
    <s v="ID"/>
    <s v="US"/>
    <s v="ZR"/>
    <d v="2016-12-09T00:00:00"/>
  </r>
  <r>
    <x v="1"/>
    <x v="4"/>
    <x v="2593"/>
    <x v="47"/>
    <s v="Standard order"/>
    <x v="2471"/>
    <x v="405"/>
    <s v="225N"/>
    <s v="BTS 22RR5N"/>
    <s v="5002111"/>
    <s v="225N BTS PB LRG"/>
    <n v="120"/>
    <n v="0"/>
    <n v="120"/>
    <x v="4"/>
    <s v="4TBD"/>
    <s v="LARGE"/>
    <s v="307"/>
    <s v="4.0 UN"/>
    <s v="STANDARD"/>
    <s v="N"/>
    <s v="Y"/>
    <s v="N"/>
    <s v="N"/>
    <s v="N"/>
    <s v="N"/>
    <s v="N"/>
    <s v="N"/>
    <s v="B050"/>
    <d v="2016-12-14T00:00:00"/>
    <s v="20"/>
    <s v="TAN"/>
    <s v="OR"/>
    <d v="2016-12-08T00:00:00"/>
    <s v="ID"/>
    <s v="US"/>
    <s v="ZR"/>
    <d v="2016-12-09T00:00:00"/>
  </r>
  <r>
    <x v="1"/>
    <x v="4"/>
    <x v="2593"/>
    <x v="47"/>
    <s v="Standard order"/>
    <x v="2471"/>
    <x v="405"/>
    <s v="2523"/>
    <s v="BTS 2523"/>
    <s v="5002527"/>
    <s v="2523 BTS PB LRG"/>
    <n v="88"/>
    <n v="0"/>
    <n v="88"/>
    <x v="4"/>
    <s v="EZPC"/>
    <s v="LARGE"/>
    <s v="307"/>
    <s v="4.0 UN"/>
    <s v="STANDARD"/>
    <s v="N"/>
    <s v="Y"/>
    <s v="N"/>
    <s v="N"/>
    <s v="N"/>
    <s v="N"/>
    <s v="N"/>
    <s v="N"/>
    <s v="B050"/>
    <d v="2016-12-14T00:00:00"/>
    <s v="30"/>
    <s v="TAN"/>
    <s v="OR"/>
    <d v="2016-12-08T00:00:00"/>
    <s v="ID"/>
    <s v="US"/>
    <s v="ZR"/>
    <d v="2016-12-09T00:00:00"/>
  </r>
  <r>
    <x v="1"/>
    <x v="7"/>
    <x v="2594"/>
    <x v="37"/>
    <s v="Standard order"/>
    <x v="2472"/>
    <x v="2209"/>
    <s v="8500"/>
    <s v="BTS 8500"/>
    <s v="5002856"/>
    <s v="8500 BTS T35 PB SYSTIVA RP"/>
    <n v="64"/>
    <n v="0"/>
    <n v="64"/>
    <x v="7"/>
    <s v="FTND"/>
    <s v="RP"/>
    <s v="333"/>
    <s v="4.0 UN"/>
    <s v="STANDARD"/>
    <s v="N"/>
    <s v="Y"/>
    <s v="N"/>
    <s v="T35"/>
    <s v="Y"/>
    <s v="N"/>
    <s v="Y"/>
    <s v="N"/>
    <s v="B033"/>
    <d v="2016-12-14T00:00:00"/>
    <s v="10"/>
    <s v="TAN"/>
    <s v="OR"/>
    <d v="2016-12-08T00:00:00"/>
    <s v="ND"/>
    <s v="US"/>
    <s v="ZR"/>
    <d v="2016-12-09T00:00:00"/>
  </r>
  <r>
    <x v="1"/>
    <x v="5"/>
    <x v="2595"/>
    <x v="21"/>
    <s v="Standard order"/>
    <x v="2473"/>
    <x v="2210"/>
    <s v="398N"/>
    <s v="BTS 39RR8N"/>
    <s v="5002572"/>
    <s v="39RR8N RP BetaShield PLUS"/>
    <n v="60"/>
    <n v="0"/>
    <n v="60"/>
    <x v="5"/>
    <s v="2771"/>
    <s v="RP"/>
    <s v="322"/>
    <s v="4.0 UN"/>
    <s v="STANDARD"/>
    <s v="N"/>
    <s v="Y"/>
    <s v="N"/>
    <s v="T20"/>
    <s v="Y"/>
    <s v="N"/>
    <s v="N"/>
    <s v="N"/>
    <s v=""/>
    <d v="2016-12-14T00:00:00"/>
    <s v="30"/>
    <s v="TAN"/>
    <s v="OR"/>
    <d v="2016-12-08T00:00:00"/>
    <s v="MT"/>
    <s v="US"/>
    <s v="ZR"/>
    <d v="2016-12-09T00:00:00"/>
  </r>
  <r>
    <x v="1"/>
    <x v="5"/>
    <x v="2595"/>
    <x v="21"/>
    <s v="Standard order"/>
    <x v="2473"/>
    <x v="2210"/>
    <s v="336N"/>
    <s v="BTS 336N"/>
    <s v="5002400"/>
    <s v="336N BTS T20 PB SYSTIVA RP"/>
    <n v="56"/>
    <n v="0"/>
    <n v="56"/>
    <x v="5"/>
    <s v="EEMG"/>
    <s v="RP"/>
    <s v="322"/>
    <s v="4.0 UN"/>
    <s v="STANDARD"/>
    <s v="N"/>
    <s v="N"/>
    <s v="N"/>
    <s v="T20"/>
    <s v="Y"/>
    <s v="N"/>
    <s v="N"/>
    <s v="N"/>
    <s v="B013"/>
    <d v="2016-12-14T00:00:00"/>
    <s v="20"/>
    <s v="TAN"/>
    <s v="OR"/>
    <d v="2016-12-08T00:00:00"/>
    <s v="MT"/>
    <s v="US"/>
    <s v="ZR"/>
    <d v="2016-12-09T00:00:00"/>
  </r>
  <r>
    <x v="1"/>
    <x v="0"/>
    <x v="2596"/>
    <x v="55"/>
    <s v="Standard order"/>
    <x v="2474"/>
    <x v="901"/>
    <s v="1399"/>
    <s v="BTS 1399"/>
    <s v="5002346"/>
    <s v="1399 BTS T20 Kabina MP"/>
    <n v="104"/>
    <n v="0"/>
    <n v="104"/>
    <x v="0"/>
    <s v="EG74"/>
    <s v="MP"/>
    <s v="380"/>
    <s v="4.0 UN"/>
    <s v="STANDARD"/>
    <s v="N"/>
    <s v="N"/>
    <s v="Y"/>
    <s v="T20"/>
    <s v="N"/>
    <s v="N"/>
    <s v="N"/>
    <s v="N"/>
    <s v="B009"/>
    <d v="2016-12-14T00:00:00"/>
    <s v="10"/>
    <s v="TAN"/>
    <s v="OR"/>
    <d v="2016-12-09T00:00:00"/>
    <s v="MI"/>
    <s v="US"/>
    <s v="ZR"/>
    <d v="2016-12-09T00:00:00"/>
  </r>
  <r>
    <x v="1"/>
    <x v="0"/>
    <x v="2597"/>
    <x v="42"/>
    <s v="Standard order"/>
    <x v="2475"/>
    <x v="2211"/>
    <s v="1399"/>
    <s v="BTS 1399"/>
    <s v="5002346"/>
    <s v="1399 BTS T20 Kabina MP"/>
    <n v="40"/>
    <n v="0"/>
    <n v="40"/>
    <x v="0"/>
    <s v="EG74"/>
    <s v="MP"/>
    <s v="380"/>
    <s v="4.0 UN"/>
    <s v="STANDARD"/>
    <s v="N"/>
    <s v="N"/>
    <s v="Y"/>
    <s v="T20"/>
    <s v="N"/>
    <s v="N"/>
    <s v="N"/>
    <s v="N"/>
    <s v="B007"/>
    <d v="2016-12-14T00:00:00"/>
    <s v="10"/>
    <s v="TAN"/>
    <s v="OR"/>
    <d v="2016-12-09T00:00:00"/>
    <s v="MI"/>
    <s v="US"/>
    <s v="ZR"/>
    <d v="2016-12-09T00:00:00"/>
  </r>
  <r>
    <x v="1"/>
    <x v="0"/>
    <x v="2597"/>
    <x v="42"/>
    <s v="Standard order"/>
    <x v="2475"/>
    <x v="2211"/>
    <s v="122N"/>
    <s v="BTS 12RR2N"/>
    <s v="5002309"/>
    <s v="122N BTS T20 Kabina MP"/>
    <n v="32"/>
    <n v="0"/>
    <n v="32"/>
    <x v="0"/>
    <s v="4TBG"/>
    <s v="MP"/>
    <s v="380"/>
    <s v="4.0 UN"/>
    <s v="STANDARD"/>
    <s v="N"/>
    <s v="N"/>
    <s v="Y"/>
    <s v="T20"/>
    <s v="N"/>
    <s v="N"/>
    <s v="N"/>
    <s v="N"/>
    <s v="B007"/>
    <d v="2016-12-14T00:00:00"/>
    <s v="20"/>
    <s v="TAN"/>
    <s v="OR"/>
    <d v="2016-12-09T00:00:00"/>
    <s v="MI"/>
    <s v="US"/>
    <s v="ZR"/>
    <d v="2016-12-09T00:00:00"/>
  </r>
  <r>
    <x v="1"/>
    <x v="0"/>
    <x v="2598"/>
    <x v="45"/>
    <s v="Standard order"/>
    <x v="2476"/>
    <x v="1198"/>
    <s v="133N"/>
    <s v="BTS 133N"/>
    <s v="5002329"/>
    <s v="133N BTS T20 Kabina RP"/>
    <n v="48"/>
    <n v="0"/>
    <n v="48"/>
    <x v="0"/>
    <s v="DW73"/>
    <s v="RP"/>
    <s v="380"/>
    <s v="4.0 UN"/>
    <s v="STANDARD"/>
    <s v="N"/>
    <s v="N"/>
    <s v="Y"/>
    <s v="T20"/>
    <s v="N"/>
    <s v="N"/>
    <s v="N"/>
    <s v="N"/>
    <s v="B003"/>
    <d v="2016-12-14T00:00:00"/>
    <s v="10"/>
    <s v="TAN"/>
    <s v="OR"/>
    <d v="2016-12-09T00:00:00"/>
    <s v="MI"/>
    <s v="US"/>
    <s v="ZR"/>
    <d v="2016-12-09T00:00:00"/>
  </r>
  <r>
    <x v="1"/>
    <x v="0"/>
    <x v="2598"/>
    <x v="45"/>
    <s v="Standard order"/>
    <x v="2476"/>
    <x v="1198"/>
    <s v="122N"/>
    <s v="BTS 12RR2N"/>
    <s v="5002317"/>
    <s v="122N BTS T20 SYSTIVA RP"/>
    <n v="48"/>
    <n v="0"/>
    <n v="48"/>
    <x v="0"/>
    <s v="4TBG"/>
    <s v="RP"/>
    <s v="326"/>
    <s v="4.0 UN"/>
    <s v="STANDARD"/>
    <s v="N"/>
    <s v="N"/>
    <s v="N"/>
    <s v="T20"/>
    <s v="Y"/>
    <s v="N"/>
    <s v="Y"/>
    <s v="N"/>
    <s v="B003"/>
    <d v="2016-12-14T00:00:00"/>
    <s v="20"/>
    <s v="TAN"/>
    <s v="OR"/>
    <d v="2016-12-09T00:00:00"/>
    <s v="MI"/>
    <s v="US"/>
    <s v="ZR"/>
    <d v="2016-12-09T00:00:00"/>
  </r>
  <r>
    <x v="1"/>
    <x v="4"/>
    <x v="2599"/>
    <x v="47"/>
    <s v="Standard order"/>
    <x v="2477"/>
    <x v="2212"/>
    <s v="2720"/>
    <s v="BTS 27RR20"/>
    <s v="5002134"/>
    <s v="2720 BTS PB LRG"/>
    <n v="152"/>
    <n v="0"/>
    <n v="152"/>
    <x v="4"/>
    <s v="4GAY"/>
    <s v="LARGE"/>
    <s v="307"/>
    <s v="4.0 UN"/>
    <s v="STANDARD"/>
    <s v="N"/>
    <s v="Y"/>
    <s v="N"/>
    <s v="N"/>
    <s v="N"/>
    <s v="N"/>
    <s v="N"/>
    <s v="N"/>
    <s v="B050"/>
    <d v="2016-12-14T00:00:00"/>
    <s v="10"/>
    <s v="TAN"/>
    <s v="OR"/>
    <d v="2016-12-09T00:00:00"/>
    <s v="ID"/>
    <s v="US"/>
    <s v="ZR"/>
    <d v="2016-12-09T00:00:00"/>
  </r>
  <r>
    <x v="1"/>
    <x v="4"/>
    <x v="2599"/>
    <x v="47"/>
    <s v="Standard order"/>
    <x v="2477"/>
    <x v="2212"/>
    <s v="2570"/>
    <s v="BTS 2570"/>
    <s v="5002553"/>
    <s v="2570 BTS PB LRG"/>
    <n v="36"/>
    <n v="0"/>
    <n v="36"/>
    <x v="4"/>
    <s v="EZNS"/>
    <s v="LARGE"/>
    <s v="307"/>
    <s v="4.0 UN"/>
    <s v="STANDARD"/>
    <s v="N"/>
    <s v="Y"/>
    <s v="N"/>
    <s v="N"/>
    <s v="N"/>
    <s v="N"/>
    <s v="N"/>
    <s v="N"/>
    <s v="B050"/>
    <d v="2016-12-14T00:00:00"/>
    <s v="20"/>
    <s v="TAN"/>
    <s v="OR"/>
    <d v="2016-12-09T00:00:00"/>
    <s v="ID"/>
    <s v="US"/>
    <s v="ZR"/>
    <d v="2016-12-09T00:00:00"/>
  </r>
  <r>
    <x v="1"/>
    <x v="0"/>
    <x v="2600"/>
    <x v="45"/>
    <s v="Standard order"/>
    <x v="2478"/>
    <x v="1078"/>
    <s v="122N"/>
    <s v="BTS 12RR2N"/>
    <s v="5002316"/>
    <s v="122N BTS T20 SYSTIVA P200"/>
    <n v="56"/>
    <n v="0"/>
    <n v="56"/>
    <x v="0"/>
    <s v="4TBG"/>
    <s v="PRO 200"/>
    <s v="326"/>
    <s v="4.0 UN"/>
    <s v="STANDARD"/>
    <s v="N"/>
    <s v="N"/>
    <s v="N"/>
    <s v="T20"/>
    <s v="Y"/>
    <s v="N"/>
    <s v="Y"/>
    <s v="N"/>
    <s v="B003"/>
    <d v="2016-12-14T00:00:00"/>
    <s v="10"/>
    <s v="TAN"/>
    <s v="OR"/>
    <d v="2016-12-09T00:00:00"/>
    <s v="MI"/>
    <s v="US"/>
    <s v="ZR"/>
    <d v="2016-12-09T00:00:00"/>
  </r>
  <r>
    <x v="1"/>
    <x v="2"/>
    <x v="2601"/>
    <x v="23"/>
    <s v="Standard order"/>
    <x v="2479"/>
    <x v="550"/>
    <s v="6027"/>
    <s v="BTS 60RR27"/>
    <s v="5002645"/>
    <s v="6027 BTS T20 PB SYSTIVA P100 WSS"/>
    <n v="16"/>
    <n v="0"/>
    <n v="16"/>
    <x v="2"/>
    <s v="APMC"/>
    <s v="PRO 100"/>
    <s v="322"/>
    <s v="4.0 UN"/>
    <s v="STANDARD"/>
    <s v="N"/>
    <s v="N"/>
    <s v="N"/>
    <s v="T20"/>
    <s v="Y"/>
    <s v="N"/>
    <s v="Y"/>
    <s v="N"/>
    <s v="B055"/>
    <d v="2016-12-14T00:00:00"/>
    <s v="10"/>
    <s v="TAN"/>
    <s v="OR"/>
    <d v="2016-12-09T00:00:00"/>
    <s v="WY"/>
    <s v="US"/>
    <s v="ZR"/>
    <d v="2016-12-09T00:00:00"/>
  </r>
  <r>
    <x v="1"/>
    <x v="2"/>
    <x v="2601"/>
    <x v="23"/>
    <s v="Standard order"/>
    <x v="2479"/>
    <x v="550"/>
    <s v="6543"/>
    <s v="BTS 6543"/>
    <s v="5002438"/>
    <s v="6543 BTS T20 PB SYSTIVA P100"/>
    <n v="12"/>
    <n v="0"/>
    <n v="12"/>
    <x v="2"/>
    <s v="FXND"/>
    <s v="PRO 100"/>
    <s v="322"/>
    <s v="4.0 UN"/>
    <s v="STANDARD"/>
    <s v="N"/>
    <s v="N"/>
    <s v="N"/>
    <s v="T20"/>
    <s v="Y"/>
    <s v="N"/>
    <s v="Y"/>
    <s v="N"/>
    <s v="B055"/>
    <d v="2016-12-14T00:00:00"/>
    <s v="20"/>
    <s v="TAN"/>
    <s v="OR"/>
    <d v="2016-12-09T00:00:00"/>
    <s v="WY"/>
    <s v="US"/>
    <s v="ZR"/>
    <d v="2016-12-09T00:00:00"/>
  </r>
  <r>
    <x v="1"/>
    <x v="7"/>
    <x v="2602"/>
    <x v="41"/>
    <s v="Standard order"/>
    <x v="2480"/>
    <x v="2213"/>
    <s v="8052"/>
    <s v="BTS 80RR52"/>
    <s v="5002735"/>
    <s v="8052 BTS T35 PB SYSTIVA RP"/>
    <n v="96"/>
    <n v="0"/>
    <n v="96"/>
    <x v="7"/>
    <s v="AP82"/>
    <s v="RP"/>
    <s v="333"/>
    <s v="4.0 UN"/>
    <s v="STANDARD"/>
    <s v="N"/>
    <s v="Y"/>
    <s v="N"/>
    <s v="T35"/>
    <s v="Y"/>
    <s v="N"/>
    <s v="Y"/>
    <s v="N"/>
    <s v="B032"/>
    <d v="2016-12-14T00:00:00"/>
    <s v="10"/>
    <s v="TAN"/>
    <s v="OR"/>
    <d v="2016-12-09T00:00:00"/>
    <s v="MN"/>
    <s v="US"/>
    <s v="ZR"/>
    <d v="2016-12-09T00:00:00"/>
  </r>
  <r>
    <x v="1"/>
    <x v="0"/>
    <x v="2603"/>
    <x v="42"/>
    <s v="Standard order"/>
    <x v="2481"/>
    <x v="2214"/>
    <s v="1399"/>
    <s v="BTS 1399"/>
    <s v="5002348"/>
    <s v="1399 BTS T20 Kabina RP"/>
    <n v="148"/>
    <n v="0"/>
    <n v="148"/>
    <x v="0"/>
    <s v="EG74"/>
    <s v="RP"/>
    <s v="380"/>
    <s v="4.0 UN"/>
    <s v="STANDARD"/>
    <s v="N"/>
    <s v="N"/>
    <s v="Y"/>
    <s v="T20"/>
    <s v="N"/>
    <s v="N"/>
    <s v="N"/>
    <s v="N"/>
    <s v="B007"/>
    <d v="2016-12-14T00:00:00"/>
    <s v="10"/>
    <s v="TAN"/>
    <s v="OR"/>
    <d v="2016-12-09T00:00:00"/>
    <s v="MI"/>
    <s v="US"/>
    <s v="ZR"/>
    <d v="2016-12-09T00:00:00"/>
  </r>
  <r>
    <x v="1"/>
    <x v="4"/>
    <x v="2604"/>
    <x v="53"/>
    <s v="Standard order"/>
    <x v="2482"/>
    <x v="342"/>
    <s v="225N"/>
    <s v="BTS 22RR5N"/>
    <s v="5002112"/>
    <s v="225N BTS PB MED"/>
    <n v="64"/>
    <n v="0"/>
    <n v="64"/>
    <x v="4"/>
    <s v="4TBD"/>
    <s v="MEDIUM"/>
    <s v="307"/>
    <s v="4.0 UN"/>
    <s v="STANDARD"/>
    <s v="N"/>
    <s v="Y"/>
    <s v="N"/>
    <s v="N"/>
    <s v="N"/>
    <s v="N"/>
    <s v="N"/>
    <s v="N"/>
    <s v="B051"/>
    <d v="2016-12-14T00:00:00"/>
    <s v="10"/>
    <s v="TAN"/>
    <s v="OR"/>
    <d v="2016-12-09T00:00:00"/>
    <s v="ID"/>
    <s v="US"/>
    <s v="ZR"/>
    <d v="2016-12-09T00:00:00"/>
  </r>
  <r>
    <x v="1"/>
    <x v="4"/>
    <x v="2604"/>
    <x v="53"/>
    <s v="Standard order"/>
    <x v="2482"/>
    <x v="342"/>
    <s v="2559"/>
    <s v="BTS 2559"/>
    <s v="5002559"/>
    <s v="2559 BTS PB MED"/>
    <n v="24"/>
    <n v="0"/>
    <n v="24"/>
    <x v="4"/>
    <s v="FGNE"/>
    <s v="MEDIUM"/>
    <s v="307"/>
    <s v="4.0 UN"/>
    <s v="STANDARD"/>
    <s v="N"/>
    <s v="Y"/>
    <s v="N"/>
    <s v="N"/>
    <s v="N"/>
    <s v="N"/>
    <s v="N"/>
    <s v="N"/>
    <s v="B051"/>
    <d v="2016-12-14T00:00:00"/>
    <s v="20"/>
    <s v="TAN"/>
    <s v="OR"/>
    <d v="2016-12-09T00:00:00"/>
    <s v="ID"/>
    <s v="US"/>
    <s v="ZR"/>
    <d v="2016-12-09T00:00:00"/>
  </r>
  <r>
    <x v="1"/>
    <x v="7"/>
    <x v="2605"/>
    <x v="28"/>
    <s v="Standard order"/>
    <x v="2483"/>
    <x v="2215"/>
    <s v="8500"/>
    <s v="BTS 8500"/>
    <s v="5002856"/>
    <s v="8500 BTS T35 PB SYSTIVA RP"/>
    <n v="20"/>
    <n v="0"/>
    <n v="20"/>
    <x v="7"/>
    <s v="FTND"/>
    <s v="RP"/>
    <s v="333"/>
    <s v="4.0 UN"/>
    <s v="STANDARD"/>
    <s v="N"/>
    <s v="Y"/>
    <s v="N"/>
    <s v="T35"/>
    <s v="Y"/>
    <s v="N"/>
    <s v="Y"/>
    <s v="N"/>
    <s v="B056"/>
    <d v="2016-12-14T00:00:00"/>
    <s v="10"/>
    <s v="TAN"/>
    <s v="OR"/>
    <d v="2016-12-09T00:00:00"/>
    <s v="ND"/>
    <s v="US"/>
    <s v="ZR"/>
    <d v="2016-12-09T00:00:00"/>
  </r>
  <r>
    <x v="1"/>
    <x v="7"/>
    <x v="2606"/>
    <x v="28"/>
    <s v="Standard order"/>
    <x v="2484"/>
    <x v="2216"/>
    <s v="8500"/>
    <s v="BTS 8500"/>
    <s v="5002856"/>
    <s v="8500 BTS T35 PB SYSTIVA RP"/>
    <n v="36"/>
    <n v="0"/>
    <n v="36"/>
    <x v="7"/>
    <s v="FTND"/>
    <s v="RP"/>
    <s v="333"/>
    <s v="4.0 UN"/>
    <s v="STANDARD"/>
    <s v="N"/>
    <s v="Y"/>
    <s v="N"/>
    <s v="T35"/>
    <s v="Y"/>
    <s v="N"/>
    <s v="Y"/>
    <s v="N"/>
    <s v="B056"/>
    <d v="2016-12-14T00:00:00"/>
    <s v="10"/>
    <s v="TAN"/>
    <s v="OR"/>
    <d v="2016-12-09T00:00:00"/>
    <s v="ND"/>
    <s v="US"/>
    <s v="ZR"/>
    <d v="2016-12-09T00:00:00"/>
  </r>
  <r>
    <x v="1"/>
    <x v="0"/>
    <x v="2607"/>
    <x v="45"/>
    <s v="Standard order"/>
    <x v="2485"/>
    <x v="1080"/>
    <s v="122N"/>
    <s v="BTS 12RR2N"/>
    <s v="5002316"/>
    <s v="122N BTS T20 SYSTIVA P200"/>
    <n v="20"/>
    <n v="0"/>
    <n v="20"/>
    <x v="0"/>
    <s v="4TBG"/>
    <s v="PRO 200"/>
    <s v="326"/>
    <s v="4.0 UN"/>
    <s v="STANDARD"/>
    <s v="N"/>
    <s v="N"/>
    <s v="N"/>
    <s v="T20"/>
    <s v="Y"/>
    <s v="N"/>
    <s v="Y"/>
    <s v="N"/>
    <s v="B003"/>
    <d v="2016-12-14T00:00:00"/>
    <s v="10"/>
    <s v="TAN"/>
    <s v="OR"/>
    <d v="2016-12-09T00:00:00"/>
    <s v="MI"/>
    <s v="US"/>
    <s v="ZR"/>
    <d v="2016-12-09T00:00:00"/>
  </r>
  <r>
    <x v="1"/>
    <x v="4"/>
    <x v="2608"/>
    <x v="47"/>
    <s v="Standard order"/>
    <x v="2486"/>
    <x v="161"/>
    <s v="251N"/>
    <s v="BTS 251N"/>
    <s v="5002194"/>
    <s v="251N BTS PB LRG"/>
    <n v="140"/>
    <n v="0"/>
    <n v="140"/>
    <x v="4"/>
    <s v="5HBR"/>
    <s v="LARGE"/>
    <s v="307"/>
    <s v="4.0 UN"/>
    <s v="STANDARD"/>
    <s v="N"/>
    <s v="Y"/>
    <s v="N"/>
    <s v="N"/>
    <s v="N"/>
    <s v="N"/>
    <s v="N"/>
    <s v="N"/>
    <s v="B050"/>
    <d v="2016-12-14T00:00:00"/>
    <s v="10"/>
    <s v="TAN"/>
    <s v="OR"/>
    <d v="2016-12-09T00:00:00"/>
    <s v="ID"/>
    <s v="US"/>
    <s v="ZR"/>
    <d v="2016-12-09T00:00:00"/>
  </r>
  <r>
    <x v="1"/>
    <x v="4"/>
    <x v="2608"/>
    <x v="47"/>
    <s v="Standard order"/>
    <x v="2486"/>
    <x v="161"/>
    <s v="2523"/>
    <s v="BTS 2523"/>
    <s v="5002527"/>
    <s v="2523 BTS PB LRG"/>
    <n v="16"/>
    <n v="0"/>
    <n v="16"/>
    <x v="4"/>
    <s v="EZPC"/>
    <s v="LARGE"/>
    <s v="307"/>
    <s v="4.0 UN"/>
    <s v="STANDARD"/>
    <s v="N"/>
    <s v="Y"/>
    <s v="N"/>
    <s v="N"/>
    <s v="N"/>
    <s v="N"/>
    <s v="N"/>
    <s v="N"/>
    <s v="B050"/>
    <d v="2016-12-14T00:00:00"/>
    <s v="20"/>
    <s v="TAN"/>
    <s v="OR"/>
    <d v="2016-12-09T00:00:00"/>
    <s v="ID"/>
    <s v="US"/>
    <s v="ZR"/>
    <d v="2016-12-09T00:00:00"/>
  </r>
  <r>
    <x v="1"/>
    <x v="4"/>
    <x v="2608"/>
    <x v="47"/>
    <s v="Standard order"/>
    <x v="2486"/>
    <x v="161"/>
    <s v="2559"/>
    <s v="BTS 2559"/>
    <s v="5002561"/>
    <s v="2559 BTS PB LRG"/>
    <n v="40"/>
    <n v="0"/>
    <n v="40"/>
    <x v="4"/>
    <s v="FGNE"/>
    <s v="LARGE"/>
    <s v="307"/>
    <s v="4.0 UN"/>
    <s v="STANDARD"/>
    <s v="N"/>
    <s v="Y"/>
    <s v="N"/>
    <s v="N"/>
    <s v="N"/>
    <s v="N"/>
    <s v="N"/>
    <s v="N"/>
    <s v="B050"/>
    <d v="2016-12-14T00:00:00"/>
    <s v="30"/>
    <s v="TAN"/>
    <s v="OR"/>
    <d v="2016-12-09T00:00:00"/>
    <s v="ID"/>
    <s v="US"/>
    <s v="ZR"/>
    <d v="2016-12-09T00:00:00"/>
  </r>
  <r>
    <x v="1"/>
    <x v="4"/>
    <x v="2608"/>
    <x v="47"/>
    <s v="Standard order"/>
    <x v="2486"/>
    <x v="161"/>
    <s v="225N"/>
    <s v="BTS 22RR5N"/>
    <s v="5002111"/>
    <s v="225N BTS PB LRG"/>
    <n v="32"/>
    <n v="0"/>
    <n v="32"/>
    <x v="4"/>
    <s v="4TBD"/>
    <s v="LARGE"/>
    <s v="307"/>
    <s v="4.0 UN"/>
    <s v="STANDARD"/>
    <s v="N"/>
    <s v="Y"/>
    <s v="N"/>
    <s v="N"/>
    <s v="N"/>
    <s v="N"/>
    <s v="N"/>
    <s v="N"/>
    <s v="B050"/>
    <d v="2016-12-14T00:00:00"/>
    <s v="40"/>
    <s v="TAN"/>
    <s v="OR"/>
    <d v="2016-12-09T00:00:00"/>
    <s v="ID"/>
    <s v="US"/>
    <s v="ZR"/>
    <d v="2016-12-09T00:00:00"/>
  </r>
  <r>
    <x v="1"/>
    <x v="4"/>
    <x v="2608"/>
    <x v="47"/>
    <s v="Standard order"/>
    <x v="2486"/>
    <x v="161"/>
    <s v="2720"/>
    <s v="BTS 27RR20"/>
    <s v="5002134"/>
    <s v="2720 BTS PB LRG"/>
    <n v="176"/>
    <n v="0"/>
    <n v="176"/>
    <x v="4"/>
    <s v="4GAY"/>
    <s v="LARGE"/>
    <s v="307"/>
    <s v="4.0 UN"/>
    <s v="STANDARD"/>
    <s v="N"/>
    <s v="Y"/>
    <s v="N"/>
    <s v="N"/>
    <s v="N"/>
    <s v="N"/>
    <s v="N"/>
    <s v="N"/>
    <s v="B050"/>
    <d v="2016-12-14T00:00:00"/>
    <s v="50"/>
    <s v="TAN"/>
    <s v="OR"/>
    <d v="2016-12-09T00:00:00"/>
    <s v="ID"/>
    <s v="US"/>
    <s v="ZR"/>
    <d v="2016-12-09T00:00:00"/>
  </r>
  <r>
    <x v="1"/>
    <x v="2"/>
    <x v="2609"/>
    <x v="22"/>
    <s v="Standard order"/>
    <x v="2487"/>
    <x v="2217"/>
    <s v="64SN"/>
    <s v="BTS 64SN"/>
    <s v="5002422"/>
    <s v="64SN BTS T20 PB SYSTIVA P50"/>
    <n v="20"/>
    <n v="0"/>
    <n v="20"/>
    <x v="2"/>
    <s v="DVNB"/>
    <s v="PRO 50"/>
    <s v="322"/>
    <s v="4.0 UN"/>
    <s v="STANDARD"/>
    <s v="N"/>
    <s v="N"/>
    <s v="N"/>
    <s v="T20"/>
    <s v="Y"/>
    <s v="N"/>
    <s v="Y"/>
    <s v="N"/>
    <s v="B018"/>
    <d v="2016-12-14T00:00:00"/>
    <s v="10"/>
    <s v="TAN"/>
    <s v="OR"/>
    <d v="2016-12-09T00:00:00"/>
    <s v="CO"/>
    <s v="US"/>
    <s v="ZR"/>
    <d v="2016-12-09T00:00:00"/>
  </r>
  <r>
    <x v="1"/>
    <x v="2"/>
    <x v="2609"/>
    <x v="22"/>
    <s v="Standard order"/>
    <x v="2487"/>
    <x v="2217"/>
    <s v="628N"/>
    <s v="BTS 62RR8N"/>
    <s v="5002685"/>
    <s v="628N BTS T20 PB SYSTIVA P50"/>
    <n v="44"/>
    <n v="0"/>
    <n v="44"/>
    <x v="2"/>
    <s v="BL73"/>
    <s v="PRO 50"/>
    <s v="322"/>
    <s v="4.0 UN"/>
    <s v="STANDARD"/>
    <s v="N"/>
    <s v="N"/>
    <s v="N"/>
    <s v="T20"/>
    <s v="Y"/>
    <s v="N"/>
    <s v="Y"/>
    <s v="N"/>
    <s v="B018"/>
    <d v="2016-12-14T00:00:00"/>
    <s v="20"/>
    <s v="TAN"/>
    <s v="OR"/>
    <d v="2016-12-09T00:00:00"/>
    <s v="CO"/>
    <s v="US"/>
    <s v="ZR"/>
    <d v="2016-12-09T00:00:00"/>
  </r>
  <r>
    <x v="1"/>
    <x v="0"/>
    <x v="2610"/>
    <x v="30"/>
    <s v="Standard order"/>
    <x v="2488"/>
    <x v="2218"/>
    <s v="1399"/>
    <s v="BTS 1399"/>
    <s v="5002348"/>
    <s v="1399 BTS T20 Kabina RP"/>
    <n v="12"/>
    <n v="0"/>
    <n v="12"/>
    <x v="0"/>
    <s v="EG74"/>
    <s v="RP"/>
    <s v="380"/>
    <s v="4.0 UN"/>
    <s v="STANDARD"/>
    <s v="N"/>
    <s v="N"/>
    <s v="Y"/>
    <s v="T20"/>
    <s v="N"/>
    <s v="N"/>
    <s v="N"/>
    <s v="N"/>
    <s v="B001"/>
    <d v="2016-12-14T00:00:00"/>
    <s v="10"/>
    <s v="TAN"/>
    <s v="OR"/>
    <d v="2016-12-09T00:00:00"/>
    <s v="MI"/>
    <s v="US"/>
    <s v="ZR"/>
    <d v="2016-12-09T00:00:00"/>
  </r>
  <r>
    <x v="1"/>
    <x v="5"/>
    <x v="2611"/>
    <x v="21"/>
    <s v="Standard order"/>
    <x v="2489"/>
    <x v="529"/>
    <s v="353N"/>
    <s v="BTS 353N"/>
    <s v="5002524"/>
    <s v="353N BTS T20 PB SYSTIVA RP"/>
    <n v="8"/>
    <n v="0"/>
    <n v="8"/>
    <x v="5"/>
    <s v="EENZ"/>
    <s v="RP"/>
    <s v="322"/>
    <s v="4.0 UN"/>
    <s v="STANDARD"/>
    <s v="N"/>
    <s v="Y"/>
    <s v="N"/>
    <s v="T20"/>
    <s v="Y"/>
    <s v="N"/>
    <s v="N"/>
    <s v="N"/>
    <s v="B013"/>
    <d v="2016-12-14T00:00:00"/>
    <s v="10"/>
    <s v="TAN"/>
    <s v="OR"/>
    <d v="2016-12-09T00:00:00"/>
    <s v="MT"/>
    <s v="US"/>
    <s v="ZR"/>
    <d v="2016-12-09T00:00:00"/>
  </r>
  <r>
    <x v="1"/>
    <x v="5"/>
    <x v="2611"/>
    <x v="21"/>
    <s v="Standard order"/>
    <x v="2489"/>
    <x v="529"/>
    <s v="336N"/>
    <s v="BTS 336N"/>
    <s v="5002400"/>
    <s v="336N BTS T20 PB SYSTIVA RP"/>
    <n v="36"/>
    <n v="0"/>
    <n v="36"/>
    <x v="5"/>
    <s v="EEMG"/>
    <s v="RP"/>
    <s v="322"/>
    <s v="4.0 UN"/>
    <s v="STANDARD"/>
    <s v="N"/>
    <s v="N"/>
    <s v="N"/>
    <s v="T20"/>
    <s v="Y"/>
    <s v="N"/>
    <s v="N"/>
    <s v="N"/>
    <s v="B013"/>
    <d v="2016-12-14T00:00:00"/>
    <s v="20"/>
    <s v="TAN"/>
    <s v="OR"/>
    <d v="2016-12-09T00:00:00"/>
    <s v="MT"/>
    <s v="US"/>
    <s v="ZR"/>
    <d v="2016-12-09T00:00:00"/>
  </r>
  <r>
    <x v="1"/>
    <x v="0"/>
    <x v="2612"/>
    <x v="30"/>
    <s v="Standard order"/>
    <x v="2490"/>
    <x v="2219"/>
    <s v="149N"/>
    <s v="BTS 149N"/>
    <s v="5002368"/>
    <s v="149N BTS T20 Kabina RP"/>
    <n v="116"/>
    <n v="0"/>
    <n v="116"/>
    <x v="0"/>
    <s v="EEND"/>
    <s v="RP"/>
    <s v="380"/>
    <s v="4.0 UN"/>
    <s v="STANDARD"/>
    <s v="N"/>
    <s v="N"/>
    <s v="Y"/>
    <s v="T20"/>
    <s v="N"/>
    <s v="N"/>
    <s v="N"/>
    <s v="N"/>
    <s v="B001"/>
    <d v="2016-12-14T00:00:00"/>
    <s v="10"/>
    <s v="TAN"/>
    <s v="OR"/>
    <d v="2016-12-09T00:00:00"/>
    <s v="MI"/>
    <s v="US"/>
    <s v="ZR"/>
    <d v="2016-12-09T00:00:00"/>
  </r>
  <r>
    <x v="1"/>
    <x v="5"/>
    <x v="2613"/>
    <x v="12"/>
    <s v="Standard order"/>
    <x v="2491"/>
    <x v="522"/>
    <s v="398N"/>
    <s v="BTS 39RR8N"/>
    <s v="5002572"/>
    <s v="398N BTS T20 PB SYSTIVA RP"/>
    <n v="24"/>
    <n v="0"/>
    <n v="24"/>
    <x v="5"/>
    <s v="2771"/>
    <s v="RP"/>
    <s v="322"/>
    <s v="4.0 UN"/>
    <s v="STANDARD"/>
    <s v="N"/>
    <s v="Y"/>
    <s v="N"/>
    <s v="T20"/>
    <s v="Y"/>
    <s v="N"/>
    <s v="N"/>
    <s v="N"/>
    <s v="B014"/>
    <d v="2016-12-14T00:00:00"/>
    <s v="30"/>
    <s v="TAN"/>
    <s v="OR"/>
    <d v="2016-12-09T00:00:00"/>
    <s v="MT"/>
    <s v="US"/>
    <s v="ZR"/>
    <d v="2016-12-09T00:00:00"/>
  </r>
  <r>
    <x v="1"/>
    <x v="5"/>
    <x v="2613"/>
    <x v="12"/>
    <s v="Standard order"/>
    <x v="2491"/>
    <x v="522"/>
    <s v="336N"/>
    <s v="BTS 336N"/>
    <s v="5002400"/>
    <s v="336N BTS T20 PB SYSTIVA RP"/>
    <n v="84"/>
    <n v="0"/>
    <n v="84"/>
    <x v="5"/>
    <s v="EEMG"/>
    <s v="RP"/>
    <s v="322"/>
    <s v="4.0 UN"/>
    <s v="STANDARD"/>
    <s v="N"/>
    <s v="N"/>
    <s v="N"/>
    <s v="T20"/>
    <s v="Y"/>
    <s v="N"/>
    <s v="N"/>
    <s v="N"/>
    <s v="B014"/>
    <d v="2016-12-14T00:00:00"/>
    <s v="10"/>
    <s v="TAN"/>
    <s v="OR"/>
    <d v="2016-12-09T00:00:00"/>
    <s v="MT"/>
    <s v="US"/>
    <s v="ZR"/>
    <d v="2016-12-09T00:00:00"/>
  </r>
  <r>
    <x v="1"/>
    <x v="0"/>
    <x v="2614"/>
    <x v="43"/>
    <s v="Standard order"/>
    <x v="2492"/>
    <x v="884"/>
    <s v="1399"/>
    <s v="BTS 1399"/>
    <s v="5002348"/>
    <s v="1399 BTS T20 Kabina RP"/>
    <n v="44"/>
    <n v="0"/>
    <n v="44"/>
    <x v="0"/>
    <s v="EG74"/>
    <s v="RP"/>
    <s v="380"/>
    <s v="4.0 UN"/>
    <s v="STANDARD"/>
    <s v="N"/>
    <s v="N"/>
    <s v="Y"/>
    <s v="T20"/>
    <s v="N"/>
    <s v="N"/>
    <s v="N"/>
    <s v="N"/>
    <s v="B006"/>
    <d v="2016-12-14T00:00:00"/>
    <s v="10"/>
    <s v="TAN"/>
    <s v="OR"/>
    <d v="2016-12-09T00:00:00"/>
    <s v="MI"/>
    <s v="US"/>
    <s v="ZR"/>
    <d v="2016-12-09T00:00:00"/>
  </r>
  <r>
    <x v="1"/>
    <x v="0"/>
    <x v="2614"/>
    <x v="43"/>
    <s v="Standard order"/>
    <x v="2492"/>
    <x v="884"/>
    <s v="122N"/>
    <s v="BTS 12RR2N"/>
    <s v="5002311"/>
    <s v="122N BTS T20 Kabina RP"/>
    <n v="116"/>
    <n v="0"/>
    <n v="116"/>
    <x v="0"/>
    <s v="4TBG"/>
    <s v="RP"/>
    <s v="380"/>
    <s v="4.0 UN"/>
    <s v="STANDARD"/>
    <s v="N"/>
    <s v="N"/>
    <s v="Y"/>
    <s v="T20"/>
    <s v="N"/>
    <s v="N"/>
    <s v="N"/>
    <s v="N"/>
    <s v="B006"/>
    <d v="2016-12-14T00:00:00"/>
    <s v="20"/>
    <s v="TAN"/>
    <s v="OR"/>
    <d v="2016-12-09T00:00:00"/>
    <s v="MI"/>
    <s v="US"/>
    <s v="ZR"/>
    <d v="2016-12-09T00:00:00"/>
  </r>
  <r>
    <x v="1"/>
    <x v="5"/>
    <x v="2615"/>
    <x v="9"/>
    <s v="Standard order"/>
    <x v="2493"/>
    <x v="531"/>
    <s v="336N"/>
    <s v="BTS 336N"/>
    <s v="5002400"/>
    <s v="336N BTS T20 PB SYSTIVA RP"/>
    <n v="196"/>
    <n v="0"/>
    <n v="196"/>
    <x v="5"/>
    <s v="EEMG"/>
    <s v="RP"/>
    <s v="322"/>
    <s v="4.0 UN"/>
    <s v="STANDARD"/>
    <s v="N"/>
    <s v="N"/>
    <s v="N"/>
    <s v="T20"/>
    <s v="Y"/>
    <s v="N"/>
    <s v="N"/>
    <s v="N"/>
    <s v="B016"/>
    <d v="2016-12-14T00:00:00"/>
    <s v="10"/>
    <s v="TAN"/>
    <s v="OR"/>
    <d v="2016-12-09T00:00:00"/>
    <s v="WY"/>
    <s v="US"/>
    <s v="ZR"/>
    <d v="2016-12-09T00:00:00"/>
  </r>
  <r>
    <x v="1"/>
    <x v="5"/>
    <x v="2615"/>
    <x v="9"/>
    <s v="Standard order"/>
    <x v="2493"/>
    <x v="531"/>
    <s v="353N"/>
    <s v="BTS 353N"/>
    <s v="5002524"/>
    <s v="353N BTS T20 PB SYSTIVA RP"/>
    <n v="8"/>
    <n v="0"/>
    <n v="8"/>
    <x v="5"/>
    <s v="EENZ"/>
    <s v="RP"/>
    <s v="322"/>
    <s v="4.0 UN"/>
    <s v="STANDARD"/>
    <s v="N"/>
    <s v="Y"/>
    <s v="N"/>
    <s v="T20"/>
    <s v="Y"/>
    <s v="N"/>
    <s v="N"/>
    <s v="N"/>
    <s v="B016"/>
    <d v="2016-12-14T00:00:00"/>
    <s v="20"/>
    <s v="TAN"/>
    <s v="OR"/>
    <d v="2016-12-09T00:00:00"/>
    <s v="WY"/>
    <s v="US"/>
    <s v="ZR"/>
    <d v="2016-12-09T00:00:00"/>
  </r>
  <r>
    <x v="1"/>
    <x v="7"/>
    <x v="2616"/>
    <x v="28"/>
    <s v="Standard order"/>
    <x v="2494"/>
    <x v="2220"/>
    <s v="8500"/>
    <s v="BTS 8500"/>
    <s v="5002856"/>
    <s v="8500 BTS T35 PB SYSTIVA RP"/>
    <n v="60"/>
    <n v="0"/>
    <n v="60"/>
    <x v="7"/>
    <s v="FTND"/>
    <s v="RP"/>
    <s v="333"/>
    <s v="4.0 UN"/>
    <s v="STANDARD"/>
    <s v="N"/>
    <s v="Y"/>
    <s v="N"/>
    <s v="T35"/>
    <s v="Y"/>
    <s v="N"/>
    <s v="Y"/>
    <s v="N"/>
    <s v="B056"/>
    <d v="2016-12-14T00:00:00"/>
    <s v="10"/>
    <s v="TAN"/>
    <s v="OR"/>
    <d v="2016-12-09T00:00:00"/>
    <s v="ND"/>
    <s v="US"/>
    <s v="ZR"/>
    <d v="2016-12-09T00:00:00"/>
  </r>
  <r>
    <x v="1"/>
    <x v="2"/>
    <x v="2617"/>
    <x v="22"/>
    <s v="Standard order"/>
    <x v="2495"/>
    <x v="584"/>
    <s v="6027"/>
    <s v="BTS 60RR27"/>
    <s v="5002645"/>
    <s v="6027 BTS T20 PB SYSTIVA P100 WSS"/>
    <n v="12"/>
    <n v="0"/>
    <n v="12"/>
    <x v="2"/>
    <s v="APMC"/>
    <s v="PRO 100"/>
    <s v="322"/>
    <s v="4.0 UN"/>
    <s v="STANDARD"/>
    <s v="N"/>
    <s v="N"/>
    <s v="N"/>
    <s v="T20"/>
    <s v="Y"/>
    <s v="N"/>
    <s v="Y"/>
    <s v="N"/>
    <s v="B018"/>
    <d v="2016-12-14T00:00:00"/>
    <s v="10"/>
    <s v="TAN"/>
    <s v="OR"/>
    <d v="2016-12-09T00:00:00"/>
    <s v="CO"/>
    <s v="US"/>
    <s v="ZR"/>
    <d v="2016-12-09T00:00:00"/>
  </r>
  <r>
    <x v="1"/>
    <x v="7"/>
    <x v="2618"/>
    <x v="37"/>
    <s v="Standard order"/>
    <x v="2496"/>
    <x v="2221"/>
    <s v="8052"/>
    <s v="BTS 80RR52"/>
    <s v="5002735"/>
    <s v="8052 BTS T35 PB SYSTIVA RP"/>
    <n v="96"/>
    <n v="0"/>
    <n v="96"/>
    <x v="7"/>
    <s v="AP82"/>
    <s v="RP"/>
    <s v="333"/>
    <s v="4.0 UN"/>
    <s v="STANDARD"/>
    <s v="N"/>
    <s v="Y"/>
    <s v="N"/>
    <s v="T35"/>
    <s v="Y"/>
    <s v="N"/>
    <s v="Y"/>
    <s v="N"/>
    <s v="B033"/>
    <d v="2016-12-14T00:00:00"/>
    <s v="10"/>
    <s v="TAN"/>
    <s v="OR"/>
    <d v="2016-12-09T00:00:00"/>
    <s v="MN"/>
    <s v="US"/>
    <s v="ZR"/>
    <d v="2016-12-09T00:00:00"/>
  </r>
  <r>
    <x v="1"/>
    <x v="7"/>
    <x v="2619"/>
    <x v="37"/>
    <s v="Standard order"/>
    <x v="2497"/>
    <x v="2222"/>
    <s v="8337"/>
    <s v="BTS 8337"/>
    <s v="5002795"/>
    <s v="8337 BTS T35 PB SYSTIVA RP"/>
    <n v="48"/>
    <n v="0"/>
    <n v="48"/>
    <x v="7"/>
    <s v="DHMC"/>
    <s v="RP"/>
    <s v="333"/>
    <s v="4.0 UN"/>
    <s v="STANDARD"/>
    <s v="N"/>
    <s v="Y"/>
    <s v="N"/>
    <s v="T35"/>
    <s v="Y"/>
    <s v="N"/>
    <s v="Y"/>
    <s v="N"/>
    <s v="B033"/>
    <d v="2016-12-14T00:00:00"/>
    <s v="10"/>
    <s v="TAN"/>
    <s v="OR"/>
    <d v="2016-12-09T00:00:00"/>
    <s v="ND"/>
    <s v="US"/>
    <s v="ZR"/>
    <d v="2016-12-09T00:00:00"/>
  </r>
  <r>
    <x v="1"/>
    <x v="5"/>
    <x v="2620"/>
    <x v="9"/>
    <s v="Standard order"/>
    <x v="2498"/>
    <x v="535"/>
    <s v="3650"/>
    <s v="BTS 36RR50"/>
    <s v="5002548"/>
    <s v="3650 BTS T20 PB SYSTIVA RP"/>
    <n v="52"/>
    <n v="0"/>
    <n v="52"/>
    <x v="5"/>
    <s v="4DAY"/>
    <s v="RP"/>
    <s v="322"/>
    <s v="4.0 UN"/>
    <s v="STANDARD"/>
    <s v="N"/>
    <s v="Y"/>
    <s v="N"/>
    <s v="T20"/>
    <s v="Y"/>
    <s v="N"/>
    <s v="N"/>
    <s v="N"/>
    <s v="B016"/>
    <d v="2016-12-14T00:00:00"/>
    <s v="10"/>
    <s v="TAN"/>
    <s v="OR"/>
    <d v="2016-12-09T00:00:00"/>
    <s v="WY"/>
    <s v="US"/>
    <s v="ZR"/>
    <d v="2016-12-09T00:00:00"/>
  </r>
  <r>
    <x v="1"/>
    <x v="0"/>
    <x v="2621"/>
    <x v="45"/>
    <s v="Standard order"/>
    <x v="2499"/>
    <x v="539"/>
    <s v="149N"/>
    <s v="BTS 149N"/>
    <s v="5002368"/>
    <s v="149N BTS T20 Kabina RP"/>
    <n v="12"/>
    <n v="0"/>
    <n v="12"/>
    <x v="0"/>
    <s v="EEND"/>
    <s v="RP"/>
    <s v="380"/>
    <s v="4.0 UN"/>
    <s v="STANDARD"/>
    <s v="N"/>
    <s v="N"/>
    <s v="Y"/>
    <s v="T20"/>
    <s v="N"/>
    <s v="N"/>
    <s v="N"/>
    <s v="N"/>
    <s v="B003"/>
    <d v="2016-12-14T00:00:00"/>
    <s v="20"/>
    <s v="TAN"/>
    <s v="OR"/>
    <d v="2016-12-09T00:00:00"/>
    <s v="MI"/>
    <s v="US"/>
    <s v="ZR"/>
    <d v="2016-12-09T00:00:00"/>
  </r>
  <r>
    <x v="1"/>
    <x v="0"/>
    <x v="2621"/>
    <x v="45"/>
    <s v="Standard order"/>
    <x v="2499"/>
    <x v="539"/>
    <s v="122N"/>
    <s v="BTS 12RR2N"/>
    <s v="5002311"/>
    <s v="122N BTS T20 Kabina RP"/>
    <n v="12"/>
    <n v="0"/>
    <n v="12"/>
    <x v="0"/>
    <s v="4TBG"/>
    <s v="RP"/>
    <s v="380"/>
    <s v="4.0 UN"/>
    <s v="STANDARD"/>
    <s v="N"/>
    <s v="N"/>
    <s v="Y"/>
    <s v="T20"/>
    <s v="N"/>
    <s v="N"/>
    <s v="N"/>
    <s v="N"/>
    <s v="B003"/>
    <d v="2016-12-14T00:00:00"/>
    <s v="40"/>
    <s v="TAN"/>
    <s v="OR"/>
    <d v="2016-12-09T00:00:00"/>
    <s v="MI"/>
    <s v="US"/>
    <s v="ZR"/>
    <d v="2016-12-09T00:00:00"/>
  </r>
  <r>
    <x v="1"/>
    <x v="0"/>
    <x v="2621"/>
    <x v="45"/>
    <s v="Standard order"/>
    <x v="2499"/>
    <x v="539"/>
    <s v="1399"/>
    <s v="BTS 1399"/>
    <s v="5002348"/>
    <s v="1399 BTS T20 Kabina RP"/>
    <n v="28"/>
    <n v="0"/>
    <n v="28"/>
    <x v="0"/>
    <s v="EG74"/>
    <s v="RP"/>
    <s v="380"/>
    <s v="4.0 UN"/>
    <s v="STANDARD"/>
    <s v="N"/>
    <s v="N"/>
    <s v="Y"/>
    <s v="T20"/>
    <s v="N"/>
    <s v="N"/>
    <s v="N"/>
    <s v="N"/>
    <s v="B003"/>
    <d v="2016-12-14T00:00:00"/>
    <s v="50"/>
    <s v="TAN"/>
    <s v="OR"/>
    <d v="2016-12-09T00:00:00"/>
    <s v="MI"/>
    <s v="US"/>
    <s v="ZR"/>
    <d v="2016-12-09T00:00:00"/>
  </r>
  <r>
    <x v="1"/>
    <x v="7"/>
    <x v="2622"/>
    <x v="37"/>
    <s v="Standard order"/>
    <x v="2500"/>
    <x v="2223"/>
    <s v="8052"/>
    <s v="BTS 80RR52"/>
    <s v="5002734"/>
    <s v="8052 BTS T35 PB SYSTIVA P200"/>
    <n v="276"/>
    <n v="0"/>
    <n v="276"/>
    <x v="7"/>
    <s v="AP82"/>
    <s v="PRO 200"/>
    <s v="333"/>
    <s v="4.0 UN"/>
    <s v="STANDARD"/>
    <s v="N"/>
    <s v="Y"/>
    <s v="N"/>
    <s v="T35"/>
    <s v="Y"/>
    <s v="N"/>
    <s v="Y"/>
    <s v="N"/>
    <s v="B033"/>
    <d v="2016-12-14T00:00:00"/>
    <s v="30"/>
    <s v="TAN"/>
    <s v="OR"/>
    <d v="2016-12-09T00:00:00"/>
    <s v="ND"/>
    <s v="US"/>
    <s v="ZR"/>
    <d v="2016-12-09T00:00:00"/>
  </r>
  <r>
    <x v="1"/>
    <x v="7"/>
    <x v="2622"/>
    <x v="37"/>
    <s v="Standard order"/>
    <x v="2500"/>
    <x v="2223"/>
    <s v="8500"/>
    <s v="BTS 8500"/>
    <s v="5002855"/>
    <s v="8500 BTS T35 PB SYSTIVA P200"/>
    <n v="88"/>
    <n v="0"/>
    <n v="88"/>
    <x v="7"/>
    <s v="FTND"/>
    <s v="PRO 200"/>
    <s v="333"/>
    <s v="4.0 UN"/>
    <s v="STANDARD"/>
    <s v="N"/>
    <s v="Y"/>
    <s v="N"/>
    <s v="T35"/>
    <s v="Y"/>
    <s v="N"/>
    <s v="Y"/>
    <s v="N"/>
    <s v="B033"/>
    <d v="2016-12-14T00:00:00"/>
    <s v="40"/>
    <s v="TAN"/>
    <s v="OR"/>
    <d v="2016-12-09T00:00:00"/>
    <s v="ND"/>
    <s v="US"/>
    <s v="ZR"/>
    <d v="2016-12-09T00:00:00"/>
  </r>
  <r>
    <x v="1"/>
    <x v="7"/>
    <x v="2623"/>
    <x v="37"/>
    <s v="Standard order"/>
    <x v="2501"/>
    <x v="2224"/>
    <s v="8500"/>
    <s v="BTS 8500"/>
    <s v="5002860"/>
    <s v="8500 BTS T35 SYSTIVA RP"/>
    <n v="96"/>
    <n v="0"/>
    <n v="96"/>
    <x v="7"/>
    <s v="FTND"/>
    <s v="RP"/>
    <s v="334"/>
    <s v="4.0 UN"/>
    <s v="STANDARD"/>
    <s v="N"/>
    <s v="N"/>
    <s v="N"/>
    <s v="T35"/>
    <s v="Y"/>
    <s v="N"/>
    <s v="Y"/>
    <s v="N"/>
    <s v="B033"/>
    <d v="2016-12-14T00:00:00"/>
    <s v="10"/>
    <s v="TAN"/>
    <s v="OR"/>
    <d v="2016-12-09T00:00:00"/>
    <s v="ND"/>
    <s v="US"/>
    <s v="ZR"/>
    <d v="2016-12-09T00:00:00"/>
  </r>
  <r>
    <x v="1"/>
    <x v="7"/>
    <x v="2624"/>
    <x v="37"/>
    <s v="Standard order"/>
    <x v="2502"/>
    <x v="2225"/>
    <s v="8052"/>
    <s v="BTS 80RR52"/>
    <s v="5002734"/>
    <s v="8052 BTS T35 PB SYSTIVA P200"/>
    <n v="52"/>
    <n v="0"/>
    <n v="52"/>
    <x v="7"/>
    <s v="AP82"/>
    <s v="PRO 200"/>
    <s v="333"/>
    <s v="4.0 UN"/>
    <s v="STANDARD"/>
    <s v="N"/>
    <s v="Y"/>
    <s v="N"/>
    <s v="T35"/>
    <s v="Y"/>
    <s v="N"/>
    <s v="Y"/>
    <s v="N"/>
    <s v="B033"/>
    <d v="2016-12-14T00:00:00"/>
    <s v="10"/>
    <s v="TAN"/>
    <s v="OR"/>
    <d v="2016-12-09T00:00:00"/>
    <s v="MN"/>
    <s v="US"/>
    <s v="ZR"/>
    <d v="2016-12-09T00:00:00"/>
  </r>
  <r>
    <x v="1"/>
    <x v="7"/>
    <x v="2624"/>
    <x v="37"/>
    <s v="Standard order"/>
    <x v="2502"/>
    <x v="2225"/>
    <s v="8500"/>
    <s v="BTS 8500"/>
    <s v="5002855"/>
    <s v="8500 BTS T35 PB SYSTIVA P200"/>
    <n v="52"/>
    <n v="0"/>
    <n v="52"/>
    <x v="7"/>
    <s v="FTND"/>
    <s v="PRO 200"/>
    <s v="333"/>
    <s v="4.0 UN"/>
    <s v="STANDARD"/>
    <s v="N"/>
    <s v="Y"/>
    <s v="N"/>
    <s v="T35"/>
    <s v="Y"/>
    <s v="N"/>
    <s v="Y"/>
    <s v="N"/>
    <s v="B033"/>
    <d v="2016-12-14T00:00:00"/>
    <s v="20"/>
    <s v="TAN"/>
    <s v="OR"/>
    <d v="2016-12-09T00:00:00"/>
    <s v="MN"/>
    <s v="US"/>
    <s v="ZR"/>
    <d v="2016-12-09T00:00:00"/>
  </r>
  <r>
    <x v="1"/>
    <x v="7"/>
    <x v="2625"/>
    <x v="41"/>
    <s v="Standard order"/>
    <x v="2503"/>
    <x v="2226"/>
    <s v="8052"/>
    <s v="BTS 80RR52"/>
    <s v="5002734"/>
    <s v="8052 BTS T35 PB SYSTIVA P200"/>
    <n v="124"/>
    <n v="0"/>
    <n v="124"/>
    <x v="7"/>
    <s v="AP82"/>
    <s v="PRO 200"/>
    <s v="333"/>
    <s v="4.0 UN"/>
    <s v="STANDARD"/>
    <s v="N"/>
    <s v="Y"/>
    <s v="N"/>
    <s v="T35"/>
    <s v="Y"/>
    <s v="N"/>
    <s v="Y"/>
    <s v="N"/>
    <s v="B032"/>
    <d v="2016-12-14T00:00:00"/>
    <s v="10"/>
    <s v="TAN"/>
    <s v="OR"/>
    <d v="2016-12-09T00:00:00"/>
    <s v="MN"/>
    <s v="US"/>
    <s v="ZR"/>
    <d v="2016-12-09T00:00:00"/>
  </r>
  <r>
    <x v="1"/>
    <x v="4"/>
    <x v="2626"/>
    <x v="53"/>
    <s v="Standard order"/>
    <x v="2504"/>
    <x v="476"/>
    <s v="2720"/>
    <s v="BTS 27RR20"/>
    <s v="5002142"/>
    <s v="2720 BTS PB XL"/>
    <n v="48"/>
    <n v="0"/>
    <n v="48"/>
    <x v="4"/>
    <s v="4GAY"/>
    <s v="X-LARGE"/>
    <s v="307"/>
    <s v="4.0 UN"/>
    <s v="STANDARD"/>
    <s v="N"/>
    <s v="Y"/>
    <s v="N"/>
    <s v="N"/>
    <s v="N"/>
    <s v="N"/>
    <s v="N"/>
    <s v="N"/>
    <s v="B051"/>
    <d v="2016-12-14T00:00:00"/>
    <s v="10"/>
    <s v="TAN"/>
    <s v="OR"/>
    <d v="2016-12-08T00:00:00"/>
    <s v="ID"/>
    <s v="US"/>
    <s v="ZR"/>
    <d v="2016-12-09T00:00:00"/>
  </r>
  <r>
    <x v="1"/>
    <x v="0"/>
    <x v="2627"/>
    <x v="30"/>
    <s v="Standard order"/>
    <x v="2505"/>
    <x v="1274"/>
    <s v="1399"/>
    <s v="BTS 1399"/>
    <s v="5002348"/>
    <s v="1399 BTS T20 Kabina RP"/>
    <n v="8"/>
    <n v="0"/>
    <n v="8"/>
    <x v="0"/>
    <s v="EG74"/>
    <s v="RP"/>
    <s v="380"/>
    <s v="4.0 UN"/>
    <s v="STANDARD"/>
    <s v="N"/>
    <s v="N"/>
    <s v="Y"/>
    <s v="T20"/>
    <s v="N"/>
    <s v="N"/>
    <s v="N"/>
    <s v="N"/>
    <s v="B001"/>
    <d v="2016-12-14T00:00:00"/>
    <s v="10"/>
    <s v="TAN"/>
    <s v="OR"/>
    <d v="2016-12-09T00:00:00"/>
    <s v="MI"/>
    <s v="US"/>
    <s v="ZR"/>
    <d v="2016-12-09T00:00:00"/>
  </r>
  <r>
    <x v="1"/>
    <x v="0"/>
    <x v="2628"/>
    <x v="42"/>
    <s v="Standard order"/>
    <x v="2506"/>
    <x v="2227"/>
    <s v="1399"/>
    <s v="BTS 1399"/>
    <s v="5002346"/>
    <s v="1399 BTS T20 Kabina MP"/>
    <n v="32"/>
    <n v="0"/>
    <n v="32"/>
    <x v="0"/>
    <s v="EG74"/>
    <s v="MP"/>
    <s v="380"/>
    <s v="4.0 UN"/>
    <s v="STANDARD"/>
    <s v="N"/>
    <s v="N"/>
    <s v="Y"/>
    <s v="T20"/>
    <s v="N"/>
    <s v="N"/>
    <s v="N"/>
    <s v="N"/>
    <s v="B007"/>
    <d v="2016-12-14T00:00:00"/>
    <s v="10"/>
    <s v="TAN"/>
    <s v="OR"/>
    <d v="2016-12-09T00:00:00"/>
    <s v="MI"/>
    <s v="US"/>
    <s v="ZR"/>
    <d v="2016-12-09T00:00:00"/>
  </r>
  <r>
    <x v="1"/>
    <x v="0"/>
    <x v="2628"/>
    <x v="42"/>
    <s v="Standard order"/>
    <x v="2506"/>
    <x v="2227"/>
    <s v="122N"/>
    <s v="BTS 12RR2N"/>
    <s v="5002309"/>
    <s v="122N BTS T20 Kabina MP"/>
    <n v="40"/>
    <n v="0"/>
    <n v="40"/>
    <x v="0"/>
    <s v="4TBG"/>
    <s v="MP"/>
    <s v="380"/>
    <s v="4.0 UN"/>
    <s v="STANDARD"/>
    <s v="N"/>
    <s v="N"/>
    <s v="Y"/>
    <s v="T20"/>
    <s v="N"/>
    <s v="N"/>
    <s v="N"/>
    <s v="N"/>
    <s v="B007"/>
    <d v="2016-12-14T00:00:00"/>
    <s v="20"/>
    <s v="TAN"/>
    <s v="OR"/>
    <d v="2016-12-09T00:00:00"/>
    <s v="MI"/>
    <s v="US"/>
    <s v="ZR"/>
    <d v="2016-12-09T00:00:00"/>
  </r>
  <r>
    <x v="1"/>
    <x v="0"/>
    <x v="2629"/>
    <x v="42"/>
    <s v="Standard order"/>
    <x v="2507"/>
    <x v="2228"/>
    <s v="1399"/>
    <s v="BTS 1399"/>
    <s v="5002348"/>
    <s v="1399 BTS T20 Kabina RP"/>
    <n v="20"/>
    <n v="0"/>
    <n v="20"/>
    <x v="0"/>
    <s v="EG74"/>
    <s v="RP"/>
    <s v="380"/>
    <s v="4.0 UN"/>
    <s v="STANDARD"/>
    <s v="N"/>
    <s v="N"/>
    <s v="Y"/>
    <s v="T20"/>
    <s v="N"/>
    <s v="N"/>
    <s v="N"/>
    <s v="N"/>
    <s v="B007"/>
    <d v="2016-12-14T00:00:00"/>
    <s v="30"/>
    <s v="TAN"/>
    <s v="OR"/>
    <d v="2016-12-09T00:00:00"/>
    <s v="MI"/>
    <s v="US"/>
    <s v="ZR"/>
    <d v="2016-12-09T00:00:00"/>
  </r>
  <r>
    <x v="1"/>
    <x v="0"/>
    <x v="2629"/>
    <x v="42"/>
    <s v="Standard order"/>
    <x v="2507"/>
    <x v="2228"/>
    <s v="1399"/>
    <s v="BTS 1399"/>
    <s v="5002348"/>
    <s v="1399 BTS T20 Kabina RP"/>
    <n v="60"/>
    <n v="0"/>
    <n v="60"/>
    <x v="0"/>
    <s v="EG74"/>
    <s v="RP"/>
    <s v="380"/>
    <s v="4.0 UN"/>
    <s v="STANDARD"/>
    <s v="N"/>
    <s v="N"/>
    <s v="Y"/>
    <s v="T20"/>
    <s v="N"/>
    <s v="N"/>
    <s v="N"/>
    <s v="N"/>
    <s v="B007"/>
    <d v="2016-12-14T00:00:00"/>
    <s v="10"/>
    <s v="TAN"/>
    <s v="OR"/>
    <d v="2016-12-09T00:00:00"/>
    <s v="MI"/>
    <s v="US"/>
    <s v="ZR"/>
    <d v="2016-12-09T00:00:00"/>
  </r>
  <r>
    <x v="1"/>
    <x v="2"/>
    <x v="2630"/>
    <x v="23"/>
    <s v="Standard order"/>
    <x v="2508"/>
    <x v="543"/>
    <s v="6543"/>
    <s v="BTS 6543"/>
    <s v="5002438"/>
    <s v="6543 BTS T20 PB SYSTIVA P100"/>
    <n v="16"/>
    <n v="0"/>
    <n v="16"/>
    <x v="2"/>
    <s v="FXND"/>
    <s v="PRO 100"/>
    <s v="322"/>
    <s v="4.0 UN"/>
    <s v="STANDARD"/>
    <s v="N"/>
    <s v="N"/>
    <s v="N"/>
    <s v="T20"/>
    <s v="Y"/>
    <s v="N"/>
    <s v="Y"/>
    <s v="N"/>
    <s v="B055"/>
    <d v="2016-12-14T00:00:00"/>
    <s v="10"/>
    <s v="TAN"/>
    <s v="OR"/>
    <d v="2016-12-09T00:00:00"/>
    <s v="WY"/>
    <s v="US"/>
    <s v="ZR"/>
    <d v="2016-12-09T00:00:00"/>
  </r>
  <r>
    <x v="1"/>
    <x v="2"/>
    <x v="2630"/>
    <x v="23"/>
    <s v="Standard order"/>
    <x v="2508"/>
    <x v="543"/>
    <s v="6027"/>
    <s v="BTS 60RR27"/>
    <s v="5002645"/>
    <s v="6027 BTS T20 PB SYSTIVA P100 WSS"/>
    <n v="24"/>
    <n v="0"/>
    <n v="24"/>
    <x v="2"/>
    <s v="APMC"/>
    <s v="PRO 100"/>
    <s v="322"/>
    <s v="4.0 UN"/>
    <s v="STANDARD"/>
    <s v="N"/>
    <s v="N"/>
    <s v="N"/>
    <s v="T20"/>
    <s v="Y"/>
    <s v="N"/>
    <s v="Y"/>
    <s v="N"/>
    <s v="B055"/>
    <d v="2016-12-14T00:00:00"/>
    <s v="20"/>
    <s v="TAN"/>
    <s v="OR"/>
    <d v="2016-12-09T00:00:00"/>
    <s v="WY"/>
    <s v="US"/>
    <s v="ZR"/>
    <d v="2016-12-09T00:00:00"/>
  </r>
  <r>
    <x v="1"/>
    <x v="0"/>
    <x v="2631"/>
    <x v="42"/>
    <s v="Standard order"/>
    <x v="2509"/>
    <x v="2229"/>
    <s v="122N"/>
    <s v="BTS 12RR2N"/>
    <s v="5002309"/>
    <s v="122N BTS T20 Kabina MP"/>
    <n v="80"/>
    <n v="0"/>
    <n v="80"/>
    <x v="0"/>
    <s v="4TBG"/>
    <s v="MP"/>
    <s v="380"/>
    <s v="4.0 UN"/>
    <s v="STANDARD"/>
    <s v="N"/>
    <s v="N"/>
    <s v="Y"/>
    <s v="T20"/>
    <s v="N"/>
    <s v="N"/>
    <s v="N"/>
    <s v="N"/>
    <s v="B007"/>
    <d v="2016-12-14T00:00:00"/>
    <s v="10"/>
    <s v="TAN"/>
    <s v="OR"/>
    <d v="2016-12-09T00:00:00"/>
    <s v="MI"/>
    <s v="US"/>
    <s v="ZR"/>
    <d v="2016-12-09T00:00:00"/>
  </r>
  <r>
    <x v="1"/>
    <x v="0"/>
    <x v="2631"/>
    <x v="42"/>
    <s v="Standard order"/>
    <x v="2509"/>
    <x v="2229"/>
    <s v="149N"/>
    <s v="BTS 149N"/>
    <s v="5002366"/>
    <s v="149N BTS T20 Kabina MP"/>
    <n v="80"/>
    <n v="0"/>
    <n v="80"/>
    <x v="0"/>
    <s v="EEND"/>
    <s v="MP"/>
    <s v="380"/>
    <s v="4.0 UN"/>
    <s v="STANDARD"/>
    <s v="N"/>
    <s v="N"/>
    <s v="Y"/>
    <s v="T20"/>
    <s v="N"/>
    <s v="N"/>
    <s v="N"/>
    <s v="N"/>
    <s v="B007"/>
    <d v="2016-12-14T00:00:00"/>
    <s v="20"/>
    <s v="TAN"/>
    <s v="OR"/>
    <d v="2016-12-09T00:00:00"/>
    <s v="MI"/>
    <s v="US"/>
    <s v="ZR"/>
    <d v="2016-12-09T00:00:00"/>
  </r>
  <r>
    <x v="1"/>
    <x v="5"/>
    <x v="2632"/>
    <x v="9"/>
    <s v="Standard order"/>
    <x v="2510"/>
    <x v="505"/>
    <s v="353N"/>
    <s v="BTS 353N"/>
    <s v="5002524"/>
    <s v="353N BTS T20 PB SYSTIVA RP"/>
    <n v="12"/>
    <n v="0"/>
    <n v="12"/>
    <x v="5"/>
    <s v="EENZ"/>
    <s v="RP"/>
    <s v="322"/>
    <s v="4.0 UN"/>
    <s v="STANDARD"/>
    <s v="N"/>
    <s v="Y"/>
    <s v="N"/>
    <s v="T20"/>
    <s v="Y"/>
    <s v="N"/>
    <s v="N"/>
    <s v="N"/>
    <s v="B016"/>
    <d v="2016-12-14T00:00:00"/>
    <s v="10"/>
    <s v="TAN"/>
    <s v="OR"/>
    <d v="2016-12-09T00:00:00"/>
    <s v="WY"/>
    <s v="US"/>
    <s v="ZR"/>
    <d v="2016-12-09T00:00:00"/>
  </r>
  <r>
    <x v="1"/>
    <x v="5"/>
    <x v="2633"/>
    <x v="12"/>
    <s v="Standard order"/>
    <x v="2511"/>
    <x v="517"/>
    <s v="336N"/>
    <s v="BTS 336N"/>
    <s v="5002199"/>
    <s v="336N BTS T20 PB SYSTIVA P200"/>
    <n v="132"/>
    <n v="0"/>
    <n v="132"/>
    <x v="5"/>
    <s v="EEMG"/>
    <s v="PRO 200"/>
    <s v="322"/>
    <s v="4.0 UN"/>
    <s v="STANDARD"/>
    <s v="N"/>
    <s v="N"/>
    <s v="N"/>
    <s v="T20"/>
    <s v="Y"/>
    <s v="N"/>
    <s v="N"/>
    <s v="N"/>
    <s v="B014"/>
    <d v="2016-12-14T00:00:00"/>
    <s v="10"/>
    <s v="TAN"/>
    <s v="OR"/>
    <d v="2016-12-08T00:00:00"/>
    <s v="MT"/>
    <s v="US"/>
    <s v="ZR"/>
    <d v="2016-12-09T00:00:00"/>
  </r>
  <r>
    <x v="1"/>
    <x v="5"/>
    <x v="2633"/>
    <x v="12"/>
    <s v="Standard order"/>
    <x v="2511"/>
    <x v="517"/>
    <s v="353N"/>
    <s v="BTS 353N"/>
    <s v="5002522"/>
    <s v="353N BTS T20 PB SYSTIVA P200"/>
    <n v="16"/>
    <n v="0"/>
    <n v="16"/>
    <x v="5"/>
    <s v="EENZ"/>
    <s v="PRO 200"/>
    <s v="322"/>
    <s v="4.0 UN"/>
    <s v="STANDARD"/>
    <s v="N"/>
    <s v="Y"/>
    <s v="N"/>
    <s v="T20"/>
    <s v="Y"/>
    <s v="N"/>
    <s v="N"/>
    <s v="N"/>
    <s v="B014"/>
    <d v="2016-12-14T00:00:00"/>
    <s v="20"/>
    <s v="TAN"/>
    <s v="OR"/>
    <d v="2016-12-08T00:00:00"/>
    <s v="MT"/>
    <s v="US"/>
    <s v="ZR"/>
    <d v="2016-12-09T00:00:00"/>
  </r>
  <r>
    <x v="1"/>
    <x v="0"/>
    <x v="2634"/>
    <x v="42"/>
    <s v="Standard order"/>
    <x v="2512"/>
    <x v="2230"/>
    <s v="1399"/>
    <s v="BTS 1399"/>
    <s v="5002346"/>
    <s v="1399 BTS T20 Kabina MP"/>
    <n v="8"/>
    <n v="0"/>
    <n v="8"/>
    <x v="0"/>
    <s v="EG74"/>
    <s v="MP"/>
    <s v="380"/>
    <s v="4.0 UN"/>
    <s v="STANDARD"/>
    <s v="N"/>
    <s v="N"/>
    <s v="Y"/>
    <s v="T20"/>
    <s v="N"/>
    <s v="N"/>
    <s v="N"/>
    <s v="N"/>
    <s v="B007"/>
    <d v="2016-12-14T00:00:00"/>
    <s v="10"/>
    <s v="TAN"/>
    <s v="OR"/>
    <d v="2016-12-08T00:00:00"/>
    <s v="MI"/>
    <s v="US"/>
    <s v="ZR"/>
    <d v="2016-12-09T00:00:00"/>
  </r>
  <r>
    <x v="1"/>
    <x v="0"/>
    <x v="2635"/>
    <x v="29"/>
    <s v="Standard order"/>
    <x v="2513"/>
    <x v="2231"/>
    <s v="149N"/>
    <s v="BTS 149N"/>
    <s v="5002368"/>
    <s v="149N BTS T20 Kabina RP"/>
    <n v="68"/>
    <n v="0"/>
    <n v="68"/>
    <x v="0"/>
    <s v="EEND"/>
    <s v="RP"/>
    <s v="380"/>
    <s v="4.0 UN"/>
    <s v="STANDARD"/>
    <s v="N"/>
    <s v="N"/>
    <s v="Y"/>
    <s v="T20"/>
    <s v="N"/>
    <s v="N"/>
    <s v="N"/>
    <s v="N"/>
    <s v="B005"/>
    <d v="2016-12-14T00:00:00"/>
    <s v="10"/>
    <s v="TAN"/>
    <s v="OR"/>
    <d v="2016-12-08T00:00:00"/>
    <s v="MI"/>
    <s v="US"/>
    <s v="ZR"/>
    <d v="2016-12-09T00:00:00"/>
  </r>
  <r>
    <x v="1"/>
    <x v="0"/>
    <x v="2636"/>
    <x v="29"/>
    <s v="Standard order"/>
    <x v="2514"/>
    <x v="2232"/>
    <s v="1399"/>
    <s v="BTS 1399"/>
    <s v="5002348"/>
    <s v="1399 BTS T20 Kabina RP"/>
    <n v="32"/>
    <n v="0"/>
    <n v="32"/>
    <x v="0"/>
    <s v="EG74"/>
    <s v="RP"/>
    <s v="380"/>
    <s v="4.0 UN"/>
    <s v="STANDARD"/>
    <s v="N"/>
    <s v="N"/>
    <s v="Y"/>
    <s v="T20"/>
    <s v="N"/>
    <s v="N"/>
    <s v="N"/>
    <s v="N"/>
    <s v="B005"/>
    <d v="2016-12-14T00:00:00"/>
    <s v="20"/>
    <s v="TAN"/>
    <s v="OR"/>
    <d v="2016-12-08T00:00:00"/>
    <s v="MI"/>
    <s v="US"/>
    <s v="ZR"/>
    <d v="2016-12-09T00:00:00"/>
  </r>
  <r>
    <x v="1"/>
    <x v="0"/>
    <x v="2637"/>
    <x v="42"/>
    <s v="Standard order"/>
    <x v="2515"/>
    <x v="2233"/>
    <s v="1399"/>
    <s v="BTS 1399"/>
    <s v="5002348"/>
    <s v="1399 BTS T20 Kabina RP"/>
    <n v="108"/>
    <n v="0"/>
    <n v="108"/>
    <x v="0"/>
    <s v="EG74"/>
    <s v="RP"/>
    <s v="380"/>
    <s v="4.0 UN"/>
    <s v="STANDARD"/>
    <s v="N"/>
    <s v="N"/>
    <s v="Y"/>
    <s v="T20"/>
    <s v="N"/>
    <s v="N"/>
    <s v="N"/>
    <s v="N"/>
    <s v="B007"/>
    <d v="2016-12-14T00:00:00"/>
    <s v="10"/>
    <s v="TAN"/>
    <s v="OR"/>
    <d v="2016-12-09T00:00:00"/>
    <s v="MI"/>
    <s v="US"/>
    <s v="ZR"/>
    <d v="2016-12-09T00:00:00"/>
  </r>
  <r>
    <x v="1"/>
    <x v="7"/>
    <x v="2638"/>
    <x v="38"/>
    <s v="Standard order"/>
    <x v="2516"/>
    <x v="2234"/>
    <s v="8052"/>
    <s v="BTS 80RR52"/>
    <s v="5002735"/>
    <s v="8052 BTS T35 PB SYSTIVA RP"/>
    <n v="60"/>
    <n v="0"/>
    <n v="60"/>
    <x v="7"/>
    <s v="AP82"/>
    <s v="RP"/>
    <s v="333"/>
    <s v="4.0 UN"/>
    <s v="STANDARD"/>
    <s v="N"/>
    <s v="Y"/>
    <s v="N"/>
    <s v="T35"/>
    <s v="Y"/>
    <s v="N"/>
    <s v="Y"/>
    <s v="N"/>
    <s v="B031"/>
    <d v="2016-12-14T00:00:00"/>
    <s v="10"/>
    <s v="TAN"/>
    <s v="OR"/>
    <d v="2016-12-09T00:00:00"/>
    <s v="MN"/>
    <s v="US"/>
    <s v="ZR"/>
    <d v="2016-12-09T00:00:00"/>
  </r>
  <r>
    <x v="1"/>
    <x v="7"/>
    <x v="2638"/>
    <x v="38"/>
    <s v="Standard order"/>
    <x v="2516"/>
    <x v="2234"/>
    <s v="8337"/>
    <s v="BTS 8337"/>
    <s v="5002795"/>
    <s v="8337 BTS T35 PB SYSTIVA RP"/>
    <n v="60"/>
    <n v="0"/>
    <n v="60"/>
    <x v="7"/>
    <s v="DHMC"/>
    <s v="RP"/>
    <s v="333"/>
    <s v="4.0 UN"/>
    <s v="STANDARD"/>
    <s v="N"/>
    <s v="Y"/>
    <s v="N"/>
    <s v="T35"/>
    <s v="Y"/>
    <s v="N"/>
    <s v="Y"/>
    <s v="N"/>
    <s v="B031"/>
    <d v="2016-12-14T00:00:00"/>
    <s v="20"/>
    <s v="TAN"/>
    <s v="OR"/>
    <d v="2016-12-09T00:00:00"/>
    <s v="MN"/>
    <s v="US"/>
    <s v="ZR"/>
    <d v="2016-12-09T00:00:00"/>
  </r>
  <r>
    <x v="1"/>
    <x v="2"/>
    <x v="2639"/>
    <x v="6"/>
    <s v="Standard order"/>
    <x v="2517"/>
    <x v="540"/>
    <s v="628N"/>
    <s v="BTS 62RR8N"/>
    <s v="5002683"/>
    <s v="628N BTS T20 PB SYSTIVA P100"/>
    <n v="24"/>
    <n v="0"/>
    <n v="24"/>
    <x v="2"/>
    <s v="BL73"/>
    <s v="PRO 100"/>
    <s v="322"/>
    <s v="4.0 UN"/>
    <s v="STANDARD"/>
    <s v="N"/>
    <s v="N"/>
    <s v="N"/>
    <s v="T20"/>
    <s v="Y"/>
    <s v="N"/>
    <s v="Y"/>
    <s v="N"/>
    <s v="B025"/>
    <d v="2016-12-14T00:00:00"/>
    <s v="10"/>
    <s v="TAN"/>
    <s v="OR"/>
    <d v="2016-12-08T00:00:00"/>
    <s v="NE"/>
    <s v="US"/>
    <s v="ZR"/>
    <d v="2016-12-09T00:00:00"/>
  </r>
  <r>
    <x v="1"/>
    <x v="6"/>
    <x v="2640"/>
    <x v="48"/>
    <s v="Standard order"/>
    <x v="2518"/>
    <x v="139"/>
    <s v="459N"/>
    <s v="BTS 459N"/>
    <s v="5002256"/>
    <s v="459N BTS T20 PB SYSTIVA P100"/>
    <n v="52"/>
    <n v="0"/>
    <n v="52"/>
    <x v="6"/>
    <s v="DVNU"/>
    <s v="PRO 100"/>
    <s v="322"/>
    <s v="4.0 UN"/>
    <s v="STANDARD"/>
    <s v="N"/>
    <s v="N"/>
    <s v="N"/>
    <s v="T20"/>
    <s v="Y"/>
    <s v="N"/>
    <s v="Y"/>
    <s v="N"/>
    <s v="B012"/>
    <d v="2016-12-14T00:00:00"/>
    <s v="10"/>
    <s v="TAN"/>
    <s v="OR"/>
    <d v="2016-12-08T00:00:00"/>
    <s v="MT"/>
    <s v="US"/>
    <s v="ZR"/>
    <d v="2016-12-09T00:00:00"/>
  </r>
  <r>
    <x v="1"/>
    <x v="6"/>
    <x v="2640"/>
    <x v="48"/>
    <s v="Standard order"/>
    <x v="2518"/>
    <x v="139"/>
    <s v="4265"/>
    <s v="BTS 42RR65"/>
    <s v="5002583"/>
    <s v="4265 BTS T20 PB SYSTIVA P100"/>
    <n v="12"/>
    <n v="0"/>
    <n v="12"/>
    <x v="6"/>
    <s v="BR73"/>
    <s v="PRO 100"/>
    <s v="322"/>
    <s v="4.0 UN"/>
    <s v="STANDARD"/>
    <s v="N"/>
    <s v="N"/>
    <s v="N"/>
    <s v="T20"/>
    <s v="Y"/>
    <s v="N"/>
    <s v="Y"/>
    <s v="N"/>
    <s v="B012"/>
    <d v="2016-12-14T00:00:00"/>
    <s v="20"/>
    <s v="TAN"/>
    <s v="OR"/>
    <d v="2016-12-08T00:00:00"/>
    <s v="MT"/>
    <s v="US"/>
    <s v="ZR"/>
    <d v="2016-12-09T00:00:00"/>
  </r>
  <r>
    <x v="1"/>
    <x v="6"/>
    <x v="2641"/>
    <x v="48"/>
    <s v="Standard order"/>
    <x v="2519"/>
    <x v="138"/>
    <s v="459N"/>
    <s v="BTS 459N"/>
    <s v="5002256"/>
    <s v="459N BTS T20 PB SYSTIVA P100"/>
    <n v="24"/>
    <n v="0"/>
    <n v="24"/>
    <x v="6"/>
    <s v="DVNU"/>
    <s v="PRO 100"/>
    <s v="322"/>
    <s v="4.0 UN"/>
    <s v="STANDARD"/>
    <s v="N"/>
    <s v="N"/>
    <s v="N"/>
    <s v="T20"/>
    <s v="Y"/>
    <s v="N"/>
    <s v="Y"/>
    <s v="N"/>
    <s v="B012"/>
    <d v="2016-12-14T00:00:00"/>
    <s v="10"/>
    <s v="TAN"/>
    <s v="OR"/>
    <d v="2016-12-08T00:00:00"/>
    <s v="MT"/>
    <s v="US"/>
    <s v="ZR"/>
    <d v="2016-12-09T00:00:00"/>
  </r>
  <r>
    <x v="1"/>
    <x v="6"/>
    <x v="2642"/>
    <x v="48"/>
    <s v="Standard order"/>
    <x v="2520"/>
    <x v="1270"/>
    <s v="444N"/>
    <s v="BTS 444N"/>
    <s v="5002226"/>
    <s v="444N BTS T20 PB SYSTIVA P100"/>
    <n v="24"/>
    <n v="0"/>
    <n v="24"/>
    <x v="6"/>
    <s v="DVND"/>
    <s v="PRO 100"/>
    <s v="322"/>
    <s v="4.0 UN"/>
    <s v="STANDARD"/>
    <s v="N"/>
    <s v="N"/>
    <s v="N"/>
    <s v="T20"/>
    <s v="Y"/>
    <s v="N"/>
    <s v="Y"/>
    <s v="N"/>
    <s v="B012"/>
    <d v="2016-12-14T00:00:00"/>
    <s v="10"/>
    <s v="TAN"/>
    <s v="OR"/>
    <d v="2016-12-08T00:00:00"/>
    <s v="MT"/>
    <s v="US"/>
    <s v="ZR"/>
    <d v="2016-12-09T00:00:00"/>
  </r>
  <r>
    <x v="1"/>
    <x v="6"/>
    <x v="2642"/>
    <x v="48"/>
    <s v="Standard order"/>
    <x v="2520"/>
    <x v="1270"/>
    <s v="4548"/>
    <s v="BTS 4548"/>
    <s v="5002244"/>
    <s v="4548 BTS T20 PB SYSTIVA P100"/>
    <n v="20"/>
    <n v="0"/>
    <n v="20"/>
    <x v="6"/>
    <s v="FENR"/>
    <s v="PRO 100"/>
    <s v="322"/>
    <s v="4.0 UN"/>
    <s v="STANDARD"/>
    <s v="N"/>
    <s v="N"/>
    <s v="N"/>
    <s v="T20"/>
    <s v="Y"/>
    <s v="N"/>
    <s v="Y"/>
    <s v="N"/>
    <s v="B012"/>
    <d v="2016-12-14T00:00:00"/>
    <s v="20"/>
    <s v="TAN"/>
    <s v="OR"/>
    <d v="2016-12-08T00:00:00"/>
    <s v="MT"/>
    <s v="US"/>
    <s v="ZR"/>
    <d v="2016-12-09T00:00:00"/>
  </r>
  <r>
    <x v="1"/>
    <x v="6"/>
    <x v="2642"/>
    <x v="48"/>
    <s v="Standard order"/>
    <x v="2520"/>
    <x v="1270"/>
    <s v="428N"/>
    <s v="BTS 42RR8N"/>
    <s v="5002595"/>
    <s v="428N BTS T20 PB SYSTIVA P100"/>
    <n v="24"/>
    <n v="0"/>
    <n v="24"/>
    <x v="6"/>
    <s v="4TBG"/>
    <s v="PRO 100"/>
    <s v="322"/>
    <s v="4.0 UN"/>
    <s v="STANDARD"/>
    <s v="N"/>
    <s v="N"/>
    <s v="N"/>
    <s v="T20"/>
    <s v="Y"/>
    <s v="N"/>
    <s v="Y"/>
    <s v="N"/>
    <s v="B012"/>
    <d v="2016-12-14T00:00:00"/>
    <s v="30"/>
    <s v="TAN"/>
    <s v="OR"/>
    <d v="2016-12-08T00:00:00"/>
    <s v="MT"/>
    <s v="US"/>
    <s v="ZR"/>
    <d v="2016-12-09T00:00:00"/>
  </r>
  <r>
    <x v="1"/>
    <x v="6"/>
    <x v="2643"/>
    <x v="48"/>
    <s v="Standard order"/>
    <x v="2521"/>
    <x v="492"/>
    <s v="444N"/>
    <s v="BTS 444N"/>
    <s v="5002226"/>
    <s v="444N BTS T20 PB SYSTIVA P100"/>
    <n v="224"/>
    <n v="0"/>
    <n v="224"/>
    <x v="6"/>
    <s v="DVND"/>
    <s v="PRO 100"/>
    <s v="322"/>
    <s v="4.0 UN"/>
    <s v="STANDARD"/>
    <s v="N"/>
    <s v="N"/>
    <s v="N"/>
    <s v="T20"/>
    <s v="Y"/>
    <s v="N"/>
    <s v="Y"/>
    <s v="N"/>
    <s v="B012"/>
    <d v="2016-12-14T00:00:00"/>
    <s v="10"/>
    <s v="TAN"/>
    <s v="OR"/>
    <d v="2016-12-08T00:00:00"/>
    <s v="MT"/>
    <s v="US"/>
    <s v="ZR"/>
    <d v="2016-12-09T00:00:00"/>
  </r>
  <r>
    <x v="1"/>
    <x v="6"/>
    <x v="2643"/>
    <x v="48"/>
    <s v="Standard order"/>
    <x v="2521"/>
    <x v="492"/>
    <s v="459N"/>
    <s v="BTS 459N"/>
    <s v="5002256"/>
    <s v="459N BTS T20 PB SYSTIVA P100"/>
    <n v="84"/>
    <n v="0"/>
    <n v="84"/>
    <x v="6"/>
    <s v="DVNU"/>
    <s v="PRO 100"/>
    <s v="322"/>
    <s v="4.0 UN"/>
    <s v="STANDARD"/>
    <s v="N"/>
    <s v="N"/>
    <s v="N"/>
    <s v="T20"/>
    <s v="Y"/>
    <s v="N"/>
    <s v="Y"/>
    <s v="N"/>
    <s v="B012"/>
    <d v="2016-12-14T00:00:00"/>
    <s v="20"/>
    <s v="TAN"/>
    <s v="OR"/>
    <d v="2016-12-08T00:00:00"/>
    <s v="MT"/>
    <s v="US"/>
    <s v="ZR"/>
    <d v="2016-12-09T00:00:00"/>
  </r>
  <r>
    <x v="1"/>
    <x v="6"/>
    <x v="2644"/>
    <x v="48"/>
    <s v="Standard order"/>
    <x v="2522"/>
    <x v="2235"/>
    <s v="459N"/>
    <s v="BTS 459N"/>
    <s v="5002256"/>
    <s v="459N BTS T20 PB SYSTIVA P100"/>
    <n v="76"/>
    <n v="0"/>
    <n v="76"/>
    <x v="6"/>
    <s v="DVNU"/>
    <s v="PRO 100"/>
    <s v="322"/>
    <s v="4.0 UN"/>
    <s v="STANDARD"/>
    <s v="N"/>
    <s v="N"/>
    <s v="N"/>
    <s v="T20"/>
    <s v="Y"/>
    <s v="N"/>
    <s v="Y"/>
    <s v="N"/>
    <s v="B012"/>
    <d v="2016-12-14T00:00:00"/>
    <s v="10"/>
    <s v="TAN"/>
    <s v="OR"/>
    <d v="2016-12-08T00:00:00"/>
    <s v="MT"/>
    <s v="US"/>
    <s v="ZR"/>
    <d v="2016-12-09T00:00:00"/>
  </r>
  <r>
    <x v="1"/>
    <x v="6"/>
    <x v="2644"/>
    <x v="48"/>
    <s v="Standard order"/>
    <x v="2522"/>
    <x v="2235"/>
    <s v="444N"/>
    <s v="BTS 444N"/>
    <s v="5002226"/>
    <s v="444N BTS T20 PB SYSTIVA P100"/>
    <n v="28"/>
    <n v="0"/>
    <n v="28"/>
    <x v="6"/>
    <s v="DVND"/>
    <s v="PRO 100"/>
    <s v="322"/>
    <s v="4.0 UN"/>
    <s v="STANDARD"/>
    <s v="N"/>
    <s v="N"/>
    <s v="N"/>
    <s v="T20"/>
    <s v="Y"/>
    <s v="N"/>
    <s v="Y"/>
    <s v="N"/>
    <s v="B012"/>
    <d v="2016-12-14T00:00:00"/>
    <s v="20"/>
    <s v="TAN"/>
    <s v="OR"/>
    <d v="2016-12-08T00:00:00"/>
    <s v="MT"/>
    <s v="US"/>
    <s v="ZR"/>
    <d v="2016-12-09T00:00:00"/>
  </r>
  <r>
    <x v="1"/>
    <x v="6"/>
    <x v="2644"/>
    <x v="48"/>
    <s v="Standard order"/>
    <x v="2522"/>
    <x v="2235"/>
    <s v="437N"/>
    <s v="BTS 437N"/>
    <s v="5002208"/>
    <s v="437N BTS T20 PB SYSTIVA P100"/>
    <n v="24"/>
    <n v="0"/>
    <n v="24"/>
    <x v="6"/>
    <s v="EE73"/>
    <s v="PRO 100"/>
    <s v="322"/>
    <s v="4.0 UN"/>
    <s v="STANDARD"/>
    <s v="N"/>
    <s v="N"/>
    <s v="N"/>
    <s v="T20"/>
    <s v="Y"/>
    <s v="N"/>
    <s v="Y"/>
    <s v="N"/>
    <s v="B012"/>
    <d v="2016-12-14T00:00:00"/>
    <s v="30"/>
    <s v="TAN"/>
    <s v="OR"/>
    <d v="2016-12-08T00:00:00"/>
    <s v="MT"/>
    <s v="US"/>
    <s v="ZR"/>
    <d v="2016-12-09T00:00:00"/>
  </r>
  <r>
    <x v="1"/>
    <x v="6"/>
    <x v="2644"/>
    <x v="48"/>
    <s v="Standard order"/>
    <x v="2522"/>
    <x v="2235"/>
    <s v="4548"/>
    <s v="BTS 4548"/>
    <s v="5002244"/>
    <s v="4548 BTS T20 PB SYSTIVA P100"/>
    <n v="24"/>
    <n v="0"/>
    <n v="24"/>
    <x v="6"/>
    <s v="FENR"/>
    <s v="PRO 100"/>
    <s v="322"/>
    <s v="4.0 UN"/>
    <s v="STANDARD"/>
    <s v="N"/>
    <s v="N"/>
    <s v="N"/>
    <s v="T20"/>
    <s v="Y"/>
    <s v="N"/>
    <s v="Y"/>
    <s v="N"/>
    <s v="B012"/>
    <d v="2016-12-14T00:00:00"/>
    <s v="40"/>
    <s v="TAN"/>
    <s v="OR"/>
    <d v="2016-12-08T00:00:00"/>
    <s v="MT"/>
    <s v="US"/>
    <s v="ZR"/>
    <d v="2016-12-09T00:00:00"/>
  </r>
  <r>
    <x v="1"/>
    <x v="0"/>
    <x v="2645"/>
    <x v="45"/>
    <s v="Standard order"/>
    <x v="2523"/>
    <x v="2236"/>
    <s v="122N"/>
    <s v="BTS 12RR2N"/>
    <s v="5002311"/>
    <s v="122N BTS T20 Kabina RP"/>
    <n v="24"/>
    <n v="0"/>
    <n v="24"/>
    <x v="0"/>
    <s v="4TBG"/>
    <s v="RP"/>
    <s v="380"/>
    <s v="4.0 UN"/>
    <s v="STANDARD"/>
    <s v="N"/>
    <s v="N"/>
    <s v="Y"/>
    <s v="T20"/>
    <s v="N"/>
    <s v="N"/>
    <s v="N"/>
    <s v="N"/>
    <s v="B003"/>
    <d v="2016-12-14T00:00:00"/>
    <s v="10"/>
    <s v="TAN"/>
    <s v="OR"/>
    <d v="2016-12-08T00:00:00"/>
    <s v="MI"/>
    <s v="US"/>
    <s v="ZR"/>
    <d v="2016-12-09T00:00:00"/>
  </r>
  <r>
    <x v="1"/>
    <x v="0"/>
    <x v="2646"/>
    <x v="29"/>
    <s v="Standard order"/>
    <x v="2524"/>
    <x v="1320"/>
    <s v="122N"/>
    <s v="BTS 12RR2N"/>
    <s v="5002310"/>
    <s v="122N BTS T20 Kabina P200"/>
    <n v="24"/>
    <n v="0"/>
    <n v="24"/>
    <x v="0"/>
    <s v="4TBG"/>
    <s v="PRO 200"/>
    <s v="380"/>
    <s v="4.0 UN"/>
    <s v="STANDARD"/>
    <s v="N"/>
    <s v="N"/>
    <s v="Y"/>
    <s v="T20"/>
    <s v="N"/>
    <s v="N"/>
    <s v="N"/>
    <s v="N"/>
    <s v="B005"/>
    <d v="2016-12-14T00:00:00"/>
    <s v="10"/>
    <s v="TAN"/>
    <s v="OR"/>
    <d v="2016-12-09T00:00:00"/>
    <s v="MI"/>
    <s v="US"/>
    <s v="ZR"/>
    <d v="2016-12-09T00:00:00"/>
  </r>
  <r>
    <x v="1"/>
    <x v="0"/>
    <x v="2646"/>
    <x v="29"/>
    <s v="Standard order"/>
    <x v="2524"/>
    <x v="1320"/>
    <s v="1399"/>
    <s v="BTS 1399"/>
    <s v="5002347"/>
    <s v="1399 BTS T20 Kabina P200"/>
    <n v="20"/>
    <n v="0"/>
    <n v="20"/>
    <x v="0"/>
    <s v="EG74"/>
    <s v="PRO 200"/>
    <s v="380"/>
    <s v="4.0 UN"/>
    <s v="STANDARD"/>
    <s v="N"/>
    <s v="N"/>
    <s v="Y"/>
    <s v="T20"/>
    <s v="N"/>
    <s v="N"/>
    <s v="N"/>
    <s v="N"/>
    <s v="B005"/>
    <d v="2016-12-14T00:00:00"/>
    <s v="20"/>
    <s v="TAN"/>
    <s v="OR"/>
    <d v="2016-12-09T00:00:00"/>
    <s v="MI"/>
    <s v="US"/>
    <s v="ZR"/>
    <d v="2016-12-09T00:00:00"/>
  </r>
  <r>
    <x v="1"/>
    <x v="0"/>
    <x v="2647"/>
    <x v="56"/>
    <s v="Standard order"/>
    <x v="2525"/>
    <x v="1096"/>
    <s v="122N"/>
    <s v="BTS 12RR2N"/>
    <s v="5002318"/>
    <s v="122N BTS Vibrance RP"/>
    <n v="16"/>
    <n v="0"/>
    <n v="16"/>
    <x v="0"/>
    <s v="4TBG"/>
    <s v="RP"/>
    <s v="365"/>
    <s v="4.0 UN"/>
    <s v="STANDARD"/>
    <s v="N"/>
    <s v="N"/>
    <s v="N"/>
    <s v="N"/>
    <s v="N"/>
    <s v="N"/>
    <s v="N"/>
    <s v="Y"/>
    <s v="B010"/>
    <d v="2016-12-14T00:00:00"/>
    <s v="10"/>
    <s v="TAN"/>
    <s v="OR"/>
    <d v="2016-12-09T00:00:00"/>
    <s v="ON"/>
    <s v="CA"/>
    <s v="ZR"/>
    <d v="2016-12-09T00:00:00"/>
  </r>
  <r>
    <x v="1"/>
    <x v="0"/>
    <x v="2647"/>
    <x v="56"/>
    <s v="Standard order"/>
    <x v="2525"/>
    <x v="1096"/>
    <s v="1399"/>
    <s v="BTS 1399"/>
    <s v="5002355"/>
    <s v="1399 BTS Vibrance RP"/>
    <n v="20"/>
    <n v="0"/>
    <n v="20"/>
    <x v="0"/>
    <s v="EG74"/>
    <s v="RP"/>
    <s v="365"/>
    <s v="4.0 UN"/>
    <s v="STANDARD"/>
    <s v="N"/>
    <s v="N"/>
    <s v="N"/>
    <s v="N"/>
    <s v="N"/>
    <s v="N"/>
    <s v="N"/>
    <s v="Y"/>
    <s v="B010"/>
    <d v="2016-12-14T00:00:00"/>
    <s v="20"/>
    <s v="TAN"/>
    <s v="OR"/>
    <d v="2016-12-09T00:00:00"/>
    <s v="ON"/>
    <s v="CA"/>
    <s v="ZR"/>
    <d v="2016-12-09T00:00:00"/>
  </r>
  <r>
    <x v="1"/>
    <x v="2"/>
    <x v="2648"/>
    <x v="24"/>
    <s v="Standard order"/>
    <x v="2526"/>
    <x v="2237"/>
    <s v="6027"/>
    <s v="BTS 60RR27"/>
    <s v="5002647"/>
    <s v="6027 BTS T20 PB SYSTIVA P50 WSS"/>
    <n v="40"/>
    <n v="0"/>
    <n v="40"/>
    <x v="2"/>
    <s v="APMC"/>
    <s v="PRO 50"/>
    <s v="322"/>
    <s v="4.0 UN"/>
    <s v="STANDARD"/>
    <s v="N"/>
    <s v="N"/>
    <s v="N"/>
    <s v="T20"/>
    <s v="Y"/>
    <s v="N"/>
    <s v="Y"/>
    <s v="N"/>
    <s v="B022"/>
    <d v="2016-12-14T00:00:00"/>
    <s v="10"/>
    <s v="TAN"/>
    <s v="OR"/>
    <d v="2016-12-09T00:00:00"/>
    <s v="CO"/>
    <s v="US"/>
    <s v="ZR"/>
    <d v="2016-12-10T00:00:00"/>
  </r>
  <r>
    <x v="1"/>
    <x v="2"/>
    <x v="2648"/>
    <x v="24"/>
    <s v="Standard order"/>
    <x v="2526"/>
    <x v="2237"/>
    <s v="6543"/>
    <s v="BTS 6543"/>
    <s v="5002440"/>
    <s v="6543 BTS T20 PB SYSTIVA P50"/>
    <n v="32"/>
    <n v="0"/>
    <n v="32"/>
    <x v="2"/>
    <s v="FXND"/>
    <s v="PRO 50"/>
    <s v="322"/>
    <s v="4.0 UN"/>
    <s v="STANDARD"/>
    <s v="N"/>
    <s v="N"/>
    <s v="N"/>
    <s v="T20"/>
    <s v="Y"/>
    <s v="N"/>
    <s v="Y"/>
    <s v="N"/>
    <s v="B022"/>
    <d v="2016-12-14T00:00:00"/>
    <s v="20"/>
    <s v="TAN"/>
    <s v="OR"/>
    <d v="2016-12-09T00:00:00"/>
    <s v="CO"/>
    <s v="US"/>
    <s v="ZR"/>
    <d v="2016-12-10T00:00:00"/>
  </r>
  <r>
    <x v="1"/>
    <x v="0"/>
    <x v="2649"/>
    <x v="54"/>
    <s v="Standard order"/>
    <x v="2527"/>
    <x v="2238"/>
    <s v="149N"/>
    <s v="BTS 149N"/>
    <s v="5002368"/>
    <s v="149N BTS T20 Kabina RP"/>
    <n v="96"/>
    <n v="0"/>
    <n v="96"/>
    <x v="0"/>
    <s v="EEND"/>
    <s v="RP"/>
    <s v="380"/>
    <s v="4.0 UN"/>
    <s v="STANDARD"/>
    <s v="N"/>
    <s v="N"/>
    <s v="Y"/>
    <s v="T20"/>
    <s v="N"/>
    <s v="N"/>
    <s v="N"/>
    <s v="N"/>
    <s v="B002"/>
    <d v="2016-12-14T00:00:00"/>
    <s v="10"/>
    <s v="TAN"/>
    <s v="OR"/>
    <d v="2016-12-09T00:00:00"/>
    <s v="MI"/>
    <s v="US"/>
    <s v="ZR"/>
    <d v="2016-12-10T00:00:00"/>
  </r>
  <r>
    <x v="1"/>
    <x v="0"/>
    <x v="2650"/>
    <x v="54"/>
    <s v="Standard order"/>
    <x v="2528"/>
    <x v="467"/>
    <s v="122N"/>
    <s v="BTS 12RR2N"/>
    <s v="5002311"/>
    <s v="122N BTS T20 Kabina RP"/>
    <n v="92"/>
    <n v="0"/>
    <n v="92"/>
    <x v="0"/>
    <s v="4TBG"/>
    <s v="RP"/>
    <s v="380"/>
    <s v="4.0 UN"/>
    <s v="STANDARD"/>
    <s v="N"/>
    <s v="N"/>
    <s v="Y"/>
    <s v="T20"/>
    <s v="N"/>
    <s v="N"/>
    <s v="N"/>
    <s v="N"/>
    <s v="B002"/>
    <d v="2016-12-14T00:00:00"/>
    <s v="10"/>
    <s v="TAN"/>
    <s v="OR"/>
    <d v="2016-12-09T00:00:00"/>
    <s v="MI"/>
    <s v="US"/>
    <s v="ZR"/>
    <d v="2016-12-10T00:00:00"/>
  </r>
  <r>
    <x v="1"/>
    <x v="0"/>
    <x v="2650"/>
    <x v="54"/>
    <s v="Standard order"/>
    <x v="2528"/>
    <x v="467"/>
    <s v="149N"/>
    <s v="BTS 149N"/>
    <s v="5002368"/>
    <s v="149N BTS T20 Kabina RP"/>
    <n v="52"/>
    <n v="0"/>
    <n v="52"/>
    <x v="0"/>
    <s v="EEND"/>
    <s v="RP"/>
    <s v="380"/>
    <s v="4.0 UN"/>
    <s v="STANDARD"/>
    <s v="N"/>
    <s v="N"/>
    <s v="Y"/>
    <s v="T20"/>
    <s v="N"/>
    <s v="N"/>
    <s v="N"/>
    <s v="N"/>
    <s v="B002"/>
    <d v="2016-12-14T00:00:00"/>
    <s v="20"/>
    <s v="TAN"/>
    <s v="OR"/>
    <d v="2016-12-09T00:00:00"/>
    <s v="MI"/>
    <s v="US"/>
    <s v="ZR"/>
    <d v="2016-12-10T00:00:00"/>
  </r>
  <r>
    <x v="1"/>
    <x v="5"/>
    <x v="2651"/>
    <x v="12"/>
    <s v="Standard order"/>
    <x v="2529"/>
    <x v="2239"/>
    <s v="336N"/>
    <s v="BTS 336N"/>
    <s v="5002199"/>
    <s v="336N BTS T20 PB SYSTIVA P200"/>
    <n v="104"/>
    <n v="0"/>
    <n v="104"/>
    <x v="5"/>
    <s v="EEMG"/>
    <s v="PRO 200"/>
    <s v="322"/>
    <s v="4.0 UN"/>
    <s v="STANDARD"/>
    <s v="N"/>
    <s v="N"/>
    <s v="N"/>
    <s v="T20"/>
    <s v="Y"/>
    <s v="N"/>
    <s v="N"/>
    <s v="N"/>
    <s v="B014"/>
    <d v="2016-12-14T00:00:00"/>
    <s v="10"/>
    <s v="TAN"/>
    <s v="OR"/>
    <d v="2016-12-09T00:00:00"/>
    <s v="MT"/>
    <s v="US"/>
    <s v="ZR"/>
    <d v="2016-12-10T00:00:00"/>
  </r>
  <r>
    <x v="1"/>
    <x v="0"/>
    <x v="2652"/>
    <x v="29"/>
    <s v="Standard order"/>
    <x v="2530"/>
    <x v="2240"/>
    <s v="122N"/>
    <s v="BTS 12RR2N"/>
    <s v="5002315"/>
    <s v="122N BTS T20 SYSTIVA MP"/>
    <n v="24"/>
    <n v="0"/>
    <n v="24"/>
    <x v="0"/>
    <s v="4TBG"/>
    <s v="MP"/>
    <s v="326"/>
    <s v="4.0 UN"/>
    <s v="STANDARD"/>
    <s v="N"/>
    <s v="N"/>
    <s v="N"/>
    <s v="T20"/>
    <s v="Y"/>
    <s v="N"/>
    <s v="Y"/>
    <s v="N"/>
    <s v="B005"/>
    <d v="2016-12-14T00:00:00"/>
    <s v="10"/>
    <s v="TAN"/>
    <s v="OR"/>
    <d v="2016-12-10T00:00:00"/>
    <s v="MI"/>
    <s v="US"/>
    <s v="ZR"/>
    <d v="2016-12-10T00:00:00"/>
  </r>
  <r>
    <x v="1"/>
    <x v="0"/>
    <x v="2652"/>
    <x v="29"/>
    <s v="Standard order"/>
    <x v="2530"/>
    <x v="2240"/>
    <s v="1399"/>
    <s v="BTS 1399"/>
    <s v="5002346"/>
    <s v="1399 BTS T20 Kabina MP"/>
    <n v="60"/>
    <n v="0"/>
    <n v="60"/>
    <x v="0"/>
    <s v="EG74"/>
    <s v="MP"/>
    <s v="380"/>
    <s v="4.0 UN"/>
    <s v="STANDARD"/>
    <s v="N"/>
    <s v="N"/>
    <s v="Y"/>
    <s v="T20"/>
    <s v="N"/>
    <s v="N"/>
    <s v="N"/>
    <s v="N"/>
    <s v="B005"/>
    <d v="2016-12-14T00:00:00"/>
    <s v="20"/>
    <s v="TAN"/>
    <s v="OR"/>
    <d v="2016-12-10T00:00:00"/>
    <s v="MI"/>
    <s v="US"/>
    <s v="ZR"/>
    <d v="2016-12-10T00:00:00"/>
  </r>
  <r>
    <x v="1"/>
    <x v="7"/>
    <x v="2653"/>
    <x v="37"/>
    <s v="Standard order"/>
    <x v="2531"/>
    <x v="2241"/>
    <s v="8052"/>
    <s v="BTS 80RR52"/>
    <s v="5002735"/>
    <s v="8052 BTS T35 PB SYSTIVA RP"/>
    <n v="96"/>
    <n v="0"/>
    <n v="96"/>
    <x v="7"/>
    <s v="AP82"/>
    <s v="RP"/>
    <s v="333"/>
    <s v="4.0 UN"/>
    <s v="STANDARD"/>
    <s v="N"/>
    <s v="Y"/>
    <s v="N"/>
    <s v="T35"/>
    <s v="Y"/>
    <s v="N"/>
    <s v="Y"/>
    <s v="N"/>
    <s v="B033"/>
    <d v="2016-12-14T00:00:00"/>
    <s v="10"/>
    <s v="TAN"/>
    <s v="OR"/>
    <d v="2016-12-10T00:00:00"/>
    <s v="ND"/>
    <s v="US"/>
    <s v="ZR"/>
    <d v="2016-12-10T00:00:00"/>
  </r>
  <r>
    <x v="1"/>
    <x v="7"/>
    <x v="2653"/>
    <x v="37"/>
    <s v="Standard order"/>
    <x v="2531"/>
    <x v="2241"/>
    <s v="8500"/>
    <s v="BTS 8500"/>
    <s v="5002856"/>
    <s v="8500 BTS T35 PB SYSTIVA RP"/>
    <n v="64"/>
    <n v="0"/>
    <n v="64"/>
    <x v="7"/>
    <s v="FTND"/>
    <s v="RP"/>
    <s v="333"/>
    <s v="4.0 UN"/>
    <s v="STANDARD"/>
    <s v="N"/>
    <s v="Y"/>
    <s v="N"/>
    <s v="T35"/>
    <s v="Y"/>
    <s v="N"/>
    <s v="Y"/>
    <s v="N"/>
    <s v="B033"/>
    <d v="2016-12-14T00:00:00"/>
    <s v="20"/>
    <s v="TAN"/>
    <s v="OR"/>
    <d v="2016-12-10T00:00:00"/>
    <s v="ND"/>
    <s v="US"/>
    <s v="ZR"/>
    <d v="2016-12-10T00:00:00"/>
  </r>
  <r>
    <x v="1"/>
    <x v="2"/>
    <x v="2654"/>
    <x v="22"/>
    <s v="Standard order"/>
    <x v="2532"/>
    <x v="575"/>
    <s v="6027"/>
    <s v="BTS 60RR27"/>
    <s v="5002647"/>
    <s v="6027 BTS T20 PB SYSTIVA P50 WSS"/>
    <n v="8"/>
    <n v="0"/>
    <n v="8"/>
    <x v="2"/>
    <s v="APMC"/>
    <s v="PRO 50"/>
    <s v="322"/>
    <s v="4.0 UN"/>
    <s v="STANDARD"/>
    <s v="N"/>
    <s v="N"/>
    <s v="N"/>
    <s v="T20"/>
    <s v="Y"/>
    <s v="N"/>
    <s v="Y"/>
    <s v="N"/>
    <s v="B018"/>
    <d v="2016-12-14T00:00:00"/>
    <s v="10"/>
    <s v="TAN"/>
    <s v="OR"/>
    <d v="2016-12-09T00:00:00"/>
    <s v="FL"/>
    <s v="US"/>
    <s v="ZR"/>
    <d v="2016-12-10T00:00:00"/>
  </r>
  <r>
    <x v="1"/>
    <x v="2"/>
    <x v="2654"/>
    <x v="22"/>
    <s v="Standard order"/>
    <x v="2532"/>
    <x v="575"/>
    <s v="628N"/>
    <s v="BTS 62RR8N"/>
    <s v="5002685"/>
    <s v="628N BTS T20 PB SYSTIVA P50"/>
    <n v="4"/>
    <n v="0"/>
    <n v="4"/>
    <x v="2"/>
    <s v="BL73"/>
    <s v="PRO 50"/>
    <s v="322"/>
    <s v="4.0 UN"/>
    <s v="STANDARD"/>
    <s v="N"/>
    <s v="N"/>
    <s v="N"/>
    <s v="T20"/>
    <s v="Y"/>
    <s v="N"/>
    <s v="Y"/>
    <s v="N"/>
    <s v="B018"/>
    <d v="2016-12-14T00:00:00"/>
    <s v="20"/>
    <s v="TAN"/>
    <s v="OR"/>
    <d v="2016-12-09T00:00:00"/>
    <s v="FL"/>
    <s v="US"/>
    <s v="ZR"/>
    <d v="2016-12-10T00:00:00"/>
  </r>
  <r>
    <x v="1"/>
    <x v="5"/>
    <x v="2655"/>
    <x v="9"/>
    <s v="Standard order"/>
    <x v="2533"/>
    <x v="2242"/>
    <s v="3650"/>
    <s v="BTS 36RR50"/>
    <s v="5002546"/>
    <s v="3650 BTS T20 PB SYSTIVA P200"/>
    <n v="48"/>
    <n v="0"/>
    <n v="48"/>
    <x v="5"/>
    <s v="4DAY"/>
    <s v="PRO 200"/>
    <s v="322"/>
    <s v="4.0 UN"/>
    <s v="STANDARD"/>
    <s v="N"/>
    <s v="Y"/>
    <s v="N"/>
    <s v="T20"/>
    <s v="Y"/>
    <s v="N"/>
    <s v="N"/>
    <s v="N"/>
    <s v="B016"/>
    <d v="2016-12-14T00:00:00"/>
    <s v="10"/>
    <s v="TAN"/>
    <s v="OR"/>
    <d v="2016-12-09T00:00:00"/>
    <s v="WY"/>
    <s v="US"/>
    <s v="ZR"/>
    <d v="2016-12-10T00:00:00"/>
  </r>
  <r>
    <x v="1"/>
    <x v="5"/>
    <x v="2656"/>
    <x v="9"/>
    <s v="Standard order"/>
    <x v="2534"/>
    <x v="563"/>
    <s v="336N"/>
    <s v="BTS 336N"/>
    <s v="5002400"/>
    <s v="336N BTS T20 PB SYSTIVA RP"/>
    <n v="16"/>
    <n v="0"/>
    <n v="16"/>
    <x v="5"/>
    <s v="EEMG"/>
    <s v="RP"/>
    <s v="322"/>
    <s v="4.0 UN"/>
    <s v="STANDARD"/>
    <s v="N"/>
    <s v="N"/>
    <s v="N"/>
    <s v="T20"/>
    <s v="Y"/>
    <s v="N"/>
    <s v="N"/>
    <s v="N"/>
    <s v="B016"/>
    <d v="2016-12-14T00:00:00"/>
    <s v="10"/>
    <s v="TAN"/>
    <s v="OR"/>
    <d v="2016-12-09T00:00:00"/>
    <s v="WY"/>
    <s v="US"/>
    <s v="ZR"/>
    <d v="2016-12-10T00:00:00"/>
  </r>
  <r>
    <x v="1"/>
    <x v="5"/>
    <x v="2656"/>
    <x v="9"/>
    <s v="Standard order"/>
    <x v="2534"/>
    <x v="563"/>
    <s v="398N"/>
    <s v="BTS 39RR8N"/>
    <s v="5002572"/>
    <s v="398N BTS T20 PB SYSTIVA RP"/>
    <n v="12"/>
    <n v="0"/>
    <n v="12"/>
    <x v="5"/>
    <s v="2771"/>
    <s v="RP"/>
    <s v="322"/>
    <s v="4.0 UN"/>
    <s v="STANDARD"/>
    <s v="N"/>
    <s v="Y"/>
    <s v="N"/>
    <s v="T20"/>
    <s v="Y"/>
    <s v="N"/>
    <s v="N"/>
    <s v="N"/>
    <s v="B016"/>
    <d v="2016-12-14T00:00:00"/>
    <s v="20"/>
    <s v="TAN"/>
    <s v="OR"/>
    <d v="2016-12-09T00:00:00"/>
    <s v="WY"/>
    <s v="US"/>
    <s v="ZR"/>
    <d v="2016-12-10T00:00:00"/>
  </r>
  <r>
    <x v="1"/>
    <x v="5"/>
    <x v="2656"/>
    <x v="9"/>
    <s v="Standard order"/>
    <x v="2534"/>
    <x v="563"/>
    <s v="353N"/>
    <s v="BTS 353N"/>
    <s v="5002524"/>
    <s v="353N BTS T20 PB SYSTIVA RP"/>
    <n v="12"/>
    <n v="0"/>
    <n v="12"/>
    <x v="5"/>
    <s v="EENZ"/>
    <s v="RP"/>
    <s v="322"/>
    <s v="4.0 UN"/>
    <s v="STANDARD"/>
    <s v="N"/>
    <s v="Y"/>
    <s v="N"/>
    <s v="T20"/>
    <s v="Y"/>
    <s v="N"/>
    <s v="N"/>
    <s v="N"/>
    <s v="B016"/>
    <d v="2016-12-14T00:00:00"/>
    <s v="30"/>
    <s v="TAN"/>
    <s v="OR"/>
    <d v="2016-12-09T00:00:00"/>
    <s v="WY"/>
    <s v="US"/>
    <s v="ZR"/>
    <d v="2016-12-10T00:00:00"/>
  </r>
  <r>
    <x v="1"/>
    <x v="0"/>
    <x v="2657"/>
    <x v="54"/>
    <s v="Standard order"/>
    <x v="2535"/>
    <x v="2243"/>
    <s v="122N"/>
    <s v="BTS 12RR2N"/>
    <s v="5002311"/>
    <s v="122N BTS T20 Kabina RP"/>
    <n v="40"/>
    <n v="0"/>
    <n v="40"/>
    <x v="0"/>
    <s v="4TBG"/>
    <s v="RP"/>
    <s v="380"/>
    <s v="4.0 UN"/>
    <s v="STANDARD"/>
    <s v="N"/>
    <s v="N"/>
    <s v="Y"/>
    <s v="T20"/>
    <s v="N"/>
    <s v="N"/>
    <s v="N"/>
    <s v="N"/>
    <s v="B002"/>
    <d v="2016-12-14T00:00:00"/>
    <s v="10"/>
    <s v="TAN"/>
    <s v="OR"/>
    <d v="2016-12-09T00:00:00"/>
    <s v="MI"/>
    <s v="US"/>
    <s v="ZR"/>
    <d v="2016-12-10T00:00:00"/>
  </r>
  <r>
    <x v="1"/>
    <x v="0"/>
    <x v="2657"/>
    <x v="54"/>
    <s v="Standard order"/>
    <x v="2535"/>
    <x v="2243"/>
    <s v="149N"/>
    <s v="BTS 149N"/>
    <s v="5002368"/>
    <s v="149N BTS T20 Kabina RP"/>
    <n v="24"/>
    <n v="0"/>
    <n v="24"/>
    <x v="0"/>
    <s v="EEND"/>
    <s v="RP"/>
    <s v="380"/>
    <s v="4.0 UN"/>
    <s v="STANDARD"/>
    <s v="N"/>
    <s v="N"/>
    <s v="Y"/>
    <s v="T20"/>
    <s v="N"/>
    <s v="N"/>
    <s v="N"/>
    <s v="N"/>
    <s v="B002"/>
    <d v="2016-12-14T00:00:00"/>
    <s v="20"/>
    <s v="TAN"/>
    <s v="OR"/>
    <d v="2016-12-09T00:00:00"/>
    <s v="MI"/>
    <s v="US"/>
    <s v="ZR"/>
    <d v="2016-12-10T00:00:00"/>
  </r>
  <r>
    <x v="1"/>
    <x v="0"/>
    <x v="2658"/>
    <x v="49"/>
    <s v="Standard order"/>
    <x v="2536"/>
    <x v="2244"/>
    <s v="122N"/>
    <s v="BTS 12RR2N"/>
    <s v="5002316"/>
    <s v="122N BTS T20 SYSTIVA P200"/>
    <n v="60"/>
    <n v="0"/>
    <n v="60"/>
    <x v="0"/>
    <s v="4TBG"/>
    <s v="PRO 200"/>
    <s v="326"/>
    <s v="4.0 UN"/>
    <s v="STANDARD"/>
    <s v="N"/>
    <s v="N"/>
    <s v="N"/>
    <s v="T20"/>
    <s v="Y"/>
    <s v="N"/>
    <s v="Y"/>
    <s v="N"/>
    <s v="B004"/>
    <d v="2016-12-14T00:00:00"/>
    <s v="10"/>
    <s v="TAN"/>
    <s v="OR"/>
    <d v="2016-12-10T00:00:00"/>
    <s v="MI"/>
    <s v="US"/>
    <s v="ZR"/>
    <d v="2016-12-10T00:00:00"/>
  </r>
  <r>
    <x v="1"/>
    <x v="0"/>
    <x v="2658"/>
    <x v="49"/>
    <s v="Standard order"/>
    <x v="2536"/>
    <x v="2244"/>
    <s v="1399"/>
    <s v="BTS 1399"/>
    <s v="5002347"/>
    <s v="1399 BTS T20 Kabina P200"/>
    <n v="24"/>
    <n v="0"/>
    <n v="24"/>
    <x v="0"/>
    <s v="EG74"/>
    <s v="PRO 200"/>
    <s v="380"/>
    <s v="4.0 UN"/>
    <s v="STANDARD"/>
    <s v="N"/>
    <s v="N"/>
    <s v="Y"/>
    <s v="T20"/>
    <s v="N"/>
    <s v="N"/>
    <s v="N"/>
    <s v="N"/>
    <s v="B004"/>
    <d v="2016-12-14T00:00:00"/>
    <s v="20"/>
    <s v="TAN"/>
    <s v="OR"/>
    <d v="2016-12-10T00:00:00"/>
    <s v="MI"/>
    <s v="US"/>
    <s v="ZR"/>
    <d v="2016-12-10T00:00:00"/>
  </r>
  <r>
    <x v="1"/>
    <x v="0"/>
    <x v="2659"/>
    <x v="49"/>
    <s v="Standard order"/>
    <x v="2537"/>
    <x v="2245"/>
    <s v="133N"/>
    <s v="BTS 133N"/>
    <s v="5002328"/>
    <s v="133N BTS T20 Kabina P200"/>
    <n v="100"/>
    <n v="0"/>
    <n v="100"/>
    <x v="0"/>
    <s v="DW73"/>
    <s v="PRO 200"/>
    <s v="380"/>
    <s v="4.0 UN"/>
    <s v="STANDARD"/>
    <s v="N"/>
    <s v="N"/>
    <s v="Y"/>
    <s v="T20"/>
    <s v="N"/>
    <s v="N"/>
    <s v="N"/>
    <s v="N"/>
    <s v="B004"/>
    <d v="2016-12-14T00:00:00"/>
    <s v="10"/>
    <s v="TAN"/>
    <s v="OR"/>
    <d v="2016-12-10T00:00:00"/>
    <s v="MI"/>
    <s v="US"/>
    <s v="ZR"/>
    <d v="2016-12-10T00:00:00"/>
  </r>
  <r>
    <x v="1"/>
    <x v="0"/>
    <x v="2660"/>
    <x v="29"/>
    <s v="Standard order"/>
    <x v="2538"/>
    <x v="2246"/>
    <s v="122N"/>
    <s v="BTS 12RR2N"/>
    <s v="5002316"/>
    <s v="122N BTS T20 SYSTIVA P200"/>
    <n v="16"/>
    <n v="0"/>
    <n v="16"/>
    <x v="0"/>
    <s v="4TBG"/>
    <s v="PRO 200"/>
    <s v="326"/>
    <s v="4.0 UN"/>
    <s v="STANDARD"/>
    <s v="N"/>
    <s v="N"/>
    <s v="N"/>
    <s v="T20"/>
    <s v="Y"/>
    <s v="N"/>
    <s v="Y"/>
    <s v="N"/>
    <s v="B005"/>
    <d v="2016-12-14T00:00:00"/>
    <s v="10"/>
    <s v="TAN"/>
    <s v="OR"/>
    <d v="2016-12-10T00:00:00"/>
    <s v="MI"/>
    <s v="US"/>
    <s v="ZR"/>
    <d v="2016-12-10T00:00:00"/>
  </r>
  <r>
    <x v="1"/>
    <x v="0"/>
    <x v="2661"/>
    <x v="29"/>
    <s v="Standard order"/>
    <x v="2539"/>
    <x v="2247"/>
    <s v="149N"/>
    <s v="BTS 149N"/>
    <s v="5002366"/>
    <s v="149N BTS T20 Kabina MP"/>
    <n v="104"/>
    <n v="0"/>
    <n v="104"/>
    <x v="0"/>
    <s v="EEND"/>
    <s v="MP"/>
    <s v="380"/>
    <s v="4.0 UN"/>
    <s v="STANDARD"/>
    <s v="N"/>
    <s v="N"/>
    <s v="Y"/>
    <s v="T20"/>
    <s v="N"/>
    <s v="N"/>
    <s v="N"/>
    <s v="N"/>
    <s v="B005"/>
    <d v="2016-12-14T00:00:00"/>
    <s v="10"/>
    <s v="TAN"/>
    <s v="OR"/>
    <d v="2016-12-10T00:00:00"/>
    <s v="MI"/>
    <s v="US"/>
    <s v="ZR"/>
    <d v="2016-12-10T00:00:00"/>
  </r>
  <r>
    <x v="1"/>
    <x v="7"/>
    <x v="2662"/>
    <x v="28"/>
    <s v="Standard order"/>
    <x v="2540"/>
    <x v="2248"/>
    <s v="8052"/>
    <s v="BTS 80RR52"/>
    <s v="5002735"/>
    <s v="8052 BTS T35 PB SYSTIVA RP"/>
    <n v="36"/>
    <n v="0"/>
    <n v="36"/>
    <x v="7"/>
    <s v="AP82"/>
    <s v="RP"/>
    <s v="333"/>
    <s v="4.0 UN"/>
    <s v="STANDARD"/>
    <s v="N"/>
    <s v="Y"/>
    <s v="N"/>
    <s v="T35"/>
    <s v="Y"/>
    <s v="N"/>
    <s v="Y"/>
    <s v="N"/>
    <s v="B056"/>
    <d v="2016-12-14T00:00:00"/>
    <s v="10"/>
    <s v="TAN"/>
    <s v="OR"/>
    <d v="2016-12-10T00:00:00"/>
    <s v="ND"/>
    <s v="US"/>
    <s v="ZR"/>
    <d v="2016-12-10T00:00:00"/>
  </r>
  <r>
    <x v="1"/>
    <x v="7"/>
    <x v="2662"/>
    <x v="28"/>
    <s v="Standard order"/>
    <x v="2540"/>
    <x v="2248"/>
    <s v="8512"/>
    <s v="BTS 8512"/>
    <s v="5002876"/>
    <s v="8512 BTS T35 PB SYSTIVA RP"/>
    <n v="40"/>
    <n v="0"/>
    <n v="40"/>
    <x v="7"/>
    <s v="FX73"/>
    <s v="RP"/>
    <s v="333"/>
    <s v="4.0 UN"/>
    <s v="STANDARD"/>
    <s v="N"/>
    <s v="Y"/>
    <s v="N"/>
    <s v="T35"/>
    <s v="Y"/>
    <s v="N"/>
    <s v="Y"/>
    <s v="N"/>
    <s v="B056"/>
    <d v="2016-12-14T00:00:00"/>
    <s v="20"/>
    <s v="TAN"/>
    <s v="OR"/>
    <d v="2016-12-10T00:00:00"/>
    <s v="ND"/>
    <s v="US"/>
    <s v="ZR"/>
    <d v="2016-12-10T00:00:00"/>
  </r>
  <r>
    <x v="1"/>
    <x v="7"/>
    <x v="2662"/>
    <x v="28"/>
    <s v="Standard order"/>
    <x v="2540"/>
    <x v="2248"/>
    <s v="8500"/>
    <s v="BTS 8500"/>
    <s v="5002856"/>
    <s v="8500 BTS T35 PB SYSTIVA RP"/>
    <n v="20"/>
    <n v="0"/>
    <n v="20"/>
    <x v="7"/>
    <s v="FTND"/>
    <s v="RP"/>
    <s v="333"/>
    <s v="4.0 UN"/>
    <s v="STANDARD"/>
    <s v="N"/>
    <s v="Y"/>
    <s v="N"/>
    <s v="T35"/>
    <s v="Y"/>
    <s v="N"/>
    <s v="Y"/>
    <s v="N"/>
    <s v="B056"/>
    <d v="2016-12-14T00:00:00"/>
    <s v="30"/>
    <s v="TAN"/>
    <s v="OR"/>
    <d v="2016-12-10T00:00:00"/>
    <s v="ND"/>
    <s v="US"/>
    <s v="ZR"/>
    <d v="2016-12-10T00:00:00"/>
  </r>
  <r>
    <x v="1"/>
    <x v="0"/>
    <x v="2663"/>
    <x v="43"/>
    <s v="Standard order"/>
    <x v="2541"/>
    <x v="2249"/>
    <s v="1399"/>
    <s v="BTS 1399"/>
    <s v="5002348"/>
    <s v="1399 BTS T20 Kabina RP"/>
    <n v="12"/>
    <n v="0"/>
    <n v="12"/>
    <x v="0"/>
    <s v="EG74"/>
    <s v="RP"/>
    <s v="380"/>
    <s v="4.0 UN"/>
    <s v="STANDARD"/>
    <s v="N"/>
    <s v="N"/>
    <s v="Y"/>
    <s v="T20"/>
    <s v="N"/>
    <s v="N"/>
    <s v="N"/>
    <s v="N"/>
    <s v="B006"/>
    <d v="2016-12-14T00:00:00"/>
    <s v="10"/>
    <s v="TAN"/>
    <s v="OR"/>
    <d v="2016-12-10T00:00:00"/>
    <s v="MI"/>
    <s v="US"/>
    <s v="ZR"/>
    <d v="2016-12-10T00:00:00"/>
  </r>
  <r>
    <x v="1"/>
    <x v="0"/>
    <x v="2663"/>
    <x v="43"/>
    <s v="Standard order"/>
    <x v="2541"/>
    <x v="2249"/>
    <s v="149N"/>
    <s v="BTS 149N"/>
    <s v="5002368"/>
    <s v="149N BTS T20 Kabina RP"/>
    <n v="16"/>
    <n v="0"/>
    <n v="16"/>
    <x v="0"/>
    <s v="EEND"/>
    <s v="RP"/>
    <s v="380"/>
    <s v="4.0 UN"/>
    <s v="STANDARD"/>
    <s v="N"/>
    <s v="N"/>
    <s v="Y"/>
    <s v="T20"/>
    <s v="N"/>
    <s v="N"/>
    <s v="N"/>
    <s v="N"/>
    <s v="B006"/>
    <d v="2016-12-14T00:00:00"/>
    <s v="20"/>
    <s v="TAN"/>
    <s v="OR"/>
    <d v="2016-12-10T00:00:00"/>
    <s v="MI"/>
    <s v="US"/>
    <s v="ZR"/>
    <d v="2016-12-10T00:00:00"/>
  </r>
  <r>
    <x v="1"/>
    <x v="0"/>
    <x v="2664"/>
    <x v="42"/>
    <s v="Standard order"/>
    <x v="2542"/>
    <x v="560"/>
    <s v="133N"/>
    <s v="BTS 133N"/>
    <s v="5002329"/>
    <s v="133N BTS T20 Kabina RP"/>
    <n v="24"/>
    <n v="0"/>
    <n v="24"/>
    <x v="0"/>
    <s v="DW73"/>
    <s v="RP"/>
    <s v="380"/>
    <s v="4.0 UN"/>
    <s v="STANDARD"/>
    <s v="N"/>
    <s v="N"/>
    <s v="Y"/>
    <s v="T20"/>
    <s v="N"/>
    <s v="N"/>
    <s v="N"/>
    <s v="N"/>
    <s v="B007"/>
    <d v="2016-12-14T00:00:00"/>
    <s v="10"/>
    <s v="TAN"/>
    <s v="OR"/>
    <d v="2016-12-10T00:00:00"/>
    <s v="MI"/>
    <s v="US"/>
    <s v="ZR"/>
    <d v="2016-12-10T00:00:00"/>
  </r>
  <r>
    <x v="1"/>
    <x v="0"/>
    <x v="2664"/>
    <x v="42"/>
    <s v="Standard order"/>
    <x v="2542"/>
    <x v="560"/>
    <s v="1399"/>
    <s v="BTS 1399"/>
    <s v="5002348"/>
    <s v="1399 BTS T20 Kabina RP"/>
    <n v="28"/>
    <n v="0"/>
    <n v="28"/>
    <x v="0"/>
    <s v="EG74"/>
    <s v="RP"/>
    <s v="380"/>
    <s v="4.0 UN"/>
    <s v="STANDARD"/>
    <s v="N"/>
    <s v="N"/>
    <s v="Y"/>
    <s v="T20"/>
    <s v="N"/>
    <s v="N"/>
    <s v="N"/>
    <s v="N"/>
    <s v="B007"/>
    <d v="2016-12-14T00:00:00"/>
    <s v="20"/>
    <s v="TAN"/>
    <s v="OR"/>
    <d v="2016-12-10T00:00:00"/>
    <s v="MI"/>
    <s v="US"/>
    <s v="ZR"/>
    <d v="2016-12-10T00:00:00"/>
  </r>
  <r>
    <x v="1"/>
    <x v="0"/>
    <x v="2665"/>
    <x v="29"/>
    <s v="Standard order"/>
    <x v="2543"/>
    <x v="243"/>
    <s v="122N"/>
    <s v="BTS 12RR2N"/>
    <s v="5002310"/>
    <s v="122N BTS T20 Kabina P200"/>
    <n v="28"/>
    <n v="0"/>
    <n v="28"/>
    <x v="0"/>
    <s v="4TBG"/>
    <s v="PRO 200"/>
    <s v="380"/>
    <s v="4.0 UN"/>
    <s v="STANDARD"/>
    <s v="N"/>
    <s v="N"/>
    <s v="Y"/>
    <s v="T20"/>
    <s v="N"/>
    <s v="N"/>
    <s v="N"/>
    <s v="N"/>
    <s v="B005"/>
    <d v="2016-12-14T00:00:00"/>
    <s v="10"/>
    <s v="TAN"/>
    <s v="OR"/>
    <d v="2016-12-10T00:00:00"/>
    <s v="MI"/>
    <s v="US"/>
    <s v="ZR"/>
    <d v="2016-12-10T00:00:00"/>
  </r>
  <r>
    <x v="1"/>
    <x v="0"/>
    <x v="2665"/>
    <x v="29"/>
    <s v="Standard order"/>
    <x v="2543"/>
    <x v="243"/>
    <s v="1399"/>
    <s v="BTS 1399"/>
    <s v="5002347"/>
    <s v="1399 BTS T20 Kabina P200"/>
    <n v="28"/>
    <n v="0"/>
    <n v="28"/>
    <x v="0"/>
    <s v="EG74"/>
    <s v="PRO 200"/>
    <s v="380"/>
    <s v="4.0 UN"/>
    <s v="STANDARD"/>
    <s v="N"/>
    <s v="N"/>
    <s v="Y"/>
    <s v="T20"/>
    <s v="N"/>
    <s v="N"/>
    <s v="N"/>
    <s v="N"/>
    <s v="B005"/>
    <d v="2016-12-14T00:00:00"/>
    <s v="20"/>
    <s v="TAN"/>
    <s v="OR"/>
    <d v="2016-12-10T00:00:00"/>
    <s v="MI"/>
    <s v="US"/>
    <s v="ZR"/>
    <d v="2016-12-10T00:00:00"/>
  </r>
  <r>
    <x v="1"/>
    <x v="0"/>
    <x v="2666"/>
    <x v="49"/>
    <s v="Standard order"/>
    <x v="2544"/>
    <x v="2250"/>
    <s v="122N"/>
    <s v="BTS 12RR2N"/>
    <s v="5002316"/>
    <s v="122N BTS T20 SYSTIVA P200"/>
    <n v="56"/>
    <n v="0"/>
    <n v="56"/>
    <x v="0"/>
    <s v="4TBG"/>
    <s v="PRO 200"/>
    <s v="326"/>
    <s v="4.0 UN"/>
    <s v="STANDARD"/>
    <s v="N"/>
    <s v="N"/>
    <s v="N"/>
    <s v="T20"/>
    <s v="Y"/>
    <s v="N"/>
    <s v="Y"/>
    <s v="N"/>
    <s v="B004"/>
    <d v="2016-12-14T00:00:00"/>
    <s v="10"/>
    <s v="TAN"/>
    <s v="OR"/>
    <d v="2016-12-10T00:00:00"/>
    <s v="MI"/>
    <s v="US"/>
    <s v="ZR"/>
    <d v="2016-12-10T00:00:00"/>
  </r>
  <r>
    <x v="1"/>
    <x v="0"/>
    <x v="2666"/>
    <x v="49"/>
    <s v="Standard order"/>
    <x v="2544"/>
    <x v="2250"/>
    <s v="133N"/>
    <s v="BTS 133N"/>
    <s v="5002328"/>
    <s v="133N BTS T20 Kabina P200"/>
    <n v="20"/>
    <n v="0"/>
    <n v="20"/>
    <x v="0"/>
    <s v="DW73"/>
    <s v="PRO 200"/>
    <s v="380"/>
    <s v="4.0 UN"/>
    <s v="STANDARD"/>
    <s v="N"/>
    <s v="N"/>
    <s v="Y"/>
    <s v="T20"/>
    <s v="N"/>
    <s v="N"/>
    <s v="N"/>
    <s v="N"/>
    <s v="B004"/>
    <d v="2016-12-14T00:00:00"/>
    <s v="20"/>
    <s v="TAN"/>
    <s v="OR"/>
    <d v="2016-12-10T00:00:00"/>
    <s v="MI"/>
    <s v="US"/>
    <s v="ZR"/>
    <d v="2016-12-10T00:00:00"/>
  </r>
  <r>
    <x v="1"/>
    <x v="0"/>
    <x v="2667"/>
    <x v="49"/>
    <s v="Standard order"/>
    <x v="2545"/>
    <x v="1035"/>
    <s v="1399"/>
    <s v="BTS 1399"/>
    <s v="5002356"/>
    <s v="1399 BTS T20 PB Kabina RP"/>
    <n v="24"/>
    <n v="0"/>
    <n v="24"/>
    <x v="0"/>
    <s v="EG74"/>
    <s v="RP"/>
    <s v="382"/>
    <s v="4.0 UN"/>
    <s v="STANDARD"/>
    <s v="N"/>
    <s v="Y"/>
    <s v="Y"/>
    <s v="T20"/>
    <s v="N"/>
    <s v="N"/>
    <s v="N"/>
    <s v="N"/>
    <s v="B004"/>
    <d v="2016-12-14T00:00:00"/>
    <s v="20"/>
    <s v="TAN"/>
    <s v="OR"/>
    <d v="2016-12-10T00:00:00"/>
    <s v="MI"/>
    <s v="US"/>
    <s v="ZR"/>
    <d v="2016-12-10T00:00:00"/>
  </r>
  <r>
    <x v="1"/>
    <x v="0"/>
    <x v="2668"/>
    <x v="29"/>
    <s v="Standard order"/>
    <x v="2546"/>
    <x v="2251"/>
    <s v="122N"/>
    <s v="BTS 12RR2N"/>
    <s v="5002316"/>
    <s v="122N BTS T20 SYSTIVA P200"/>
    <n v="12"/>
    <n v="0"/>
    <n v="12"/>
    <x v="0"/>
    <s v="4TBG"/>
    <s v="PRO 200"/>
    <s v="326"/>
    <s v="4.0 UN"/>
    <s v="STANDARD"/>
    <s v="N"/>
    <s v="N"/>
    <s v="N"/>
    <s v="T20"/>
    <s v="Y"/>
    <s v="N"/>
    <s v="Y"/>
    <s v="N"/>
    <s v="B005"/>
    <d v="2016-12-14T00:00:00"/>
    <s v="10"/>
    <s v="TAN"/>
    <s v="OR"/>
    <d v="2016-12-10T00:00:00"/>
    <s v="MI"/>
    <s v="US"/>
    <s v="ZR"/>
    <d v="2016-12-10T00:00:00"/>
  </r>
  <r>
    <x v="1"/>
    <x v="0"/>
    <x v="2668"/>
    <x v="29"/>
    <s v="Standard order"/>
    <x v="2546"/>
    <x v="2251"/>
    <s v="149N"/>
    <s v="BTS 149N"/>
    <s v="5002367"/>
    <s v="149N BTS T20 Kabina P200"/>
    <n v="12"/>
    <n v="0"/>
    <n v="12"/>
    <x v="0"/>
    <s v="EEND"/>
    <s v="PRO 200"/>
    <s v="380"/>
    <s v="4.0 UN"/>
    <s v="STANDARD"/>
    <s v="N"/>
    <s v="N"/>
    <s v="Y"/>
    <s v="T20"/>
    <s v="N"/>
    <s v="N"/>
    <s v="N"/>
    <s v="N"/>
    <s v="B005"/>
    <d v="2016-12-14T00:00:00"/>
    <s v="20"/>
    <s v="TAN"/>
    <s v="OR"/>
    <d v="2016-12-10T00:00:00"/>
    <s v="MI"/>
    <s v="US"/>
    <s v="ZR"/>
    <d v="2016-12-10T00:00:00"/>
  </r>
  <r>
    <x v="1"/>
    <x v="7"/>
    <x v="2669"/>
    <x v="37"/>
    <s v="Standard order"/>
    <x v="2547"/>
    <x v="2252"/>
    <s v="8500"/>
    <s v="BTS 8500"/>
    <s v="5002860"/>
    <s v="8500 BTS T35 SYSTIVA RP"/>
    <n v="144"/>
    <n v="0"/>
    <n v="144"/>
    <x v="7"/>
    <s v="FTND"/>
    <s v="RP"/>
    <s v="334"/>
    <s v="4.0 UN"/>
    <s v="STANDARD"/>
    <s v="N"/>
    <s v="N"/>
    <s v="N"/>
    <s v="T35"/>
    <s v="Y"/>
    <s v="N"/>
    <s v="Y"/>
    <s v="N"/>
    <s v="B033"/>
    <d v="2016-12-14T00:00:00"/>
    <s v="10"/>
    <s v="TAN"/>
    <s v="OR"/>
    <d v="2016-12-10T00:00:00"/>
    <s v="MN"/>
    <s v="US"/>
    <s v="ZR"/>
    <d v="2016-12-10T00:00:00"/>
  </r>
  <r>
    <x v="1"/>
    <x v="7"/>
    <x v="2670"/>
    <x v="28"/>
    <s v="Standard order"/>
    <x v="2548"/>
    <x v="2253"/>
    <s v="8500"/>
    <s v="BTS 8500"/>
    <s v="5002856"/>
    <s v="8500 BTS T35 PB SYSTIVA RP"/>
    <n v="120"/>
    <n v="0"/>
    <n v="120"/>
    <x v="7"/>
    <s v="FTND"/>
    <s v="RP"/>
    <s v="333"/>
    <s v="4.0 UN"/>
    <s v="STANDARD"/>
    <s v="N"/>
    <s v="Y"/>
    <s v="N"/>
    <s v="T35"/>
    <s v="Y"/>
    <s v="N"/>
    <s v="Y"/>
    <s v="N"/>
    <s v="B056"/>
    <d v="2016-12-14T00:00:00"/>
    <s v="10"/>
    <s v="TAN"/>
    <s v="OR"/>
    <d v="2016-12-10T00:00:00"/>
    <s v="ND"/>
    <s v="US"/>
    <s v="ZR"/>
    <d v="2016-12-10T00:00:00"/>
  </r>
  <r>
    <x v="1"/>
    <x v="6"/>
    <x v="2671"/>
    <x v="51"/>
    <s v="Standard order"/>
    <x v="2549"/>
    <x v="2254"/>
    <s v="444N"/>
    <s v="BTS 444N"/>
    <s v="5002226"/>
    <s v="444N BTS T20 PB SYSTIVA P100"/>
    <n v="36"/>
    <n v="0"/>
    <n v="36"/>
    <x v="6"/>
    <s v="DVND"/>
    <s v="PRO 100"/>
    <s v="322"/>
    <s v="4.0 UN"/>
    <s v="STANDARD"/>
    <s v="N"/>
    <s v="N"/>
    <s v="N"/>
    <s v="T20"/>
    <s v="Y"/>
    <s v="N"/>
    <s v="Y"/>
    <s v="N"/>
    <s v="B011"/>
    <d v="2016-12-14T00:00:00"/>
    <s v="10"/>
    <s v="TAN"/>
    <s v="OR"/>
    <d v="2016-12-10T00:00:00"/>
    <s v="MT"/>
    <s v="US"/>
    <s v="ZR"/>
    <d v="2016-12-10T00:00:00"/>
  </r>
  <r>
    <x v="1"/>
    <x v="2"/>
    <x v="2672"/>
    <x v="6"/>
    <s v="Standard order"/>
    <x v="2550"/>
    <x v="573"/>
    <s v="6027"/>
    <s v="BTS 60RR27"/>
    <s v="5002645"/>
    <s v="6027 BTS T20 PB SYSTIVA P100 WSS"/>
    <n v="28"/>
    <n v="0"/>
    <n v="28"/>
    <x v="2"/>
    <s v="APMC"/>
    <s v="PRO 100"/>
    <s v="322"/>
    <s v="4.0 UN"/>
    <s v="STANDARD"/>
    <s v="N"/>
    <s v="N"/>
    <s v="N"/>
    <s v="T20"/>
    <s v="Y"/>
    <s v="N"/>
    <s v="Y"/>
    <s v="N"/>
    <s v="B025"/>
    <d v="2016-12-14T00:00:00"/>
    <s v="10"/>
    <s v="TAN"/>
    <s v="OR"/>
    <d v="2016-12-10T00:00:00"/>
    <s v="WY"/>
    <s v="US"/>
    <s v="ZR"/>
    <d v="2016-12-10T00:00:00"/>
  </r>
  <r>
    <x v="1"/>
    <x v="0"/>
    <x v="2673"/>
    <x v="45"/>
    <s v="Standard order"/>
    <x v="2551"/>
    <x v="269"/>
    <s v="1399"/>
    <s v="BTS 1399"/>
    <s v="5002356"/>
    <s v="1399 BTS T20 PB Kabina RP"/>
    <n v="8"/>
    <n v="0"/>
    <n v="8"/>
    <x v="0"/>
    <s v="EG74"/>
    <s v="RP"/>
    <s v="382"/>
    <s v="4.0 UN"/>
    <s v="STANDARD"/>
    <s v="N"/>
    <s v="Y"/>
    <s v="Y"/>
    <s v="T20"/>
    <s v="N"/>
    <s v="N"/>
    <s v="N"/>
    <s v="N"/>
    <s v="B003"/>
    <d v="2016-12-14T00:00:00"/>
    <s v="10"/>
    <s v="TAN"/>
    <s v="OR"/>
    <d v="2016-12-10T00:00:00"/>
    <s v="MI"/>
    <s v="US"/>
    <s v="ZR"/>
    <d v="2016-12-10T00:00:00"/>
  </r>
  <r>
    <x v="1"/>
    <x v="0"/>
    <x v="2673"/>
    <x v="45"/>
    <s v="Standard order"/>
    <x v="2551"/>
    <x v="269"/>
    <s v="122N"/>
    <s v="BTS 12RR2N"/>
    <s v="5002303"/>
    <s v="122N BTS T20 PB Kabina RP"/>
    <n v="4"/>
    <n v="0"/>
    <n v="4"/>
    <x v="0"/>
    <s v="4TBG"/>
    <s v="RP"/>
    <s v="382"/>
    <s v="4.0 UN"/>
    <s v="STANDARD"/>
    <s v="N"/>
    <s v="Y"/>
    <s v="Y"/>
    <s v="T20"/>
    <s v="N"/>
    <s v="N"/>
    <s v="N"/>
    <s v="N"/>
    <s v="B003"/>
    <d v="2016-12-14T00:00:00"/>
    <s v="20"/>
    <s v="TAN"/>
    <s v="OR"/>
    <d v="2016-12-10T00:00:00"/>
    <s v="MI"/>
    <s v="US"/>
    <s v="ZR"/>
    <d v="2016-12-10T00:00:00"/>
  </r>
  <r>
    <x v="1"/>
    <x v="2"/>
    <x v="2674"/>
    <x v="5"/>
    <s v="Standard order"/>
    <x v="2552"/>
    <x v="2255"/>
    <s v="64SN"/>
    <s v="BTS 64SN"/>
    <s v="5002421"/>
    <s v="64SN BTS T20 PB SYSTIVA P200"/>
    <n v="56"/>
    <n v="0"/>
    <n v="56"/>
    <x v="2"/>
    <s v="DVNB"/>
    <s v="PRO 200"/>
    <s v="322"/>
    <s v="4.0 UN"/>
    <s v="STANDARD"/>
    <s v="N"/>
    <s v="N"/>
    <s v="N"/>
    <s v="T20"/>
    <s v="Y"/>
    <s v="N"/>
    <s v="Y"/>
    <s v="N"/>
    <s v="B020"/>
    <d v="2016-12-14T00:00:00"/>
    <s v="10"/>
    <s v="TAN"/>
    <s v="OR"/>
    <d v="2016-12-09T00:00:00"/>
    <s v="CO"/>
    <s v="US"/>
    <s v="ZR"/>
    <d v="2016-12-10T00:00:00"/>
  </r>
  <r>
    <x v="1"/>
    <x v="7"/>
    <x v="2675"/>
    <x v="37"/>
    <s v="Standard order"/>
    <x v="2553"/>
    <x v="2256"/>
    <s v="8500"/>
    <s v="BTS 8500"/>
    <s v="5002855"/>
    <s v="8500 BTS T35 PB SYSTIVA P200"/>
    <n v="96"/>
    <n v="0"/>
    <n v="96"/>
    <x v="7"/>
    <s v="FTND"/>
    <s v="PRO 200"/>
    <s v="333"/>
    <s v="4.0 UN"/>
    <s v="STANDARD"/>
    <s v="N"/>
    <s v="Y"/>
    <s v="N"/>
    <s v="T35"/>
    <s v="Y"/>
    <s v="N"/>
    <s v="Y"/>
    <s v="N"/>
    <s v="B033"/>
    <d v="2016-12-14T00:00:00"/>
    <s v="10"/>
    <s v="TAN"/>
    <s v="OR"/>
    <d v="2016-12-10T00:00:00"/>
    <s v="MN"/>
    <s v="US"/>
    <s v="ZR"/>
    <d v="2016-12-10T00:00:00"/>
  </r>
  <r>
    <x v="1"/>
    <x v="7"/>
    <x v="2676"/>
    <x v="37"/>
    <s v="Standard order"/>
    <x v="2554"/>
    <x v="2257"/>
    <s v="8500"/>
    <s v="BTS 8500"/>
    <s v="5002856"/>
    <s v="8500 BTS T35 PB SYSTIVA RP"/>
    <n v="112"/>
    <n v="0"/>
    <n v="112"/>
    <x v="7"/>
    <s v="FTND"/>
    <s v="RP"/>
    <s v="333"/>
    <s v="4.0 UN"/>
    <s v="STANDARD"/>
    <s v="N"/>
    <s v="Y"/>
    <s v="N"/>
    <s v="T35"/>
    <s v="Y"/>
    <s v="N"/>
    <s v="Y"/>
    <s v="N"/>
    <s v="B033"/>
    <d v="2016-12-14T00:00:00"/>
    <s v="10"/>
    <s v="TAN"/>
    <s v="OR"/>
    <d v="2016-12-10T00:00:00"/>
    <s v="MN"/>
    <s v="US"/>
    <s v="ZR"/>
    <d v="2016-12-10T00:00:00"/>
  </r>
  <r>
    <x v="1"/>
    <x v="0"/>
    <x v="2677"/>
    <x v="49"/>
    <s v="Standard order"/>
    <x v="2555"/>
    <x v="967"/>
    <s v="149N"/>
    <s v="BTS 149N"/>
    <s v="5002368"/>
    <s v="149N BTS T20 Kabina RP"/>
    <n v="16"/>
    <n v="0"/>
    <n v="16"/>
    <x v="0"/>
    <s v="EEND"/>
    <s v="RP"/>
    <s v="380"/>
    <s v="4.0 UN"/>
    <s v="STANDARD"/>
    <s v="N"/>
    <s v="N"/>
    <s v="Y"/>
    <s v="T20"/>
    <s v="N"/>
    <s v="N"/>
    <s v="N"/>
    <s v="N"/>
    <s v="B004"/>
    <d v="2016-12-14T00:00:00"/>
    <s v="10"/>
    <s v="TAN"/>
    <s v="OR"/>
    <d v="2016-12-10T00:00:00"/>
    <s v="MI"/>
    <s v="US"/>
    <s v="ZR"/>
    <d v="2016-12-10T00:00:00"/>
  </r>
  <r>
    <x v="1"/>
    <x v="2"/>
    <x v="2678"/>
    <x v="24"/>
    <s v="Standard order"/>
    <x v="2556"/>
    <x v="572"/>
    <s v="6027"/>
    <s v="BTS 60RR27"/>
    <s v="5002647"/>
    <s v="6027 BTS T20 PB SYSTIVA P50 WSS"/>
    <n v="40"/>
    <n v="0"/>
    <n v="40"/>
    <x v="2"/>
    <s v="APMC"/>
    <s v="PRO 50"/>
    <s v="322"/>
    <s v="4.0 UN"/>
    <s v="STANDARD"/>
    <s v="N"/>
    <s v="N"/>
    <s v="N"/>
    <s v="T20"/>
    <s v="Y"/>
    <s v="N"/>
    <s v="Y"/>
    <s v="N"/>
    <s v="B022"/>
    <d v="2016-12-14T00:00:00"/>
    <s v="10"/>
    <s v="TAN"/>
    <s v="OR"/>
    <d v="2016-12-09T00:00:00"/>
    <s v="CO"/>
    <s v="US"/>
    <s v="ZR"/>
    <d v="2016-12-10T00:00:00"/>
  </r>
  <r>
    <x v="1"/>
    <x v="2"/>
    <x v="2679"/>
    <x v="24"/>
    <s v="Standard order"/>
    <x v="2557"/>
    <x v="2258"/>
    <s v="6027"/>
    <s v="BTS 60RR27"/>
    <s v="5002647"/>
    <s v="6027 BTS T20 PB SYSTIVA P50 WSS"/>
    <n v="40"/>
    <n v="0"/>
    <n v="40"/>
    <x v="2"/>
    <s v="APMC"/>
    <s v="PRO 50"/>
    <s v="322"/>
    <s v="4.0 UN"/>
    <s v="STANDARD"/>
    <s v="N"/>
    <s v="N"/>
    <s v="N"/>
    <s v="T20"/>
    <s v="Y"/>
    <s v="N"/>
    <s v="Y"/>
    <s v="N"/>
    <s v="B022"/>
    <d v="2016-12-14T00:00:00"/>
    <s v="10"/>
    <s v="TAN"/>
    <s v="OR"/>
    <d v="2016-12-09T00:00:00"/>
    <s v="CO"/>
    <s v="US"/>
    <s v="ZR"/>
    <d v="2016-12-10T00:00:00"/>
  </r>
  <r>
    <x v="1"/>
    <x v="2"/>
    <x v="2679"/>
    <x v="24"/>
    <s v="Standard order"/>
    <x v="2557"/>
    <x v="2258"/>
    <s v="6543"/>
    <s v="BTS 6543"/>
    <s v="5002440"/>
    <s v="6543 BTS T20 PB SYSTIVA P50"/>
    <n v="16"/>
    <n v="0"/>
    <n v="16"/>
    <x v="2"/>
    <s v="FXND"/>
    <s v="PRO 50"/>
    <s v="322"/>
    <s v="4.0 UN"/>
    <s v="STANDARD"/>
    <s v="N"/>
    <s v="N"/>
    <s v="N"/>
    <s v="T20"/>
    <s v="Y"/>
    <s v="N"/>
    <s v="Y"/>
    <s v="N"/>
    <s v="B022"/>
    <d v="2016-12-14T00:00:00"/>
    <s v="20"/>
    <s v="TAN"/>
    <s v="OR"/>
    <d v="2016-12-09T00:00:00"/>
    <s v="CO"/>
    <s v="US"/>
    <s v="ZR"/>
    <d v="2016-12-10T00:00:00"/>
  </r>
  <r>
    <x v="1"/>
    <x v="4"/>
    <x v="2680"/>
    <x v="52"/>
    <s v="Standard order"/>
    <x v="2558"/>
    <x v="538"/>
    <s v="251N"/>
    <s v="BTS 251N"/>
    <s v="5002503"/>
    <s v="251N BTS PB Kabina LRG"/>
    <n v="32"/>
    <n v="0"/>
    <n v="32"/>
    <x v="4"/>
    <s v="5HBR"/>
    <s v="LARGE"/>
    <s v="384"/>
    <s v="4.0 UN"/>
    <s v="STANDARD"/>
    <s v="N"/>
    <s v="Y"/>
    <s v="Y"/>
    <s v="N"/>
    <s v="N"/>
    <s v="N"/>
    <s v="N"/>
    <s v="N"/>
    <s v="B048"/>
    <d v="2016-12-14T00:00:00"/>
    <s v="10"/>
    <s v="TAN"/>
    <s v="OR"/>
    <d v="2016-12-09T00:00:00"/>
    <s v="ID"/>
    <s v="US"/>
    <s v="ZR"/>
    <d v="2016-12-10T00:00:00"/>
  </r>
  <r>
    <x v="1"/>
    <x v="4"/>
    <x v="2680"/>
    <x v="52"/>
    <s v="Standard order"/>
    <x v="2558"/>
    <x v="538"/>
    <s v="225N"/>
    <s v="BTS 22RR5N"/>
    <s v="5002106"/>
    <s v="225N BTS PB Kabina LRG"/>
    <n v="72"/>
    <n v="0"/>
    <n v="72"/>
    <x v="4"/>
    <s v="4TBD"/>
    <s v="LARGE"/>
    <s v="384"/>
    <s v="4.0 UN"/>
    <s v="STANDARD"/>
    <s v="N"/>
    <s v="Y"/>
    <s v="Y"/>
    <s v="N"/>
    <s v="N"/>
    <s v="N"/>
    <s v="N"/>
    <s v="N"/>
    <s v="B048"/>
    <d v="2016-12-14T00:00:00"/>
    <s v="20"/>
    <s v="TAN"/>
    <s v="OR"/>
    <d v="2016-12-09T00:00:00"/>
    <s v="ID"/>
    <s v="US"/>
    <s v="ZR"/>
    <d v="2016-12-10T00:00:00"/>
  </r>
  <r>
    <x v="1"/>
    <x v="0"/>
    <x v="2681"/>
    <x v="29"/>
    <s v="Standard order"/>
    <x v="2559"/>
    <x v="2259"/>
    <s v="122N"/>
    <s v="BTS 12RR2N"/>
    <s v="5002315"/>
    <s v="122N BTS T20 SYSTIVA MP"/>
    <n v="28"/>
    <n v="0"/>
    <n v="28"/>
    <x v="0"/>
    <s v="4TBG"/>
    <s v="MP"/>
    <s v="326"/>
    <s v="4.0 UN"/>
    <s v="STANDARD"/>
    <s v="N"/>
    <s v="N"/>
    <s v="N"/>
    <s v="T20"/>
    <s v="Y"/>
    <s v="N"/>
    <s v="Y"/>
    <s v="N"/>
    <s v="B005"/>
    <d v="2016-12-14T00:00:00"/>
    <s v="10"/>
    <s v="TAN"/>
    <s v="OR"/>
    <d v="2016-12-10T00:00:00"/>
    <s v="MI"/>
    <s v="US"/>
    <s v="ZR"/>
    <d v="2016-12-10T00:00:00"/>
  </r>
  <r>
    <x v="1"/>
    <x v="7"/>
    <x v="2682"/>
    <x v="37"/>
    <s v="Standard order"/>
    <x v="2560"/>
    <x v="2260"/>
    <s v="8052"/>
    <s v="BTS 80RR52"/>
    <s v="5002735"/>
    <s v="8052 BTS T35 PB SYSTIVA RP"/>
    <n v="100"/>
    <n v="0"/>
    <n v="100"/>
    <x v="7"/>
    <s v="AP82"/>
    <s v="RP"/>
    <s v="333"/>
    <s v="4.0 UN"/>
    <s v="STANDARD"/>
    <s v="N"/>
    <s v="Y"/>
    <s v="N"/>
    <s v="T35"/>
    <s v="Y"/>
    <s v="N"/>
    <s v="Y"/>
    <s v="N"/>
    <s v="B033"/>
    <d v="2016-12-14T00:00:00"/>
    <s v="10"/>
    <s v="TAN"/>
    <s v="OR"/>
    <d v="2016-12-10T00:00:00"/>
    <s v="ND"/>
    <s v="US"/>
    <s v="ZR"/>
    <d v="2016-12-10T00:00:00"/>
  </r>
  <r>
    <x v="1"/>
    <x v="7"/>
    <x v="2682"/>
    <x v="37"/>
    <s v="Standard order"/>
    <x v="2560"/>
    <x v="2260"/>
    <s v="8500"/>
    <s v="BTS 8500"/>
    <s v="5002856"/>
    <s v="8500 BTS T35 PB SYSTIVA RP"/>
    <n v="32"/>
    <n v="0"/>
    <n v="32"/>
    <x v="7"/>
    <s v="FTND"/>
    <s v="RP"/>
    <s v="333"/>
    <s v="4.0 UN"/>
    <s v="STANDARD"/>
    <s v="N"/>
    <s v="Y"/>
    <s v="N"/>
    <s v="T35"/>
    <s v="Y"/>
    <s v="N"/>
    <s v="Y"/>
    <s v="N"/>
    <s v="B033"/>
    <d v="2016-12-14T00:00:00"/>
    <s v="20"/>
    <s v="TAN"/>
    <s v="OR"/>
    <d v="2016-12-10T00:00:00"/>
    <s v="ND"/>
    <s v="US"/>
    <s v="ZR"/>
    <d v="2016-12-10T00:00:00"/>
  </r>
  <r>
    <x v="1"/>
    <x v="0"/>
    <x v="2683"/>
    <x v="49"/>
    <s v="Standard order"/>
    <x v="2561"/>
    <x v="2261"/>
    <s v="133N"/>
    <s v="BTS 133N"/>
    <s v="5002328"/>
    <s v="133N BTS T20 Kabina P200"/>
    <n v="60"/>
    <n v="0"/>
    <n v="60"/>
    <x v="0"/>
    <s v="DW73"/>
    <s v="PRO 200"/>
    <s v="380"/>
    <s v="4.0 UN"/>
    <s v="STANDARD"/>
    <s v="N"/>
    <s v="N"/>
    <s v="Y"/>
    <s v="T20"/>
    <s v="N"/>
    <s v="N"/>
    <s v="N"/>
    <s v="N"/>
    <s v="B004"/>
    <d v="2016-12-14T00:00:00"/>
    <s v="10"/>
    <s v="TAN"/>
    <s v="OR"/>
    <d v="2016-12-10T00:00:00"/>
    <s v="MI"/>
    <s v="US"/>
    <s v="ZR"/>
    <d v="2016-12-10T00:00:00"/>
  </r>
  <r>
    <x v="1"/>
    <x v="0"/>
    <x v="2683"/>
    <x v="49"/>
    <s v="Standard order"/>
    <x v="2561"/>
    <x v="2261"/>
    <s v="1399"/>
    <s v="BTS 1399"/>
    <s v="5002347"/>
    <s v="1399 BTS T20 Kabina P200"/>
    <n v="140"/>
    <n v="0"/>
    <n v="140"/>
    <x v="0"/>
    <s v="EG74"/>
    <s v="PRO 200"/>
    <s v="380"/>
    <s v="4.0 UN"/>
    <s v="STANDARD"/>
    <s v="N"/>
    <s v="N"/>
    <s v="Y"/>
    <s v="T20"/>
    <s v="N"/>
    <s v="N"/>
    <s v="N"/>
    <s v="N"/>
    <s v="B004"/>
    <d v="2016-12-14T00:00:00"/>
    <s v="20"/>
    <s v="TAN"/>
    <s v="OR"/>
    <d v="2016-12-10T00:00:00"/>
    <s v="MI"/>
    <s v="US"/>
    <s v="ZR"/>
    <d v="2016-12-10T00:00:00"/>
  </r>
  <r>
    <x v="1"/>
    <x v="0"/>
    <x v="2683"/>
    <x v="49"/>
    <s v="Standard order"/>
    <x v="2561"/>
    <x v="2261"/>
    <s v="122N"/>
    <s v="BTS 12RR2N"/>
    <s v="5002316"/>
    <s v="122N BTS T20 SYSTIVA P200"/>
    <n v="48"/>
    <n v="0"/>
    <n v="48"/>
    <x v="0"/>
    <s v="4TBG"/>
    <s v="PRO 200"/>
    <s v="326"/>
    <s v="4.0 UN"/>
    <s v="STANDARD"/>
    <s v="N"/>
    <s v="N"/>
    <s v="N"/>
    <s v="T20"/>
    <s v="Y"/>
    <s v="N"/>
    <s v="Y"/>
    <s v="N"/>
    <s v="B004"/>
    <d v="2016-12-14T00:00:00"/>
    <s v="30"/>
    <s v="TAN"/>
    <s v="OR"/>
    <d v="2016-12-10T00:00:00"/>
    <s v="MI"/>
    <s v="US"/>
    <s v="ZR"/>
    <d v="2016-12-10T00:00:00"/>
  </r>
  <r>
    <x v="1"/>
    <x v="7"/>
    <x v="2684"/>
    <x v="37"/>
    <s v="Standard order"/>
    <x v="2562"/>
    <x v="2262"/>
    <s v="8500"/>
    <s v="BTS 8500"/>
    <s v="5002843"/>
    <s v="8500 BTS T20 PB SYSTIVA MP"/>
    <n v="24"/>
    <n v="0"/>
    <n v="24"/>
    <x v="7"/>
    <s v="FTND"/>
    <s v="MP"/>
    <s v="322"/>
    <s v="4.0 UN"/>
    <s v="STANDARD"/>
    <s v="N"/>
    <s v="N"/>
    <s v="N"/>
    <s v="T20"/>
    <s v="Y"/>
    <s v="N"/>
    <s v="Y"/>
    <s v="N"/>
    <s v="B033"/>
    <d v="2016-12-14T00:00:00"/>
    <s v="10"/>
    <s v="TAN"/>
    <s v="OR"/>
    <d v="2016-12-10T00:00:00"/>
    <s v="ND"/>
    <s v="US"/>
    <s v="ZR"/>
    <d v="2016-12-10T00:00:00"/>
  </r>
  <r>
    <x v="1"/>
    <x v="0"/>
    <x v="2685"/>
    <x v="45"/>
    <s v="Standard order"/>
    <x v="2563"/>
    <x v="2263"/>
    <s v="122N"/>
    <s v="BTS 12RR2N"/>
    <s v="5002311"/>
    <s v="122N BTS T20 Kabina RP"/>
    <n v="24"/>
    <n v="0"/>
    <n v="24"/>
    <x v="0"/>
    <s v="4TBG"/>
    <s v="RP"/>
    <s v="380"/>
    <s v="4.0 UN"/>
    <s v="STANDARD"/>
    <s v="N"/>
    <s v="N"/>
    <s v="Y"/>
    <s v="T20"/>
    <s v="N"/>
    <s v="N"/>
    <s v="N"/>
    <s v="N"/>
    <s v="B003"/>
    <d v="2016-12-14T00:00:00"/>
    <s v="10"/>
    <s v="TAN"/>
    <s v="OR"/>
    <d v="2016-12-10T00:00:00"/>
    <s v="MI"/>
    <s v="US"/>
    <s v="ZR"/>
    <d v="2016-12-10T00:00:00"/>
  </r>
  <r>
    <x v="1"/>
    <x v="0"/>
    <x v="2685"/>
    <x v="45"/>
    <s v="Standard order"/>
    <x v="2563"/>
    <x v="2263"/>
    <s v="1399"/>
    <s v="BTS 1399"/>
    <s v="5002346"/>
    <s v="1399 BTS T20 Kabina MP"/>
    <n v="180"/>
    <n v="0"/>
    <n v="180"/>
    <x v="0"/>
    <s v="EG74"/>
    <s v="MP"/>
    <s v="380"/>
    <s v="4.0 UN"/>
    <s v="STANDARD"/>
    <s v="N"/>
    <s v="N"/>
    <s v="Y"/>
    <s v="T20"/>
    <s v="N"/>
    <s v="N"/>
    <s v="N"/>
    <s v="N"/>
    <s v="B003"/>
    <d v="2016-12-14T00:00:00"/>
    <s v="20"/>
    <s v="TAN"/>
    <s v="OR"/>
    <d v="2016-12-10T00:00:00"/>
    <s v="MI"/>
    <s v="US"/>
    <s v="ZR"/>
    <d v="2016-12-10T00:00:00"/>
  </r>
  <r>
    <x v="1"/>
    <x v="0"/>
    <x v="2686"/>
    <x v="43"/>
    <s v="Standard order"/>
    <x v="2564"/>
    <x v="155"/>
    <s v="149N"/>
    <s v="BTS 149N"/>
    <s v="5002368"/>
    <s v="149N BTS T20 Kabina RP"/>
    <n v="32"/>
    <n v="0"/>
    <n v="32"/>
    <x v="0"/>
    <s v="EEND"/>
    <s v="RP"/>
    <s v="380"/>
    <s v="4.0 UN"/>
    <s v="STANDARD"/>
    <s v="N"/>
    <s v="N"/>
    <s v="Y"/>
    <s v="T20"/>
    <s v="N"/>
    <s v="N"/>
    <s v="N"/>
    <s v="N"/>
    <s v="B006"/>
    <d v="2016-12-14T00:00:00"/>
    <s v="10"/>
    <s v="TAN"/>
    <s v="OR"/>
    <d v="2016-12-10T00:00:00"/>
    <s v="MI"/>
    <s v="US"/>
    <s v="ZR"/>
    <d v="2016-12-10T00:00:00"/>
  </r>
  <r>
    <x v="1"/>
    <x v="7"/>
    <x v="2687"/>
    <x v="37"/>
    <s v="Standard order"/>
    <x v="2565"/>
    <x v="2264"/>
    <s v="8052"/>
    <s v="BTS 80RR52"/>
    <s v="5002735"/>
    <s v="8052 BTS T35 PB SYSTIVA RP"/>
    <n v="100"/>
    <n v="0"/>
    <n v="100"/>
    <x v="7"/>
    <s v="AP82"/>
    <s v="RP"/>
    <s v="333"/>
    <s v="4.0 UN"/>
    <s v="STANDARD"/>
    <s v="N"/>
    <s v="Y"/>
    <s v="N"/>
    <s v="T35"/>
    <s v="Y"/>
    <s v="N"/>
    <s v="Y"/>
    <s v="N"/>
    <s v="B033"/>
    <d v="2016-12-14T00:00:00"/>
    <s v="10"/>
    <s v="TAN"/>
    <s v="OR"/>
    <d v="2016-12-10T00:00:00"/>
    <s v="ND"/>
    <s v="US"/>
    <s v="ZR"/>
    <d v="2016-12-10T00:00:00"/>
  </r>
  <r>
    <x v="1"/>
    <x v="7"/>
    <x v="2687"/>
    <x v="37"/>
    <s v="Standard order"/>
    <x v="2565"/>
    <x v="2264"/>
    <s v="8500"/>
    <s v="BTS 8500"/>
    <s v="5002856"/>
    <s v="8500 BTS T35 PB SYSTIVA RP"/>
    <n v="120"/>
    <n v="0"/>
    <n v="120"/>
    <x v="7"/>
    <s v="FTND"/>
    <s v="RP"/>
    <s v="333"/>
    <s v="4.0 UN"/>
    <s v="STANDARD"/>
    <s v="N"/>
    <s v="Y"/>
    <s v="N"/>
    <s v="T35"/>
    <s v="Y"/>
    <s v="N"/>
    <s v="Y"/>
    <s v="N"/>
    <s v="B033"/>
    <d v="2016-12-14T00:00:00"/>
    <s v="20"/>
    <s v="TAN"/>
    <s v="OR"/>
    <d v="2016-12-10T00:00:00"/>
    <s v="ND"/>
    <s v="US"/>
    <s v="ZR"/>
    <d v="2016-12-10T00:00:00"/>
  </r>
  <r>
    <x v="1"/>
    <x v="4"/>
    <x v="2688"/>
    <x v="46"/>
    <s v="Standard order"/>
    <x v="2566"/>
    <x v="2265"/>
    <s v="2570"/>
    <s v="BTS 2570"/>
    <s v="5002914"/>
    <s v="2570 BTS PB Kabina LRG"/>
    <n v="56"/>
    <n v="0"/>
    <n v="56"/>
    <x v="4"/>
    <s v="EZNS"/>
    <s v="LARGE"/>
    <s v="384"/>
    <s v="4.0 UN"/>
    <s v="STANDARD"/>
    <s v="N"/>
    <s v="Y"/>
    <s v="Y"/>
    <s v="N"/>
    <s v="N"/>
    <s v="N"/>
    <s v="N"/>
    <s v="N"/>
    <s v="B049"/>
    <d v="2016-12-14T00:00:00"/>
    <s v="10"/>
    <s v="TAN"/>
    <s v="OR"/>
    <d v="2016-12-09T00:00:00"/>
    <s v="ID"/>
    <s v="US"/>
    <s v="ZR"/>
    <d v="2016-12-10T00:00:00"/>
  </r>
  <r>
    <x v="1"/>
    <x v="4"/>
    <x v="2688"/>
    <x v="46"/>
    <s v="Standard order"/>
    <x v="2566"/>
    <x v="2265"/>
    <s v="6027"/>
    <s v="BTS 60RR27"/>
    <s v="5002617"/>
    <s v="6027 BTS PB LRG IDH"/>
    <n v="8"/>
    <n v="0"/>
    <n v="8"/>
    <x v="4"/>
    <s v="APMC"/>
    <s v="LARGE"/>
    <s v="307"/>
    <s v="4.0 UN"/>
    <s v="STANDARD"/>
    <s v="N"/>
    <s v="Y"/>
    <s v="N"/>
    <s v="N"/>
    <s v="N"/>
    <s v="N"/>
    <s v="N"/>
    <s v="N"/>
    <s v="B049"/>
    <d v="2016-12-14T00:00:00"/>
    <s v="20"/>
    <s v="TAN"/>
    <s v="OR"/>
    <d v="2016-12-09T00:00:00"/>
    <s v="ID"/>
    <s v="US"/>
    <s v="ZR"/>
    <d v="2016-12-10T00:00:00"/>
  </r>
  <r>
    <x v="1"/>
    <x v="2"/>
    <x v="2689"/>
    <x v="22"/>
    <s v="Standard order"/>
    <x v="2567"/>
    <x v="558"/>
    <s v="628N"/>
    <s v="BTS 62RR8N"/>
    <s v="5002685"/>
    <s v="628N BTS T20 PB SYSTIVA P50"/>
    <n v="20"/>
    <n v="0"/>
    <n v="20"/>
    <x v="2"/>
    <s v="BL73"/>
    <s v="PRO 50"/>
    <s v="322"/>
    <s v="4.0 UN"/>
    <s v="STANDARD"/>
    <s v="N"/>
    <s v="N"/>
    <s v="N"/>
    <s v="T20"/>
    <s v="Y"/>
    <s v="N"/>
    <s v="Y"/>
    <s v="N"/>
    <s v="B018"/>
    <d v="2016-12-14T00:00:00"/>
    <s v="10"/>
    <s v="TAN"/>
    <s v="OR"/>
    <d v="2016-12-09T00:00:00"/>
    <s v="CO"/>
    <s v="US"/>
    <s v="ZR"/>
    <d v="2016-12-10T00:00:00"/>
  </r>
  <r>
    <x v="1"/>
    <x v="2"/>
    <x v="2689"/>
    <x v="22"/>
    <s v="Standard order"/>
    <x v="2567"/>
    <x v="558"/>
    <s v="6027"/>
    <s v="BTS 60RR27"/>
    <s v="5002647"/>
    <s v="6027 BTS T20 PB SYSTIVA P50 WSS"/>
    <n v="12"/>
    <n v="0"/>
    <n v="12"/>
    <x v="2"/>
    <s v="APMC"/>
    <s v="PRO 50"/>
    <s v="322"/>
    <s v="4.0 UN"/>
    <s v="STANDARD"/>
    <s v="N"/>
    <s v="N"/>
    <s v="N"/>
    <s v="T20"/>
    <s v="Y"/>
    <s v="N"/>
    <s v="Y"/>
    <s v="N"/>
    <s v="B018"/>
    <d v="2016-12-14T00:00:00"/>
    <s v="20"/>
    <s v="TAN"/>
    <s v="OR"/>
    <d v="2016-12-09T00:00:00"/>
    <s v="CO"/>
    <s v="US"/>
    <s v="ZR"/>
    <d v="2016-12-10T00:00:00"/>
  </r>
  <r>
    <x v="1"/>
    <x v="0"/>
    <x v="2690"/>
    <x v="29"/>
    <s v="Standard order"/>
    <x v="2568"/>
    <x v="2266"/>
    <s v="122N"/>
    <s v="BTS 12RR2N"/>
    <s v="5002317"/>
    <s v="122N BTS T20 SYSTIVA RP"/>
    <n v="64"/>
    <n v="0"/>
    <n v="64"/>
    <x v="0"/>
    <s v="4TBG"/>
    <s v="RP"/>
    <s v="326"/>
    <s v="4.0 UN"/>
    <s v="STANDARD"/>
    <s v="N"/>
    <s v="N"/>
    <s v="N"/>
    <s v="T20"/>
    <s v="Y"/>
    <s v="N"/>
    <s v="Y"/>
    <s v="N"/>
    <s v="B005"/>
    <d v="2016-12-14T00:00:00"/>
    <s v="20"/>
    <s v="TAN"/>
    <s v="OR"/>
    <d v="2016-12-10T00:00:00"/>
    <s v="MI"/>
    <s v="US"/>
    <s v="ZR"/>
    <d v="2016-12-11T00:00:00"/>
  </r>
  <r>
    <x v="1"/>
    <x v="0"/>
    <x v="2690"/>
    <x v="29"/>
    <s v="Standard order"/>
    <x v="2568"/>
    <x v="2266"/>
    <s v="149N"/>
    <s v="BTS 149N"/>
    <s v="5002367"/>
    <s v="149N BTS T20 Kabina P200"/>
    <n v="44"/>
    <n v="0"/>
    <n v="44"/>
    <x v="0"/>
    <s v="EEND"/>
    <s v="PRO 200"/>
    <s v="380"/>
    <s v="4.0 UN"/>
    <s v="STANDARD"/>
    <s v="N"/>
    <s v="N"/>
    <s v="Y"/>
    <s v="T20"/>
    <s v="N"/>
    <s v="N"/>
    <s v="N"/>
    <s v="N"/>
    <s v="B005"/>
    <d v="2016-12-14T00:00:00"/>
    <s v="50"/>
    <s v="TAN"/>
    <s v="OR"/>
    <d v="2016-12-10T00:00:00"/>
    <s v="MI"/>
    <s v="US"/>
    <s v="ZR"/>
    <d v="2016-12-11T00:00:00"/>
  </r>
  <r>
    <x v="1"/>
    <x v="0"/>
    <x v="2691"/>
    <x v="29"/>
    <s v="Standard order"/>
    <x v="2569"/>
    <x v="2267"/>
    <s v="1399"/>
    <s v="BTS 1399"/>
    <s v="5002348"/>
    <s v="1399 BTS T20 Kabina RP"/>
    <n v="28"/>
    <n v="0"/>
    <n v="28"/>
    <x v="0"/>
    <s v="EG74"/>
    <s v="RP"/>
    <s v="380"/>
    <s v="4.0 UN"/>
    <s v="STANDARD"/>
    <s v="N"/>
    <s v="N"/>
    <s v="Y"/>
    <s v="T20"/>
    <s v="N"/>
    <s v="N"/>
    <s v="N"/>
    <s v="N"/>
    <s v="B005"/>
    <d v="2016-12-14T00:00:00"/>
    <s v="10"/>
    <s v="TAN"/>
    <s v="OR"/>
    <d v="2016-12-11T00:00:00"/>
    <s v="MI"/>
    <s v="US"/>
    <s v="ZR"/>
    <d v="2016-12-11T00:00:00"/>
  </r>
  <r>
    <x v="1"/>
    <x v="0"/>
    <x v="2692"/>
    <x v="29"/>
    <s v="Standard order"/>
    <x v="2570"/>
    <x v="2268"/>
    <s v="122N"/>
    <s v="BTS 12RR2N"/>
    <s v="5002311"/>
    <s v="122N BTS T20 Kabina RP"/>
    <n v="32"/>
    <n v="0"/>
    <n v="32"/>
    <x v="0"/>
    <s v="4TBG"/>
    <s v="RP"/>
    <s v="380"/>
    <s v="4.0 UN"/>
    <s v="STANDARD"/>
    <s v="N"/>
    <s v="N"/>
    <s v="Y"/>
    <s v="T20"/>
    <s v="N"/>
    <s v="N"/>
    <s v="N"/>
    <s v="N"/>
    <s v="B005"/>
    <d v="2016-12-14T00:00:00"/>
    <s v="10"/>
    <s v="TAN"/>
    <s v="OR"/>
    <d v="2016-12-11T00:00:00"/>
    <s v="MI"/>
    <s v="US"/>
    <s v="ZR"/>
    <d v="2016-12-11T00:00:00"/>
  </r>
  <r>
    <x v="1"/>
    <x v="2"/>
    <x v="2693"/>
    <x v="3"/>
    <s v="Standard order"/>
    <x v="2571"/>
    <x v="585"/>
    <s v="626N"/>
    <s v="BTS 62RR6N"/>
    <s v="5002665"/>
    <s v="626N BTS T20 PB SYSTIVA P100"/>
    <n v="128"/>
    <n v="0"/>
    <n v="128"/>
    <x v="2"/>
    <s v="DA73"/>
    <s v="PRO 100"/>
    <s v="322"/>
    <s v="4.0 UN"/>
    <s v="STANDARD"/>
    <s v="N"/>
    <s v="N"/>
    <s v="N"/>
    <s v="T20"/>
    <s v="Y"/>
    <s v="N"/>
    <s v="Y"/>
    <s v="N"/>
    <s v="B024"/>
    <d v="2016-12-15T00:00:00"/>
    <s v="10"/>
    <s v="TAN"/>
    <s v="OR"/>
    <d v="2016-12-12T00:00:00"/>
    <s v="NE"/>
    <s v="US"/>
    <s v="ZR"/>
    <d v="2016-12-12T00:00:00"/>
  </r>
  <r>
    <x v="1"/>
    <x v="2"/>
    <x v="2693"/>
    <x v="3"/>
    <s v="Standard order"/>
    <x v="2571"/>
    <x v="585"/>
    <s v="64SN"/>
    <s v="BTS 64SN"/>
    <s v="5002420"/>
    <s v="64SN BTS T20 PB SYSTIVA P100"/>
    <n v="64"/>
    <n v="0"/>
    <n v="64"/>
    <x v="2"/>
    <s v="DVNB"/>
    <s v="PRO 100"/>
    <s v="322"/>
    <s v="4.0 UN"/>
    <s v="STANDARD"/>
    <s v="N"/>
    <s v="N"/>
    <s v="N"/>
    <s v="T20"/>
    <s v="Y"/>
    <s v="N"/>
    <s v="Y"/>
    <s v="N"/>
    <s v="B024"/>
    <d v="2016-12-15T00:00:00"/>
    <s v="20"/>
    <s v="TAN"/>
    <s v="OR"/>
    <d v="2016-12-12T00:00:00"/>
    <s v="NE"/>
    <s v="US"/>
    <s v="ZR"/>
    <d v="2016-12-12T00:00:00"/>
  </r>
  <r>
    <x v="1"/>
    <x v="2"/>
    <x v="2694"/>
    <x v="22"/>
    <s v="Standard order"/>
    <x v="2572"/>
    <x v="645"/>
    <s v="628N"/>
    <s v="BTS 62RR8N"/>
    <s v="5002683"/>
    <s v="628N BTS T20 PB SYSTIVA P100"/>
    <n v="12"/>
    <n v="0"/>
    <n v="12"/>
    <x v="2"/>
    <s v="BL73"/>
    <s v="PRO 100"/>
    <s v="322"/>
    <s v="4.0 UN"/>
    <s v="STANDARD"/>
    <s v="N"/>
    <s v="N"/>
    <s v="N"/>
    <s v="T20"/>
    <s v="Y"/>
    <s v="N"/>
    <s v="Y"/>
    <s v="N"/>
    <s v="B018"/>
    <d v="2016-12-15T00:00:00"/>
    <s v="10"/>
    <s v="TAN"/>
    <s v="OR"/>
    <d v="2016-12-12T00:00:00"/>
    <s v="CO"/>
    <s v="US"/>
    <s v="ZR"/>
    <d v="2016-12-12T00:00:00"/>
  </r>
  <r>
    <x v="1"/>
    <x v="2"/>
    <x v="2695"/>
    <x v="5"/>
    <s v="Standard order"/>
    <x v="2573"/>
    <x v="611"/>
    <s v="64SN"/>
    <s v="BTS 64SN"/>
    <s v="5002420"/>
    <s v="64SN BTS T20 PB SYSTIVA P100"/>
    <n v="8"/>
    <n v="0"/>
    <n v="8"/>
    <x v="2"/>
    <s v="DVNB"/>
    <s v="PRO 100"/>
    <s v="322"/>
    <s v="4.0 UN"/>
    <s v="STANDARD"/>
    <s v="N"/>
    <s v="N"/>
    <s v="N"/>
    <s v="T20"/>
    <s v="Y"/>
    <s v="N"/>
    <s v="Y"/>
    <s v="N"/>
    <s v="B020"/>
    <d v="2016-12-15T00:00:00"/>
    <s v="10"/>
    <s v="TAN"/>
    <s v="OR"/>
    <d v="2016-12-12T00:00:00"/>
    <s v="CO"/>
    <s v="US"/>
    <s v="ZR"/>
    <d v="2016-12-12T00:00:00"/>
  </r>
  <r>
    <x v="1"/>
    <x v="4"/>
    <x v="2696"/>
    <x v="50"/>
    <s v="Standard order"/>
    <x v="2574"/>
    <x v="141"/>
    <s v="2559"/>
    <s v="BTS 2559"/>
    <s v="5002563"/>
    <s v="2559 BTS PB XL"/>
    <n v="36"/>
    <n v="0"/>
    <n v="36"/>
    <x v="4"/>
    <s v="FGNE"/>
    <s v="X-LARGE"/>
    <s v="307"/>
    <s v="4.0 UN"/>
    <s v="STANDARD"/>
    <s v="N"/>
    <s v="Y"/>
    <s v="N"/>
    <s v="N"/>
    <s v="N"/>
    <s v="N"/>
    <s v="N"/>
    <s v="N"/>
    <s v="B047"/>
    <d v="2016-12-15T00:00:00"/>
    <s v="10"/>
    <s v="TAN"/>
    <s v="OR"/>
    <d v="2016-12-12T00:00:00"/>
    <s v="ID"/>
    <s v="US"/>
    <s v="ZR"/>
    <d v="2016-12-12T00:00:00"/>
  </r>
  <r>
    <x v="1"/>
    <x v="4"/>
    <x v="2696"/>
    <x v="50"/>
    <s v="Standard order"/>
    <x v="2574"/>
    <x v="141"/>
    <s v="2720"/>
    <s v="BTS 27RR20"/>
    <s v="5002142"/>
    <s v="2720 BTS PB XL"/>
    <n v="44"/>
    <n v="0"/>
    <n v="44"/>
    <x v="4"/>
    <s v="4GAY"/>
    <s v="X-LARGE"/>
    <s v="307"/>
    <s v="4.0 UN"/>
    <s v="STANDARD"/>
    <s v="N"/>
    <s v="Y"/>
    <s v="N"/>
    <s v="N"/>
    <s v="N"/>
    <s v="N"/>
    <s v="N"/>
    <s v="N"/>
    <s v="B047"/>
    <d v="2016-12-15T00:00:00"/>
    <s v="20"/>
    <s v="TAN"/>
    <s v="OR"/>
    <d v="2016-12-12T00:00:00"/>
    <s v="ID"/>
    <s v="US"/>
    <s v="ZR"/>
    <d v="2016-12-12T00:00:00"/>
  </r>
  <r>
    <x v="1"/>
    <x v="4"/>
    <x v="2697"/>
    <x v="50"/>
    <s v="Standard order"/>
    <x v="2575"/>
    <x v="2269"/>
    <s v="2570"/>
    <s v="BTS 2570"/>
    <s v="5002553"/>
    <s v="2570 BTS PB LRG"/>
    <n v="48"/>
    <n v="0"/>
    <n v="48"/>
    <x v="4"/>
    <s v="EZNS"/>
    <s v="LARGE"/>
    <s v="307"/>
    <s v="4.0 UN"/>
    <s v="STANDARD"/>
    <s v="N"/>
    <s v="Y"/>
    <s v="N"/>
    <s v="N"/>
    <s v="N"/>
    <s v="N"/>
    <s v="N"/>
    <s v="N"/>
    <s v="B047"/>
    <d v="2016-12-15T00:00:00"/>
    <s v="10"/>
    <s v="TAN"/>
    <s v="OR"/>
    <d v="2016-12-12T00:00:00"/>
    <s v="ID"/>
    <s v="US"/>
    <s v="ZR"/>
    <d v="2016-12-12T00:00:00"/>
  </r>
  <r>
    <x v="1"/>
    <x v="4"/>
    <x v="2698"/>
    <x v="44"/>
    <s v="Standard order"/>
    <x v="2576"/>
    <x v="2270"/>
    <s v="225N"/>
    <s v="BTS 22RR5N"/>
    <s v="5002119"/>
    <s v="225N BTS PB XL"/>
    <n v="264"/>
    <n v="0"/>
    <n v="264"/>
    <x v="4"/>
    <s v="4TBD"/>
    <s v="X-LARGE"/>
    <s v="307"/>
    <s v="4.0 UN"/>
    <s v="STANDARD"/>
    <s v="N"/>
    <s v="Y"/>
    <s v="N"/>
    <s v="N"/>
    <s v="N"/>
    <s v="N"/>
    <s v="N"/>
    <s v="N"/>
    <s v="MB13"/>
    <d v="2016-12-15T00:00:00"/>
    <s v="10"/>
    <s v="TAN"/>
    <s v="OR"/>
    <d v="2016-12-12T00:00:00"/>
    <s v="ID"/>
    <s v="US"/>
    <s v="ZR"/>
    <d v="2016-12-12T00:00:00"/>
  </r>
  <r>
    <x v="1"/>
    <x v="4"/>
    <x v="2698"/>
    <x v="44"/>
    <s v="Standard order"/>
    <x v="2576"/>
    <x v="2270"/>
    <s v="2523"/>
    <s v="BTS 2523"/>
    <s v="5002529"/>
    <s v="2523 BTS PB XL"/>
    <n v="136"/>
    <n v="0"/>
    <n v="136"/>
    <x v="4"/>
    <s v="EZPC"/>
    <s v="X-LARGE"/>
    <s v="307"/>
    <s v="4.0 UN"/>
    <s v="STANDARD"/>
    <s v="N"/>
    <s v="Y"/>
    <s v="N"/>
    <s v="N"/>
    <s v="N"/>
    <s v="N"/>
    <s v="N"/>
    <s v="N"/>
    <s v="MB13"/>
    <d v="2016-12-15T00:00:00"/>
    <s v="20"/>
    <s v="TAN"/>
    <s v="OR"/>
    <d v="2016-12-12T00:00:00"/>
    <s v="ID"/>
    <s v="US"/>
    <s v="ZR"/>
    <d v="2016-12-12T00:00:00"/>
  </r>
  <r>
    <x v="1"/>
    <x v="2"/>
    <x v="2699"/>
    <x v="5"/>
    <s v="Standard order"/>
    <x v="2577"/>
    <x v="2271"/>
    <s v="64SN"/>
    <s v="BTS 64SN"/>
    <s v="5002421"/>
    <s v="64SN BTS T20 PB SYSTIVA P200"/>
    <n v="76"/>
    <n v="0"/>
    <n v="76"/>
    <x v="2"/>
    <s v="DVNB"/>
    <s v="PRO 200"/>
    <s v="322"/>
    <s v="4.0 UN"/>
    <s v="STANDARD"/>
    <s v="N"/>
    <s v="N"/>
    <s v="N"/>
    <s v="T20"/>
    <s v="Y"/>
    <s v="N"/>
    <s v="Y"/>
    <s v="N"/>
    <s v="B020"/>
    <d v="2016-12-15T00:00:00"/>
    <s v="10"/>
    <s v="TAN"/>
    <s v="OR"/>
    <d v="2016-12-12T00:00:00"/>
    <s v="CO"/>
    <s v="US"/>
    <s v="ZR"/>
    <d v="2016-12-12T00:00:00"/>
  </r>
  <r>
    <x v="1"/>
    <x v="6"/>
    <x v="2700"/>
    <x v="51"/>
    <s v="Standard order"/>
    <x v="2578"/>
    <x v="2272"/>
    <s v="437N"/>
    <s v="BTS 437N"/>
    <s v="5002209"/>
    <s v="437N BTS T20 PB SYSTIVA P200"/>
    <n v="48"/>
    <n v="0"/>
    <n v="48"/>
    <x v="6"/>
    <s v="EE73"/>
    <s v="PRO 200"/>
    <s v="322"/>
    <s v="4.0 UN"/>
    <s v="STANDARD"/>
    <s v="N"/>
    <s v="N"/>
    <s v="N"/>
    <s v="T20"/>
    <s v="Y"/>
    <s v="N"/>
    <s v="Y"/>
    <s v="N"/>
    <s v="B011"/>
    <d v="2016-12-15T00:00:00"/>
    <s v="30"/>
    <s v="TAN"/>
    <s v="OR"/>
    <d v="2016-12-12T00:00:00"/>
    <s v="MT"/>
    <s v="US"/>
    <s v="ZR"/>
    <d v="2016-12-12T00:00:00"/>
  </r>
  <r>
    <x v="1"/>
    <x v="6"/>
    <x v="2700"/>
    <x v="51"/>
    <s v="Standard order"/>
    <x v="2578"/>
    <x v="2272"/>
    <s v="444N"/>
    <s v="BTS 444N"/>
    <s v="5002227"/>
    <s v="444N BTS T20 PB SYSTIVA P200"/>
    <n v="24"/>
    <n v="0"/>
    <n v="24"/>
    <x v="6"/>
    <s v="DVND"/>
    <s v="PRO 200"/>
    <s v="322"/>
    <s v="4.0 UN"/>
    <s v="STANDARD"/>
    <s v="N"/>
    <s v="N"/>
    <s v="N"/>
    <s v="T20"/>
    <s v="Y"/>
    <s v="N"/>
    <s v="Y"/>
    <s v="N"/>
    <s v="B011"/>
    <d v="2016-12-15T00:00:00"/>
    <s v="40"/>
    <s v="TAN"/>
    <s v="OR"/>
    <d v="2016-12-12T00:00:00"/>
    <s v="MT"/>
    <s v="US"/>
    <s v="ZR"/>
    <d v="2016-12-12T00:00:00"/>
  </r>
  <r>
    <x v="1"/>
    <x v="6"/>
    <x v="2700"/>
    <x v="51"/>
    <s v="Standard order"/>
    <x v="2578"/>
    <x v="2272"/>
    <s v="459N"/>
    <s v="BTS 459N"/>
    <s v="5002257"/>
    <s v="459N BTS T20 PB SYSTIVA P200"/>
    <n v="40"/>
    <n v="0"/>
    <n v="40"/>
    <x v="6"/>
    <s v="DVNU"/>
    <s v="PRO 200"/>
    <s v="322"/>
    <s v="4.0 UN"/>
    <s v="STANDARD"/>
    <s v="N"/>
    <s v="N"/>
    <s v="N"/>
    <s v="T20"/>
    <s v="Y"/>
    <s v="N"/>
    <s v="Y"/>
    <s v="N"/>
    <s v="B011"/>
    <d v="2016-12-15T00:00:00"/>
    <s v="10"/>
    <s v="TAN"/>
    <s v="OR"/>
    <d v="2016-12-12T00:00:00"/>
    <s v="MT"/>
    <s v="US"/>
    <s v="ZR"/>
    <d v="2016-12-12T00:00:00"/>
  </r>
  <r>
    <x v="1"/>
    <x v="6"/>
    <x v="2700"/>
    <x v="51"/>
    <s v="Standard order"/>
    <x v="2578"/>
    <x v="2272"/>
    <s v="4548"/>
    <s v="BTS 4548"/>
    <s v="5002245"/>
    <s v="4548 BTS T20 PB SYSTIVA P200"/>
    <n v="24"/>
    <n v="0"/>
    <n v="24"/>
    <x v="6"/>
    <s v="FENR"/>
    <s v="PRO 200"/>
    <s v="322"/>
    <s v="4.0 UN"/>
    <s v="STANDARD"/>
    <s v="N"/>
    <s v="N"/>
    <s v="N"/>
    <s v="T20"/>
    <s v="Y"/>
    <s v="N"/>
    <s v="Y"/>
    <s v="N"/>
    <s v="B011"/>
    <d v="2016-12-15T00:00:00"/>
    <s v="20"/>
    <s v="TAN"/>
    <s v="OR"/>
    <d v="2016-12-12T00:00:00"/>
    <s v="MT"/>
    <s v="US"/>
    <s v="ZR"/>
    <d v="2016-12-12T00:00:00"/>
  </r>
  <r>
    <x v="1"/>
    <x v="4"/>
    <x v="2701"/>
    <x v="50"/>
    <s v="Standard order"/>
    <x v="2579"/>
    <x v="549"/>
    <s v="251N"/>
    <s v="BTS 251N"/>
    <s v="5002194"/>
    <s v="251N BTS PB LRG"/>
    <n v="44"/>
    <n v="0"/>
    <n v="44"/>
    <x v="4"/>
    <s v="5HBR"/>
    <s v="LARGE"/>
    <s v="307"/>
    <s v="4.0 UN"/>
    <s v="STANDARD"/>
    <s v="N"/>
    <s v="Y"/>
    <s v="N"/>
    <s v="N"/>
    <s v="N"/>
    <s v="N"/>
    <s v="N"/>
    <s v="N"/>
    <s v="B047"/>
    <d v="2016-12-15T00:00:00"/>
    <s v="10"/>
    <s v="TAN"/>
    <s v="OR"/>
    <d v="2016-12-12T00:00:00"/>
    <s v="ID"/>
    <s v="US"/>
    <s v="ZR"/>
    <d v="2016-12-12T00:00:00"/>
  </r>
  <r>
    <x v="1"/>
    <x v="4"/>
    <x v="2701"/>
    <x v="50"/>
    <s v="Standard order"/>
    <x v="2579"/>
    <x v="549"/>
    <s v="2570"/>
    <s v="BTS 2570"/>
    <s v="5002553"/>
    <s v="2570 BTS PB LRG"/>
    <n v="32"/>
    <n v="0"/>
    <n v="32"/>
    <x v="4"/>
    <s v="EZNS"/>
    <s v="LARGE"/>
    <s v="307"/>
    <s v="4.0 UN"/>
    <s v="STANDARD"/>
    <s v="N"/>
    <s v="Y"/>
    <s v="N"/>
    <s v="N"/>
    <s v="N"/>
    <s v="N"/>
    <s v="N"/>
    <s v="N"/>
    <s v="B047"/>
    <d v="2016-12-15T00:00:00"/>
    <s v="20"/>
    <s v="TAN"/>
    <s v="OR"/>
    <d v="2016-12-12T00:00:00"/>
    <s v="ID"/>
    <s v="US"/>
    <s v="ZR"/>
    <d v="2016-12-12T00:00:00"/>
  </r>
  <r>
    <x v="1"/>
    <x v="2"/>
    <x v="2702"/>
    <x v="22"/>
    <s v="Standard order"/>
    <x v="2580"/>
    <x v="612"/>
    <s v="64SN"/>
    <s v="BTS 64SN"/>
    <s v="5002422"/>
    <s v="64SN BTS T20 PB SYSTIVA P50"/>
    <n v="16"/>
    <n v="0"/>
    <n v="16"/>
    <x v="2"/>
    <s v="DVNB"/>
    <s v="PRO 50"/>
    <s v="322"/>
    <s v="4.0 UN"/>
    <s v="STANDARD"/>
    <s v="N"/>
    <s v="N"/>
    <s v="N"/>
    <s v="T20"/>
    <s v="Y"/>
    <s v="N"/>
    <s v="Y"/>
    <s v="N"/>
    <s v="B018"/>
    <d v="2016-12-15T00:00:00"/>
    <s v="10"/>
    <s v="TAN"/>
    <s v="OR"/>
    <d v="2016-12-12T00:00:00"/>
    <s v="CO"/>
    <s v="US"/>
    <s v="ZR"/>
    <d v="2016-12-12T00:00:00"/>
  </r>
  <r>
    <x v="1"/>
    <x v="2"/>
    <x v="2702"/>
    <x v="22"/>
    <s v="Standard order"/>
    <x v="2580"/>
    <x v="612"/>
    <s v="628N"/>
    <s v="BTS 62RR8N"/>
    <s v="5002685"/>
    <s v="628N BTS T20 PB SYSTIVA P50"/>
    <n v="16"/>
    <n v="0"/>
    <n v="16"/>
    <x v="2"/>
    <s v="BL73"/>
    <s v="PRO 50"/>
    <s v="322"/>
    <s v="4.0 UN"/>
    <s v="STANDARD"/>
    <s v="N"/>
    <s v="N"/>
    <s v="N"/>
    <s v="T20"/>
    <s v="Y"/>
    <s v="N"/>
    <s v="Y"/>
    <s v="N"/>
    <s v="B018"/>
    <d v="2016-12-15T00:00:00"/>
    <s v="20"/>
    <s v="TAN"/>
    <s v="OR"/>
    <d v="2016-12-12T00:00:00"/>
    <s v="CO"/>
    <s v="US"/>
    <s v="ZR"/>
    <d v="2016-12-12T00:00:00"/>
  </r>
  <r>
    <x v="1"/>
    <x v="4"/>
    <x v="2703"/>
    <x v="47"/>
    <s v="Standard order"/>
    <x v="2581"/>
    <x v="527"/>
    <s v="251N"/>
    <s v="BTS 251N"/>
    <s v="5002192"/>
    <s v="251N BTS PB MED"/>
    <n v="32"/>
    <n v="0"/>
    <n v="32"/>
    <x v="4"/>
    <s v="5HBR"/>
    <s v="MEDIUM"/>
    <s v="307"/>
    <s v="4.0 UN"/>
    <s v="STANDARD"/>
    <s v="N"/>
    <s v="Y"/>
    <s v="N"/>
    <s v="N"/>
    <s v="N"/>
    <s v="N"/>
    <s v="N"/>
    <s v="N"/>
    <s v="B050"/>
    <d v="2016-12-15T00:00:00"/>
    <s v="10"/>
    <s v="TAN"/>
    <s v="OR"/>
    <d v="2016-12-12T00:00:00"/>
    <s v="ID"/>
    <s v="US"/>
    <s v="ZR"/>
    <d v="2016-12-12T00:00:00"/>
  </r>
  <r>
    <x v="1"/>
    <x v="4"/>
    <x v="2704"/>
    <x v="47"/>
    <s v="Standard order"/>
    <x v="2582"/>
    <x v="528"/>
    <s v="251N"/>
    <s v="BTS 251N"/>
    <s v="5002192"/>
    <s v="251N BTS PB MED"/>
    <n v="20"/>
    <n v="0"/>
    <n v="20"/>
    <x v="4"/>
    <s v="5HBR"/>
    <s v="MEDIUM"/>
    <s v="307"/>
    <s v="4.0 UN"/>
    <s v="STANDARD"/>
    <s v="N"/>
    <s v="Y"/>
    <s v="N"/>
    <s v="N"/>
    <s v="N"/>
    <s v="N"/>
    <s v="N"/>
    <s v="N"/>
    <s v="B050"/>
    <d v="2016-12-15T00:00:00"/>
    <s v="10"/>
    <s v="TAN"/>
    <s v="OR"/>
    <d v="2016-12-12T00:00:00"/>
    <s v="ID"/>
    <s v="US"/>
    <s v="ZR"/>
    <d v="2016-12-12T00:00:00"/>
  </r>
  <r>
    <x v="1"/>
    <x v="2"/>
    <x v="2705"/>
    <x v="6"/>
    <s v="Standard order"/>
    <x v="2583"/>
    <x v="617"/>
    <s v="628N"/>
    <s v="BTS 62RR8N"/>
    <s v="5002685"/>
    <s v="628N BTS T20 PB SYSTIVA P50"/>
    <n v="44"/>
    <n v="0"/>
    <n v="44"/>
    <x v="2"/>
    <s v="BL73"/>
    <s v="PRO 50"/>
    <s v="322"/>
    <s v="4.0 UN"/>
    <s v="STANDARD"/>
    <s v="N"/>
    <s v="N"/>
    <s v="N"/>
    <s v="T20"/>
    <s v="Y"/>
    <s v="N"/>
    <s v="Y"/>
    <s v="N"/>
    <s v="B025"/>
    <d v="2016-12-15T00:00:00"/>
    <s v="10"/>
    <s v="TAN"/>
    <s v="OR"/>
    <d v="2016-12-12T00:00:00"/>
    <s v="NE"/>
    <s v="US"/>
    <s v="ZR"/>
    <d v="2016-12-12T00:00:00"/>
  </r>
  <r>
    <x v="1"/>
    <x v="2"/>
    <x v="2705"/>
    <x v="6"/>
    <s v="Standard order"/>
    <x v="2583"/>
    <x v="617"/>
    <s v="64SN"/>
    <s v="BTS 64SN"/>
    <s v="5002422"/>
    <s v="64SN BTS T20 PB SYSTIVA P50"/>
    <n v="48"/>
    <n v="0"/>
    <n v="48"/>
    <x v="2"/>
    <s v="DVNB"/>
    <s v="PRO 50"/>
    <s v="322"/>
    <s v="4.0 UN"/>
    <s v="STANDARD"/>
    <s v="N"/>
    <s v="N"/>
    <s v="N"/>
    <s v="T20"/>
    <s v="Y"/>
    <s v="N"/>
    <s v="Y"/>
    <s v="N"/>
    <s v="B025"/>
    <d v="2016-12-15T00:00:00"/>
    <s v="20"/>
    <s v="TAN"/>
    <s v="OR"/>
    <d v="2016-12-12T00:00:00"/>
    <s v="NE"/>
    <s v="US"/>
    <s v="ZR"/>
    <d v="2016-12-12T00:00:00"/>
  </r>
  <r>
    <x v="1"/>
    <x v="0"/>
    <x v="2706"/>
    <x v="30"/>
    <s v="Standard order"/>
    <x v="2584"/>
    <x v="1190"/>
    <s v="122N"/>
    <s v="BTS 12RR2N"/>
    <s v="5002309"/>
    <s v="122N BTS T20 Kabina MP"/>
    <n v="24"/>
    <n v="0"/>
    <n v="24"/>
    <x v="0"/>
    <s v="4TBG"/>
    <s v="MP"/>
    <s v="380"/>
    <s v="4.0 UN"/>
    <s v="STANDARD"/>
    <s v="N"/>
    <s v="N"/>
    <s v="Y"/>
    <s v="T20"/>
    <s v="N"/>
    <s v="N"/>
    <s v="N"/>
    <s v="N"/>
    <s v="B001"/>
    <d v="2016-12-15T00:00:00"/>
    <s v="10"/>
    <s v="TAN"/>
    <s v="OR"/>
    <d v="2016-12-12T00:00:00"/>
    <s v="MI"/>
    <s v="US"/>
    <s v="ZR"/>
    <d v="2016-12-12T00:00:00"/>
  </r>
  <r>
    <x v="1"/>
    <x v="2"/>
    <x v="2707"/>
    <x v="5"/>
    <s v="Standard order"/>
    <x v="2585"/>
    <x v="639"/>
    <s v="64SN"/>
    <s v="BTS 64SN"/>
    <s v="5002420"/>
    <s v="64SN BTS T20 PB SYSTIVA P100"/>
    <n v="24"/>
    <n v="0"/>
    <n v="24"/>
    <x v="2"/>
    <s v="DVNB"/>
    <s v="PRO 100"/>
    <s v="322"/>
    <s v="4.0 UN"/>
    <s v="STANDARD"/>
    <s v="N"/>
    <s v="N"/>
    <s v="N"/>
    <s v="T20"/>
    <s v="Y"/>
    <s v="N"/>
    <s v="Y"/>
    <s v="N"/>
    <s v="B020"/>
    <d v="2016-12-15T00:00:00"/>
    <s v="10"/>
    <s v="TAN"/>
    <s v="OR"/>
    <d v="2016-12-12T00:00:00"/>
    <s v="CO"/>
    <s v="US"/>
    <s v="ZR"/>
    <d v="2016-12-12T00:00:00"/>
  </r>
  <r>
    <x v="1"/>
    <x v="5"/>
    <x v="2708"/>
    <x v="21"/>
    <s v="Standard order"/>
    <x v="2586"/>
    <x v="620"/>
    <s v="398N"/>
    <s v="BTS 39RR8N"/>
    <s v="5002572"/>
    <s v="398N BTS T20 PB SYSTIVA RP"/>
    <n v="32"/>
    <n v="0"/>
    <n v="32"/>
    <x v="5"/>
    <s v="2771"/>
    <s v="RP"/>
    <s v="322"/>
    <s v="4.0 UN"/>
    <s v="STANDARD"/>
    <s v="N"/>
    <s v="Y"/>
    <s v="N"/>
    <s v="T20"/>
    <s v="Y"/>
    <s v="N"/>
    <s v="N"/>
    <s v="N"/>
    <s v="B013"/>
    <d v="2016-12-15T00:00:00"/>
    <s v="10"/>
    <s v="TAN"/>
    <s v="OR"/>
    <d v="2016-12-12T00:00:00"/>
    <s v="MT"/>
    <s v="US"/>
    <s v="ZR"/>
    <d v="2016-12-12T00:00:00"/>
  </r>
  <r>
    <x v="1"/>
    <x v="5"/>
    <x v="2708"/>
    <x v="21"/>
    <s v="Standard order"/>
    <x v="2586"/>
    <x v="620"/>
    <s v="336N"/>
    <s v="BTS 336N"/>
    <s v="5002400"/>
    <s v="336N BTS T20 PB SYSTIVA RP"/>
    <n v="28"/>
    <n v="0"/>
    <n v="28"/>
    <x v="5"/>
    <s v="EEMG"/>
    <s v="RP"/>
    <s v="322"/>
    <s v="4.0 UN"/>
    <s v="STANDARD"/>
    <s v="N"/>
    <s v="N"/>
    <s v="N"/>
    <s v="T20"/>
    <s v="Y"/>
    <s v="N"/>
    <s v="N"/>
    <s v="N"/>
    <s v="B013"/>
    <d v="2016-12-15T00:00:00"/>
    <s v="20"/>
    <s v="TAN"/>
    <s v="OR"/>
    <d v="2016-12-12T00:00:00"/>
    <s v="MT"/>
    <s v="US"/>
    <s v="ZR"/>
    <d v="2016-12-12T00:00:00"/>
  </r>
  <r>
    <x v="1"/>
    <x v="5"/>
    <x v="2709"/>
    <x v="21"/>
    <s v="Standard order"/>
    <x v="2587"/>
    <x v="2273"/>
    <s v="353N"/>
    <s v="BTS 353N"/>
    <s v="5002524"/>
    <s v="353N BTS T20 PB SYSTIVA RP"/>
    <n v="16"/>
    <n v="0"/>
    <n v="16"/>
    <x v="5"/>
    <s v="EENZ"/>
    <s v="RP"/>
    <s v="322"/>
    <s v="4.0 UN"/>
    <s v="STANDARD"/>
    <s v="N"/>
    <s v="Y"/>
    <s v="N"/>
    <s v="T20"/>
    <s v="Y"/>
    <s v="N"/>
    <s v="N"/>
    <s v="N"/>
    <s v="B013"/>
    <d v="2016-12-15T00:00:00"/>
    <s v="10"/>
    <s v="TAN"/>
    <s v="OR"/>
    <d v="2016-12-12T00:00:00"/>
    <s v="MT"/>
    <s v="US"/>
    <s v="ZR"/>
    <d v="2016-12-12T00:00:00"/>
  </r>
  <r>
    <x v="1"/>
    <x v="5"/>
    <x v="2709"/>
    <x v="21"/>
    <s v="Standard order"/>
    <x v="2587"/>
    <x v="2273"/>
    <s v="336N"/>
    <s v="BTS 336N"/>
    <s v="5002400"/>
    <s v="336N BTS T20 PB SYSTIVA RP"/>
    <n v="16"/>
    <n v="0"/>
    <n v="16"/>
    <x v="5"/>
    <s v="EEMG"/>
    <s v="RP"/>
    <s v="322"/>
    <s v="4.0 UN"/>
    <s v="STANDARD"/>
    <s v="N"/>
    <s v="N"/>
    <s v="N"/>
    <s v="T20"/>
    <s v="Y"/>
    <s v="N"/>
    <s v="N"/>
    <s v="N"/>
    <s v="B013"/>
    <d v="2016-12-15T00:00:00"/>
    <s v="20"/>
    <s v="TAN"/>
    <s v="OR"/>
    <d v="2016-12-12T00:00:00"/>
    <s v="MT"/>
    <s v="US"/>
    <s v="ZR"/>
    <d v="2016-12-12T00:00:00"/>
  </r>
  <r>
    <x v="1"/>
    <x v="5"/>
    <x v="2709"/>
    <x v="21"/>
    <s v="Standard order"/>
    <x v="2587"/>
    <x v="2273"/>
    <s v="398N"/>
    <s v="BTS 39RR8N"/>
    <s v="5002572"/>
    <s v="398N BTS T20 PB SYSTIVA RP"/>
    <n v="124"/>
    <n v="0"/>
    <n v="124"/>
    <x v="5"/>
    <s v="2771"/>
    <s v="RP"/>
    <s v="322"/>
    <s v="4.0 UN"/>
    <s v="STANDARD"/>
    <s v="N"/>
    <s v="Y"/>
    <s v="N"/>
    <s v="T20"/>
    <s v="Y"/>
    <s v="N"/>
    <s v="N"/>
    <s v="N"/>
    <s v="B013"/>
    <d v="2016-12-15T00:00:00"/>
    <s v="30"/>
    <s v="TAN"/>
    <s v="OR"/>
    <d v="2016-12-12T00:00:00"/>
    <s v="MT"/>
    <s v="US"/>
    <s v="ZR"/>
    <d v="2016-12-12T00:00:00"/>
  </r>
  <r>
    <x v="1"/>
    <x v="2"/>
    <x v="2710"/>
    <x v="5"/>
    <s v="Standard order"/>
    <x v="2588"/>
    <x v="2274"/>
    <s v="64SN"/>
    <s v="BTS 64SN"/>
    <s v="5002421"/>
    <s v="64SN BTS T20 PB SYSTIVA P200"/>
    <n v="40"/>
    <n v="0"/>
    <n v="40"/>
    <x v="2"/>
    <s v="DVNB"/>
    <s v="PRO 200"/>
    <s v="322"/>
    <s v="4.0 UN"/>
    <s v="STANDARD"/>
    <s v="N"/>
    <s v="N"/>
    <s v="N"/>
    <s v="T20"/>
    <s v="Y"/>
    <s v="N"/>
    <s v="Y"/>
    <s v="N"/>
    <s v="B020"/>
    <d v="2016-12-15T00:00:00"/>
    <s v="10"/>
    <s v="TAN"/>
    <s v="OR"/>
    <d v="2016-12-12T00:00:00"/>
    <s v="CO"/>
    <s v="US"/>
    <s v="ZR"/>
    <d v="2016-12-12T00:00:00"/>
  </r>
  <r>
    <x v="1"/>
    <x v="2"/>
    <x v="2711"/>
    <x v="6"/>
    <s v="Standard order"/>
    <x v="2589"/>
    <x v="2275"/>
    <s v="628N"/>
    <s v="BTS 62RR8N"/>
    <s v="5002685"/>
    <s v="628N BTS T20 PB SYSTIVA P50"/>
    <n v="32"/>
    <n v="0"/>
    <n v="32"/>
    <x v="2"/>
    <s v="BL73"/>
    <s v="PRO 50"/>
    <s v="322"/>
    <s v="4.0 UN"/>
    <s v="STANDARD"/>
    <s v="N"/>
    <s v="N"/>
    <s v="N"/>
    <s v="T20"/>
    <s v="Y"/>
    <s v="N"/>
    <s v="Y"/>
    <s v="N"/>
    <s v="B025"/>
    <d v="2016-12-15T00:00:00"/>
    <s v="10"/>
    <s v="TAN"/>
    <s v="OR"/>
    <d v="2016-12-12T00:00:00"/>
    <s v="NE"/>
    <s v="US"/>
    <s v="ZR"/>
    <d v="2016-12-12T00:00:00"/>
  </r>
  <r>
    <x v="1"/>
    <x v="2"/>
    <x v="2711"/>
    <x v="6"/>
    <s v="Standard order"/>
    <x v="2589"/>
    <x v="2275"/>
    <s v="630N"/>
    <s v="BTS 630N"/>
    <s v="5002404"/>
    <s v="630N BTS T20 PB SYSTIVA P50"/>
    <n v="12"/>
    <n v="0"/>
    <n v="12"/>
    <x v="2"/>
    <s v="DW73"/>
    <s v="PRO 50"/>
    <s v="322"/>
    <s v="4.0 UN"/>
    <s v="STANDARD"/>
    <s v="N"/>
    <s v="N"/>
    <s v="N"/>
    <s v="T20"/>
    <s v="Y"/>
    <s v="N"/>
    <s v="Y"/>
    <s v="N"/>
    <s v="B025"/>
    <d v="2016-12-15T00:00:00"/>
    <s v="20"/>
    <s v="TAN"/>
    <s v="OR"/>
    <d v="2016-12-12T00:00:00"/>
    <s v="NE"/>
    <s v="US"/>
    <s v="ZR"/>
    <d v="2016-12-12T00:00:00"/>
  </r>
  <r>
    <x v="1"/>
    <x v="2"/>
    <x v="2711"/>
    <x v="6"/>
    <s v="Standard order"/>
    <x v="2589"/>
    <x v="2275"/>
    <s v="64SN"/>
    <s v="BTS 64SN"/>
    <s v="5002422"/>
    <s v="64SN BTS T20 PB SYSTIVA P50"/>
    <n v="4"/>
    <n v="0"/>
    <n v="4"/>
    <x v="2"/>
    <s v="DVNB"/>
    <s v="PRO 50"/>
    <s v="322"/>
    <s v="4.0 UN"/>
    <s v="STANDARD"/>
    <s v="N"/>
    <s v="N"/>
    <s v="N"/>
    <s v="T20"/>
    <s v="Y"/>
    <s v="N"/>
    <s v="Y"/>
    <s v="N"/>
    <s v="B025"/>
    <d v="2016-12-15T00:00:00"/>
    <s v="30"/>
    <s v="TAN"/>
    <s v="OR"/>
    <d v="2016-12-12T00:00:00"/>
    <s v="NE"/>
    <s v="US"/>
    <s v="ZR"/>
    <d v="2016-12-12T00:00:00"/>
  </r>
  <r>
    <x v="1"/>
    <x v="4"/>
    <x v="2712"/>
    <x v="47"/>
    <s v="Standard order"/>
    <x v="2590"/>
    <x v="2276"/>
    <s v="2523"/>
    <s v="BTS 2523"/>
    <s v="5002529"/>
    <s v="2523 BTS PB XL"/>
    <n v="84"/>
    <n v="0"/>
    <n v="84"/>
    <x v="4"/>
    <s v="EZPC"/>
    <s v="X-LARGE"/>
    <s v="307"/>
    <s v="4.0 UN"/>
    <s v="STANDARD"/>
    <s v="N"/>
    <s v="Y"/>
    <s v="N"/>
    <s v="N"/>
    <s v="N"/>
    <s v="N"/>
    <s v="N"/>
    <s v="N"/>
    <s v="B050"/>
    <d v="2016-12-15T00:00:00"/>
    <s v="10"/>
    <s v="TAN"/>
    <s v="OR"/>
    <d v="2016-12-12T00:00:00"/>
    <s v="ID"/>
    <s v="US"/>
    <s v="ZR"/>
    <d v="2016-12-12T00:00:00"/>
  </r>
  <r>
    <x v="1"/>
    <x v="4"/>
    <x v="2712"/>
    <x v="47"/>
    <s v="Standard order"/>
    <x v="2590"/>
    <x v="2276"/>
    <s v="2570"/>
    <s v="BTS 2570"/>
    <s v="5002555"/>
    <s v="2570 BTS PB XL"/>
    <n v="52"/>
    <n v="0"/>
    <n v="52"/>
    <x v="4"/>
    <s v="EZNS"/>
    <s v="X-LARGE"/>
    <s v="307"/>
    <s v="4.0 UN"/>
    <s v="STANDARD"/>
    <s v="N"/>
    <s v="Y"/>
    <s v="N"/>
    <s v="N"/>
    <s v="N"/>
    <s v="N"/>
    <s v="N"/>
    <s v="N"/>
    <s v="B050"/>
    <d v="2016-12-15T00:00:00"/>
    <s v="20"/>
    <s v="TAN"/>
    <s v="OR"/>
    <d v="2016-12-12T00:00:00"/>
    <s v="ID"/>
    <s v="US"/>
    <s v="ZR"/>
    <d v="2016-12-12T00:00:00"/>
  </r>
  <r>
    <x v="1"/>
    <x v="2"/>
    <x v="2713"/>
    <x v="3"/>
    <s v="Standard order"/>
    <x v="2591"/>
    <x v="603"/>
    <s v="64SN"/>
    <s v="BTS 64SN"/>
    <s v="5002420"/>
    <s v="64SN BTS T20 PB SYSTIVA P100"/>
    <n v="64"/>
    <n v="0"/>
    <n v="64"/>
    <x v="2"/>
    <s v="DVNB"/>
    <s v="PRO 100"/>
    <s v="322"/>
    <s v="4.0 UN"/>
    <s v="STANDARD"/>
    <s v="N"/>
    <s v="N"/>
    <s v="N"/>
    <s v="T20"/>
    <s v="Y"/>
    <s v="N"/>
    <s v="Y"/>
    <s v="N"/>
    <s v="B024"/>
    <d v="2016-12-15T00:00:00"/>
    <s v="10"/>
    <s v="TAN"/>
    <s v="OR"/>
    <d v="2016-12-12T00:00:00"/>
    <s v="NE"/>
    <s v="US"/>
    <s v="ZR"/>
    <d v="2016-12-12T00:00:00"/>
  </r>
  <r>
    <x v="1"/>
    <x v="2"/>
    <x v="2713"/>
    <x v="3"/>
    <s v="Standard order"/>
    <x v="2591"/>
    <x v="603"/>
    <s v="6027"/>
    <s v="BTS 60RR27"/>
    <s v="5002645"/>
    <s v="6027 BTS T20 PB SYSTIVA P100 WSS"/>
    <n v="96"/>
    <n v="0"/>
    <n v="96"/>
    <x v="2"/>
    <s v="APMC"/>
    <s v="PRO 100"/>
    <s v="322"/>
    <s v="4.0 UN"/>
    <s v="STANDARD"/>
    <s v="N"/>
    <s v="N"/>
    <s v="N"/>
    <s v="T20"/>
    <s v="Y"/>
    <s v="N"/>
    <s v="Y"/>
    <s v="N"/>
    <s v="B024"/>
    <d v="2016-12-15T00:00:00"/>
    <s v="20"/>
    <s v="TAN"/>
    <s v="OR"/>
    <d v="2016-12-12T00:00:00"/>
    <s v="NE"/>
    <s v="US"/>
    <s v="ZR"/>
    <d v="2016-12-12T00:00:00"/>
  </r>
  <r>
    <x v="1"/>
    <x v="4"/>
    <x v="2714"/>
    <x v="52"/>
    <s v="Standard order"/>
    <x v="2592"/>
    <x v="2277"/>
    <s v="2720"/>
    <s v="BTS 27RR20"/>
    <s v="5002134"/>
    <s v="2720 BTS PB LRG"/>
    <n v="36"/>
    <n v="0"/>
    <n v="36"/>
    <x v="4"/>
    <s v="4GAY"/>
    <s v="LARGE"/>
    <s v="307"/>
    <s v="4.0 UN"/>
    <s v="STANDARD"/>
    <s v="N"/>
    <s v="Y"/>
    <s v="N"/>
    <s v="N"/>
    <s v="N"/>
    <s v="N"/>
    <s v="N"/>
    <s v="N"/>
    <s v="B048"/>
    <d v="2016-12-15T00:00:00"/>
    <s v="10"/>
    <s v="TAN"/>
    <s v="OR"/>
    <d v="2016-12-12T00:00:00"/>
    <s v="ID"/>
    <s v="US"/>
    <s v="ZR"/>
    <d v="2016-12-12T00:00:00"/>
  </r>
  <r>
    <x v="1"/>
    <x v="0"/>
    <x v="2715"/>
    <x v="42"/>
    <s v="Standard order"/>
    <x v="2593"/>
    <x v="2278"/>
    <s v="1399"/>
    <s v="BTS 1399"/>
    <s v="5002348"/>
    <s v="1399 BTS T20 Kabina RP"/>
    <n v="100"/>
    <n v="0"/>
    <n v="100"/>
    <x v="0"/>
    <s v="EG74"/>
    <s v="RP"/>
    <s v="380"/>
    <s v="4.0 UN"/>
    <s v="STANDARD"/>
    <s v="N"/>
    <s v="N"/>
    <s v="Y"/>
    <s v="T20"/>
    <s v="N"/>
    <s v="N"/>
    <s v="N"/>
    <s v="N"/>
    <s v="B007"/>
    <d v="2016-12-15T00:00:00"/>
    <s v="10"/>
    <s v="TAN"/>
    <s v="OR"/>
    <d v="2016-12-12T00:00:00"/>
    <s v="MI"/>
    <s v="US"/>
    <s v="ZR"/>
    <d v="2016-12-12T00:00:00"/>
  </r>
  <r>
    <x v="1"/>
    <x v="0"/>
    <x v="2716"/>
    <x v="30"/>
    <s v="Standard order"/>
    <x v="2594"/>
    <x v="666"/>
    <s v="1399"/>
    <s v="BTS 1399"/>
    <s v="5002348"/>
    <s v="1399 BTS T20 Kabina RP"/>
    <n v="8"/>
    <n v="0"/>
    <n v="8"/>
    <x v="0"/>
    <s v="EG74"/>
    <s v="RP"/>
    <s v="380"/>
    <s v="4.0 UN"/>
    <s v="STANDARD"/>
    <s v="N"/>
    <s v="N"/>
    <s v="Y"/>
    <s v="T20"/>
    <s v="N"/>
    <s v="N"/>
    <s v="N"/>
    <s v="N"/>
    <s v="B001"/>
    <d v="2016-12-15T00:00:00"/>
    <s v="10"/>
    <s v="TAN"/>
    <s v="OR"/>
    <d v="2016-12-12T00:00:00"/>
    <s v="MI"/>
    <s v="US"/>
    <s v="ZR"/>
    <d v="2016-12-12T00:00:00"/>
  </r>
  <r>
    <x v="1"/>
    <x v="2"/>
    <x v="2717"/>
    <x v="25"/>
    <s v="Standard order"/>
    <x v="2595"/>
    <x v="606"/>
    <s v="64SN"/>
    <s v="BTS 64SN"/>
    <s v="5002420"/>
    <s v="64SN BTS T20 PB SYSTIVA P100"/>
    <n v="36"/>
    <n v="0"/>
    <n v="36"/>
    <x v="2"/>
    <s v="DVNB"/>
    <s v="PRO 100"/>
    <s v="322"/>
    <s v="4.0 UN"/>
    <s v="STANDARD"/>
    <s v="N"/>
    <s v="N"/>
    <s v="N"/>
    <s v="T20"/>
    <s v="Y"/>
    <s v="N"/>
    <s v="Y"/>
    <s v="N"/>
    <s v="B021"/>
    <d v="2016-12-15T00:00:00"/>
    <s v="10"/>
    <s v="TAN"/>
    <s v="OR"/>
    <d v="2016-12-12T00:00:00"/>
    <s v="CO"/>
    <s v="US"/>
    <s v="ZR"/>
    <d v="2016-12-12T00:00:00"/>
  </r>
  <r>
    <x v="1"/>
    <x v="2"/>
    <x v="2717"/>
    <x v="25"/>
    <s v="Standard order"/>
    <x v="2595"/>
    <x v="606"/>
    <s v="628N"/>
    <s v="BTS 62RR8N"/>
    <s v="5002683"/>
    <s v="628N BTS T20 PB SYSTIVA P100"/>
    <n v="28"/>
    <n v="0"/>
    <n v="28"/>
    <x v="2"/>
    <s v="BL73"/>
    <s v="PRO 100"/>
    <s v="322"/>
    <s v="4.0 UN"/>
    <s v="STANDARD"/>
    <s v="N"/>
    <s v="N"/>
    <s v="N"/>
    <s v="T20"/>
    <s v="Y"/>
    <s v="N"/>
    <s v="Y"/>
    <s v="N"/>
    <s v="B021"/>
    <d v="2016-12-15T00:00:00"/>
    <s v="20"/>
    <s v="TAN"/>
    <s v="OR"/>
    <d v="2016-12-12T00:00:00"/>
    <s v="CO"/>
    <s v="US"/>
    <s v="ZR"/>
    <d v="2016-12-12T00:00:00"/>
  </r>
  <r>
    <x v="1"/>
    <x v="2"/>
    <x v="2718"/>
    <x v="3"/>
    <s v="Standard order"/>
    <x v="2596"/>
    <x v="634"/>
    <s v="6027"/>
    <s v="BTS 60RR27"/>
    <s v="5002646"/>
    <s v="6027 BTS T20 PB SYSTIVA P200 WSS"/>
    <n v="56"/>
    <n v="0"/>
    <n v="56"/>
    <x v="2"/>
    <s v="APMC"/>
    <s v="PRO 200"/>
    <s v="322"/>
    <s v="4.0 UN"/>
    <s v="STANDARD"/>
    <s v="N"/>
    <s v="N"/>
    <s v="N"/>
    <s v="T20"/>
    <s v="Y"/>
    <s v="N"/>
    <s v="Y"/>
    <s v="N"/>
    <s v="B024"/>
    <d v="2016-12-15T00:00:00"/>
    <s v="10"/>
    <s v="TAN"/>
    <s v="OR"/>
    <d v="2016-12-12T00:00:00"/>
    <s v="NE"/>
    <s v="US"/>
    <s v="ZR"/>
    <d v="2016-12-12T00:00:00"/>
  </r>
  <r>
    <x v="1"/>
    <x v="2"/>
    <x v="2718"/>
    <x v="3"/>
    <s v="Standard order"/>
    <x v="2596"/>
    <x v="634"/>
    <s v="64SN"/>
    <s v="BTS 64SN"/>
    <s v="5002421"/>
    <s v="64SN BTS T20 PB SYSTIVA P200"/>
    <n v="124"/>
    <n v="0"/>
    <n v="124"/>
    <x v="2"/>
    <s v="DVNB"/>
    <s v="PRO 200"/>
    <s v="322"/>
    <s v="4.0 UN"/>
    <s v="STANDARD"/>
    <s v="N"/>
    <s v="N"/>
    <s v="N"/>
    <s v="T20"/>
    <s v="Y"/>
    <s v="N"/>
    <s v="Y"/>
    <s v="N"/>
    <s v="B024"/>
    <d v="2016-12-15T00:00:00"/>
    <s v="20"/>
    <s v="TAN"/>
    <s v="OR"/>
    <d v="2016-12-12T00:00:00"/>
    <s v="NE"/>
    <s v="US"/>
    <s v="ZR"/>
    <d v="2016-12-12T00:00:00"/>
  </r>
  <r>
    <x v="1"/>
    <x v="2"/>
    <x v="2719"/>
    <x v="6"/>
    <s v="Standard order"/>
    <x v="2597"/>
    <x v="609"/>
    <s v="64SN"/>
    <s v="BTS 64SN"/>
    <s v="5002420"/>
    <s v="64SN BTS T20 PB SYSTIVA P100"/>
    <n v="40"/>
    <n v="0"/>
    <n v="40"/>
    <x v="2"/>
    <s v="DVNB"/>
    <s v="PRO 100"/>
    <s v="322"/>
    <s v="4.0 UN"/>
    <s v="STANDARD"/>
    <s v="N"/>
    <s v="N"/>
    <s v="N"/>
    <s v="T20"/>
    <s v="Y"/>
    <s v="N"/>
    <s v="Y"/>
    <s v="N"/>
    <s v="B025"/>
    <d v="2016-12-15T00:00:00"/>
    <s v="10"/>
    <s v="TAN"/>
    <s v="OR"/>
    <d v="2016-12-12T00:00:00"/>
    <s v="NE"/>
    <s v="US"/>
    <s v="ZR"/>
    <d v="2016-12-12T00:00:00"/>
  </r>
  <r>
    <x v="1"/>
    <x v="2"/>
    <x v="2719"/>
    <x v="6"/>
    <s v="Standard order"/>
    <x v="2597"/>
    <x v="609"/>
    <s v="6027"/>
    <s v="BTS 60RR27"/>
    <s v="5002645"/>
    <s v="6027 BTS T20 PB SYSTIVA P100 WSS"/>
    <n v="24"/>
    <n v="0"/>
    <n v="24"/>
    <x v="2"/>
    <s v="APMC"/>
    <s v="PRO 100"/>
    <s v="322"/>
    <s v="4.0 UN"/>
    <s v="STANDARD"/>
    <s v="N"/>
    <s v="N"/>
    <s v="N"/>
    <s v="T20"/>
    <s v="Y"/>
    <s v="N"/>
    <s v="Y"/>
    <s v="N"/>
    <s v="B025"/>
    <d v="2016-12-15T00:00:00"/>
    <s v="20"/>
    <s v="TAN"/>
    <s v="OR"/>
    <d v="2016-12-12T00:00:00"/>
    <s v="NE"/>
    <s v="US"/>
    <s v="ZR"/>
    <d v="2016-12-12T00:00:00"/>
  </r>
  <r>
    <x v="1"/>
    <x v="2"/>
    <x v="2719"/>
    <x v="6"/>
    <s v="Standard order"/>
    <x v="2597"/>
    <x v="609"/>
    <s v="628N"/>
    <s v="BTS 62RR8N"/>
    <s v="5002683"/>
    <s v="628N BTS T20 PB SYSTIVA P100"/>
    <n v="24"/>
    <n v="0"/>
    <n v="24"/>
    <x v="2"/>
    <s v="BL73"/>
    <s v="PRO 100"/>
    <s v="322"/>
    <s v="4.0 UN"/>
    <s v="STANDARD"/>
    <s v="N"/>
    <s v="N"/>
    <s v="N"/>
    <s v="T20"/>
    <s v="Y"/>
    <s v="N"/>
    <s v="Y"/>
    <s v="N"/>
    <s v="B025"/>
    <d v="2016-12-15T00:00:00"/>
    <s v="30"/>
    <s v="TAN"/>
    <s v="OR"/>
    <d v="2016-12-12T00:00:00"/>
    <s v="NE"/>
    <s v="US"/>
    <s v="ZR"/>
    <d v="2016-12-12T00:00:00"/>
  </r>
  <r>
    <x v="1"/>
    <x v="0"/>
    <x v="2720"/>
    <x v="29"/>
    <s v="Standard order"/>
    <x v="2598"/>
    <x v="2279"/>
    <s v="122N"/>
    <s v="BTS 12RR2N"/>
    <s v="5002310"/>
    <s v="122N BTS T20 Kabina P200"/>
    <n v="32"/>
    <n v="0"/>
    <n v="32"/>
    <x v="0"/>
    <s v="4TBG"/>
    <s v="PRO 200"/>
    <s v="380"/>
    <s v="4.0 UN"/>
    <s v="STANDARD"/>
    <s v="N"/>
    <s v="N"/>
    <s v="Y"/>
    <s v="T20"/>
    <s v="N"/>
    <s v="N"/>
    <s v="N"/>
    <s v="N"/>
    <s v="B005"/>
    <d v="2016-12-15T00:00:00"/>
    <s v="10"/>
    <s v="TAN"/>
    <s v="OR"/>
    <d v="2016-12-12T00:00:00"/>
    <s v="MI"/>
    <s v="US"/>
    <s v="ZR"/>
    <d v="2016-12-12T00:00:00"/>
  </r>
  <r>
    <x v="1"/>
    <x v="0"/>
    <x v="2721"/>
    <x v="43"/>
    <s v="Standard order"/>
    <x v="2599"/>
    <x v="2280"/>
    <s v="122N"/>
    <s v="BTS 12RR2N"/>
    <s v="5002311"/>
    <s v="122N BTS T20 Kabina RP"/>
    <n v="24"/>
    <n v="0"/>
    <n v="24"/>
    <x v="0"/>
    <s v="4TBG"/>
    <s v="RP"/>
    <s v="380"/>
    <s v="4.0 UN"/>
    <s v="STANDARD"/>
    <s v="N"/>
    <s v="N"/>
    <s v="Y"/>
    <s v="T20"/>
    <s v="N"/>
    <s v="N"/>
    <s v="N"/>
    <s v="N"/>
    <s v="B006"/>
    <d v="2016-12-15T00:00:00"/>
    <s v="10"/>
    <s v="TAN"/>
    <s v="OR"/>
    <d v="2016-12-12T00:00:00"/>
    <s v="MI"/>
    <s v="US"/>
    <s v="ZR"/>
    <d v="2016-12-12T00:00:00"/>
  </r>
  <r>
    <x v="1"/>
    <x v="0"/>
    <x v="2721"/>
    <x v="43"/>
    <s v="Standard order"/>
    <x v="2599"/>
    <x v="2280"/>
    <s v="133N"/>
    <s v="BTS 133N"/>
    <s v="5002329"/>
    <s v="133N BTS T20 Kabina RP"/>
    <n v="40"/>
    <n v="0"/>
    <n v="40"/>
    <x v="0"/>
    <s v="DW73"/>
    <s v="RP"/>
    <s v="380"/>
    <s v="4.0 UN"/>
    <s v="STANDARD"/>
    <s v="N"/>
    <s v="N"/>
    <s v="Y"/>
    <s v="T20"/>
    <s v="N"/>
    <s v="N"/>
    <s v="N"/>
    <s v="N"/>
    <s v="B006"/>
    <d v="2016-12-15T00:00:00"/>
    <s v="20"/>
    <s v="TAN"/>
    <s v="OR"/>
    <d v="2016-12-12T00:00:00"/>
    <s v="MI"/>
    <s v="US"/>
    <s v="ZR"/>
    <d v="2016-12-12T00:00:00"/>
  </r>
  <r>
    <x v="1"/>
    <x v="0"/>
    <x v="2721"/>
    <x v="43"/>
    <s v="Standard order"/>
    <x v="2599"/>
    <x v="2280"/>
    <s v="149N"/>
    <s v="BTS 149N"/>
    <s v="5002368"/>
    <s v="149N BTS T20 Kabina RP"/>
    <n v="36"/>
    <n v="0"/>
    <n v="36"/>
    <x v="0"/>
    <s v="EEND"/>
    <s v="RP"/>
    <s v="380"/>
    <s v="4.0 UN"/>
    <s v="STANDARD"/>
    <s v="N"/>
    <s v="N"/>
    <s v="Y"/>
    <s v="T20"/>
    <s v="N"/>
    <s v="N"/>
    <s v="N"/>
    <s v="N"/>
    <s v="B006"/>
    <d v="2016-12-15T00:00:00"/>
    <s v="30"/>
    <s v="TAN"/>
    <s v="OR"/>
    <d v="2016-12-12T00:00:00"/>
    <s v="MI"/>
    <s v="US"/>
    <s v="ZR"/>
    <d v="2016-12-12T00:00:00"/>
  </r>
  <r>
    <x v="1"/>
    <x v="2"/>
    <x v="2722"/>
    <x v="3"/>
    <s v="Standard order"/>
    <x v="2600"/>
    <x v="588"/>
    <s v="64SN"/>
    <s v="BTS 64SN"/>
    <s v="5002420"/>
    <s v="64SN BTS T20 PB SYSTIVA P100"/>
    <n v="16"/>
    <n v="0"/>
    <n v="16"/>
    <x v="2"/>
    <s v="DVNB"/>
    <s v="PRO 100"/>
    <s v="322"/>
    <s v="4.0 UN"/>
    <s v="STANDARD"/>
    <s v="N"/>
    <s v="N"/>
    <s v="N"/>
    <s v="T20"/>
    <s v="Y"/>
    <s v="N"/>
    <s v="Y"/>
    <s v="N"/>
    <s v="B024"/>
    <d v="2016-12-15T00:00:00"/>
    <s v="10"/>
    <s v="TAN"/>
    <s v="OR"/>
    <d v="2016-12-12T00:00:00"/>
    <s v="NE"/>
    <s v="US"/>
    <s v="ZR"/>
    <d v="2016-12-12T00:00:00"/>
  </r>
  <r>
    <x v="1"/>
    <x v="2"/>
    <x v="2722"/>
    <x v="3"/>
    <s v="Standard order"/>
    <x v="2600"/>
    <x v="588"/>
    <s v="628N"/>
    <s v="BTS 62RR8N"/>
    <s v="5002683"/>
    <s v="628N BTS T20 PB SYSTIVA P100"/>
    <n v="76"/>
    <n v="0"/>
    <n v="76"/>
    <x v="2"/>
    <s v="BL73"/>
    <s v="PRO 100"/>
    <s v="322"/>
    <s v="4.0 UN"/>
    <s v="STANDARD"/>
    <s v="N"/>
    <s v="N"/>
    <s v="N"/>
    <s v="T20"/>
    <s v="Y"/>
    <s v="N"/>
    <s v="Y"/>
    <s v="N"/>
    <s v="B024"/>
    <d v="2016-12-15T00:00:00"/>
    <s v="20"/>
    <s v="TAN"/>
    <s v="OR"/>
    <d v="2016-12-12T00:00:00"/>
    <s v="NE"/>
    <s v="US"/>
    <s v="ZR"/>
    <d v="2016-12-12T00:00:00"/>
  </r>
  <r>
    <x v="1"/>
    <x v="2"/>
    <x v="2723"/>
    <x v="5"/>
    <s v="Standard order"/>
    <x v="2601"/>
    <x v="614"/>
    <s v="64SN"/>
    <s v="BTS 64SN"/>
    <s v="5002421"/>
    <s v="64SN BTS T20 PB SYSTIVA P200"/>
    <n v="32"/>
    <n v="0"/>
    <n v="32"/>
    <x v="2"/>
    <s v="DVNB"/>
    <s v="PRO 200"/>
    <s v="322"/>
    <s v="4.0 UN"/>
    <s v="STANDARD"/>
    <s v="N"/>
    <s v="N"/>
    <s v="N"/>
    <s v="T20"/>
    <s v="Y"/>
    <s v="N"/>
    <s v="Y"/>
    <s v="N"/>
    <s v="B020"/>
    <d v="2016-12-15T00:00:00"/>
    <s v="10"/>
    <s v="TAN"/>
    <s v="OR"/>
    <d v="2016-12-12T00:00:00"/>
    <s v="CO"/>
    <s v="US"/>
    <s v="ZR"/>
    <d v="2016-12-12T00:00:00"/>
  </r>
  <r>
    <x v="1"/>
    <x v="2"/>
    <x v="2723"/>
    <x v="5"/>
    <s v="Standard order"/>
    <x v="2601"/>
    <x v="614"/>
    <s v="630N"/>
    <s v="BTS 630N"/>
    <s v="5002403"/>
    <s v="630N BTS T20 PB SYSTIVA P200"/>
    <n v="32"/>
    <n v="0"/>
    <n v="32"/>
    <x v="2"/>
    <s v="DW73"/>
    <s v="PRO 200"/>
    <s v="322"/>
    <s v="4.0 UN"/>
    <s v="STANDARD"/>
    <s v="N"/>
    <s v="N"/>
    <s v="N"/>
    <s v="T20"/>
    <s v="Y"/>
    <s v="N"/>
    <s v="Y"/>
    <s v="N"/>
    <s v="B020"/>
    <d v="2016-12-15T00:00:00"/>
    <s v="20"/>
    <s v="TAN"/>
    <s v="OR"/>
    <d v="2016-12-12T00:00:00"/>
    <s v="CO"/>
    <s v="US"/>
    <s v="ZR"/>
    <d v="2016-12-12T00:00:00"/>
  </r>
  <r>
    <x v="1"/>
    <x v="5"/>
    <x v="2724"/>
    <x v="21"/>
    <s v="Standard order"/>
    <x v="2602"/>
    <x v="2281"/>
    <s v="336N"/>
    <s v="BTS 336N"/>
    <s v="5002400"/>
    <s v="336N BTS T20 PB SYSTIVA RP"/>
    <n v="36"/>
    <n v="0"/>
    <n v="36"/>
    <x v="5"/>
    <s v="EEMG"/>
    <s v="RP"/>
    <s v="322"/>
    <s v="4.0 UN"/>
    <s v="STANDARD"/>
    <s v="N"/>
    <s v="N"/>
    <s v="N"/>
    <s v="T20"/>
    <s v="Y"/>
    <s v="N"/>
    <s v="N"/>
    <s v="N"/>
    <s v="B013"/>
    <d v="2016-12-15T00:00:00"/>
    <s v="10"/>
    <s v="TAN"/>
    <s v="OR"/>
    <d v="2016-12-12T00:00:00"/>
    <s v="MT"/>
    <s v="US"/>
    <s v="ZR"/>
    <d v="2016-12-12T00:00:00"/>
  </r>
  <r>
    <x v="1"/>
    <x v="2"/>
    <x v="2725"/>
    <x v="5"/>
    <s v="Standard order"/>
    <x v="2603"/>
    <x v="628"/>
    <s v="64SN"/>
    <s v="BTS 64SN"/>
    <s v="5002420"/>
    <s v="64SN BTS T20 PB SYSTIVA P100"/>
    <n v="32"/>
    <n v="0"/>
    <n v="32"/>
    <x v="2"/>
    <s v="DVNB"/>
    <s v="PRO 100"/>
    <s v="322"/>
    <s v="4.0 UN"/>
    <s v="STANDARD"/>
    <s v="N"/>
    <s v="N"/>
    <s v="N"/>
    <s v="T20"/>
    <s v="Y"/>
    <s v="N"/>
    <s v="Y"/>
    <s v="N"/>
    <s v="B020"/>
    <d v="2016-12-15T00:00:00"/>
    <s v="10"/>
    <s v="TAN"/>
    <s v="OR"/>
    <d v="2016-12-12T00:00:00"/>
    <s v="CO"/>
    <s v="US"/>
    <s v="ZR"/>
    <d v="2016-12-12T00:00:00"/>
  </r>
  <r>
    <x v="1"/>
    <x v="4"/>
    <x v="2726"/>
    <x v="46"/>
    <s v="Standard order"/>
    <x v="2604"/>
    <x v="2282"/>
    <s v="2559"/>
    <s v="BTS 2559"/>
    <s v="5002563"/>
    <s v="2559 BTS PB XL"/>
    <n v="136"/>
    <n v="0"/>
    <n v="136"/>
    <x v="4"/>
    <s v="FGNE"/>
    <s v="X-LARGE"/>
    <s v="307"/>
    <s v="4.0 UN"/>
    <s v="STANDARD"/>
    <s v="N"/>
    <s v="Y"/>
    <s v="N"/>
    <s v="N"/>
    <s v="N"/>
    <s v="N"/>
    <s v="N"/>
    <s v="N"/>
    <s v="B049"/>
    <d v="2016-12-15T00:00:00"/>
    <s v="10"/>
    <s v="TAN"/>
    <s v="OR"/>
    <d v="2016-12-12T00:00:00"/>
    <s v="ID"/>
    <s v="US"/>
    <s v="ZR"/>
    <d v="2016-12-12T00:00:00"/>
  </r>
  <r>
    <x v="1"/>
    <x v="4"/>
    <x v="2726"/>
    <x v="46"/>
    <s v="Standard order"/>
    <x v="2604"/>
    <x v="2282"/>
    <s v="251N"/>
    <s v="BTS 251N"/>
    <s v="5002505"/>
    <s v="251N BTS PB Kabina XL"/>
    <n v="160"/>
    <n v="0"/>
    <n v="160"/>
    <x v="4"/>
    <s v="5HBR"/>
    <s v="X-LARGE"/>
    <s v="384"/>
    <s v="4.0 UN"/>
    <s v="STANDARD"/>
    <s v="N"/>
    <s v="Y"/>
    <s v="Y"/>
    <s v="N"/>
    <s v="N"/>
    <s v="N"/>
    <s v="N"/>
    <s v="N"/>
    <s v="B049"/>
    <d v="2016-12-15T00:00:00"/>
    <s v="20"/>
    <s v="TAN"/>
    <s v="OR"/>
    <d v="2016-12-12T00:00:00"/>
    <s v="ID"/>
    <s v="US"/>
    <s v="ZR"/>
    <d v="2016-12-12T00:00:00"/>
  </r>
  <r>
    <x v="1"/>
    <x v="4"/>
    <x v="2726"/>
    <x v="46"/>
    <s v="Standard order"/>
    <x v="2604"/>
    <x v="2282"/>
    <s v="2523"/>
    <s v="BTS 2523"/>
    <s v="5002529"/>
    <s v="2523 BTS PB XL"/>
    <n v="104"/>
    <n v="0"/>
    <n v="104"/>
    <x v="4"/>
    <s v="EZPC"/>
    <s v="X-LARGE"/>
    <s v="307"/>
    <s v="4.0 UN"/>
    <s v="STANDARD"/>
    <s v="N"/>
    <s v="Y"/>
    <s v="N"/>
    <s v="N"/>
    <s v="N"/>
    <s v="N"/>
    <s v="N"/>
    <s v="N"/>
    <s v="B049"/>
    <d v="2016-12-15T00:00:00"/>
    <s v="40"/>
    <s v="TAN"/>
    <s v="OR"/>
    <d v="2016-12-12T00:00:00"/>
    <s v="ID"/>
    <s v="US"/>
    <s v="ZR"/>
    <d v="2016-12-12T00:00:00"/>
  </r>
  <r>
    <x v="1"/>
    <x v="0"/>
    <x v="2727"/>
    <x v="45"/>
    <s v="Standard order"/>
    <x v="2605"/>
    <x v="2283"/>
    <s v="1399"/>
    <s v="BTS 1399"/>
    <s v="5002347"/>
    <s v="1399 BTS T20 Kabina P200"/>
    <n v="80"/>
    <n v="0"/>
    <n v="80"/>
    <x v="0"/>
    <s v="EG74"/>
    <s v="PRO 200"/>
    <s v="380"/>
    <s v="4.0 UN"/>
    <s v="STANDARD"/>
    <s v="N"/>
    <s v="N"/>
    <s v="Y"/>
    <s v="T20"/>
    <s v="N"/>
    <s v="N"/>
    <s v="N"/>
    <s v="N"/>
    <s v="B003"/>
    <d v="2016-12-15T00:00:00"/>
    <s v="10"/>
    <s v="TAN"/>
    <s v="OR"/>
    <d v="2016-12-12T00:00:00"/>
    <s v="MI"/>
    <s v="US"/>
    <s v="ZR"/>
    <d v="2016-12-12T00:00:00"/>
  </r>
  <r>
    <x v="1"/>
    <x v="0"/>
    <x v="2727"/>
    <x v="45"/>
    <s v="Standard order"/>
    <x v="2605"/>
    <x v="2283"/>
    <s v="149N"/>
    <s v="BTS 149N"/>
    <s v="5002367"/>
    <s v="149N BTS T20 Kabina P200"/>
    <n v="24"/>
    <n v="0"/>
    <n v="24"/>
    <x v="0"/>
    <s v="EEND"/>
    <s v="PRO 200"/>
    <s v="380"/>
    <s v="4.0 UN"/>
    <s v="STANDARD"/>
    <s v="N"/>
    <s v="N"/>
    <s v="Y"/>
    <s v="T20"/>
    <s v="N"/>
    <s v="N"/>
    <s v="N"/>
    <s v="N"/>
    <s v="B003"/>
    <d v="2016-12-15T00:00:00"/>
    <s v="20"/>
    <s v="TAN"/>
    <s v="OR"/>
    <d v="2016-12-12T00:00:00"/>
    <s v="MI"/>
    <s v="US"/>
    <s v="ZR"/>
    <d v="2016-12-12T00:00:00"/>
  </r>
  <r>
    <x v="1"/>
    <x v="6"/>
    <x v="2728"/>
    <x v="51"/>
    <s v="Standard order"/>
    <x v="2606"/>
    <x v="2284"/>
    <s v="459N"/>
    <s v="BTS 459N"/>
    <s v="5002256"/>
    <s v="459N BTS T20 PB SYSTIVA P100"/>
    <n v="48"/>
    <n v="0"/>
    <n v="48"/>
    <x v="6"/>
    <s v="DVNU"/>
    <s v="PRO 100"/>
    <s v="322"/>
    <s v="4.0 UN"/>
    <s v="STANDARD"/>
    <s v="N"/>
    <s v="N"/>
    <s v="N"/>
    <s v="T20"/>
    <s v="Y"/>
    <s v="N"/>
    <s v="Y"/>
    <s v="N"/>
    <s v="B011"/>
    <d v="2016-12-15T00:00:00"/>
    <s v="10"/>
    <s v="TAN"/>
    <s v="OR"/>
    <d v="2016-12-12T00:00:00"/>
    <s v="MT"/>
    <s v="US"/>
    <s v="ZR"/>
    <d v="2016-12-12T00:00:00"/>
  </r>
  <r>
    <x v="1"/>
    <x v="6"/>
    <x v="2728"/>
    <x v="51"/>
    <s v="Standard order"/>
    <x v="2606"/>
    <x v="2284"/>
    <s v="444N"/>
    <s v="BTS 444N"/>
    <s v="5002226"/>
    <s v="444N BTS T20 PB SYSTIVA P100"/>
    <n v="16"/>
    <n v="0"/>
    <n v="16"/>
    <x v="6"/>
    <s v="DVND"/>
    <s v="PRO 100"/>
    <s v="322"/>
    <s v="4.0 UN"/>
    <s v="STANDARD"/>
    <s v="N"/>
    <s v="N"/>
    <s v="N"/>
    <s v="T20"/>
    <s v="Y"/>
    <s v="N"/>
    <s v="Y"/>
    <s v="N"/>
    <s v="B011"/>
    <d v="2016-12-15T00:00:00"/>
    <s v="20"/>
    <s v="TAN"/>
    <s v="OR"/>
    <d v="2016-12-12T00:00:00"/>
    <s v="MT"/>
    <s v="US"/>
    <s v="ZR"/>
    <d v="2016-12-12T00:00:00"/>
  </r>
  <r>
    <x v="1"/>
    <x v="6"/>
    <x v="2728"/>
    <x v="51"/>
    <s v="Standard order"/>
    <x v="2606"/>
    <x v="2284"/>
    <s v="4548"/>
    <s v="BTS 4548"/>
    <s v="5002244"/>
    <s v="4548 BTS T20 PB SYSTIVA P100"/>
    <n v="12"/>
    <n v="0"/>
    <n v="12"/>
    <x v="6"/>
    <s v="FENR"/>
    <s v="PRO 100"/>
    <s v="322"/>
    <s v="4.0 UN"/>
    <s v="STANDARD"/>
    <s v="N"/>
    <s v="N"/>
    <s v="N"/>
    <s v="T20"/>
    <s v="Y"/>
    <s v="N"/>
    <s v="Y"/>
    <s v="N"/>
    <s v="B011"/>
    <d v="2016-12-15T00:00:00"/>
    <s v="30"/>
    <s v="TAN"/>
    <s v="OR"/>
    <d v="2016-12-12T00:00:00"/>
    <s v="MT"/>
    <s v="US"/>
    <s v="ZR"/>
    <d v="2016-12-12T00:00:00"/>
  </r>
  <r>
    <x v="1"/>
    <x v="5"/>
    <x v="2729"/>
    <x v="21"/>
    <s v="Standard order"/>
    <x v="2607"/>
    <x v="2285"/>
    <s v="336N"/>
    <s v="BTS 336N"/>
    <s v="5002400"/>
    <s v="336N BTS T20 PB SYSTIVA RP"/>
    <n v="20"/>
    <n v="0"/>
    <n v="20"/>
    <x v="5"/>
    <s v="EEMG"/>
    <s v="RP"/>
    <s v="322"/>
    <s v="4.0 UN"/>
    <s v="STANDARD"/>
    <s v="N"/>
    <s v="N"/>
    <s v="N"/>
    <s v="T20"/>
    <s v="Y"/>
    <s v="N"/>
    <s v="N"/>
    <s v="N"/>
    <s v="B013"/>
    <d v="2016-12-15T00:00:00"/>
    <s v="10"/>
    <s v="TAN"/>
    <s v="OR"/>
    <d v="2016-12-12T00:00:00"/>
    <s v="MT"/>
    <s v="US"/>
    <s v="ZR"/>
    <d v="2016-12-12T00:00:00"/>
  </r>
  <r>
    <x v="1"/>
    <x v="5"/>
    <x v="2729"/>
    <x v="21"/>
    <s v="Standard order"/>
    <x v="2607"/>
    <x v="2285"/>
    <s v="398N"/>
    <s v="BTS 39RR8N"/>
    <s v="5002572"/>
    <s v="398N BTS T20 PB SYSTIVA RP"/>
    <n v="16"/>
    <n v="0"/>
    <n v="16"/>
    <x v="5"/>
    <s v="2771"/>
    <s v="RP"/>
    <s v="322"/>
    <s v="4.0 UN"/>
    <s v="STANDARD"/>
    <s v="N"/>
    <s v="Y"/>
    <s v="N"/>
    <s v="T20"/>
    <s v="Y"/>
    <s v="N"/>
    <s v="N"/>
    <s v="N"/>
    <s v="B013"/>
    <d v="2016-12-15T00:00:00"/>
    <s v="20"/>
    <s v="TAN"/>
    <s v="OR"/>
    <d v="2016-12-12T00:00:00"/>
    <s v="MT"/>
    <s v="US"/>
    <s v="ZR"/>
    <d v="2016-12-12T00:00:00"/>
  </r>
  <r>
    <x v="1"/>
    <x v="4"/>
    <x v="2730"/>
    <x v="50"/>
    <s v="Standard order"/>
    <x v="2608"/>
    <x v="296"/>
    <s v="251N"/>
    <s v="BTS 251N"/>
    <s v="5002196"/>
    <s v="251N BTS PB XL"/>
    <n v="12"/>
    <n v="0"/>
    <n v="12"/>
    <x v="4"/>
    <s v="5HBR"/>
    <s v="X-LARGE"/>
    <s v="307"/>
    <s v="4.0 UN"/>
    <s v="STANDARD"/>
    <s v="N"/>
    <s v="Y"/>
    <s v="N"/>
    <s v="N"/>
    <s v="N"/>
    <s v="N"/>
    <s v="N"/>
    <s v="N"/>
    <s v="B047"/>
    <d v="2016-12-15T00:00:00"/>
    <s v="40"/>
    <s v="TAN"/>
    <s v="OR"/>
    <d v="2016-12-12T00:00:00"/>
    <s v="ID"/>
    <s v="US"/>
    <s v="ZR"/>
    <d v="2016-12-12T00:00:00"/>
  </r>
  <r>
    <x v="1"/>
    <x v="4"/>
    <x v="2730"/>
    <x v="50"/>
    <s v="Standard order"/>
    <x v="2608"/>
    <x v="296"/>
    <s v="2523"/>
    <s v="BTS 2523"/>
    <s v="5002529"/>
    <s v="2523 BTS PB XL"/>
    <n v="12"/>
    <n v="0"/>
    <n v="12"/>
    <x v="4"/>
    <s v="EZPC"/>
    <s v="X-LARGE"/>
    <s v="307"/>
    <s v="4.0 UN"/>
    <s v="STANDARD"/>
    <s v="N"/>
    <s v="Y"/>
    <s v="N"/>
    <s v="N"/>
    <s v="N"/>
    <s v="N"/>
    <s v="N"/>
    <s v="N"/>
    <s v="B047"/>
    <d v="2016-12-15T00:00:00"/>
    <s v="50"/>
    <s v="TAN"/>
    <s v="OR"/>
    <d v="2016-12-12T00:00:00"/>
    <s v="ID"/>
    <s v="US"/>
    <s v="ZR"/>
    <d v="2016-12-12T00:00:00"/>
  </r>
  <r>
    <x v="1"/>
    <x v="4"/>
    <x v="2730"/>
    <x v="50"/>
    <s v="Standard order"/>
    <x v="2608"/>
    <x v="296"/>
    <s v="2559"/>
    <s v="BTS 2559"/>
    <s v="5002563"/>
    <s v="2559 BTS PB XL"/>
    <n v="12"/>
    <n v="0"/>
    <n v="12"/>
    <x v="4"/>
    <s v="FGNE"/>
    <s v="X-LARGE"/>
    <s v="307"/>
    <s v="4.0 UN"/>
    <s v="STANDARD"/>
    <s v="N"/>
    <s v="Y"/>
    <s v="N"/>
    <s v="N"/>
    <s v="N"/>
    <s v="N"/>
    <s v="N"/>
    <s v="N"/>
    <s v="B047"/>
    <d v="2016-12-15T00:00:00"/>
    <s v="20"/>
    <s v="TAN"/>
    <s v="OR"/>
    <d v="2016-12-12T00:00:00"/>
    <s v="ID"/>
    <s v="US"/>
    <s v="ZR"/>
    <d v="2016-12-12T00:00:00"/>
  </r>
  <r>
    <x v="1"/>
    <x v="0"/>
    <x v="2731"/>
    <x v="42"/>
    <s v="Standard order"/>
    <x v="2609"/>
    <x v="1819"/>
    <s v="122N"/>
    <s v="BTS 12RR2N"/>
    <s v="5002310"/>
    <s v="122N BTS T20 Kabina P200"/>
    <n v="96"/>
    <n v="0"/>
    <n v="96"/>
    <x v="0"/>
    <s v="4TBG"/>
    <s v="PRO 200"/>
    <s v="380"/>
    <s v="4.0 UN"/>
    <s v="STANDARD"/>
    <s v="N"/>
    <s v="N"/>
    <s v="Y"/>
    <s v="T20"/>
    <s v="N"/>
    <s v="N"/>
    <s v="N"/>
    <s v="N"/>
    <s v="B007"/>
    <d v="2016-12-15T00:00:00"/>
    <s v="10"/>
    <s v="TAN"/>
    <s v="OR"/>
    <d v="2016-12-12T00:00:00"/>
    <s v="MI"/>
    <s v="US"/>
    <s v="ZR"/>
    <d v="2016-12-12T00:00:00"/>
  </r>
  <r>
    <x v="1"/>
    <x v="0"/>
    <x v="2731"/>
    <x v="42"/>
    <s v="Standard order"/>
    <x v="2609"/>
    <x v="1819"/>
    <s v="1399"/>
    <s v="BTS 1399"/>
    <s v="5002347"/>
    <s v="1399 BTS T20 Kabina P200"/>
    <n v="68"/>
    <n v="0"/>
    <n v="68"/>
    <x v="0"/>
    <s v="EG74"/>
    <s v="PRO 200"/>
    <s v="380"/>
    <s v="4.0 UN"/>
    <s v="STANDARD"/>
    <s v="N"/>
    <s v="N"/>
    <s v="Y"/>
    <s v="T20"/>
    <s v="N"/>
    <s v="N"/>
    <s v="N"/>
    <s v="N"/>
    <s v="B007"/>
    <d v="2016-12-15T00:00:00"/>
    <s v="20"/>
    <s v="TAN"/>
    <s v="OR"/>
    <d v="2016-12-12T00:00:00"/>
    <s v="MI"/>
    <s v="US"/>
    <s v="ZR"/>
    <d v="2016-12-12T00:00:00"/>
  </r>
  <r>
    <x v="1"/>
    <x v="0"/>
    <x v="2732"/>
    <x v="45"/>
    <s v="Standard order"/>
    <x v="2610"/>
    <x v="2286"/>
    <s v="1399"/>
    <s v="BTS 1399"/>
    <s v="5002348"/>
    <s v="1399 BTS T20 Kabina RP"/>
    <n v="16"/>
    <n v="0"/>
    <n v="16"/>
    <x v="0"/>
    <s v="EG74"/>
    <s v="RP"/>
    <s v="380"/>
    <s v="4.0 UN"/>
    <s v="STANDARD"/>
    <s v="N"/>
    <s v="N"/>
    <s v="Y"/>
    <s v="T20"/>
    <s v="N"/>
    <s v="N"/>
    <s v="N"/>
    <s v="N"/>
    <s v="B003"/>
    <d v="2016-12-15T00:00:00"/>
    <s v="10"/>
    <s v="TAN"/>
    <s v="OR"/>
    <d v="2016-12-12T00:00:00"/>
    <s v="MI"/>
    <s v="US"/>
    <s v="ZR"/>
    <d v="2016-12-12T00:00:00"/>
  </r>
  <r>
    <x v="1"/>
    <x v="7"/>
    <x v="2733"/>
    <x v="28"/>
    <s v="Standard order"/>
    <x v="2611"/>
    <x v="2287"/>
    <s v="8052"/>
    <s v="BTS 80RR52"/>
    <s v="5002735"/>
    <s v="8052 BTS T35 PB SYSTIVA RP"/>
    <n v="24"/>
    <n v="0"/>
    <n v="24"/>
    <x v="7"/>
    <s v="AP82"/>
    <s v="RP"/>
    <s v="333"/>
    <s v="4.0 UN"/>
    <s v="STANDARD"/>
    <s v="N"/>
    <s v="Y"/>
    <s v="N"/>
    <s v="T35"/>
    <s v="Y"/>
    <s v="N"/>
    <s v="Y"/>
    <s v="N"/>
    <s v="B056"/>
    <d v="2016-12-15T00:00:00"/>
    <s v="10"/>
    <s v="TAN"/>
    <s v="OR"/>
    <d v="2016-12-12T00:00:00"/>
    <s v="ND"/>
    <s v="US"/>
    <s v="ZR"/>
    <d v="2016-12-12T00:00:00"/>
  </r>
  <r>
    <x v="1"/>
    <x v="7"/>
    <x v="2733"/>
    <x v="28"/>
    <s v="Standard order"/>
    <x v="2611"/>
    <x v="2287"/>
    <s v="8512"/>
    <s v="BTS 8512"/>
    <s v="5002876"/>
    <s v="8512 BTS T35 PB SYSTIVA RP"/>
    <n v="24"/>
    <n v="0"/>
    <n v="24"/>
    <x v="7"/>
    <s v="FX73"/>
    <s v="RP"/>
    <s v="333"/>
    <s v="4.0 UN"/>
    <s v="STANDARD"/>
    <s v="N"/>
    <s v="Y"/>
    <s v="N"/>
    <s v="T35"/>
    <s v="Y"/>
    <s v="N"/>
    <s v="Y"/>
    <s v="N"/>
    <s v="B056"/>
    <d v="2016-12-15T00:00:00"/>
    <s v="20"/>
    <s v="TAN"/>
    <s v="OR"/>
    <d v="2016-12-12T00:00:00"/>
    <s v="ND"/>
    <s v="US"/>
    <s v="ZR"/>
    <d v="2016-12-12T00:00:00"/>
  </r>
  <r>
    <x v="1"/>
    <x v="0"/>
    <x v="2734"/>
    <x v="54"/>
    <s v="Standard order"/>
    <x v="2612"/>
    <x v="1095"/>
    <s v="149N"/>
    <s v="BTS 149N"/>
    <s v="5002368"/>
    <s v="149N BTS T20 Kabina RP"/>
    <n v="20"/>
    <n v="0"/>
    <n v="20"/>
    <x v="0"/>
    <s v="EEND"/>
    <s v="RP"/>
    <s v="380"/>
    <s v="4.0 UN"/>
    <s v="STANDARD"/>
    <s v="N"/>
    <s v="N"/>
    <s v="Y"/>
    <s v="T20"/>
    <s v="N"/>
    <s v="N"/>
    <s v="N"/>
    <s v="N"/>
    <s v="B002"/>
    <d v="2016-12-15T00:00:00"/>
    <s v="10"/>
    <s v="TAN"/>
    <s v="OR"/>
    <d v="2016-12-12T00:00:00"/>
    <s v="MI"/>
    <s v="US"/>
    <s v="ZR"/>
    <d v="2016-12-12T00:00:00"/>
  </r>
  <r>
    <x v="1"/>
    <x v="0"/>
    <x v="2734"/>
    <x v="54"/>
    <s v="Standard order"/>
    <x v="2612"/>
    <x v="1095"/>
    <s v="1399"/>
    <s v="BTS 1399"/>
    <s v="5002348"/>
    <s v="1399 BTS T20 Kabina RP"/>
    <n v="32"/>
    <n v="0"/>
    <n v="32"/>
    <x v="0"/>
    <s v="EG74"/>
    <s v="RP"/>
    <s v="380"/>
    <s v="4.0 UN"/>
    <s v="STANDARD"/>
    <s v="N"/>
    <s v="N"/>
    <s v="Y"/>
    <s v="T20"/>
    <s v="N"/>
    <s v="N"/>
    <s v="N"/>
    <s v="N"/>
    <s v="B002"/>
    <d v="2016-12-15T00:00:00"/>
    <s v="20"/>
    <s v="TAN"/>
    <s v="OR"/>
    <d v="2016-12-12T00:00:00"/>
    <s v="MI"/>
    <s v="US"/>
    <s v="ZR"/>
    <d v="2016-12-12T00:00:00"/>
  </r>
  <r>
    <x v="1"/>
    <x v="0"/>
    <x v="2734"/>
    <x v="54"/>
    <s v="Standard order"/>
    <x v="2612"/>
    <x v="1095"/>
    <s v="122N"/>
    <s v="BTS 12RR2N"/>
    <s v="5002311"/>
    <s v="122N BTS T20 Kabina RP"/>
    <n v="12"/>
    <n v="0"/>
    <n v="12"/>
    <x v="0"/>
    <s v="4TBG"/>
    <s v="RP"/>
    <s v="380"/>
    <s v="4.0 UN"/>
    <s v="STANDARD"/>
    <s v="N"/>
    <s v="N"/>
    <s v="Y"/>
    <s v="T20"/>
    <s v="N"/>
    <s v="N"/>
    <s v="N"/>
    <s v="N"/>
    <s v="B002"/>
    <d v="2016-12-15T00:00:00"/>
    <s v="30"/>
    <s v="TAN"/>
    <s v="OR"/>
    <d v="2016-12-12T00:00:00"/>
    <s v="MI"/>
    <s v="US"/>
    <s v="ZR"/>
    <d v="2016-12-12T00:00:00"/>
  </r>
  <r>
    <x v="1"/>
    <x v="0"/>
    <x v="2735"/>
    <x v="45"/>
    <s v="Standard order"/>
    <x v="2613"/>
    <x v="2288"/>
    <s v="1399"/>
    <s v="BTS 1399"/>
    <s v="5002346"/>
    <s v="1399 BTS T20 Kabina MP"/>
    <n v="12"/>
    <n v="0"/>
    <n v="12"/>
    <x v="0"/>
    <s v="EG74"/>
    <s v="MP"/>
    <s v="380"/>
    <s v="4.0 UN"/>
    <s v="STANDARD"/>
    <s v="N"/>
    <s v="N"/>
    <s v="Y"/>
    <s v="T20"/>
    <s v="N"/>
    <s v="N"/>
    <s v="N"/>
    <s v="N"/>
    <s v="B003"/>
    <d v="2016-12-15T00:00:00"/>
    <s v="10"/>
    <s v="TAN"/>
    <s v="OR"/>
    <d v="2016-12-12T00:00:00"/>
    <s v="MI"/>
    <s v="US"/>
    <s v="ZR"/>
    <d v="2016-12-12T00:00:00"/>
  </r>
  <r>
    <x v="1"/>
    <x v="0"/>
    <x v="2735"/>
    <x v="45"/>
    <s v="Standard order"/>
    <x v="2613"/>
    <x v="2288"/>
    <s v="122N"/>
    <s v="BTS 12RR2N"/>
    <s v="5002309"/>
    <s v="122N BTS T20 Kabina MP"/>
    <n v="12"/>
    <n v="0"/>
    <n v="12"/>
    <x v="0"/>
    <s v="4TBG"/>
    <s v="MP"/>
    <s v="380"/>
    <s v="4.0 UN"/>
    <s v="STANDARD"/>
    <s v="N"/>
    <s v="N"/>
    <s v="Y"/>
    <s v="T20"/>
    <s v="N"/>
    <s v="N"/>
    <s v="N"/>
    <s v="N"/>
    <s v="B003"/>
    <d v="2016-12-15T00:00:00"/>
    <s v="20"/>
    <s v="TAN"/>
    <s v="OR"/>
    <d v="2016-12-12T00:00:00"/>
    <s v="MI"/>
    <s v="US"/>
    <s v="ZR"/>
    <d v="2016-12-12T00:00:00"/>
  </r>
  <r>
    <x v="1"/>
    <x v="2"/>
    <x v="2736"/>
    <x v="6"/>
    <s v="Standard order"/>
    <x v="2614"/>
    <x v="629"/>
    <s v="64SN"/>
    <s v="BTS 64SN"/>
    <s v="5002420"/>
    <s v="64SN BTS T20 PB SYSTIVA P100"/>
    <n v="24"/>
    <n v="0"/>
    <n v="24"/>
    <x v="2"/>
    <s v="DVNB"/>
    <s v="PRO 100"/>
    <s v="322"/>
    <s v="4.0 UN"/>
    <s v="STANDARD"/>
    <s v="N"/>
    <s v="N"/>
    <s v="N"/>
    <s v="T20"/>
    <s v="Y"/>
    <s v="N"/>
    <s v="Y"/>
    <s v="N"/>
    <s v="B025"/>
    <d v="2016-12-15T00:00:00"/>
    <s v="10"/>
    <s v="TAN"/>
    <s v="OR"/>
    <d v="2016-12-12T00:00:00"/>
    <s v="NE"/>
    <s v="US"/>
    <s v="ZR"/>
    <d v="2016-12-12T00:00:00"/>
  </r>
  <r>
    <x v="1"/>
    <x v="2"/>
    <x v="2736"/>
    <x v="6"/>
    <s v="Standard order"/>
    <x v="2614"/>
    <x v="629"/>
    <s v="628N"/>
    <s v="BTS 62RR8N"/>
    <s v="5002683"/>
    <s v="628N BTS T20 PB SYSTIVA P100"/>
    <n v="24"/>
    <n v="0"/>
    <n v="24"/>
    <x v="2"/>
    <s v="BL73"/>
    <s v="PRO 100"/>
    <s v="322"/>
    <s v="4.0 UN"/>
    <s v="STANDARD"/>
    <s v="N"/>
    <s v="N"/>
    <s v="N"/>
    <s v="T20"/>
    <s v="Y"/>
    <s v="N"/>
    <s v="Y"/>
    <s v="N"/>
    <s v="B025"/>
    <d v="2016-12-15T00:00:00"/>
    <s v="20"/>
    <s v="TAN"/>
    <s v="OR"/>
    <d v="2016-12-12T00:00:00"/>
    <s v="NE"/>
    <s v="US"/>
    <s v="ZR"/>
    <d v="2016-12-12T00:00:00"/>
  </r>
  <r>
    <x v="1"/>
    <x v="4"/>
    <x v="2737"/>
    <x v="47"/>
    <s v="Standard order"/>
    <x v="2615"/>
    <x v="2289"/>
    <s v="2523"/>
    <s v="BTS 2523"/>
    <s v="5002527"/>
    <s v="2523 BTS PB LRG"/>
    <n v="36"/>
    <n v="0"/>
    <n v="36"/>
    <x v="4"/>
    <s v="EZPC"/>
    <s v="LARGE"/>
    <s v="307"/>
    <s v="4.0 UN"/>
    <s v="STANDARD"/>
    <s v="N"/>
    <s v="Y"/>
    <s v="N"/>
    <s v="N"/>
    <s v="N"/>
    <s v="N"/>
    <s v="N"/>
    <s v="N"/>
    <s v="B050"/>
    <d v="2016-12-15T00:00:00"/>
    <s v="10"/>
    <s v="TAN"/>
    <s v="OR"/>
    <d v="2016-12-12T00:00:00"/>
    <s v="ID"/>
    <s v="US"/>
    <s v="ZR"/>
    <d v="2016-12-12T00:00:00"/>
  </r>
  <r>
    <x v="1"/>
    <x v="2"/>
    <x v="2738"/>
    <x v="5"/>
    <s v="Standard order"/>
    <x v="2616"/>
    <x v="621"/>
    <s v="628N"/>
    <s v="BTS 62RR8N"/>
    <s v="5002683"/>
    <s v="628N BTS T20 PB SYSTIVA P100"/>
    <n v="36"/>
    <n v="0"/>
    <n v="36"/>
    <x v="2"/>
    <s v="BL73"/>
    <s v="PRO 100"/>
    <s v="322"/>
    <s v="4.0 UN"/>
    <s v="STANDARD"/>
    <s v="N"/>
    <s v="N"/>
    <s v="N"/>
    <s v="T20"/>
    <s v="Y"/>
    <s v="N"/>
    <s v="Y"/>
    <s v="N"/>
    <s v="B020"/>
    <d v="2016-12-15T00:00:00"/>
    <s v="10"/>
    <s v="TAN"/>
    <s v="OR"/>
    <d v="2016-12-12T00:00:00"/>
    <s v="CO"/>
    <s v="US"/>
    <s v="ZR"/>
    <d v="2016-12-12T00:00:00"/>
  </r>
  <r>
    <x v="1"/>
    <x v="2"/>
    <x v="2738"/>
    <x v="5"/>
    <s v="Standard order"/>
    <x v="2616"/>
    <x v="621"/>
    <s v="630N"/>
    <s v="BTS 630N"/>
    <s v="5002402"/>
    <s v="630N BTS T20 PB SYSTIVA P100"/>
    <n v="64"/>
    <n v="0"/>
    <n v="64"/>
    <x v="2"/>
    <s v="DW73"/>
    <s v="PRO 100"/>
    <s v="322"/>
    <s v="4.0 UN"/>
    <s v="STANDARD"/>
    <s v="N"/>
    <s v="N"/>
    <s v="N"/>
    <s v="T20"/>
    <s v="Y"/>
    <s v="N"/>
    <s v="Y"/>
    <s v="N"/>
    <s v="B020"/>
    <d v="2016-12-15T00:00:00"/>
    <s v="20"/>
    <s v="TAN"/>
    <s v="OR"/>
    <d v="2016-12-12T00:00:00"/>
    <s v="CO"/>
    <s v="US"/>
    <s v="ZR"/>
    <d v="2016-12-12T00:00:00"/>
  </r>
  <r>
    <x v="1"/>
    <x v="0"/>
    <x v="2739"/>
    <x v="43"/>
    <s v="Standard order"/>
    <x v="2617"/>
    <x v="2290"/>
    <s v="122N"/>
    <s v="BTS 12RR2N"/>
    <s v="5002311"/>
    <s v="122N BTS T20 Kabina RP"/>
    <n v="24"/>
    <n v="0"/>
    <n v="24"/>
    <x v="0"/>
    <s v="4TBG"/>
    <s v="RP"/>
    <s v="380"/>
    <s v="4.0 UN"/>
    <s v="STANDARD"/>
    <s v="N"/>
    <s v="N"/>
    <s v="Y"/>
    <s v="T20"/>
    <s v="N"/>
    <s v="N"/>
    <s v="N"/>
    <s v="N"/>
    <s v="B006"/>
    <d v="2016-12-15T00:00:00"/>
    <s v="10"/>
    <s v="TAN"/>
    <s v="OR"/>
    <d v="2016-12-12T00:00:00"/>
    <s v="MI"/>
    <s v="US"/>
    <s v="ZR"/>
    <d v="2016-12-12T00:00:00"/>
  </r>
  <r>
    <x v="1"/>
    <x v="2"/>
    <x v="2740"/>
    <x v="5"/>
    <s v="Standard order"/>
    <x v="2618"/>
    <x v="636"/>
    <s v="630N"/>
    <s v="BTS 630N"/>
    <s v="5002402"/>
    <s v="630N BTS T20 PB SYSTIVA P100"/>
    <n v="20"/>
    <n v="0"/>
    <n v="20"/>
    <x v="2"/>
    <s v="DW73"/>
    <s v="PRO 100"/>
    <s v="322"/>
    <s v="4.0 UN"/>
    <s v="STANDARD"/>
    <s v="N"/>
    <s v="N"/>
    <s v="N"/>
    <s v="T20"/>
    <s v="Y"/>
    <s v="N"/>
    <s v="Y"/>
    <s v="N"/>
    <s v="B020"/>
    <d v="2016-12-15T00:00:00"/>
    <s v="10"/>
    <s v="TAN"/>
    <s v="OR"/>
    <d v="2016-12-12T00:00:00"/>
    <s v="CO"/>
    <s v="US"/>
    <s v="ZR"/>
    <d v="2016-12-12T00:00:00"/>
  </r>
  <r>
    <x v="1"/>
    <x v="4"/>
    <x v="2741"/>
    <x v="50"/>
    <s v="Standard order"/>
    <x v="2619"/>
    <x v="2291"/>
    <s v="225N"/>
    <s v="BTS 22RR5N"/>
    <s v="5002119"/>
    <s v="225N BTS PB XL"/>
    <n v="56"/>
    <n v="0"/>
    <n v="56"/>
    <x v="4"/>
    <s v="4TBD"/>
    <s v="X-LARGE"/>
    <s v="307"/>
    <s v="4.0 UN"/>
    <s v="STANDARD"/>
    <s v="N"/>
    <s v="Y"/>
    <s v="N"/>
    <s v="N"/>
    <s v="N"/>
    <s v="N"/>
    <s v="N"/>
    <s v="N"/>
    <s v="B047"/>
    <d v="2016-12-15T00:00:00"/>
    <s v="10"/>
    <s v="TAN"/>
    <s v="OR"/>
    <d v="2016-12-12T00:00:00"/>
    <s v="ID"/>
    <s v="US"/>
    <s v="ZR"/>
    <d v="2016-12-12T00:00:00"/>
  </r>
  <r>
    <x v="1"/>
    <x v="4"/>
    <x v="2741"/>
    <x v="50"/>
    <s v="Standard order"/>
    <x v="2619"/>
    <x v="2291"/>
    <s v="2570"/>
    <s v="BTS 2570"/>
    <s v="5002555"/>
    <s v="2570 BTS PB XL"/>
    <n v="56"/>
    <n v="0"/>
    <n v="56"/>
    <x v="4"/>
    <s v="EZNS"/>
    <s v="X-LARGE"/>
    <s v="307"/>
    <s v="4.0 UN"/>
    <s v="STANDARD"/>
    <s v="N"/>
    <s v="Y"/>
    <s v="N"/>
    <s v="N"/>
    <s v="N"/>
    <s v="N"/>
    <s v="N"/>
    <s v="N"/>
    <s v="B047"/>
    <d v="2016-12-15T00:00:00"/>
    <s v="20"/>
    <s v="TAN"/>
    <s v="OR"/>
    <d v="2016-12-12T00:00:00"/>
    <s v="ID"/>
    <s v="US"/>
    <s v="ZR"/>
    <d v="2016-12-12T00:00:00"/>
  </r>
  <r>
    <x v="1"/>
    <x v="7"/>
    <x v="2742"/>
    <x v="38"/>
    <s v="Standard order"/>
    <x v="2620"/>
    <x v="2292"/>
    <s v="8337"/>
    <s v="BTS 8337"/>
    <s v="5002795"/>
    <s v="8337 BTS T35 PB SYSTIVA RP"/>
    <n v="40"/>
    <n v="0"/>
    <n v="40"/>
    <x v="7"/>
    <s v="DHMC"/>
    <s v="RP"/>
    <s v="333"/>
    <s v="4.0 UN"/>
    <s v="STANDARD"/>
    <s v="N"/>
    <s v="Y"/>
    <s v="N"/>
    <s v="T35"/>
    <s v="Y"/>
    <s v="N"/>
    <s v="Y"/>
    <s v="N"/>
    <s v="B031"/>
    <d v="2016-12-15T00:00:00"/>
    <s v="10"/>
    <s v="TAN"/>
    <s v="OR"/>
    <d v="2016-12-12T00:00:00"/>
    <s v="ND"/>
    <s v="US"/>
    <s v="ZR"/>
    <d v="2016-12-12T00:00:00"/>
  </r>
  <r>
    <x v="1"/>
    <x v="7"/>
    <x v="2743"/>
    <x v="38"/>
    <s v="Standard order"/>
    <x v="2621"/>
    <x v="2293"/>
    <s v="8052"/>
    <s v="BTS 80RR52"/>
    <s v="5002735"/>
    <s v="8052 BTS T35 PB SYSTIVA RP"/>
    <n v="44"/>
    <n v="0"/>
    <n v="44"/>
    <x v="7"/>
    <s v="AP82"/>
    <s v="RP"/>
    <s v="333"/>
    <s v="4.0 UN"/>
    <s v="STANDARD"/>
    <s v="N"/>
    <s v="Y"/>
    <s v="N"/>
    <s v="T35"/>
    <s v="Y"/>
    <s v="N"/>
    <s v="Y"/>
    <s v="N"/>
    <s v="B031"/>
    <d v="2016-12-15T00:00:00"/>
    <s v="10"/>
    <s v="TAN"/>
    <s v="OR"/>
    <d v="2016-12-12T00:00:00"/>
    <s v="MN"/>
    <s v="US"/>
    <s v="ZR"/>
    <d v="2016-12-12T00:00:00"/>
  </r>
  <r>
    <x v="1"/>
    <x v="7"/>
    <x v="2743"/>
    <x v="38"/>
    <s v="Standard order"/>
    <x v="2621"/>
    <x v="2293"/>
    <s v="8524"/>
    <s v="BTS 8524"/>
    <s v="5002896"/>
    <s v="8524 BTS T35 PB SYSTIVA RP"/>
    <n v="40"/>
    <n v="0"/>
    <n v="40"/>
    <x v="7"/>
    <s v="FWND"/>
    <s v="RP"/>
    <s v="333"/>
    <s v="4.0 UN"/>
    <s v="STANDARD"/>
    <s v="N"/>
    <s v="Y"/>
    <s v="N"/>
    <s v="T35"/>
    <s v="Y"/>
    <s v="N"/>
    <s v="Y"/>
    <s v="N"/>
    <s v="B031"/>
    <d v="2016-12-15T00:00:00"/>
    <s v="20"/>
    <s v="TAN"/>
    <s v="OR"/>
    <d v="2016-12-12T00:00:00"/>
    <s v="MN"/>
    <s v="US"/>
    <s v="ZR"/>
    <d v="2016-12-12T00:00:00"/>
  </r>
  <r>
    <x v="1"/>
    <x v="5"/>
    <x v="2744"/>
    <x v="21"/>
    <s v="Standard order"/>
    <x v="2622"/>
    <x v="2294"/>
    <s v="398N"/>
    <s v="BTS 39RR8N"/>
    <s v="5002572"/>
    <s v="39RR8N RP BetaShield PLUS"/>
    <n v="72"/>
    <n v="0"/>
    <n v="72"/>
    <x v="5"/>
    <s v="2771"/>
    <s v="RP"/>
    <s v="322"/>
    <s v="4.0 UN"/>
    <s v="STANDARD"/>
    <s v="N"/>
    <s v="Y"/>
    <s v="N"/>
    <s v="T20"/>
    <s v="Y"/>
    <s v="N"/>
    <s v="N"/>
    <s v="N"/>
    <s v=""/>
    <d v="2016-12-15T00:00:00"/>
    <s v="20"/>
    <s v="TAN"/>
    <s v="OR"/>
    <d v="2016-12-12T00:00:00"/>
    <s v="MT"/>
    <s v="US"/>
    <s v="ZR"/>
    <d v="2016-12-12T00:00:00"/>
  </r>
  <r>
    <x v="1"/>
    <x v="4"/>
    <x v="2745"/>
    <x v="47"/>
    <s v="Standard order"/>
    <x v="2623"/>
    <x v="397"/>
    <s v="251N"/>
    <s v="BTS 251N"/>
    <s v="5002194"/>
    <s v="251N BTS PB LRG"/>
    <n v="16"/>
    <n v="0"/>
    <n v="16"/>
    <x v="4"/>
    <s v="5HBR"/>
    <s v="LARGE"/>
    <s v="307"/>
    <s v="4.0 UN"/>
    <s v="STANDARD"/>
    <s v="N"/>
    <s v="Y"/>
    <s v="N"/>
    <s v="N"/>
    <s v="N"/>
    <s v="N"/>
    <s v="N"/>
    <s v="N"/>
    <s v="B050"/>
    <d v="2016-12-15T00:00:00"/>
    <s v="10"/>
    <s v="TAN"/>
    <s v="OR"/>
    <d v="2016-12-12T00:00:00"/>
    <s v="ID"/>
    <s v="US"/>
    <s v="ZR"/>
    <d v="2016-12-12T00:00:00"/>
  </r>
  <r>
    <x v="1"/>
    <x v="4"/>
    <x v="2746"/>
    <x v="50"/>
    <s v="Standard order"/>
    <x v="2624"/>
    <x v="2295"/>
    <s v="225N"/>
    <s v="BTS 22RR5N"/>
    <s v="5002111"/>
    <s v="225N BTS PB LRG"/>
    <n v="40"/>
    <n v="0"/>
    <n v="40"/>
    <x v="4"/>
    <s v="4TBD"/>
    <s v="LARGE"/>
    <s v="307"/>
    <s v="4.0 UN"/>
    <s v="STANDARD"/>
    <s v="N"/>
    <s v="Y"/>
    <s v="N"/>
    <s v="N"/>
    <s v="N"/>
    <s v="N"/>
    <s v="N"/>
    <s v="N"/>
    <s v="B047"/>
    <d v="2016-12-15T00:00:00"/>
    <s v="10"/>
    <s v="TAN"/>
    <s v="OR"/>
    <d v="2016-12-12T00:00:00"/>
    <s v="ID"/>
    <s v="US"/>
    <s v="ZR"/>
    <d v="2016-12-12T00:00:00"/>
  </r>
  <r>
    <x v="1"/>
    <x v="4"/>
    <x v="2747"/>
    <x v="50"/>
    <s v="Standard order"/>
    <x v="2625"/>
    <x v="439"/>
    <s v="2559"/>
    <s v="BTS 2559"/>
    <s v="5002561"/>
    <s v="2559 BTS PB LRG"/>
    <n v="36"/>
    <n v="0"/>
    <n v="36"/>
    <x v="4"/>
    <s v="FGNE"/>
    <s v="LARGE"/>
    <s v="307"/>
    <s v="4.0 UN"/>
    <s v="STANDARD"/>
    <s v="N"/>
    <s v="Y"/>
    <s v="N"/>
    <s v="N"/>
    <s v="N"/>
    <s v="N"/>
    <s v="N"/>
    <s v="N"/>
    <s v="B047"/>
    <d v="2016-12-15T00:00:00"/>
    <s v="10"/>
    <s v="TAN"/>
    <s v="OR"/>
    <d v="2016-12-12T00:00:00"/>
    <s v="ID"/>
    <s v="US"/>
    <s v="ZR"/>
    <d v="2016-12-12T00:00:00"/>
  </r>
  <r>
    <x v="1"/>
    <x v="4"/>
    <x v="2747"/>
    <x v="50"/>
    <s v="Standard order"/>
    <x v="2625"/>
    <x v="439"/>
    <s v="2570"/>
    <s v="BTS 2570"/>
    <s v="5002555"/>
    <s v="2570 BTS PB XL"/>
    <n v="36"/>
    <n v="0"/>
    <n v="36"/>
    <x v="4"/>
    <s v="EZNS"/>
    <s v="X-LARGE"/>
    <s v="307"/>
    <s v="4.0 UN"/>
    <s v="STANDARD"/>
    <s v="N"/>
    <s v="Y"/>
    <s v="N"/>
    <s v="N"/>
    <s v="N"/>
    <s v="N"/>
    <s v="N"/>
    <s v="N"/>
    <s v="B047"/>
    <d v="2016-12-15T00:00:00"/>
    <s v="20"/>
    <s v="TAN"/>
    <s v="OR"/>
    <d v="2016-12-12T00:00:00"/>
    <s v="ID"/>
    <s v="US"/>
    <s v="ZR"/>
    <d v="2016-12-12T00:00:00"/>
  </r>
  <r>
    <x v="1"/>
    <x v="0"/>
    <x v="2748"/>
    <x v="57"/>
    <s v="Standard order"/>
    <x v="2626"/>
    <x v="2296"/>
    <s v="1399"/>
    <s v="BTS 1399"/>
    <s v="5002347"/>
    <s v="1399 BTS T20 Kabina P200"/>
    <n v="40"/>
    <n v="0"/>
    <n v="40"/>
    <x v="0"/>
    <s v="EG74"/>
    <s v="PRO 200"/>
    <s v="380"/>
    <s v="4.0 UN"/>
    <s v="STANDARD"/>
    <s v="N"/>
    <s v="N"/>
    <s v="Y"/>
    <s v="T20"/>
    <s v="N"/>
    <s v="N"/>
    <s v="N"/>
    <s v="N"/>
    <s v="B008"/>
    <d v="2016-12-15T00:00:00"/>
    <s v="10"/>
    <s v="TAN"/>
    <s v="OR"/>
    <d v="2016-12-12T00:00:00"/>
    <s v="MI"/>
    <s v="US"/>
    <s v="ZR"/>
    <d v="2016-12-12T00:00:00"/>
  </r>
  <r>
    <x v="1"/>
    <x v="4"/>
    <x v="2749"/>
    <x v="47"/>
    <s v="Standard order"/>
    <x v="2627"/>
    <x v="2297"/>
    <s v="251N"/>
    <s v="BTS 251N"/>
    <s v="5002194"/>
    <s v="251N BTS PB LRG"/>
    <n v="16"/>
    <n v="0"/>
    <n v="16"/>
    <x v="4"/>
    <s v="5HBR"/>
    <s v="LARGE"/>
    <s v="307"/>
    <s v="4.0 UN"/>
    <s v="STANDARD"/>
    <s v="N"/>
    <s v="Y"/>
    <s v="N"/>
    <s v="N"/>
    <s v="N"/>
    <s v="N"/>
    <s v="N"/>
    <s v="N"/>
    <s v="B050"/>
    <d v="2016-12-15T00:00:00"/>
    <s v="10"/>
    <s v="TAN"/>
    <s v="OR"/>
    <d v="2016-12-12T00:00:00"/>
    <s v="ID"/>
    <s v="US"/>
    <s v="ZR"/>
    <d v="2016-12-12T00:00:00"/>
  </r>
  <r>
    <x v="1"/>
    <x v="4"/>
    <x v="2749"/>
    <x v="47"/>
    <s v="Standard order"/>
    <x v="2627"/>
    <x v="2297"/>
    <s v="2570"/>
    <s v="BTS 2570"/>
    <s v="5002553"/>
    <s v="2570 BTS PB LRG"/>
    <n v="16"/>
    <n v="0"/>
    <n v="16"/>
    <x v="4"/>
    <s v="EZNS"/>
    <s v="LARGE"/>
    <s v="307"/>
    <s v="4.0 UN"/>
    <s v="STANDARD"/>
    <s v="N"/>
    <s v="Y"/>
    <s v="N"/>
    <s v="N"/>
    <s v="N"/>
    <s v="N"/>
    <s v="N"/>
    <s v="N"/>
    <s v="B050"/>
    <d v="2016-12-15T00:00:00"/>
    <s v="20"/>
    <s v="TAN"/>
    <s v="OR"/>
    <d v="2016-12-12T00:00:00"/>
    <s v="ID"/>
    <s v="US"/>
    <s v="ZR"/>
    <d v="2016-12-12T00:00:00"/>
  </r>
  <r>
    <x v="1"/>
    <x v="0"/>
    <x v="2750"/>
    <x v="43"/>
    <s v="Standard order"/>
    <x v="2628"/>
    <x v="2298"/>
    <s v="149N"/>
    <s v="BTS 149N"/>
    <s v="5002368"/>
    <s v="149N BTS T20 Kabina RP"/>
    <n v="20"/>
    <n v="0"/>
    <n v="20"/>
    <x v="0"/>
    <s v="EEND"/>
    <s v="RP"/>
    <s v="380"/>
    <s v="4.0 UN"/>
    <s v="STANDARD"/>
    <s v="N"/>
    <s v="N"/>
    <s v="Y"/>
    <s v="T20"/>
    <s v="N"/>
    <s v="N"/>
    <s v="N"/>
    <s v="N"/>
    <s v="B006"/>
    <d v="2016-12-15T00:00:00"/>
    <s v="10"/>
    <s v="TAN"/>
    <s v="OR"/>
    <d v="2016-12-12T00:00:00"/>
    <s v="MI"/>
    <s v="US"/>
    <s v="ZR"/>
    <d v="2016-12-12T00:00:00"/>
  </r>
  <r>
    <x v="1"/>
    <x v="0"/>
    <x v="2750"/>
    <x v="43"/>
    <s v="Standard order"/>
    <x v="2628"/>
    <x v="2298"/>
    <s v="122N"/>
    <s v="BTS 12RR2N"/>
    <s v="5002311"/>
    <s v="122N BTS T20 Kabina RP"/>
    <n v="24"/>
    <n v="0"/>
    <n v="24"/>
    <x v="0"/>
    <s v="4TBG"/>
    <s v="RP"/>
    <s v="380"/>
    <s v="4.0 UN"/>
    <s v="STANDARD"/>
    <s v="N"/>
    <s v="N"/>
    <s v="Y"/>
    <s v="T20"/>
    <s v="N"/>
    <s v="N"/>
    <s v="N"/>
    <s v="N"/>
    <s v="B006"/>
    <d v="2016-12-15T00:00:00"/>
    <s v="20"/>
    <s v="TAN"/>
    <s v="OR"/>
    <d v="2016-12-12T00:00:00"/>
    <s v="MI"/>
    <s v="US"/>
    <s v="ZR"/>
    <d v="2016-12-12T00:00:00"/>
  </r>
  <r>
    <x v="1"/>
    <x v="0"/>
    <x v="2751"/>
    <x v="42"/>
    <s v="Standard order"/>
    <x v="2629"/>
    <x v="2299"/>
    <s v="1399"/>
    <s v="BTS 1399"/>
    <s v="5002348"/>
    <s v="1399 BTS T20 Kabina RP"/>
    <n v="40"/>
    <n v="0"/>
    <n v="40"/>
    <x v="0"/>
    <s v="EG74"/>
    <s v="RP"/>
    <s v="380"/>
    <s v="4.0 UN"/>
    <s v="STANDARD"/>
    <s v="N"/>
    <s v="N"/>
    <s v="Y"/>
    <s v="T20"/>
    <s v="N"/>
    <s v="N"/>
    <s v="N"/>
    <s v="N"/>
    <s v="B007"/>
    <d v="2016-12-15T00:00:00"/>
    <s v="10"/>
    <s v="TAN"/>
    <s v="OR"/>
    <d v="2016-12-12T00:00:00"/>
    <s v="MI"/>
    <s v="US"/>
    <s v="ZR"/>
    <d v="2016-12-12T00:00:00"/>
  </r>
  <r>
    <x v="1"/>
    <x v="0"/>
    <x v="2751"/>
    <x v="42"/>
    <s v="Standard order"/>
    <x v="2629"/>
    <x v="2299"/>
    <s v="122N"/>
    <s v="BTS 12RR2N"/>
    <s v="5002311"/>
    <s v="122N BTS T20 Kabina RP"/>
    <n v="64"/>
    <n v="0"/>
    <n v="64"/>
    <x v="0"/>
    <s v="4TBG"/>
    <s v="RP"/>
    <s v="380"/>
    <s v="4.0 UN"/>
    <s v="STANDARD"/>
    <s v="N"/>
    <s v="N"/>
    <s v="Y"/>
    <s v="T20"/>
    <s v="N"/>
    <s v="N"/>
    <s v="N"/>
    <s v="N"/>
    <s v="B007"/>
    <d v="2016-12-15T00:00:00"/>
    <s v="20"/>
    <s v="TAN"/>
    <s v="OR"/>
    <d v="2016-12-12T00:00:00"/>
    <s v="MI"/>
    <s v="US"/>
    <s v="ZR"/>
    <d v="2016-12-12T00:00:00"/>
  </r>
  <r>
    <x v="1"/>
    <x v="0"/>
    <x v="2752"/>
    <x v="42"/>
    <s v="Standard order"/>
    <x v="2630"/>
    <x v="2300"/>
    <s v="1399"/>
    <s v="BTS 1399"/>
    <s v="5002348"/>
    <s v="1399 BTS T20 Kabina RP"/>
    <n v="88"/>
    <n v="0"/>
    <n v="88"/>
    <x v="0"/>
    <s v="EG74"/>
    <s v="RP"/>
    <s v="380"/>
    <s v="4.0 UN"/>
    <s v="STANDARD"/>
    <s v="N"/>
    <s v="N"/>
    <s v="Y"/>
    <s v="T20"/>
    <s v="N"/>
    <s v="N"/>
    <s v="N"/>
    <s v="N"/>
    <s v="B007"/>
    <d v="2016-12-15T00:00:00"/>
    <s v="10"/>
    <s v="TAN"/>
    <s v="OR"/>
    <d v="2016-12-12T00:00:00"/>
    <s v="MI"/>
    <s v="US"/>
    <s v="ZR"/>
    <d v="2016-12-12T00:00:00"/>
  </r>
  <r>
    <x v="1"/>
    <x v="4"/>
    <x v="2753"/>
    <x v="46"/>
    <s v="Standard order"/>
    <x v="2631"/>
    <x v="2301"/>
    <s v="2570"/>
    <s v="BTS 2570"/>
    <s v="5002555"/>
    <s v="2570 BTS PB XL"/>
    <n v="80"/>
    <n v="0"/>
    <n v="80"/>
    <x v="4"/>
    <s v="EZNS"/>
    <s v="X-LARGE"/>
    <s v="307"/>
    <s v="4.0 UN"/>
    <s v="STANDARD"/>
    <s v="N"/>
    <s v="Y"/>
    <s v="N"/>
    <s v="N"/>
    <s v="N"/>
    <s v="N"/>
    <s v="N"/>
    <s v="N"/>
    <s v="B049"/>
    <d v="2016-12-15T00:00:00"/>
    <s v="10"/>
    <s v="TAN"/>
    <s v="OR"/>
    <d v="2016-12-12T00:00:00"/>
    <s v="ID"/>
    <s v="US"/>
    <s v="ZR"/>
    <d v="2016-12-12T00:00:00"/>
  </r>
  <r>
    <x v="1"/>
    <x v="4"/>
    <x v="2753"/>
    <x v="46"/>
    <s v="Standard order"/>
    <x v="2631"/>
    <x v="2301"/>
    <s v="2559"/>
    <s v="BTS 2559"/>
    <s v="5002563"/>
    <s v="2559 BTS PB XL"/>
    <n v="80"/>
    <n v="0"/>
    <n v="80"/>
    <x v="4"/>
    <s v="FGNE"/>
    <s v="X-LARGE"/>
    <s v="307"/>
    <s v="4.0 UN"/>
    <s v="STANDARD"/>
    <s v="N"/>
    <s v="Y"/>
    <s v="N"/>
    <s v="N"/>
    <s v="N"/>
    <s v="N"/>
    <s v="N"/>
    <s v="N"/>
    <s v="B049"/>
    <d v="2016-12-15T00:00:00"/>
    <s v="20"/>
    <s v="TAN"/>
    <s v="OR"/>
    <d v="2016-12-12T00:00:00"/>
    <s v="ID"/>
    <s v="US"/>
    <s v="ZR"/>
    <d v="2016-12-12T00:00:00"/>
  </r>
  <r>
    <x v="1"/>
    <x v="0"/>
    <x v="2754"/>
    <x v="45"/>
    <s v="Standard order"/>
    <x v="2632"/>
    <x v="598"/>
    <s v="1399"/>
    <s v="BTS 1399"/>
    <s v="5002347"/>
    <s v="1399 BTS T20 Kabina P200"/>
    <n v="24"/>
    <n v="0"/>
    <n v="24"/>
    <x v="0"/>
    <s v="EG74"/>
    <s v="PRO 200"/>
    <s v="380"/>
    <s v="4.0 UN"/>
    <s v="STANDARD"/>
    <s v="N"/>
    <s v="N"/>
    <s v="Y"/>
    <s v="T20"/>
    <s v="N"/>
    <s v="N"/>
    <s v="N"/>
    <s v="N"/>
    <s v="B003"/>
    <d v="2016-12-16T00:00:00"/>
    <s v="10"/>
    <s v="TAN"/>
    <s v="OR"/>
    <d v="2016-12-13T00:00:00"/>
    <s v="MI"/>
    <s v="US"/>
    <s v="ZR"/>
    <d v="2016-12-13T00:00:00"/>
  </r>
  <r>
    <x v="1"/>
    <x v="0"/>
    <x v="2754"/>
    <x v="45"/>
    <s v="Standard order"/>
    <x v="2632"/>
    <x v="598"/>
    <s v="122N"/>
    <s v="BTS 12RR2N"/>
    <s v="5002310"/>
    <s v="122N BTS T20 Kabina P200"/>
    <n v="32"/>
    <n v="0"/>
    <n v="32"/>
    <x v="0"/>
    <s v="4TBG"/>
    <s v="PRO 200"/>
    <s v="380"/>
    <s v="4.0 UN"/>
    <s v="STANDARD"/>
    <s v="N"/>
    <s v="N"/>
    <s v="Y"/>
    <s v="T20"/>
    <s v="N"/>
    <s v="N"/>
    <s v="N"/>
    <s v="N"/>
    <s v="B003"/>
    <d v="2016-12-16T00:00:00"/>
    <s v="20"/>
    <s v="TAN"/>
    <s v="OR"/>
    <d v="2016-12-13T00:00:00"/>
    <s v="MI"/>
    <s v="US"/>
    <s v="ZR"/>
    <d v="2016-12-13T00:00:00"/>
  </r>
  <r>
    <x v="1"/>
    <x v="4"/>
    <x v="2755"/>
    <x v="44"/>
    <s v="Standard order"/>
    <x v="2633"/>
    <x v="2302"/>
    <s v="225N"/>
    <s v="BTS 22RR5N"/>
    <s v="5002119"/>
    <s v="225N BTS PB XL"/>
    <n v="20"/>
    <n v="0"/>
    <n v="20"/>
    <x v="4"/>
    <s v="4TBD"/>
    <s v="X-LARGE"/>
    <s v="307"/>
    <s v="4.0 UN"/>
    <s v="STANDARD"/>
    <s v="N"/>
    <s v="Y"/>
    <s v="N"/>
    <s v="N"/>
    <s v="N"/>
    <s v="N"/>
    <s v="N"/>
    <s v="N"/>
    <s v="MB13"/>
    <d v="2016-12-16T00:00:00"/>
    <s v="10"/>
    <s v="TAN"/>
    <s v="OR"/>
    <d v="2016-12-13T00:00:00"/>
    <s v="ID"/>
    <s v="US"/>
    <s v="ZR"/>
    <d v="2016-12-13T00:00:00"/>
  </r>
  <r>
    <x v="1"/>
    <x v="4"/>
    <x v="2755"/>
    <x v="44"/>
    <s v="Standard order"/>
    <x v="2633"/>
    <x v="2302"/>
    <s v="251N"/>
    <s v="BTS 251N"/>
    <s v="5002196"/>
    <s v="251N BTS PB XL"/>
    <n v="8"/>
    <n v="0"/>
    <n v="8"/>
    <x v="4"/>
    <s v="5HBR"/>
    <s v="X-LARGE"/>
    <s v="307"/>
    <s v="4.0 UN"/>
    <s v="STANDARD"/>
    <s v="N"/>
    <s v="Y"/>
    <s v="N"/>
    <s v="N"/>
    <s v="N"/>
    <s v="N"/>
    <s v="N"/>
    <s v="N"/>
    <s v="MB13"/>
    <d v="2016-12-16T00:00:00"/>
    <s v="20"/>
    <s v="TAN"/>
    <s v="OR"/>
    <d v="2016-12-13T00:00:00"/>
    <s v="ID"/>
    <s v="US"/>
    <s v="ZR"/>
    <d v="2016-12-13T00:00:00"/>
  </r>
  <r>
    <x v="1"/>
    <x v="0"/>
    <x v="2756"/>
    <x v="56"/>
    <s v="Standard order"/>
    <x v="2634"/>
    <x v="2303"/>
    <s v="122N"/>
    <s v="BTS 12RR2N"/>
    <s v="5002301"/>
    <s v="122N BTS CM Vibrance RP"/>
    <n v="16"/>
    <n v="0"/>
    <n v="16"/>
    <x v="0"/>
    <s v="4TBG"/>
    <s v="RP"/>
    <s v="366"/>
    <s v="4.0 UN"/>
    <s v="STANDARD"/>
    <s v="Y"/>
    <s v="N"/>
    <s v="N"/>
    <s v="N"/>
    <s v="N"/>
    <s v="N"/>
    <s v="N"/>
    <s v="Y"/>
    <s v="B010"/>
    <d v="2016-12-16T00:00:00"/>
    <s v="10"/>
    <s v="TAN"/>
    <s v="OR"/>
    <d v="2016-12-13T00:00:00"/>
    <s v="ON"/>
    <s v="CA"/>
    <s v="ZR"/>
    <d v="2016-12-13T00:00:00"/>
  </r>
  <r>
    <x v="1"/>
    <x v="5"/>
    <x v="2757"/>
    <x v="21"/>
    <s v="Standard order"/>
    <x v="2635"/>
    <x v="649"/>
    <s v="336N"/>
    <s v="BTS 336N"/>
    <s v="5002199"/>
    <s v="336N BTS T20 PB SYSTIVA P200"/>
    <n v="56"/>
    <n v="0"/>
    <n v="56"/>
    <x v="5"/>
    <s v="EEMG"/>
    <s v="PRO 200"/>
    <s v="322"/>
    <s v="4.0 UN"/>
    <s v="STANDARD"/>
    <s v="N"/>
    <s v="N"/>
    <s v="N"/>
    <s v="T20"/>
    <s v="Y"/>
    <s v="N"/>
    <s v="N"/>
    <s v="N"/>
    <s v="B013"/>
    <d v="2016-12-16T00:00:00"/>
    <s v="10"/>
    <s v="TAN"/>
    <s v="OR"/>
    <d v="2016-12-12T00:00:00"/>
    <s v="MT"/>
    <s v="US"/>
    <s v="ZR"/>
    <d v="2016-12-13T00:00:00"/>
  </r>
  <r>
    <x v="1"/>
    <x v="5"/>
    <x v="2757"/>
    <x v="21"/>
    <s v="Standard order"/>
    <x v="2635"/>
    <x v="649"/>
    <s v="398N"/>
    <s v="BTS 39RR8N"/>
    <s v="5002570"/>
    <s v="398N BTS T20 PB SYSTIVA P200"/>
    <n v="56"/>
    <n v="0"/>
    <n v="56"/>
    <x v="5"/>
    <s v="2771"/>
    <s v="PRO 200"/>
    <s v="322"/>
    <s v="4.0 UN"/>
    <s v="STANDARD"/>
    <s v="N"/>
    <s v="Y"/>
    <s v="N"/>
    <s v="T20"/>
    <s v="Y"/>
    <s v="N"/>
    <s v="N"/>
    <s v="N"/>
    <s v="B013"/>
    <d v="2016-12-16T00:00:00"/>
    <s v="20"/>
    <s v="TAN"/>
    <s v="OR"/>
    <d v="2016-12-12T00:00:00"/>
    <s v="MT"/>
    <s v="US"/>
    <s v="ZR"/>
    <d v="2016-12-13T00:00:00"/>
  </r>
  <r>
    <x v="1"/>
    <x v="4"/>
    <x v="2758"/>
    <x v="44"/>
    <s v="Standard order"/>
    <x v="2636"/>
    <x v="574"/>
    <s v="2523"/>
    <s v="BTS 2523"/>
    <s v="5002529"/>
    <s v="2523 BTS PB XL"/>
    <n v="60"/>
    <n v="0"/>
    <n v="60"/>
    <x v="4"/>
    <s v="EZPC"/>
    <s v="X-LARGE"/>
    <s v="307"/>
    <s v="4.0 UN"/>
    <s v="STANDARD"/>
    <s v="N"/>
    <s v="Y"/>
    <s v="N"/>
    <s v="N"/>
    <s v="N"/>
    <s v="N"/>
    <s v="N"/>
    <s v="N"/>
    <s v="MB13"/>
    <d v="2016-12-16T00:00:00"/>
    <s v="10"/>
    <s v="TAN"/>
    <s v="OR"/>
    <d v="2016-12-12T00:00:00"/>
    <s v="ID"/>
    <s v="US"/>
    <s v="ZR"/>
    <d v="2016-12-13T00:00:00"/>
  </r>
  <r>
    <x v="1"/>
    <x v="0"/>
    <x v="2759"/>
    <x v="42"/>
    <s v="Standard order"/>
    <x v="2637"/>
    <x v="566"/>
    <s v="1399"/>
    <s v="BTS 1399"/>
    <s v="5002348"/>
    <s v="1399 BTS T20 Kabina RP"/>
    <n v="44"/>
    <n v="0"/>
    <n v="44"/>
    <x v="0"/>
    <s v="EG74"/>
    <s v="RP"/>
    <s v="380"/>
    <s v="4.0 UN"/>
    <s v="STANDARD"/>
    <s v="N"/>
    <s v="N"/>
    <s v="Y"/>
    <s v="T20"/>
    <s v="N"/>
    <s v="N"/>
    <s v="N"/>
    <s v="N"/>
    <s v="B007"/>
    <d v="2016-12-16T00:00:00"/>
    <s v="10"/>
    <s v="TAN"/>
    <s v="OR"/>
    <d v="2016-12-13T00:00:00"/>
    <s v="MI"/>
    <s v="US"/>
    <s v="ZR"/>
    <d v="2016-12-13T00:00:00"/>
  </r>
  <r>
    <x v="1"/>
    <x v="0"/>
    <x v="2760"/>
    <x v="42"/>
    <s v="Standard order"/>
    <x v="2638"/>
    <x v="562"/>
    <s v="1399"/>
    <s v="BTS 1399"/>
    <s v="5002348"/>
    <s v="1399 BTS T20 Kabina RP"/>
    <n v="16"/>
    <n v="0"/>
    <n v="16"/>
    <x v="0"/>
    <s v="EG74"/>
    <s v="RP"/>
    <s v="380"/>
    <s v="4.0 UN"/>
    <s v="STANDARD"/>
    <s v="N"/>
    <s v="N"/>
    <s v="Y"/>
    <s v="T20"/>
    <s v="N"/>
    <s v="N"/>
    <s v="N"/>
    <s v="N"/>
    <s v="B007"/>
    <d v="2016-12-16T00:00:00"/>
    <s v="10"/>
    <s v="TAN"/>
    <s v="OR"/>
    <d v="2016-12-13T00:00:00"/>
    <s v="MI"/>
    <s v="US"/>
    <s v="ZR"/>
    <d v="2016-12-13T00:00:00"/>
  </r>
  <r>
    <x v="1"/>
    <x v="4"/>
    <x v="2761"/>
    <x v="46"/>
    <s v="Standard order"/>
    <x v="2639"/>
    <x v="2304"/>
    <s v="4933"/>
    <s v="BTS 49RR33"/>
    <s v="5002272"/>
    <s v="4933 BTS PB LRG IDH"/>
    <n v="76"/>
    <n v="0"/>
    <n v="76"/>
    <x v="4"/>
    <s v="AKMC"/>
    <s v="LARGE"/>
    <s v="307"/>
    <s v="4.0 UN"/>
    <s v="STANDARD"/>
    <s v="N"/>
    <s v="Y"/>
    <s v="N"/>
    <s v="N"/>
    <s v="N"/>
    <s v="N"/>
    <s v="N"/>
    <s v="N"/>
    <s v="B049"/>
    <d v="2016-12-16T00:00:00"/>
    <s v="10"/>
    <s v="TAN"/>
    <s v="OR"/>
    <d v="2016-12-13T00:00:00"/>
    <s v="ID"/>
    <s v="US"/>
    <s v="ZR"/>
    <d v="2016-12-13T00:00:00"/>
  </r>
  <r>
    <x v="1"/>
    <x v="4"/>
    <x v="2761"/>
    <x v="46"/>
    <s v="Standard order"/>
    <x v="2639"/>
    <x v="2304"/>
    <s v="2523"/>
    <s v="BTS 2523"/>
    <s v="5002527"/>
    <s v="2523 BTS PB LRG"/>
    <n v="80"/>
    <n v="0"/>
    <n v="80"/>
    <x v="4"/>
    <s v="EZPC"/>
    <s v="LARGE"/>
    <s v="307"/>
    <s v="4.0 UN"/>
    <s v="STANDARD"/>
    <s v="N"/>
    <s v="Y"/>
    <s v="N"/>
    <s v="N"/>
    <s v="N"/>
    <s v="N"/>
    <s v="N"/>
    <s v="N"/>
    <s v="B049"/>
    <d v="2016-12-16T00:00:00"/>
    <s v="20"/>
    <s v="TAN"/>
    <s v="OR"/>
    <d v="2016-12-13T00:00:00"/>
    <s v="ID"/>
    <s v="US"/>
    <s v="ZR"/>
    <d v="2016-12-13T00:00:00"/>
  </r>
  <r>
    <x v="1"/>
    <x v="4"/>
    <x v="2761"/>
    <x v="46"/>
    <s v="Standard order"/>
    <x v="2639"/>
    <x v="2304"/>
    <s v="2570"/>
    <s v="BTS 2570"/>
    <s v="5002553"/>
    <s v="2570 BTS PB LRG"/>
    <n v="80"/>
    <n v="0"/>
    <n v="80"/>
    <x v="4"/>
    <s v="EZNS"/>
    <s v="LARGE"/>
    <s v="307"/>
    <s v="4.0 UN"/>
    <s v="STANDARD"/>
    <s v="N"/>
    <s v="Y"/>
    <s v="N"/>
    <s v="N"/>
    <s v="N"/>
    <s v="N"/>
    <s v="N"/>
    <s v="N"/>
    <s v="B049"/>
    <d v="2016-12-16T00:00:00"/>
    <s v="30"/>
    <s v="TAN"/>
    <s v="OR"/>
    <d v="2016-12-13T00:00:00"/>
    <s v="ID"/>
    <s v="US"/>
    <s v="ZR"/>
    <d v="2016-12-13T00:00:00"/>
  </r>
  <r>
    <x v="1"/>
    <x v="4"/>
    <x v="2762"/>
    <x v="46"/>
    <s v="Standard order"/>
    <x v="2640"/>
    <x v="2305"/>
    <s v="4933"/>
    <s v="BTS 49RR33"/>
    <s v="5002272"/>
    <s v="4933 BTS PB LRG IDH"/>
    <n v="12"/>
    <n v="0"/>
    <n v="12"/>
    <x v="4"/>
    <s v="AKMC"/>
    <s v="LARGE"/>
    <s v="307"/>
    <s v="4.0 UN"/>
    <s v="STANDARD"/>
    <s v="N"/>
    <s v="Y"/>
    <s v="N"/>
    <s v="N"/>
    <s v="N"/>
    <s v="N"/>
    <s v="N"/>
    <s v="N"/>
    <s v="B049"/>
    <d v="2016-12-16T00:00:00"/>
    <s v="10"/>
    <s v="TAN"/>
    <s v="OR"/>
    <d v="2016-12-13T00:00:00"/>
    <s v="ID"/>
    <s v="US"/>
    <s v="ZR"/>
    <d v="2016-12-13T00:00:00"/>
  </r>
  <r>
    <x v="1"/>
    <x v="4"/>
    <x v="2762"/>
    <x v="46"/>
    <s v="Standard order"/>
    <x v="2640"/>
    <x v="2305"/>
    <s v="2559"/>
    <s v="BTS 2559"/>
    <s v="5002561"/>
    <s v="2559 BTS PB LRG"/>
    <n v="20"/>
    <n v="0"/>
    <n v="20"/>
    <x v="4"/>
    <s v="FGNE"/>
    <s v="LARGE"/>
    <s v="307"/>
    <s v="4.0 UN"/>
    <s v="STANDARD"/>
    <s v="N"/>
    <s v="Y"/>
    <s v="N"/>
    <s v="N"/>
    <s v="N"/>
    <s v="N"/>
    <s v="N"/>
    <s v="N"/>
    <s v="B049"/>
    <d v="2016-12-16T00:00:00"/>
    <s v="20"/>
    <s v="TAN"/>
    <s v="OR"/>
    <d v="2016-12-13T00:00:00"/>
    <s v="ID"/>
    <s v="US"/>
    <s v="ZR"/>
    <d v="2016-12-13T00:00:00"/>
  </r>
  <r>
    <x v="1"/>
    <x v="4"/>
    <x v="2763"/>
    <x v="44"/>
    <s v="Standard order"/>
    <x v="2641"/>
    <x v="2306"/>
    <s v="225N"/>
    <s v="BTS 22RR5N"/>
    <s v="5002119"/>
    <s v="225N BTS PB XL"/>
    <n v="48"/>
    <n v="0"/>
    <n v="48"/>
    <x v="4"/>
    <s v="4TBD"/>
    <s v="X-LARGE"/>
    <s v="307"/>
    <s v="4.0 UN"/>
    <s v="STANDARD"/>
    <s v="N"/>
    <s v="Y"/>
    <s v="N"/>
    <s v="N"/>
    <s v="N"/>
    <s v="N"/>
    <s v="N"/>
    <s v="N"/>
    <s v="MB13"/>
    <d v="2016-12-16T00:00:00"/>
    <s v="10"/>
    <s v="TAN"/>
    <s v="OR"/>
    <d v="2016-12-13T00:00:00"/>
    <s v="OR"/>
    <s v="US"/>
    <s v="ZR"/>
    <d v="2016-12-13T00:00:00"/>
  </r>
  <r>
    <x v="1"/>
    <x v="4"/>
    <x v="2763"/>
    <x v="44"/>
    <s v="Standard order"/>
    <x v="2641"/>
    <x v="2306"/>
    <s v="251N"/>
    <s v="BTS 251N"/>
    <s v="5002196"/>
    <s v="251N BTS PB XL"/>
    <n v="24"/>
    <n v="0"/>
    <n v="24"/>
    <x v="4"/>
    <s v="5HBR"/>
    <s v="X-LARGE"/>
    <s v="307"/>
    <s v="4.0 UN"/>
    <s v="STANDARD"/>
    <s v="N"/>
    <s v="Y"/>
    <s v="N"/>
    <s v="N"/>
    <s v="N"/>
    <s v="N"/>
    <s v="N"/>
    <s v="N"/>
    <s v="MB13"/>
    <d v="2016-12-16T00:00:00"/>
    <s v="40"/>
    <s v="TAN"/>
    <s v="OR"/>
    <d v="2016-12-13T00:00:00"/>
    <s v="OR"/>
    <s v="US"/>
    <s v="ZR"/>
    <d v="2016-12-13T00:00:00"/>
  </r>
  <r>
    <x v="1"/>
    <x v="0"/>
    <x v="2764"/>
    <x v="45"/>
    <s v="Standard order"/>
    <x v="2642"/>
    <x v="886"/>
    <s v="122N"/>
    <s v="BTS 12RR2N"/>
    <s v="5002317"/>
    <s v="122N BTS T20 SYSTIVA RP"/>
    <n v="32"/>
    <n v="0"/>
    <n v="32"/>
    <x v="0"/>
    <s v="4TBG"/>
    <s v="RP"/>
    <s v="326"/>
    <s v="4.0 UN"/>
    <s v="STANDARD"/>
    <s v="N"/>
    <s v="N"/>
    <s v="N"/>
    <s v="T20"/>
    <s v="Y"/>
    <s v="N"/>
    <s v="Y"/>
    <s v="N"/>
    <s v="B003"/>
    <d v="2016-12-16T00:00:00"/>
    <s v="10"/>
    <s v="TAN"/>
    <s v="OR"/>
    <d v="2016-12-13T00:00:00"/>
    <s v="MI"/>
    <s v="US"/>
    <s v="ZR"/>
    <d v="2016-12-13T00:00:00"/>
  </r>
  <r>
    <x v="1"/>
    <x v="0"/>
    <x v="2764"/>
    <x v="45"/>
    <s v="Standard order"/>
    <x v="2642"/>
    <x v="886"/>
    <s v="149N"/>
    <s v="BTS 149N"/>
    <s v="5002368"/>
    <s v="149N BTS T20 Kabina RP"/>
    <n v="24"/>
    <n v="0"/>
    <n v="24"/>
    <x v="0"/>
    <s v="EEND"/>
    <s v="RP"/>
    <s v="380"/>
    <s v="4.0 UN"/>
    <s v="STANDARD"/>
    <s v="N"/>
    <s v="N"/>
    <s v="Y"/>
    <s v="T20"/>
    <s v="N"/>
    <s v="N"/>
    <s v="N"/>
    <s v="N"/>
    <s v="B003"/>
    <d v="2016-12-16T00:00:00"/>
    <s v="20"/>
    <s v="TAN"/>
    <s v="OR"/>
    <d v="2016-12-13T00:00:00"/>
    <s v="MI"/>
    <s v="US"/>
    <s v="ZR"/>
    <d v="2016-12-13T00:00:00"/>
  </r>
  <r>
    <x v="1"/>
    <x v="0"/>
    <x v="2764"/>
    <x v="45"/>
    <s v="Standard order"/>
    <x v="2642"/>
    <x v="886"/>
    <s v="133N"/>
    <s v="BTS 133N"/>
    <s v="5002329"/>
    <s v="133N BTS T20 Kabina RP"/>
    <n v="20"/>
    <n v="0"/>
    <n v="20"/>
    <x v="0"/>
    <s v="DW73"/>
    <s v="RP"/>
    <s v="380"/>
    <s v="4.0 UN"/>
    <s v="STANDARD"/>
    <s v="N"/>
    <s v="N"/>
    <s v="Y"/>
    <s v="T20"/>
    <s v="N"/>
    <s v="N"/>
    <s v="N"/>
    <s v="N"/>
    <s v="B003"/>
    <d v="2016-12-16T00:00:00"/>
    <s v="30"/>
    <s v="TAN"/>
    <s v="OR"/>
    <d v="2016-12-13T00:00:00"/>
    <s v="MI"/>
    <s v="US"/>
    <s v="ZR"/>
    <d v="2016-12-13T00:00:00"/>
  </r>
  <r>
    <x v="1"/>
    <x v="0"/>
    <x v="2765"/>
    <x v="54"/>
    <s v="Standard order"/>
    <x v="2643"/>
    <x v="2307"/>
    <s v="122N"/>
    <s v="BTS 12RR2N"/>
    <s v="5002311"/>
    <s v="122N BTS T20 Kabina RP"/>
    <n v="36"/>
    <n v="0"/>
    <n v="36"/>
    <x v="0"/>
    <s v="4TBG"/>
    <s v="RP"/>
    <s v="380"/>
    <s v="4.0 UN"/>
    <s v="STANDARD"/>
    <s v="N"/>
    <s v="N"/>
    <s v="Y"/>
    <s v="T20"/>
    <s v="N"/>
    <s v="N"/>
    <s v="N"/>
    <s v="N"/>
    <s v="B002"/>
    <d v="2016-12-16T00:00:00"/>
    <s v="10"/>
    <s v="TAN"/>
    <s v="OR"/>
    <d v="2016-12-13T00:00:00"/>
    <s v="MI"/>
    <s v="US"/>
    <s v="ZR"/>
    <d v="2016-12-13T00:00:00"/>
  </r>
  <r>
    <x v="1"/>
    <x v="0"/>
    <x v="2765"/>
    <x v="54"/>
    <s v="Standard order"/>
    <x v="2643"/>
    <x v="2307"/>
    <s v="149N"/>
    <s v="BTS 149N"/>
    <s v="5002368"/>
    <s v="149N BTS T20 Kabina RP"/>
    <n v="12"/>
    <n v="0"/>
    <n v="12"/>
    <x v="0"/>
    <s v="EEND"/>
    <s v="RP"/>
    <s v="380"/>
    <s v="4.0 UN"/>
    <s v="STANDARD"/>
    <s v="N"/>
    <s v="N"/>
    <s v="Y"/>
    <s v="T20"/>
    <s v="N"/>
    <s v="N"/>
    <s v="N"/>
    <s v="N"/>
    <s v="B002"/>
    <d v="2016-12-16T00:00:00"/>
    <s v="20"/>
    <s v="TAN"/>
    <s v="OR"/>
    <d v="2016-12-13T00:00:00"/>
    <s v="MI"/>
    <s v="US"/>
    <s v="ZR"/>
    <d v="2016-12-13T00:00:00"/>
  </r>
  <r>
    <x v="1"/>
    <x v="4"/>
    <x v="2766"/>
    <x v="52"/>
    <s v="Standard order"/>
    <x v="2644"/>
    <x v="2308"/>
    <s v="251N"/>
    <s v="BTS 251N"/>
    <s v="5002503"/>
    <s v="251N BTS PB Kabina LRG"/>
    <n v="28"/>
    <n v="0"/>
    <n v="28"/>
    <x v="4"/>
    <s v="5HBR"/>
    <s v="LARGE"/>
    <s v="384"/>
    <s v="4.0 UN"/>
    <s v="STANDARD"/>
    <s v="N"/>
    <s v="Y"/>
    <s v="Y"/>
    <s v="N"/>
    <s v="N"/>
    <s v="N"/>
    <s v="N"/>
    <s v="N"/>
    <s v="B048"/>
    <d v="2016-12-16T00:00:00"/>
    <s v="10"/>
    <s v="TAN"/>
    <s v="OR"/>
    <d v="2016-12-13T00:00:00"/>
    <s v="ID"/>
    <s v="US"/>
    <s v="ZR"/>
    <d v="2016-12-13T00:00:00"/>
  </r>
  <r>
    <x v="1"/>
    <x v="5"/>
    <x v="2767"/>
    <x v="21"/>
    <s v="Standard order"/>
    <x v="2645"/>
    <x v="2309"/>
    <s v="353N"/>
    <s v="BTS 353N"/>
    <s v="5002524"/>
    <s v="353N BTS T20 PB SYSTIVA RP"/>
    <n v="24"/>
    <n v="0"/>
    <n v="24"/>
    <x v="5"/>
    <s v="EENZ"/>
    <s v="RP"/>
    <s v="322"/>
    <s v="4.0 UN"/>
    <s v="STANDARD"/>
    <s v="N"/>
    <s v="Y"/>
    <s v="N"/>
    <s v="T20"/>
    <s v="Y"/>
    <s v="N"/>
    <s v="N"/>
    <s v="N"/>
    <s v="B013"/>
    <d v="2016-12-16T00:00:00"/>
    <s v="10"/>
    <s v="TAN"/>
    <s v="OR"/>
    <d v="2016-12-13T00:00:00"/>
    <s v="MT"/>
    <s v="US"/>
    <s v="ZR"/>
    <d v="2016-12-13T00:00:00"/>
  </r>
  <r>
    <x v="1"/>
    <x v="5"/>
    <x v="2767"/>
    <x v="21"/>
    <s v="Standard order"/>
    <x v="2645"/>
    <x v="2309"/>
    <s v="336N"/>
    <s v="BTS 336N"/>
    <s v="5002400"/>
    <s v="336N BTS T20 PB SYSTIVA RP"/>
    <n v="28"/>
    <n v="0"/>
    <n v="28"/>
    <x v="5"/>
    <s v="EEMG"/>
    <s v="RP"/>
    <s v="322"/>
    <s v="4.0 UN"/>
    <s v="STANDARD"/>
    <s v="N"/>
    <s v="N"/>
    <s v="N"/>
    <s v="T20"/>
    <s v="Y"/>
    <s v="N"/>
    <s v="N"/>
    <s v="N"/>
    <s v="B013"/>
    <d v="2016-12-16T00:00:00"/>
    <s v="20"/>
    <s v="TAN"/>
    <s v="OR"/>
    <d v="2016-12-13T00:00:00"/>
    <s v="MT"/>
    <s v="US"/>
    <s v="ZR"/>
    <d v="2016-12-13T00:00:00"/>
  </r>
  <r>
    <x v="1"/>
    <x v="6"/>
    <x v="2768"/>
    <x v="48"/>
    <s v="Standard order"/>
    <x v="2646"/>
    <x v="2310"/>
    <s v="4548"/>
    <s v="BTS 4548"/>
    <s v="5002244"/>
    <s v="4548 BTS T20 PB SYSTIVA P100"/>
    <n v="20"/>
    <n v="0"/>
    <n v="20"/>
    <x v="6"/>
    <s v="FENR"/>
    <s v="PRO 100"/>
    <s v="322"/>
    <s v="4.0 UN"/>
    <s v="STANDARD"/>
    <s v="N"/>
    <s v="N"/>
    <s v="N"/>
    <s v="T20"/>
    <s v="Y"/>
    <s v="N"/>
    <s v="Y"/>
    <s v="N"/>
    <s v="B012"/>
    <d v="2016-12-16T00:00:00"/>
    <s v="10"/>
    <s v="TAN"/>
    <s v="OR"/>
    <d v="2016-12-13T00:00:00"/>
    <s v="MT"/>
    <s v="US"/>
    <s v="ZR"/>
    <d v="2016-12-13T00:00:00"/>
  </r>
  <r>
    <x v="1"/>
    <x v="6"/>
    <x v="2768"/>
    <x v="48"/>
    <s v="Standard order"/>
    <x v="2646"/>
    <x v="2310"/>
    <s v="4265"/>
    <s v="BTS 42RR65"/>
    <s v="5002583"/>
    <s v="4265 BTS T20 PB SYSTIVA P100"/>
    <n v="20"/>
    <n v="0"/>
    <n v="20"/>
    <x v="6"/>
    <s v="BR73"/>
    <s v="PRO 100"/>
    <s v="322"/>
    <s v="4.0 UN"/>
    <s v="STANDARD"/>
    <s v="N"/>
    <s v="N"/>
    <s v="N"/>
    <s v="T20"/>
    <s v="Y"/>
    <s v="N"/>
    <s v="Y"/>
    <s v="N"/>
    <s v="B012"/>
    <d v="2016-12-16T00:00:00"/>
    <s v="20"/>
    <s v="TAN"/>
    <s v="OR"/>
    <d v="2016-12-13T00:00:00"/>
    <s v="MT"/>
    <s v="US"/>
    <s v="ZR"/>
    <d v="2016-12-13T00:00:00"/>
  </r>
  <r>
    <x v="1"/>
    <x v="4"/>
    <x v="2769"/>
    <x v="46"/>
    <s v="Standard order"/>
    <x v="2647"/>
    <x v="2311"/>
    <s v="4933"/>
    <s v="BTS 49RR33"/>
    <s v="5002280"/>
    <s v="4933 BTS PB XL IDH"/>
    <n v="80"/>
    <n v="0"/>
    <n v="80"/>
    <x v="4"/>
    <s v="AKMC"/>
    <s v="X-LARGE"/>
    <s v="307"/>
    <s v="4.0 UN"/>
    <s v="STANDARD"/>
    <s v="N"/>
    <s v="Y"/>
    <s v="N"/>
    <s v="N"/>
    <s v="N"/>
    <s v="N"/>
    <s v="N"/>
    <s v="N"/>
    <s v="B049"/>
    <d v="2016-12-16T00:00:00"/>
    <s v="10"/>
    <s v="TAN"/>
    <s v="OR"/>
    <d v="2016-12-12T00:00:00"/>
    <s v="ID"/>
    <s v="US"/>
    <s v="ZR"/>
    <d v="2016-12-13T00:00:00"/>
  </r>
  <r>
    <x v="1"/>
    <x v="4"/>
    <x v="2769"/>
    <x v="46"/>
    <s v="Standard order"/>
    <x v="2647"/>
    <x v="2311"/>
    <s v="2523"/>
    <s v="BTS 2523"/>
    <s v="5002529"/>
    <s v="2523 BTS PB XL"/>
    <n v="44"/>
    <n v="0"/>
    <n v="44"/>
    <x v="4"/>
    <s v="EZPC"/>
    <s v="X-LARGE"/>
    <s v="307"/>
    <s v="4.0 UN"/>
    <s v="STANDARD"/>
    <s v="N"/>
    <s v="Y"/>
    <s v="N"/>
    <s v="N"/>
    <s v="N"/>
    <s v="N"/>
    <s v="N"/>
    <s v="N"/>
    <s v="B049"/>
    <d v="2016-12-16T00:00:00"/>
    <s v="20"/>
    <s v="TAN"/>
    <s v="OR"/>
    <d v="2016-12-12T00:00:00"/>
    <s v="ID"/>
    <s v="US"/>
    <s v="ZR"/>
    <d v="2016-12-13T00:00:00"/>
  </r>
  <r>
    <x v="1"/>
    <x v="4"/>
    <x v="2769"/>
    <x v="46"/>
    <s v="Standard order"/>
    <x v="2647"/>
    <x v="2311"/>
    <s v="2559"/>
    <s v="BTS 2559"/>
    <s v="5002563"/>
    <s v="2559 BTS PB XL"/>
    <n v="40"/>
    <n v="0"/>
    <n v="40"/>
    <x v="4"/>
    <s v="FGNE"/>
    <s v="X-LARGE"/>
    <s v="307"/>
    <s v="4.0 UN"/>
    <s v="STANDARD"/>
    <s v="N"/>
    <s v="Y"/>
    <s v="N"/>
    <s v="N"/>
    <s v="N"/>
    <s v="N"/>
    <s v="N"/>
    <s v="N"/>
    <s v="B049"/>
    <d v="2016-12-16T00:00:00"/>
    <s v="30"/>
    <s v="TAN"/>
    <s v="OR"/>
    <d v="2016-12-12T00:00:00"/>
    <s v="ID"/>
    <s v="US"/>
    <s v="ZR"/>
    <d v="2016-12-13T00:00:00"/>
  </r>
  <r>
    <x v="1"/>
    <x v="0"/>
    <x v="2770"/>
    <x v="45"/>
    <s v="Standard order"/>
    <x v="2648"/>
    <x v="2312"/>
    <s v="1399"/>
    <s v="BTS 1399"/>
    <s v="5002347"/>
    <s v="1399 BTS T20 Kabina P200"/>
    <n v="16"/>
    <n v="0"/>
    <n v="16"/>
    <x v="0"/>
    <s v="EG74"/>
    <s v="PRO 200"/>
    <s v="380"/>
    <s v="4.0 UN"/>
    <s v="STANDARD"/>
    <s v="N"/>
    <s v="N"/>
    <s v="Y"/>
    <s v="T20"/>
    <s v="N"/>
    <s v="N"/>
    <s v="N"/>
    <s v="N"/>
    <s v="B003"/>
    <d v="2016-12-16T00:00:00"/>
    <s v="10"/>
    <s v="TAN"/>
    <s v="OR"/>
    <d v="2016-12-13T00:00:00"/>
    <s v="MI"/>
    <s v="US"/>
    <s v="ZR"/>
    <d v="2016-12-13T00:00:00"/>
  </r>
  <r>
    <x v="1"/>
    <x v="7"/>
    <x v="2771"/>
    <x v="36"/>
    <s v="Standard order"/>
    <x v="2649"/>
    <x v="2313"/>
    <s v="8512"/>
    <s v="BTS 8512"/>
    <s v="5002876"/>
    <s v="8512 BTS T35 PB SYSTIVA RP"/>
    <n v="44"/>
    <n v="0"/>
    <n v="44"/>
    <x v="7"/>
    <s v="FX73"/>
    <s v="RP"/>
    <s v="333"/>
    <s v="4.0 UN"/>
    <s v="STANDARD"/>
    <s v="N"/>
    <s v="Y"/>
    <s v="N"/>
    <s v="T35"/>
    <s v="Y"/>
    <s v="N"/>
    <s v="Y"/>
    <s v="N"/>
    <s v="B027"/>
    <d v="2016-12-16T00:00:00"/>
    <s v="10"/>
    <s v="TAN"/>
    <s v="OR"/>
    <d v="2016-12-13T00:00:00"/>
    <s v="MN"/>
    <s v="US"/>
    <s v="ZR"/>
    <d v="2016-12-13T00:00:00"/>
  </r>
  <r>
    <x v="1"/>
    <x v="0"/>
    <x v="2772"/>
    <x v="45"/>
    <s v="Standard order"/>
    <x v="2650"/>
    <x v="2314"/>
    <s v="1399"/>
    <s v="BTS 1399"/>
    <s v="5002346"/>
    <s v="1399 BTS T20 Kabina MP"/>
    <n v="24"/>
    <n v="0"/>
    <n v="24"/>
    <x v="0"/>
    <s v="EG74"/>
    <s v="MP"/>
    <s v="380"/>
    <s v="4.0 UN"/>
    <s v="STANDARD"/>
    <s v="N"/>
    <s v="N"/>
    <s v="Y"/>
    <s v="T20"/>
    <s v="N"/>
    <s v="N"/>
    <s v="N"/>
    <s v="N"/>
    <s v="B003"/>
    <d v="2016-12-16T00:00:00"/>
    <s v="10"/>
    <s v="TAN"/>
    <s v="OR"/>
    <d v="2016-12-13T00:00:00"/>
    <s v="MI"/>
    <s v="US"/>
    <s v="ZR"/>
    <d v="2016-12-13T00:00:00"/>
  </r>
  <r>
    <x v="1"/>
    <x v="5"/>
    <x v="2773"/>
    <x v="12"/>
    <s v="Standard order"/>
    <x v="2651"/>
    <x v="693"/>
    <s v="336N"/>
    <s v="BTS 336N"/>
    <s v="5002400"/>
    <s v="336N BTS T20 PB SYSTIVA RP"/>
    <n v="52"/>
    <n v="0"/>
    <n v="52"/>
    <x v="5"/>
    <s v="EEMG"/>
    <s v="RP"/>
    <s v="322"/>
    <s v="4.0 UN"/>
    <s v="STANDARD"/>
    <s v="N"/>
    <s v="N"/>
    <s v="N"/>
    <s v="T20"/>
    <s v="Y"/>
    <s v="N"/>
    <s v="N"/>
    <s v="N"/>
    <s v="B014"/>
    <d v="2016-12-16T00:00:00"/>
    <s v="10"/>
    <s v="TAN"/>
    <s v="OR"/>
    <d v="2016-12-13T00:00:00"/>
    <s v="MT"/>
    <s v="US"/>
    <s v="ZR"/>
    <d v="2016-12-13T00:00:00"/>
  </r>
  <r>
    <x v="1"/>
    <x v="5"/>
    <x v="2773"/>
    <x v="12"/>
    <s v="Standard order"/>
    <x v="2651"/>
    <x v="693"/>
    <s v="353N"/>
    <s v="BTS 353N"/>
    <s v="5002524"/>
    <s v="353N BTS T20 PB SYSTIVA RP"/>
    <n v="12"/>
    <n v="0"/>
    <n v="12"/>
    <x v="5"/>
    <s v="EENZ"/>
    <s v="RP"/>
    <s v="322"/>
    <s v="4.0 UN"/>
    <s v="STANDARD"/>
    <s v="N"/>
    <s v="Y"/>
    <s v="N"/>
    <s v="T20"/>
    <s v="Y"/>
    <s v="N"/>
    <s v="N"/>
    <s v="N"/>
    <s v="B014"/>
    <d v="2016-12-16T00:00:00"/>
    <s v="20"/>
    <s v="TAN"/>
    <s v="OR"/>
    <d v="2016-12-13T00:00:00"/>
    <s v="MT"/>
    <s v="US"/>
    <s v="ZR"/>
    <d v="2016-12-13T00:00:00"/>
  </r>
  <r>
    <x v="1"/>
    <x v="0"/>
    <x v="2774"/>
    <x v="42"/>
    <s v="Standard order"/>
    <x v="2652"/>
    <x v="926"/>
    <s v="122N"/>
    <s v="BTS 12RR2N"/>
    <s v="5002311"/>
    <s v="122N BTS T20 Kabina RP"/>
    <n v="12"/>
    <n v="0"/>
    <n v="12"/>
    <x v="0"/>
    <s v="4TBG"/>
    <s v="RP"/>
    <s v="380"/>
    <s v="4.0 UN"/>
    <s v="STANDARD"/>
    <s v="N"/>
    <s v="N"/>
    <s v="Y"/>
    <s v="T20"/>
    <s v="N"/>
    <s v="N"/>
    <s v="N"/>
    <s v="N"/>
    <s v="B007"/>
    <d v="2016-12-16T00:00:00"/>
    <s v="10"/>
    <s v="TAN"/>
    <s v="OR"/>
    <d v="2016-12-13T00:00:00"/>
    <s v="MI"/>
    <s v="US"/>
    <s v="ZR"/>
    <d v="2016-12-13T00:00:00"/>
  </r>
  <r>
    <x v="1"/>
    <x v="4"/>
    <x v="2775"/>
    <x v="47"/>
    <s v="Standard order"/>
    <x v="2653"/>
    <x v="207"/>
    <s v="251N"/>
    <s v="BTS 251N"/>
    <s v="5002196"/>
    <s v="251N BTS PB XL"/>
    <n v="28"/>
    <n v="0"/>
    <n v="28"/>
    <x v="4"/>
    <s v="5HBR"/>
    <s v="X-LARGE"/>
    <s v="307"/>
    <s v="4.0 UN"/>
    <s v="STANDARD"/>
    <s v="N"/>
    <s v="Y"/>
    <s v="N"/>
    <s v="N"/>
    <s v="N"/>
    <s v="N"/>
    <s v="N"/>
    <s v="N"/>
    <s v="B050"/>
    <d v="2016-12-16T00:00:00"/>
    <s v="10"/>
    <s v="TAN"/>
    <s v="OR"/>
    <d v="2016-12-13T00:00:00"/>
    <s v="ID"/>
    <s v="US"/>
    <s v="ZR"/>
    <d v="2016-12-13T00:00:00"/>
  </r>
  <r>
    <x v="1"/>
    <x v="6"/>
    <x v="2776"/>
    <x v="51"/>
    <s v="Standard order"/>
    <x v="2654"/>
    <x v="553"/>
    <s v="444N"/>
    <s v="BTS 444N"/>
    <s v="5002226"/>
    <s v="444N BTS T20 PB SYSTIVA P100"/>
    <n v="8"/>
    <n v="0"/>
    <n v="8"/>
    <x v="6"/>
    <s v="DVND"/>
    <s v="PRO 100"/>
    <s v="322"/>
    <s v="4.0 UN"/>
    <s v="STANDARD"/>
    <s v="N"/>
    <s v="N"/>
    <s v="N"/>
    <s v="T20"/>
    <s v="Y"/>
    <s v="N"/>
    <s v="Y"/>
    <s v="N"/>
    <s v="B011"/>
    <d v="2016-12-16T00:00:00"/>
    <s v="10"/>
    <s v="TAN"/>
    <s v="OR"/>
    <d v="2016-12-13T00:00:00"/>
    <s v="MT"/>
    <s v="US"/>
    <s v="ZR"/>
    <d v="2016-12-13T00:00:00"/>
  </r>
  <r>
    <x v="1"/>
    <x v="4"/>
    <x v="2777"/>
    <x v="47"/>
    <s v="Standard order"/>
    <x v="2655"/>
    <x v="2315"/>
    <s v="2570"/>
    <s v="BTS 2570"/>
    <s v="5002555"/>
    <s v="2570 BTS PB XL"/>
    <n v="24"/>
    <n v="0"/>
    <n v="24"/>
    <x v="4"/>
    <s v="EZNS"/>
    <s v="X-LARGE"/>
    <s v="307"/>
    <s v="4.0 UN"/>
    <s v="STANDARD"/>
    <s v="N"/>
    <s v="Y"/>
    <s v="N"/>
    <s v="N"/>
    <s v="N"/>
    <s v="N"/>
    <s v="N"/>
    <s v="N"/>
    <s v="B050"/>
    <d v="2016-12-16T00:00:00"/>
    <s v="10"/>
    <s v="TAN"/>
    <s v="OR"/>
    <d v="2016-12-13T00:00:00"/>
    <s v="ID"/>
    <s v="US"/>
    <s v="ZR"/>
    <d v="2016-12-13T00:00:00"/>
  </r>
  <r>
    <x v="1"/>
    <x v="4"/>
    <x v="2778"/>
    <x v="52"/>
    <s v="Standard order"/>
    <x v="2656"/>
    <x v="2316"/>
    <s v="2570"/>
    <s v="BTS 2570"/>
    <s v="5002555"/>
    <s v="2570 BTS PB XL"/>
    <n v="8"/>
    <n v="0"/>
    <n v="8"/>
    <x v="4"/>
    <s v="EZNS"/>
    <s v="X-LARGE"/>
    <s v="307"/>
    <s v="4.0 UN"/>
    <s v="STANDARD"/>
    <s v="N"/>
    <s v="Y"/>
    <s v="N"/>
    <s v="N"/>
    <s v="N"/>
    <s v="N"/>
    <s v="N"/>
    <s v="N"/>
    <s v="B048"/>
    <d v="2016-12-16T00:00:00"/>
    <s v="10"/>
    <s v="TAN"/>
    <s v="OR"/>
    <d v="2016-12-13T00:00:00"/>
    <s v="ID"/>
    <s v="US"/>
    <s v="ZR"/>
    <d v="2016-12-13T00:00:00"/>
  </r>
  <r>
    <x v="1"/>
    <x v="0"/>
    <x v="2779"/>
    <x v="56"/>
    <s v="Standard order"/>
    <x v="2657"/>
    <x v="2317"/>
    <s v="122N"/>
    <s v="BTS 12RR2N"/>
    <s v="5002318"/>
    <s v="122N BTS Vibrance RP"/>
    <n v="20"/>
    <n v="0"/>
    <n v="20"/>
    <x v="0"/>
    <s v="4TBG"/>
    <s v="RP"/>
    <s v="365"/>
    <s v="4.0 UN"/>
    <s v="STANDARD"/>
    <s v="N"/>
    <s v="N"/>
    <s v="N"/>
    <s v="N"/>
    <s v="N"/>
    <s v="N"/>
    <s v="N"/>
    <s v="Y"/>
    <s v="B010"/>
    <d v="2016-12-16T00:00:00"/>
    <s v="10"/>
    <s v="TAN"/>
    <s v="OR"/>
    <d v="2016-12-13T00:00:00"/>
    <s v="ON"/>
    <s v="CA"/>
    <s v="ZR"/>
    <d v="2016-12-13T00:00:00"/>
  </r>
  <r>
    <x v="1"/>
    <x v="0"/>
    <x v="2779"/>
    <x v="56"/>
    <s v="Standard order"/>
    <x v="2657"/>
    <x v="2317"/>
    <s v="1399"/>
    <s v="BTS 1399"/>
    <s v="5002355"/>
    <s v="1399 BTS Vibrance RP"/>
    <n v="60"/>
    <n v="0"/>
    <n v="60"/>
    <x v="0"/>
    <s v="EG74"/>
    <s v="RP"/>
    <s v="365"/>
    <s v="4.0 UN"/>
    <s v="STANDARD"/>
    <s v="N"/>
    <s v="N"/>
    <s v="N"/>
    <s v="N"/>
    <s v="N"/>
    <s v="N"/>
    <s v="N"/>
    <s v="Y"/>
    <s v="B010"/>
    <d v="2016-12-16T00:00:00"/>
    <s v="20"/>
    <s v="TAN"/>
    <s v="OR"/>
    <d v="2016-12-13T00:00:00"/>
    <s v="ON"/>
    <s v="CA"/>
    <s v="ZR"/>
    <d v="2016-12-13T00:00:00"/>
  </r>
  <r>
    <x v="1"/>
    <x v="2"/>
    <x v="2780"/>
    <x v="5"/>
    <s v="Standard order"/>
    <x v="2658"/>
    <x v="2318"/>
    <s v="64SN"/>
    <s v="BTS 64SN"/>
    <s v="5002422"/>
    <s v="64SN BTS T20 PB SYSTIVA P50"/>
    <n v="8"/>
    <n v="0"/>
    <n v="8"/>
    <x v="2"/>
    <s v="DVNB"/>
    <s v="PRO 50"/>
    <s v="322"/>
    <s v="4.0 UN"/>
    <s v="STANDARD"/>
    <s v="N"/>
    <s v="N"/>
    <s v="N"/>
    <s v="T20"/>
    <s v="Y"/>
    <s v="N"/>
    <s v="Y"/>
    <s v="N"/>
    <s v="B020"/>
    <d v="2016-12-16T00:00:00"/>
    <s v="10"/>
    <s v="TAN"/>
    <s v="OR"/>
    <d v="2016-12-13T00:00:00"/>
    <s v="CO"/>
    <s v="US"/>
    <s v="ZR"/>
    <d v="2016-12-13T00:00:00"/>
  </r>
  <r>
    <x v="1"/>
    <x v="2"/>
    <x v="2780"/>
    <x v="5"/>
    <s v="Standard order"/>
    <x v="2658"/>
    <x v="2318"/>
    <s v="630N"/>
    <s v="BTS 630N"/>
    <s v="5002404"/>
    <s v="630N BTS T20 PB SYSTIVA P50"/>
    <n v="8"/>
    <n v="0"/>
    <n v="8"/>
    <x v="2"/>
    <s v="DW73"/>
    <s v="PRO 50"/>
    <s v="322"/>
    <s v="4.0 UN"/>
    <s v="STANDARD"/>
    <s v="N"/>
    <s v="N"/>
    <s v="N"/>
    <s v="T20"/>
    <s v="Y"/>
    <s v="N"/>
    <s v="Y"/>
    <s v="N"/>
    <s v="B020"/>
    <d v="2016-12-16T00:00:00"/>
    <s v="20"/>
    <s v="TAN"/>
    <s v="OR"/>
    <d v="2016-12-13T00:00:00"/>
    <s v="CO"/>
    <s v="US"/>
    <s v="ZR"/>
    <d v="2016-12-13T00:00:00"/>
  </r>
  <r>
    <x v="1"/>
    <x v="4"/>
    <x v="2781"/>
    <x v="47"/>
    <s v="Standard order"/>
    <x v="2659"/>
    <x v="2319"/>
    <s v="2523"/>
    <s v="BTS 2523"/>
    <s v="5002527"/>
    <s v="2523 BTS PB LRG"/>
    <n v="60"/>
    <n v="0"/>
    <n v="60"/>
    <x v="4"/>
    <s v="EZPC"/>
    <s v="LARGE"/>
    <s v="307"/>
    <s v="4.0 UN"/>
    <s v="STANDARD"/>
    <s v="N"/>
    <s v="Y"/>
    <s v="N"/>
    <s v="N"/>
    <s v="N"/>
    <s v="N"/>
    <s v="N"/>
    <s v="N"/>
    <s v="B050"/>
    <d v="2016-12-16T00:00:00"/>
    <s v="10"/>
    <s v="TAN"/>
    <s v="OR"/>
    <d v="2016-12-13T00:00:00"/>
    <s v="ID"/>
    <s v="US"/>
    <s v="ZR"/>
    <d v="2016-12-13T00:00:00"/>
  </r>
  <r>
    <x v="1"/>
    <x v="4"/>
    <x v="2781"/>
    <x v="47"/>
    <s v="Standard order"/>
    <x v="2659"/>
    <x v="2319"/>
    <s v="2559"/>
    <s v="BTS 2559"/>
    <s v="5002561"/>
    <s v="2559 BTS PB LRG"/>
    <n v="60"/>
    <n v="0"/>
    <n v="60"/>
    <x v="4"/>
    <s v="FGNE"/>
    <s v="LARGE"/>
    <s v="307"/>
    <s v="4.0 UN"/>
    <s v="STANDARD"/>
    <s v="N"/>
    <s v="Y"/>
    <s v="N"/>
    <s v="N"/>
    <s v="N"/>
    <s v="N"/>
    <s v="N"/>
    <s v="N"/>
    <s v="B050"/>
    <d v="2016-12-16T00:00:00"/>
    <s v="20"/>
    <s v="TAN"/>
    <s v="OR"/>
    <d v="2016-12-13T00:00:00"/>
    <s v="ID"/>
    <s v="US"/>
    <s v="ZR"/>
    <d v="2016-12-13T00:00:00"/>
  </r>
  <r>
    <x v="1"/>
    <x v="4"/>
    <x v="2781"/>
    <x v="47"/>
    <s v="Standard order"/>
    <x v="2659"/>
    <x v="2319"/>
    <s v="2125"/>
    <s v="BTS 21RR25"/>
    <s v="5002379"/>
    <s v="2125 BTS LRG"/>
    <n v="36"/>
    <n v="0"/>
    <n v="36"/>
    <x v="4"/>
    <s v="AP92"/>
    <s v="LARGE"/>
    <s v="306"/>
    <s v="4.0 UN"/>
    <s v="STANDARD"/>
    <s v="N"/>
    <s v="N"/>
    <s v="N"/>
    <s v="N"/>
    <s v="N"/>
    <s v="N"/>
    <s v="N"/>
    <s v="N"/>
    <s v="B050"/>
    <d v="2016-12-16T00:00:00"/>
    <s v="30"/>
    <s v="TAN"/>
    <s v="OR"/>
    <d v="2016-12-13T00:00:00"/>
    <s v="ID"/>
    <s v="US"/>
    <s v="ZR"/>
    <d v="2016-12-13T00:00:00"/>
  </r>
  <r>
    <x v="1"/>
    <x v="4"/>
    <x v="2782"/>
    <x v="53"/>
    <s v="Standard order"/>
    <x v="2660"/>
    <x v="2320"/>
    <s v="225N"/>
    <s v="BTS 22RR5N"/>
    <s v="5002112"/>
    <s v="225N BTS PB MED"/>
    <n v="140"/>
    <n v="0"/>
    <n v="140"/>
    <x v="4"/>
    <s v="4TBD"/>
    <s v="MEDIUM"/>
    <s v="307"/>
    <s v="4.0 UN"/>
    <s v="STANDARD"/>
    <s v="N"/>
    <s v="Y"/>
    <s v="N"/>
    <s v="N"/>
    <s v="N"/>
    <s v="N"/>
    <s v="N"/>
    <s v="N"/>
    <s v="B051"/>
    <d v="2016-12-16T00:00:00"/>
    <s v="10"/>
    <s v="TAN"/>
    <s v="OR"/>
    <d v="2016-12-13T00:00:00"/>
    <s v="ID"/>
    <s v="US"/>
    <s v="ZR"/>
    <d v="2016-12-13T00:00:00"/>
  </r>
  <r>
    <x v="1"/>
    <x v="4"/>
    <x v="2782"/>
    <x v="53"/>
    <s v="Standard order"/>
    <x v="2660"/>
    <x v="2320"/>
    <s v="2720"/>
    <s v="BTS 27RR20"/>
    <s v="5002135"/>
    <s v="2720 BTS PB MED"/>
    <n v="60"/>
    <n v="0"/>
    <n v="60"/>
    <x v="4"/>
    <s v="4GAY"/>
    <s v="MEDIUM"/>
    <s v="307"/>
    <s v="4.0 UN"/>
    <s v="STANDARD"/>
    <s v="N"/>
    <s v="Y"/>
    <s v="N"/>
    <s v="N"/>
    <s v="N"/>
    <s v="N"/>
    <s v="N"/>
    <s v="N"/>
    <s v="B051"/>
    <d v="2016-12-16T00:00:00"/>
    <s v="20"/>
    <s v="TAN"/>
    <s v="OR"/>
    <d v="2016-12-13T00:00:00"/>
    <s v="ID"/>
    <s v="US"/>
    <s v="ZR"/>
    <d v="2016-12-13T00:00:00"/>
  </r>
  <r>
    <x v="1"/>
    <x v="5"/>
    <x v="2783"/>
    <x v="9"/>
    <s v="Standard order"/>
    <x v="2661"/>
    <x v="651"/>
    <s v="336N"/>
    <s v="BTS 336N"/>
    <s v="5002199"/>
    <s v="336N BTS T20 PB SYSTIVA P200"/>
    <n v="80"/>
    <n v="0"/>
    <n v="80"/>
    <x v="5"/>
    <s v="EEMG"/>
    <s v="PRO 200"/>
    <s v="322"/>
    <s v="4.0 UN"/>
    <s v="STANDARD"/>
    <s v="N"/>
    <s v="N"/>
    <s v="N"/>
    <s v="T20"/>
    <s v="Y"/>
    <s v="N"/>
    <s v="N"/>
    <s v="N"/>
    <s v="B016"/>
    <d v="2016-12-16T00:00:00"/>
    <s v="10"/>
    <s v="TAN"/>
    <s v="OR"/>
    <d v="2016-12-12T00:00:00"/>
    <s v="WY"/>
    <s v="US"/>
    <s v="ZR"/>
    <d v="2016-12-13T00:00:00"/>
  </r>
  <r>
    <x v="1"/>
    <x v="5"/>
    <x v="2783"/>
    <x v="9"/>
    <s v="Standard order"/>
    <x v="2661"/>
    <x v="651"/>
    <s v="353N"/>
    <s v="BTS 353N"/>
    <s v="5002522"/>
    <s v="353N BTS T20 PB SYSTIVA P200"/>
    <n v="24"/>
    <n v="0"/>
    <n v="24"/>
    <x v="5"/>
    <s v="EENZ"/>
    <s v="PRO 200"/>
    <s v="322"/>
    <s v="4.0 UN"/>
    <s v="STANDARD"/>
    <s v="N"/>
    <s v="Y"/>
    <s v="N"/>
    <s v="T20"/>
    <s v="Y"/>
    <s v="N"/>
    <s v="N"/>
    <s v="N"/>
    <s v="B016"/>
    <d v="2016-12-16T00:00:00"/>
    <s v="20"/>
    <s v="TAN"/>
    <s v="OR"/>
    <d v="2016-12-12T00:00:00"/>
    <s v="WY"/>
    <s v="US"/>
    <s v="ZR"/>
    <d v="2016-12-13T00:00:00"/>
  </r>
  <r>
    <x v="1"/>
    <x v="2"/>
    <x v="2784"/>
    <x v="22"/>
    <s v="Standard order"/>
    <x v="2662"/>
    <x v="657"/>
    <s v="64SN"/>
    <s v="BTS 64SN"/>
    <s v="5002420"/>
    <s v="64SN BTS T20 PB SYSTIVA P100"/>
    <n v="40"/>
    <n v="0"/>
    <n v="40"/>
    <x v="2"/>
    <s v="DVNB"/>
    <s v="PRO 100"/>
    <s v="322"/>
    <s v="4.0 UN"/>
    <s v="STANDARD"/>
    <s v="N"/>
    <s v="N"/>
    <s v="N"/>
    <s v="T20"/>
    <s v="Y"/>
    <s v="N"/>
    <s v="Y"/>
    <s v="N"/>
    <s v="B018"/>
    <d v="2016-12-16T00:00:00"/>
    <s v="10"/>
    <s v="TAN"/>
    <s v="OR"/>
    <d v="2016-12-12T00:00:00"/>
    <s v="CO"/>
    <s v="US"/>
    <s v="ZR"/>
    <d v="2016-12-13T00:00:00"/>
  </r>
  <r>
    <x v="1"/>
    <x v="2"/>
    <x v="2784"/>
    <x v="22"/>
    <s v="Standard order"/>
    <x v="2662"/>
    <x v="657"/>
    <s v="630N"/>
    <s v="BTS 630N"/>
    <s v="5002402"/>
    <s v="630N BTS T20 PB SYSTIVA P100"/>
    <n v="24"/>
    <n v="0"/>
    <n v="24"/>
    <x v="2"/>
    <s v="DW73"/>
    <s v="PRO 100"/>
    <s v="322"/>
    <s v="4.0 UN"/>
    <s v="STANDARD"/>
    <s v="N"/>
    <s v="N"/>
    <s v="N"/>
    <s v="T20"/>
    <s v="Y"/>
    <s v="N"/>
    <s v="Y"/>
    <s v="N"/>
    <s v="B018"/>
    <d v="2016-12-16T00:00:00"/>
    <s v="20"/>
    <s v="TAN"/>
    <s v="OR"/>
    <d v="2016-12-12T00:00:00"/>
    <s v="CO"/>
    <s v="US"/>
    <s v="ZR"/>
    <d v="2016-12-13T00:00:00"/>
  </r>
  <r>
    <x v="1"/>
    <x v="2"/>
    <x v="2784"/>
    <x v="22"/>
    <s v="Standard order"/>
    <x v="2662"/>
    <x v="657"/>
    <s v="628N"/>
    <s v="BTS 62RR8N"/>
    <s v="5002683"/>
    <s v="628N BTS T20 PB SYSTIVA P100"/>
    <n v="20"/>
    <n v="0"/>
    <n v="20"/>
    <x v="2"/>
    <s v="BL73"/>
    <s v="PRO 100"/>
    <s v="322"/>
    <s v="4.0 UN"/>
    <s v="STANDARD"/>
    <s v="N"/>
    <s v="N"/>
    <s v="N"/>
    <s v="T20"/>
    <s v="Y"/>
    <s v="N"/>
    <s v="Y"/>
    <s v="N"/>
    <s v="B018"/>
    <d v="2016-12-16T00:00:00"/>
    <s v="30"/>
    <s v="TAN"/>
    <s v="OR"/>
    <d v="2016-12-12T00:00:00"/>
    <s v="CO"/>
    <s v="US"/>
    <s v="ZR"/>
    <d v="2016-12-13T00:00:00"/>
  </r>
  <r>
    <x v="1"/>
    <x v="5"/>
    <x v="2785"/>
    <x v="9"/>
    <s v="Standard order"/>
    <x v="2663"/>
    <x v="2321"/>
    <s v="3650"/>
    <s v="BTS 36RR50"/>
    <s v="5002546"/>
    <s v="3650 BTS T20 PB SYSTIVA P200"/>
    <n v="124"/>
    <n v="0"/>
    <n v="124"/>
    <x v="5"/>
    <s v="4DAY"/>
    <s v="PRO 200"/>
    <s v="322"/>
    <s v="4.0 UN"/>
    <s v="STANDARD"/>
    <s v="N"/>
    <s v="Y"/>
    <s v="N"/>
    <s v="T20"/>
    <s v="Y"/>
    <s v="N"/>
    <s v="N"/>
    <s v="N"/>
    <s v="B016"/>
    <d v="2016-12-16T00:00:00"/>
    <s v="10"/>
    <s v="TAN"/>
    <s v="OR"/>
    <d v="2016-12-12T00:00:00"/>
    <s v="WY"/>
    <s v="US"/>
    <s v="ZR"/>
    <d v="2016-12-13T00:00:00"/>
  </r>
  <r>
    <x v="1"/>
    <x v="2"/>
    <x v="2786"/>
    <x v="5"/>
    <s v="Standard order"/>
    <x v="2664"/>
    <x v="2322"/>
    <s v="6543"/>
    <s v="BTS 6543"/>
    <s v="5002438"/>
    <s v="6543 BTS T20 PB SYSTIVA P100"/>
    <n v="8"/>
    <n v="0"/>
    <n v="8"/>
    <x v="2"/>
    <s v="FXND"/>
    <s v="PRO 100"/>
    <s v="322"/>
    <s v="4.0 UN"/>
    <s v="STANDARD"/>
    <s v="N"/>
    <s v="N"/>
    <s v="N"/>
    <s v="T20"/>
    <s v="Y"/>
    <s v="N"/>
    <s v="Y"/>
    <s v="N"/>
    <s v="B020"/>
    <d v="2016-12-16T00:00:00"/>
    <s v="10"/>
    <s v="TAN"/>
    <s v="OR"/>
    <d v="2016-12-13T00:00:00"/>
    <s v="CO"/>
    <s v="US"/>
    <s v="ZR"/>
    <d v="2016-12-13T00:00:00"/>
  </r>
  <r>
    <x v="1"/>
    <x v="0"/>
    <x v="2787"/>
    <x v="57"/>
    <s v="Standard order"/>
    <x v="2665"/>
    <x v="1048"/>
    <s v="1399"/>
    <s v="BTS 1399"/>
    <s v="5002346"/>
    <s v="1399 BTS T20 Kabina MP"/>
    <n v="60"/>
    <n v="0"/>
    <n v="60"/>
    <x v="0"/>
    <s v="EG74"/>
    <s v="MP"/>
    <s v="380"/>
    <s v="4.0 UN"/>
    <s v="STANDARD"/>
    <s v="N"/>
    <s v="N"/>
    <s v="Y"/>
    <s v="T20"/>
    <s v="N"/>
    <s v="N"/>
    <s v="N"/>
    <s v="N"/>
    <s v="B008"/>
    <d v="2016-12-16T00:00:00"/>
    <s v="10"/>
    <s v="TAN"/>
    <s v="OR"/>
    <d v="2016-12-13T00:00:00"/>
    <s v="MI"/>
    <s v="US"/>
    <s v="ZR"/>
    <d v="2016-12-13T00:00:00"/>
  </r>
  <r>
    <x v="1"/>
    <x v="4"/>
    <x v="2788"/>
    <x v="44"/>
    <s v="Standard order"/>
    <x v="2666"/>
    <x v="2323"/>
    <s v="225N"/>
    <s v="BTS 22RR5N"/>
    <s v="5002111"/>
    <s v="225N BTS PB LRG"/>
    <n v="44"/>
    <n v="0"/>
    <n v="44"/>
    <x v="4"/>
    <s v="4TBD"/>
    <s v="LARGE"/>
    <s v="307"/>
    <s v="4.0 UN"/>
    <s v="STANDARD"/>
    <s v="N"/>
    <s v="Y"/>
    <s v="N"/>
    <s v="N"/>
    <s v="N"/>
    <s v="N"/>
    <s v="N"/>
    <s v="N"/>
    <s v="MB13"/>
    <d v="2016-12-16T00:00:00"/>
    <s v="10"/>
    <s v="TAN"/>
    <s v="OR"/>
    <d v="2016-12-12T00:00:00"/>
    <s v="ID"/>
    <s v="US"/>
    <s v="ZR"/>
    <d v="2016-12-13T00:00:00"/>
  </r>
  <r>
    <x v="1"/>
    <x v="4"/>
    <x v="2788"/>
    <x v="44"/>
    <s v="Standard order"/>
    <x v="2666"/>
    <x v="2323"/>
    <s v="2523"/>
    <s v="BTS 2523"/>
    <s v="5002527"/>
    <s v="2523 BTS PB LRG"/>
    <n v="44"/>
    <n v="0"/>
    <n v="44"/>
    <x v="4"/>
    <s v="EZPC"/>
    <s v="LARGE"/>
    <s v="307"/>
    <s v="4.0 UN"/>
    <s v="STANDARD"/>
    <s v="N"/>
    <s v="Y"/>
    <s v="N"/>
    <s v="N"/>
    <s v="N"/>
    <s v="N"/>
    <s v="N"/>
    <s v="N"/>
    <s v="MB13"/>
    <d v="2016-12-16T00:00:00"/>
    <s v="20"/>
    <s v="TAN"/>
    <s v="OR"/>
    <d v="2016-12-12T00:00:00"/>
    <s v="ID"/>
    <s v="US"/>
    <s v="ZR"/>
    <d v="2016-12-13T00:00:00"/>
  </r>
  <r>
    <x v="1"/>
    <x v="4"/>
    <x v="2789"/>
    <x v="47"/>
    <s v="Standard order"/>
    <x v="2667"/>
    <x v="2324"/>
    <s v="2523"/>
    <s v="BTS 2523"/>
    <s v="5002527"/>
    <s v="2523 BTS PB LRG"/>
    <n v="48"/>
    <n v="0"/>
    <n v="48"/>
    <x v="4"/>
    <s v="EZPC"/>
    <s v="LARGE"/>
    <s v="307"/>
    <s v="4.0 UN"/>
    <s v="STANDARD"/>
    <s v="N"/>
    <s v="Y"/>
    <s v="N"/>
    <s v="N"/>
    <s v="N"/>
    <s v="N"/>
    <s v="N"/>
    <s v="N"/>
    <s v="B050"/>
    <d v="2016-12-16T00:00:00"/>
    <s v="10"/>
    <s v="TAN"/>
    <s v="OR"/>
    <d v="2016-12-13T00:00:00"/>
    <s v="ID"/>
    <s v="US"/>
    <s v="ZR"/>
    <d v="2016-12-13T00:00:00"/>
  </r>
  <r>
    <x v="1"/>
    <x v="4"/>
    <x v="2789"/>
    <x v="47"/>
    <s v="Standard order"/>
    <x v="2667"/>
    <x v="2324"/>
    <s v="2125"/>
    <s v="BTS 21RR25"/>
    <s v="5002379"/>
    <s v="2125 BTS LRG"/>
    <n v="20"/>
    <n v="0"/>
    <n v="20"/>
    <x v="4"/>
    <s v="AP92"/>
    <s v="LARGE"/>
    <s v="306"/>
    <s v="4.0 UN"/>
    <s v="STANDARD"/>
    <s v="N"/>
    <s v="N"/>
    <s v="N"/>
    <s v="N"/>
    <s v="N"/>
    <s v="N"/>
    <s v="N"/>
    <s v="N"/>
    <s v="B050"/>
    <d v="2016-12-16T00:00:00"/>
    <s v="20"/>
    <s v="TAN"/>
    <s v="OR"/>
    <d v="2016-12-13T00:00:00"/>
    <s v="ID"/>
    <s v="US"/>
    <s v="ZR"/>
    <d v="2016-12-13T00:00:00"/>
  </r>
  <r>
    <x v="1"/>
    <x v="2"/>
    <x v="2790"/>
    <x v="3"/>
    <s v="Standard order"/>
    <x v="2668"/>
    <x v="678"/>
    <s v="6027"/>
    <s v="BTS 60RR27"/>
    <s v="5002645"/>
    <s v="6027 BTS T20 PB SYSTIVA P100 WSS"/>
    <n v="60"/>
    <n v="0"/>
    <n v="60"/>
    <x v="2"/>
    <s v="APMC"/>
    <s v="PRO 100"/>
    <s v="322"/>
    <s v="4.0 UN"/>
    <s v="STANDARD"/>
    <s v="N"/>
    <s v="N"/>
    <s v="N"/>
    <s v="T20"/>
    <s v="Y"/>
    <s v="N"/>
    <s v="Y"/>
    <s v="N"/>
    <s v="B024"/>
    <d v="2016-12-16T00:00:00"/>
    <s v="10"/>
    <s v="TAN"/>
    <s v="OR"/>
    <d v="2016-12-13T00:00:00"/>
    <s v="NE"/>
    <s v="US"/>
    <s v="ZR"/>
    <d v="2016-12-13T00:00:00"/>
  </r>
  <r>
    <x v="1"/>
    <x v="2"/>
    <x v="2790"/>
    <x v="3"/>
    <s v="Standard order"/>
    <x v="2668"/>
    <x v="678"/>
    <s v="630N"/>
    <s v="BTS 630N"/>
    <s v="5002402"/>
    <s v="630N BTS T20 PB SYSTIVA P100"/>
    <n v="60"/>
    <n v="0"/>
    <n v="60"/>
    <x v="2"/>
    <s v="DW73"/>
    <s v="PRO 100"/>
    <s v="322"/>
    <s v="4.0 UN"/>
    <s v="STANDARD"/>
    <s v="N"/>
    <s v="N"/>
    <s v="N"/>
    <s v="T20"/>
    <s v="Y"/>
    <s v="N"/>
    <s v="Y"/>
    <s v="N"/>
    <s v="B024"/>
    <d v="2016-12-16T00:00:00"/>
    <s v="20"/>
    <s v="TAN"/>
    <s v="OR"/>
    <d v="2016-12-13T00:00:00"/>
    <s v="NE"/>
    <s v="US"/>
    <s v="ZR"/>
    <d v="2016-12-13T00:00:00"/>
  </r>
  <r>
    <x v="1"/>
    <x v="4"/>
    <x v="2791"/>
    <x v="44"/>
    <s v="Standard order"/>
    <x v="2669"/>
    <x v="440"/>
    <s v="225N"/>
    <s v="BTS 22RR5N"/>
    <s v="5002119"/>
    <s v="225N BTS PB XL"/>
    <n v="92"/>
    <n v="0"/>
    <n v="92"/>
    <x v="4"/>
    <s v="4TBD"/>
    <s v="X-LARGE"/>
    <s v="307"/>
    <s v="4.0 UN"/>
    <s v="STANDARD"/>
    <s v="N"/>
    <s v="Y"/>
    <s v="N"/>
    <s v="N"/>
    <s v="N"/>
    <s v="N"/>
    <s v="N"/>
    <s v="N"/>
    <s v="MB13"/>
    <d v="2016-12-16T00:00:00"/>
    <s v="10"/>
    <s v="TAN"/>
    <s v="OR"/>
    <d v="2016-12-13T00:00:00"/>
    <s v="OR"/>
    <s v="US"/>
    <s v="ZR"/>
    <d v="2016-12-13T00:00:00"/>
  </r>
  <r>
    <x v="1"/>
    <x v="5"/>
    <x v="2792"/>
    <x v="12"/>
    <s v="Standard order"/>
    <x v="2670"/>
    <x v="2325"/>
    <s v="336N"/>
    <s v="BTS 336N"/>
    <s v="5002199"/>
    <s v="336N BTS T20 PB SYSTIVA P200"/>
    <n v="364"/>
    <n v="0"/>
    <n v="364"/>
    <x v="5"/>
    <s v="EEMG"/>
    <s v="PRO 200"/>
    <s v="322"/>
    <s v="4.0 UN"/>
    <s v="STANDARD"/>
    <s v="N"/>
    <s v="N"/>
    <s v="N"/>
    <s v="T20"/>
    <s v="Y"/>
    <s v="N"/>
    <s v="N"/>
    <s v="N"/>
    <s v="B014"/>
    <d v="2016-12-16T00:00:00"/>
    <s v="10"/>
    <s v="TAN"/>
    <s v="OR"/>
    <d v="2016-12-13T00:00:00"/>
    <s v="MT"/>
    <s v="US"/>
    <s v="ZR"/>
    <d v="2016-12-13T00:00:00"/>
  </r>
  <r>
    <x v="1"/>
    <x v="5"/>
    <x v="2792"/>
    <x v="12"/>
    <s v="Standard order"/>
    <x v="2670"/>
    <x v="2325"/>
    <s v="353N"/>
    <s v="BTS 353N"/>
    <s v="5002522"/>
    <s v="353N BTS T20 PB SYSTIVA P200"/>
    <n v="44"/>
    <n v="0"/>
    <n v="44"/>
    <x v="5"/>
    <s v="EENZ"/>
    <s v="PRO 200"/>
    <s v="322"/>
    <s v="4.0 UN"/>
    <s v="STANDARD"/>
    <s v="N"/>
    <s v="Y"/>
    <s v="N"/>
    <s v="T20"/>
    <s v="Y"/>
    <s v="N"/>
    <s v="N"/>
    <s v="N"/>
    <s v="B014"/>
    <d v="2016-12-16T00:00:00"/>
    <s v="20"/>
    <s v="TAN"/>
    <s v="OR"/>
    <d v="2016-12-13T00:00:00"/>
    <s v="MT"/>
    <s v="US"/>
    <s v="ZR"/>
    <d v="2016-12-13T00:00:00"/>
  </r>
  <r>
    <x v="1"/>
    <x v="7"/>
    <x v="2793"/>
    <x v="36"/>
    <s v="Standard order"/>
    <x v="2671"/>
    <x v="2326"/>
    <s v="8500"/>
    <s v="BTS 8500"/>
    <s v="5002843"/>
    <s v="8500 BTS T20 PB SYSTIVA MP"/>
    <n v="136"/>
    <n v="0"/>
    <n v="136"/>
    <x v="7"/>
    <s v="FTND"/>
    <s v="MP"/>
    <s v="322"/>
    <s v="4.0 UN"/>
    <s v="STANDARD"/>
    <s v="N"/>
    <s v="N"/>
    <s v="N"/>
    <s v="T20"/>
    <s v="Y"/>
    <s v="N"/>
    <s v="Y"/>
    <s v="N"/>
    <s v="B027"/>
    <d v="2016-12-16T00:00:00"/>
    <s v="10"/>
    <s v="TAN"/>
    <s v="OR"/>
    <d v="2016-12-13T00:00:00"/>
    <s v="MN"/>
    <s v="US"/>
    <s v="ZR"/>
    <d v="2016-12-13T00:00:00"/>
  </r>
  <r>
    <x v="1"/>
    <x v="2"/>
    <x v="2794"/>
    <x v="5"/>
    <s v="Standard order"/>
    <x v="2672"/>
    <x v="691"/>
    <s v="6027"/>
    <s v="BTS 60RR27"/>
    <s v="5002645"/>
    <s v="6027 BTS T20 PB SYSTIVA P100 WSS"/>
    <n v="24"/>
    <n v="0"/>
    <n v="24"/>
    <x v="2"/>
    <s v="APMC"/>
    <s v="PRO 100"/>
    <s v="322"/>
    <s v="4.0 UN"/>
    <s v="STANDARD"/>
    <s v="N"/>
    <s v="N"/>
    <s v="N"/>
    <s v="T20"/>
    <s v="Y"/>
    <s v="N"/>
    <s v="Y"/>
    <s v="N"/>
    <s v="B020"/>
    <d v="2016-12-16T00:00:00"/>
    <s v="10"/>
    <s v="TAN"/>
    <s v="OR"/>
    <d v="2016-12-13T00:00:00"/>
    <s v="CO"/>
    <s v="US"/>
    <s v="ZR"/>
    <d v="2016-12-13T00:00:00"/>
  </r>
  <r>
    <x v="1"/>
    <x v="4"/>
    <x v="2795"/>
    <x v="47"/>
    <s v="Standard order"/>
    <x v="2673"/>
    <x v="2327"/>
    <s v="251N"/>
    <s v="BTS 251N"/>
    <s v="5002192"/>
    <s v="251N BTS PB MED"/>
    <n v="40"/>
    <n v="0"/>
    <n v="40"/>
    <x v="4"/>
    <s v="5HBR"/>
    <s v="MEDIUM"/>
    <s v="307"/>
    <s v="4.0 UN"/>
    <s v="STANDARD"/>
    <s v="N"/>
    <s v="Y"/>
    <s v="N"/>
    <s v="N"/>
    <s v="N"/>
    <s v="N"/>
    <s v="N"/>
    <s v="N"/>
    <s v="B050"/>
    <d v="2016-12-16T00:00:00"/>
    <s v="10"/>
    <s v="TAN"/>
    <s v="OR"/>
    <d v="2016-12-13T00:00:00"/>
    <s v="ID"/>
    <s v="US"/>
    <s v="ZR"/>
    <d v="2016-12-13T00:00:00"/>
  </r>
  <r>
    <x v="1"/>
    <x v="4"/>
    <x v="2795"/>
    <x v="47"/>
    <s v="Standard order"/>
    <x v="2673"/>
    <x v="2327"/>
    <s v="225N"/>
    <s v="BTS 22RR5N"/>
    <s v="5002112"/>
    <s v="225N BTS PB MED"/>
    <n v="28"/>
    <n v="0"/>
    <n v="28"/>
    <x v="4"/>
    <s v="4TBD"/>
    <s v="MEDIUM"/>
    <s v="307"/>
    <s v="4.0 UN"/>
    <s v="STANDARD"/>
    <s v="N"/>
    <s v="Y"/>
    <s v="N"/>
    <s v="N"/>
    <s v="N"/>
    <s v="N"/>
    <s v="N"/>
    <s v="N"/>
    <s v="B050"/>
    <d v="2016-12-16T00:00:00"/>
    <s v="20"/>
    <s v="TAN"/>
    <s v="OR"/>
    <d v="2016-12-13T00:00:00"/>
    <s v="ID"/>
    <s v="US"/>
    <s v="ZR"/>
    <d v="2016-12-13T00:00:00"/>
  </r>
  <r>
    <x v="1"/>
    <x v="4"/>
    <x v="2795"/>
    <x v="47"/>
    <s v="Standard order"/>
    <x v="2673"/>
    <x v="2327"/>
    <s v="2559"/>
    <s v="BTS 2559"/>
    <s v="5002559"/>
    <s v="2559 BTS PB MED"/>
    <n v="48"/>
    <n v="0"/>
    <n v="48"/>
    <x v="4"/>
    <s v="FGNE"/>
    <s v="MEDIUM"/>
    <s v="307"/>
    <s v="4.0 UN"/>
    <s v="STANDARD"/>
    <s v="N"/>
    <s v="Y"/>
    <s v="N"/>
    <s v="N"/>
    <s v="N"/>
    <s v="N"/>
    <s v="N"/>
    <s v="N"/>
    <s v="B050"/>
    <d v="2016-12-16T00:00:00"/>
    <s v="30"/>
    <s v="TAN"/>
    <s v="OR"/>
    <d v="2016-12-13T00:00:00"/>
    <s v="ID"/>
    <s v="US"/>
    <s v="ZR"/>
    <d v="2016-12-13T00:00:00"/>
  </r>
  <r>
    <x v="1"/>
    <x v="2"/>
    <x v="2796"/>
    <x v="3"/>
    <s v="Standard order"/>
    <x v="2674"/>
    <x v="670"/>
    <s v="628N"/>
    <s v="BTS 62RR8N"/>
    <s v="5002683"/>
    <s v="628N BTS T20 PB SYSTIVA P100"/>
    <n v="64"/>
    <n v="0"/>
    <n v="64"/>
    <x v="2"/>
    <s v="BL73"/>
    <s v="PRO 100"/>
    <s v="322"/>
    <s v="4.0 UN"/>
    <s v="STANDARD"/>
    <s v="N"/>
    <s v="N"/>
    <s v="N"/>
    <s v="T20"/>
    <s v="Y"/>
    <s v="N"/>
    <s v="Y"/>
    <s v="N"/>
    <s v="B024"/>
    <d v="2016-12-16T00:00:00"/>
    <s v="10"/>
    <s v="TAN"/>
    <s v="OR"/>
    <d v="2016-12-13T00:00:00"/>
    <s v="NE"/>
    <s v="US"/>
    <s v="ZR"/>
    <d v="2016-12-13T00:00:00"/>
  </r>
  <r>
    <x v="1"/>
    <x v="6"/>
    <x v="2797"/>
    <x v="51"/>
    <s v="Standard order"/>
    <x v="2675"/>
    <x v="554"/>
    <s v="444N"/>
    <s v="BTS 444N"/>
    <s v="5002226"/>
    <s v="444N BTS T20 PB SYSTIVA P100"/>
    <n v="8"/>
    <n v="0"/>
    <n v="8"/>
    <x v="6"/>
    <s v="DVND"/>
    <s v="PRO 100"/>
    <s v="322"/>
    <s v="4.0 UN"/>
    <s v="STANDARD"/>
    <s v="N"/>
    <s v="N"/>
    <s v="N"/>
    <s v="T20"/>
    <s v="Y"/>
    <s v="N"/>
    <s v="Y"/>
    <s v="N"/>
    <s v="B011"/>
    <d v="2016-12-16T00:00:00"/>
    <s v="10"/>
    <s v="TAN"/>
    <s v="OR"/>
    <d v="2016-12-13T00:00:00"/>
    <s v="MT"/>
    <s v="US"/>
    <s v="ZR"/>
    <d v="2016-12-13T00:00:00"/>
  </r>
  <r>
    <x v="1"/>
    <x v="2"/>
    <x v="2798"/>
    <x v="5"/>
    <s v="Standard order"/>
    <x v="2676"/>
    <x v="2328"/>
    <s v="628N"/>
    <s v="BTS 62RR8N"/>
    <s v="5002685"/>
    <s v="628N BTS T20 PB SYSTIVA P50"/>
    <n v="8"/>
    <n v="0"/>
    <n v="8"/>
    <x v="2"/>
    <s v="BL73"/>
    <s v="PRO 50"/>
    <s v="322"/>
    <s v="4.0 UN"/>
    <s v="STANDARD"/>
    <s v="N"/>
    <s v="N"/>
    <s v="N"/>
    <s v="T20"/>
    <s v="Y"/>
    <s v="N"/>
    <s v="Y"/>
    <s v="N"/>
    <s v="B020"/>
    <d v="2016-12-16T00:00:00"/>
    <s v="10"/>
    <s v="TAN"/>
    <s v="OR"/>
    <d v="2016-12-13T00:00:00"/>
    <s v="CO"/>
    <s v="US"/>
    <s v="ZR"/>
    <d v="2016-12-13T00:00:00"/>
  </r>
  <r>
    <x v="1"/>
    <x v="2"/>
    <x v="2798"/>
    <x v="5"/>
    <s v="Standard order"/>
    <x v="2676"/>
    <x v="2328"/>
    <s v="64SN"/>
    <s v="BTS 64SN"/>
    <s v="5002422"/>
    <s v="64SN BTS T20 PB SYSTIVA P50"/>
    <n v="8"/>
    <n v="0"/>
    <n v="8"/>
    <x v="2"/>
    <s v="DVNB"/>
    <s v="PRO 50"/>
    <s v="322"/>
    <s v="4.0 UN"/>
    <s v="STANDARD"/>
    <s v="N"/>
    <s v="N"/>
    <s v="N"/>
    <s v="T20"/>
    <s v="Y"/>
    <s v="N"/>
    <s v="Y"/>
    <s v="N"/>
    <s v="B020"/>
    <d v="2016-12-16T00:00:00"/>
    <s v="20"/>
    <s v="TAN"/>
    <s v="OR"/>
    <d v="2016-12-13T00:00:00"/>
    <s v="CO"/>
    <s v="US"/>
    <s v="ZR"/>
    <d v="2016-12-13T00:00:00"/>
  </r>
  <r>
    <x v="1"/>
    <x v="4"/>
    <x v="2799"/>
    <x v="50"/>
    <s v="Standard order"/>
    <x v="2677"/>
    <x v="2329"/>
    <s v="2570"/>
    <s v="BTS 2570"/>
    <s v="5002551"/>
    <s v="2570 BTS PB MED"/>
    <n v="16"/>
    <n v="0"/>
    <n v="16"/>
    <x v="4"/>
    <s v="EZNS"/>
    <s v="MEDIUM"/>
    <s v="307"/>
    <s v="4.0 UN"/>
    <s v="STANDARD"/>
    <s v="N"/>
    <s v="Y"/>
    <s v="N"/>
    <s v="N"/>
    <s v="N"/>
    <s v="N"/>
    <s v="N"/>
    <s v="N"/>
    <s v="B047"/>
    <d v="2016-12-16T00:00:00"/>
    <s v="10"/>
    <s v="TAN"/>
    <s v="OR"/>
    <d v="2016-12-13T00:00:00"/>
    <s v="ID"/>
    <s v="US"/>
    <s v="ZR"/>
    <d v="2016-12-13T00:00:00"/>
  </r>
  <r>
    <x v="1"/>
    <x v="0"/>
    <x v="2800"/>
    <x v="56"/>
    <s v="Standard order"/>
    <x v="2678"/>
    <x v="2330"/>
    <s v="1399"/>
    <s v="BTS 1399"/>
    <s v="5002338"/>
    <s v="1399 BTS CM Vibrance RP"/>
    <n v="32"/>
    <n v="0"/>
    <n v="32"/>
    <x v="0"/>
    <s v="EG74"/>
    <s v="RP"/>
    <s v="366"/>
    <s v="4.0 UN"/>
    <s v="STANDARD"/>
    <s v="Y"/>
    <s v="N"/>
    <s v="N"/>
    <s v="N"/>
    <s v="N"/>
    <s v="N"/>
    <s v="N"/>
    <s v="Y"/>
    <s v="B010"/>
    <d v="2016-12-16T00:00:00"/>
    <s v="10"/>
    <s v="TAN"/>
    <s v="OR"/>
    <d v="2016-12-13T00:00:00"/>
    <s v="ON"/>
    <s v="CA"/>
    <s v="ZR"/>
    <d v="2016-12-13T00:00:00"/>
  </r>
  <r>
    <x v="1"/>
    <x v="0"/>
    <x v="2800"/>
    <x v="56"/>
    <s v="Standard order"/>
    <x v="2678"/>
    <x v="2330"/>
    <s v="149N"/>
    <s v="BTS 149N"/>
    <s v="5002358"/>
    <s v="149N BTS CM Vibrance RP"/>
    <n v="40"/>
    <n v="0"/>
    <n v="40"/>
    <x v="0"/>
    <s v="EEND"/>
    <s v="RP"/>
    <s v="366"/>
    <s v="4.0 UN"/>
    <s v="STANDARD"/>
    <s v="Y"/>
    <s v="N"/>
    <s v="N"/>
    <s v="N"/>
    <s v="N"/>
    <s v="N"/>
    <s v="N"/>
    <s v="Y"/>
    <s v="B010"/>
    <d v="2016-12-16T00:00:00"/>
    <s v="20"/>
    <s v="TAN"/>
    <s v="OR"/>
    <d v="2016-12-13T00:00:00"/>
    <s v="ON"/>
    <s v="CA"/>
    <s v="ZR"/>
    <d v="2016-12-13T00:00:00"/>
  </r>
  <r>
    <x v="1"/>
    <x v="0"/>
    <x v="2801"/>
    <x v="56"/>
    <s v="Standard order"/>
    <x v="2679"/>
    <x v="2331"/>
    <s v="1399"/>
    <s v="BTS 1399"/>
    <s v="5002355"/>
    <s v="1399 BTS Vibrance RP"/>
    <n v="60"/>
    <n v="0"/>
    <n v="60"/>
    <x v="0"/>
    <s v="EG74"/>
    <s v="RP"/>
    <s v="365"/>
    <s v="4.0 UN"/>
    <s v="STANDARD"/>
    <s v="N"/>
    <s v="N"/>
    <s v="N"/>
    <s v="N"/>
    <s v="N"/>
    <s v="N"/>
    <s v="N"/>
    <s v="Y"/>
    <s v="B010"/>
    <d v="2016-12-16T00:00:00"/>
    <s v="10"/>
    <s v="TAN"/>
    <s v="OR"/>
    <d v="2016-12-13T00:00:00"/>
    <s v="ON"/>
    <s v="CA"/>
    <s v="ZR"/>
    <d v="2016-12-13T00:00:00"/>
  </r>
  <r>
    <x v="1"/>
    <x v="0"/>
    <x v="2801"/>
    <x v="56"/>
    <s v="Standard order"/>
    <x v="2679"/>
    <x v="2331"/>
    <s v="149N"/>
    <s v="BTS 149N"/>
    <s v="5002375"/>
    <s v="149N BTS Vibrance RP"/>
    <n v="20"/>
    <n v="0"/>
    <n v="20"/>
    <x v="0"/>
    <s v="EEND"/>
    <s v="RP"/>
    <s v="365"/>
    <s v="4.0 UN"/>
    <s v="STANDARD"/>
    <s v="N"/>
    <s v="N"/>
    <s v="N"/>
    <s v="N"/>
    <s v="N"/>
    <s v="N"/>
    <s v="N"/>
    <s v="Y"/>
    <s v="B010"/>
    <d v="2016-12-16T00:00:00"/>
    <s v="20"/>
    <s v="TAN"/>
    <s v="OR"/>
    <d v="2016-12-13T00:00:00"/>
    <s v="ON"/>
    <s v="CA"/>
    <s v="ZR"/>
    <d v="2016-12-13T00:00:00"/>
  </r>
  <r>
    <x v="1"/>
    <x v="0"/>
    <x v="2801"/>
    <x v="56"/>
    <s v="Standard order"/>
    <x v="2679"/>
    <x v="2331"/>
    <s v="122N"/>
    <s v="BTS 12RR2N"/>
    <s v="5002318"/>
    <s v="122N BTS Vibrance RP"/>
    <n v="20"/>
    <n v="0"/>
    <n v="20"/>
    <x v="0"/>
    <s v="4TBG"/>
    <s v="RP"/>
    <s v="365"/>
    <s v="4.0 UN"/>
    <s v="STANDARD"/>
    <s v="N"/>
    <s v="N"/>
    <s v="N"/>
    <s v="N"/>
    <s v="N"/>
    <s v="N"/>
    <s v="N"/>
    <s v="Y"/>
    <s v="B010"/>
    <d v="2016-12-16T00:00:00"/>
    <s v="30"/>
    <s v="TAN"/>
    <s v="OR"/>
    <d v="2016-12-13T00:00:00"/>
    <s v="ON"/>
    <s v="CA"/>
    <s v="ZR"/>
    <d v="2016-12-13T00:00:00"/>
  </r>
  <r>
    <x v="1"/>
    <x v="0"/>
    <x v="2802"/>
    <x v="56"/>
    <s v="Standard order"/>
    <x v="2680"/>
    <x v="2332"/>
    <s v="1399"/>
    <s v="BTS 1399"/>
    <s v="5002338"/>
    <s v="1399 BTS CM Vibrance RP"/>
    <n v="20"/>
    <n v="0"/>
    <n v="20"/>
    <x v="0"/>
    <s v="EG74"/>
    <s v="RP"/>
    <s v="366"/>
    <s v="4.0 UN"/>
    <s v="STANDARD"/>
    <s v="Y"/>
    <s v="N"/>
    <s v="N"/>
    <s v="N"/>
    <s v="N"/>
    <s v="N"/>
    <s v="N"/>
    <s v="Y"/>
    <s v="B010"/>
    <d v="2016-12-16T00:00:00"/>
    <s v="10"/>
    <s v="TAN"/>
    <s v="OR"/>
    <d v="2016-12-13T00:00:00"/>
    <s v="ON"/>
    <s v="CA"/>
    <s v="ZR"/>
    <d v="2016-12-13T00:00:00"/>
  </r>
  <r>
    <x v="1"/>
    <x v="0"/>
    <x v="2802"/>
    <x v="56"/>
    <s v="Standard order"/>
    <x v="2680"/>
    <x v="2332"/>
    <s v="149N"/>
    <s v="BTS 149N"/>
    <s v="5002358"/>
    <s v="149N BTS CM Vibrance RP"/>
    <n v="8"/>
    <n v="0"/>
    <n v="8"/>
    <x v="0"/>
    <s v="EEND"/>
    <s v="RP"/>
    <s v="366"/>
    <s v="4.0 UN"/>
    <s v="STANDARD"/>
    <s v="Y"/>
    <s v="N"/>
    <s v="N"/>
    <s v="N"/>
    <s v="N"/>
    <s v="N"/>
    <s v="N"/>
    <s v="Y"/>
    <s v="B010"/>
    <d v="2016-12-16T00:00:00"/>
    <s v="20"/>
    <s v="TAN"/>
    <s v="OR"/>
    <d v="2016-12-13T00:00:00"/>
    <s v="ON"/>
    <s v="CA"/>
    <s v="ZR"/>
    <d v="2016-12-13T00:00:00"/>
  </r>
  <r>
    <x v="1"/>
    <x v="2"/>
    <x v="2803"/>
    <x v="6"/>
    <s v="Standard order"/>
    <x v="2681"/>
    <x v="713"/>
    <s v="628N"/>
    <s v="BTS 62RR8N"/>
    <s v="5002684"/>
    <s v="628N BTS T20 PB SYSTIVA P200"/>
    <n v="28"/>
    <n v="0"/>
    <n v="28"/>
    <x v="2"/>
    <s v="BL73"/>
    <s v="PRO 200"/>
    <s v="322"/>
    <s v="4.0 UN"/>
    <s v="STANDARD"/>
    <s v="N"/>
    <s v="N"/>
    <s v="N"/>
    <s v="T20"/>
    <s v="Y"/>
    <s v="N"/>
    <s v="Y"/>
    <s v="N"/>
    <s v="B025"/>
    <d v="2016-12-16T00:00:00"/>
    <s v="10"/>
    <s v="TAN"/>
    <s v="OR"/>
    <d v="2016-12-13T00:00:00"/>
    <s v="NE"/>
    <s v="US"/>
    <s v="ZR"/>
    <d v="2016-12-13T00:00:00"/>
  </r>
  <r>
    <x v="1"/>
    <x v="2"/>
    <x v="2803"/>
    <x v="6"/>
    <s v="Standard order"/>
    <x v="2681"/>
    <x v="713"/>
    <s v="630N"/>
    <s v="BTS 630N"/>
    <s v="5002403"/>
    <s v="630N BTS T20 PB SYSTIVA P200"/>
    <n v="16"/>
    <n v="0"/>
    <n v="16"/>
    <x v="2"/>
    <s v="DW73"/>
    <s v="PRO 200"/>
    <s v="322"/>
    <s v="4.0 UN"/>
    <s v="STANDARD"/>
    <s v="N"/>
    <s v="N"/>
    <s v="N"/>
    <s v="T20"/>
    <s v="Y"/>
    <s v="N"/>
    <s v="Y"/>
    <s v="N"/>
    <s v="B025"/>
    <d v="2016-12-16T00:00:00"/>
    <s v="20"/>
    <s v="TAN"/>
    <s v="OR"/>
    <d v="2016-12-13T00:00:00"/>
    <s v="NE"/>
    <s v="US"/>
    <s v="ZR"/>
    <d v="2016-12-13T00:00:00"/>
  </r>
  <r>
    <x v="1"/>
    <x v="2"/>
    <x v="2803"/>
    <x v="6"/>
    <s v="Standard order"/>
    <x v="2681"/>
    <x v="713"/>
    <s v="64SN"/>
    <s v="BTS 64SN"/>
    <s v="5002421"/>
    <s v="64SN BTS T20 PB SYSTIVA P200"/>
    <n v="32"/>
    <n v="0"/>
    <n v="32"/>
    <x v="2"/>
    <s v="DVNB"/>
    <s v="PRO 200"/>
    <s v="322"/>
    <s v="4.0 UN"/>
    <s v="STANDARD"/>
    <s v="N"/>
    <s v="N"/>
    <s v="N"/>
    <s v="T20"/>
    <s v="Y"/>
    <s v="N"/>
    <s v="Y"/>
    <s v="N"/>
    <s v="B025"/>
    <d v="2016-12-16T00:00:00"/>
    <s v="30"/>
    <s v="TAN"/>
    <s v="OR"/>
    <d v="2016-12-13T00:00:00"/>
    <s v="NE"/>
    <s v="US"/>
    <s v="ZR"/>
    <d v="2016-12-13T00:00:00"/>
  </r>
  <r>
    <x v="1"/>
    <x v="4"/>
    <x v="2804"/>
    <x v="44"/>
    <s v="Standard order"/>
    <x v="2682"/>
    <x v="2333"/>
    <s v="225N"/>
    <s v="BTS 22RR5N"/>
    <s v="5002119"/>
    <s v="225N BTS PB XL"/>
    <n v="32"/>
    <n v="0"/>
    <n v="32"/>
    <x v="4"/>
    <s v="4TBD"/>
    <s v="X-LARGE"/>
    <s v="307"/>
    <s v="4.0 UN"/>
    <s v="STANDARD"/>
    <s v="N"/>
    <s v="Y"/>
    <s v="N"/>
    <s v="N"/>
    <s v="N"/>
    <s v="N"/>
    <s v="N"/>
    <s v="N"/>
    <s v="MB13"/>
    <d v="2016-12-16T00:00:00"/>
    <s v="10"/>
    <s v="TAN"/>
    <s v="OR"/>
    <d v="2016-12-13T00:00:00"/>
    <s v="OR"/>
    <s v="US"/>
    <s v="ZR"/>
    <d v="2016-12-13T00:00:00"/>
  </r>
  <r>
    <x v="1"/>
    <x v="4"/>
    <x v="2804"/>
    <x v="44"/>
    <s v="Standard order"/>
    <x v="2682"/>
    <x v="2333"/>
    <s v="251N"/>
    <s v="BTS 251N"/>
    <s v="5002196"/>
    <s v="251N BTS PB XL"/>
    <n v="8"/>
    <n v="0"/>
    <n v="8"/>
    <x v="4"/>
    <s v="5HBR"/>
    <s v="X-LARGE"/>
    <s v="307"/>
    <s v="4.0 UN"/>
    <s v="STANDARD"/>
    <s v="N"/>
    <s v="Y"/>
    <s v="N"/>
    <s v="N"/>
    <s v="N"/>
    <s v="N"/>
    <s v="N"/>
    <s v="N"/>
    <s v="MB13"/>
    <d v="2016-12-16T00:00:00"/>
    <s v="20"/>
    <s v="TAN"/>
    <s v="OR"/>
    <d v="2016-12-13T00:00:00"/>
    <s v="OR"/>
    <s v="US"/>
    <s v="ZR"/>
    <d v="2016-12-13T00:00:00"/>
  </r>
  <r>
    <x v="1"/>
    <x v="4"/>
    <x v="2805"/>
    <x v="47"/>
    <s v="Standard order"/>
    <x v="2683"/>
    <x v="2334"/>
    <s v="251N"/>
    <s v="BTS 251N"/>
    <s v="5002194"/>
    <s v="251N BTS PB LRG"/>
    <n v="16"/>
    <n v="0"/>
    <n v="16"/>
    <x v="4"/>
    <s v="5HBR"/>
    <s v="LARGE"/>
    <s v="307"/>
    <s v="4.0 UN"/>
    <s v="STANDARD"/>
    <s v="N"/>
    <s v="Y"/>
    <s v="N"/>
    <s v="N"/>
    <s v="N"/>
    <s v="N"/>
    <s v="N"/>
    <s v="N"/>
    <s v="B050"/>
    <d v="2016-12-16T00:00:00"/>
    <s v="10"/>
    <s v="TAN"/>
    <s v="OR"/>
    <d v="2016-12-13T00:00:00"/>
    <s v="ID"/>
    <s v="US"/>
    <s v="ZR"/>
    <d v="2016-12-13T00:00:00"/>
  </r>
  <r>
    <x v="1"/>
    <x v="4"/>
    <x v="2806"/>
    <x v="46"/>
    <s v="Standard order"/>
    <x v="2684"/>
    <x v="2335"/>
    <s v="2559"/>
    <s v="BTS 2559"/>
    <s v="5002561"/>
    <s v="2559 BTS PB LRG"/>
    <n v="76"/>
    <n v="0"/>
    <n v="76"/>
    <x v="4"/>
    <s v="FGNE"/>
    <s v="LARGE"/>
    <s v="307"/>
    <s v="4.0 UN"/>
    <s v="STANDARD"/>
    <s v="N"/>
    <s v="Y"/>
    <s v="N"/>
    <s v="N"/>
    <s v="N"/>
    <s v="N"/>
    <s v="N"/>
    <s v="N"/>
    <s v="B049"/>
    <d v="2016-12-16T00:00:00"/>
    <s v="10"/>
    <s v="TAN"/>
    <s v="OR"/>
    <d v="2016-12-13T00:00:00"/>
    <s v="ID"/>
    <s v="US"/>
    <s v="ZR"/>
    <d v="2016-12-13T00:00:00"/>
  </r>
  <r>
    <x v="1"/>
    <x v="4"/>
    <x v="2806"/>
    <x v="46"/>
    <s v="Standard order"/>
    <x v="2684"/>
    <x v="2335"/>
    <s v="2523"/>
    <s v="BTS 2523"/>
    <s v="5002527"/>
    <s v="2523 BTS PB LRG"/>
    <n v="96"/>
    <n v="0"/>
    <n v="96"/>
    <x v="4"/>
    <s v="EZPC"/>
    <s v="LARGE"/>
    <s v="307"/>
    <s v="4.0 UN"/>
    <s v="STANDARD"/>
    <s v="N"/>
    <s v="Y"/>
    <s v="N"/>
    <s v="N"/>
    <s v="N"/>
    <s v="N"/>
    <s v="N"/>
    <s v="N"/>
    <s v="B049"/>
    <d v="2016-12-16T00:00:00"/>
    <s v="20"/>
    <s v="TAN"/>
    <s v="OR"/>
    <d v="2016-12-13T00:00:00"/>
    <s v="ID"/>
    <s v="US"/>
    <s v="ZR"/>
    <d v="2016-12-13T00:00:00"/>
  </r>
  <r>
    <x v="1"/>
    <x v="4"/>
    <x v="2806"/>
    <x v="46"/>
    <s v="Standard order"/>
    <x v="2684"/>
    <x v="2335"/>
    <s v="2570"/>
    <s v="BTS 2570"/>
    <s v="5002553"/>
    <s v="2570 BTS PB LRG"/>
    <n v="28"/>
    <n v="0"/>
    <n v="28"/>
    <x v="4"/>
    <s v="EZNS"/>
    <s v="LARGE"/>
    <s v="307"/>
    <s v="4.0 UN"/>
    <s v="STANDARD"/>
    <s v="N"/>
    <s v="Y"/>
    <s v="N"/>
    <s v="N"/>
    <s v="N"/>
    <s v="N"/>
    <s v="N"/>
    <s v="N"/>
    <s v="B049"/>
    <d v="2016-12-16T00:00:00"/>
    <s v="30"/>
    <s v="TAN"/>
    <s v="OR"/>
    <d v="2016-12-13T00:00:00"/>
    <s v="ID"/>
    <s v="US"/>
    <s v="ZR"/>
    <d v="2016-12-13T00:00:00"/>
  </r>
  <r>
    <x v="1"/>
    <x v="4"/>
    <x v="2806"/>
    <x v="46"/>
    <s v="Standard order"/>
    <x v="2684"/>
    <x v="2335"/>
    <s v="4933"/>
    <s v="BTS 49RR33"/>
    <s v="5002272"/>
    <s v="4933 BTS PB LRG IDH"/>
    <n v="252"/>
    <n v="0"/>
    <n v="252"/>
    <x v="4"/>
    <s v="AKMC"/>
    <s v="LARGE"/>
    <s v="307"/>
    <s v="4.0 UN"/>
    <s v="STANDARD"/>
    <s v="N"/>
    <s v="Y"/>
    <s v="N"/>
    <s v="N"/>
    <s v="N"/>
    <s v="N"/>
    <s v="N"/>
    <s v="N"/>
    <s v="B049"/>
    <d v="2016-12-16T00:00:00"/>
    <s v="40"/>
    <s v="TAN"/>
    <s v="OR"/>
    <d v="2016-12-13T00:00:00"/>
    <s v="ID"/>
    <s v="US"/>
    <s v="ZR"/>
    <d v="2016-12-13T00:00:00"/>
  </r>
  <r>
    <x v="1"/>
    <x v="0"/>
    <x v="2807"/>
    <x v="42"/>
    <s v="Standard order"/>
    <x v="2685"/>
    <x v="2336"/>
    <s v="122N"/>
    <s v="BTS 12RR2N"/>
    <s v="5002309"/>
    <s v="122N BTS T20 Kabina MP"/>
    <n v="60"/>
    <n v="0"/>
    <n v="60"/>
    <x v="0"/>
    <s v="4TBG"/>
    <s v="MP"/>
    <s v="380"/>
    <s v="4.0 UN"/>
    <s v="STANDARD"/>
    <s v="N"/>
    <s v="N"/>
    <s v="Y"/>
    <s v="T20"/>
    <s v="N"/>
    <s v="N"/>
    <s v="N"/>
    <s v="N"/>
    <s v="B007"/>
    <d v="2016-12-16T00:00:00"/>
    <s v="10"/>
    <s v="TAN"/>
    <s v="OR"/>
    <d v="2016-12-13T00:00:00"/>
    <s v="MI"/>
    <s v="US"/>
    <s v="ZR"/>
    <d v="2016-12-13T00:00:00"/>
  </r>
  <r>
    <x v="1"/>
    <x v="0"/>
    <x v="2808"/>
    <x v="42"/>
    <s v="Standard order"/>
    <x v="2686"/>
    <x v="2337"/>
    <s v="122N"/>
    <s v="BTS 12RR2N"/>
    <s v="5002309"/>
    <s v="122N BTS T20 Kabina MP"/>
    <n v="72"/>
    <n v="0"/>
    <n v="72"/>
    <x v="0"/>
    <s v="4TBG"/>
    <s v="MP"/>
    <s v="380"/>
    <s v="4.0 UN"/>
    <s v="STANDARD"/>
    <s v="N"/>
    <s v="N"/>
    <s v="Y"/>
    <s v="T20"/>
    <s v="N"/>
    <s v="N"/>
    <s v="N"/>
    <s v="N"/>
    <s v="B007"/>
    <d v="2016-12-16T00:00:00"/>
    <s v="10"/>
    <s v="TAN"/>
    <s v="OR"/>
    <d v="2016-12-13T00:00:00"/>
    <s v="MI"/>
    <s v="US"/>
    <s v="ZR"/>
    <d v="2016-12-13T00:00:00"/>
  </r>
  <r>
    <x v="1"/>
    <x v="4"/>
    <x v="2809"/>
    <x v="52"/>
    <s v="Standard order"/>
    <x v="2687"/>
    <x v="782"/>
    <s v="2570"/>
    <s v="BTS 2570"/>
    <s v="5002555"/>
    <s v="2570 BTS PB XL"/>
    <n v="8"/>
    <n v="0"/>
    <n v="8"/>
    <x v="4"/>
    <s v="EZNS"/>
    <s v="X-LARGE"/>
    <s v="307"/>
    <s v="4.0 UN"/>
    <s v="STANDARD"/>
    <s v="N"/>
    <s v="Y"/>
    <s v="N"/>
    <s v="N"/>
    <s v="N"/>
    <s v="N"/>
    <s v="N"/>
    <s v="N"/>
    <s v="B048"/>
    <d v="2016-12-16T00:00:00"/>
    <s v="10"/>
    <s v="TAN"/>
    <s v="OR"/>
    <d v="2016-12-13T00:00:00"/>
    <s v="ID"/>
    <s v="US"/>
    <s v="ZR"/>
    <d v="2016-12-13T00:00:00"/>
  </r>
  <r>
    <x v="1"/>
    <x v="2"/>
    <x v="2810"/>
    <x v="3"/>
    <s v="Standard order"/>
    <x v="2688"/>
    <x v="2338"/>
    <s v="6027"/>
    <s v="BTS 60RR27"/>
    <s v="5002645"/>
    <s v="6027 BTS T20 PB SYSTIVA P100 WSS"/>
    <n v="64"/>
    <n v="0"/>
    <n v="64"/>
    <x v="2"/>
    <s v="APMC"/>
    <s v="PRO 100"/>
    <s v="322"/>
    <s v="4.0 UN"/>
    <s v="STANDARD"/>
    <s v="N"/>
    <s v="N"/>
    <s v="N"/>
    <s v="T20"/>
    <s v="Y"/>
    <s v="N"/>
    <s v="Y"/>
    <s v="N"/>
    <s v="B024"/>
    <d v="2016-12-16T00:00:00"/>
    <s v="10"/>
    <s v="TAN"/>
    <s v="OR"/>
    <d v="2016-12-13T00:00:00"/>
    <s v="NE"/>
    <s v="US"/>
    <s v="ZR"/>
    <d v="2016-12-13T00:00:00"/>
  </r>
  <r>
    <x v="1"/>
    <x v="4"/>
    <x v="2811"/>
    <x v="52"/>
    <s v="Standard order"/>
    <x v="2689"/>
    <x v="758"/>
    <s v="2570"/>
    <s v="BTS 2570"/>
    <s v="5002555"/>
    <s v="2570 BTS PB XL"/>
    <n v="16"/>
    <n v="0"/>
    <n v="16"/>
    <x v="4"/>
    <s v="EZNS"/>
    <s v="X-LARGE"/>
    <s v="307"/>
    <s v="4.0 UN"/>
    <s v="STANDARD"/>
    <s v="N"/>
    <s v="Y"/>
    <s v="N"/>
    <s v="N"/>
    <s v="N"/>
    <s v="N"/>
    <s v="N"/>
    <s v="N"/>
    <s v="B048"/>
    <d v="2016-12-16T00:00:00"/>
    <s v="10"/>
    <s v="TAN"/>
    <s v="OR"/>
    <d v="2016-12-13T00:00:00"/>
    <s v="ID"/>
    <s v="US"/>
    <s v="ZR"/>
    <d v="2016-12-13T00:00:00"/>
  </r>
  <r>
    <x v="1"/>
    <x v="6"/>
    <x v="2812"/>
    <x v="51"/>
    <s v="Standard order"/>
    <x v="2690"/>
    <x v="872"/>
    <s v="4548"/>
    <s v="BTS 4548"/>
    <s v="5002244"/>
    <s v="4548 BTS T20 PB SYSTIVA P100"/>
    <n v="24"/>
    <n v="0"/>
    <n v="24"/>
    <x v="6"/>
    <s v="FENR"/>
    <s v="PRO 100"/>
    <s v="322"/>
    <s v="4.0 UN"/>
    <s v="STANDARD"/>
    <s v="N"/>
    <s v="N"/>
    <s v="N"/>
    <s v="T20"/>
    <s v="Y"/>
    <s v="N"/>
    <s v="Y"/>
    <s v="N"/>
    <s v="B011"/>
    <d v="2016-12-16T00:00:00"/>
    <s v="10"/>
    <s v="TAN"/>
    <s v="OR"/>
    <d v="2016-12-13T00:00:00"/>
    <s v="MT"/>
    <s v="US"/>
    <s v="ZR"/>
    <d v="2016-12-13T00:00:00"/>
  </r>
  <r>
    <x v="1"/>
    <x v="6"/>
    <x v="2812"/>
    <x v="51"/>
    <s v="Standard order"/>
    <x v="2690"/>
    <x v="872"/>
    <s v="444N"/>
    <s v="BTS 444N"/>
    <s v="5002226"/>
    <s v="444N BTS T20 PB SYSTIVA P100"/>
    <n v="96"/>
    <n v="0"/>
    <n v="96"/>
    <x v="6"/>
    <s v="DVND"/>
    <s v="PRO 100"/>
    <s v="322"/>
    <s v="4.0 UN"/>
    <s v="STANDARD"/>
    <s v="N"/>
    <s v="N"/>
    <s v="N"/>
    <s v="T20"/>
    <s v="Y"/>
    <s v="N"/>
    <s v="Y"/>
    <s v="N"/>
    <s v="B011"/>
    <d v="2016-12-16T00:00:00"/>
    <s v="20"/>
    <s v="TAN"/>
    <s v="OR"/>
    <d v="2016-12-13T00:00:00"/>
    <s v="MT"/>
    <s v="US"/>
    <s v="ZR"/>
    <d v="2016-12-13T00:00:00"/>
  </r>
  <r>
    <x v="1"/>
    <x v="6"/>
    <x v="2812"/>
    <x v="51"/>
    <s v="Standard order"/>
    <x v="2690"/>
    <x v="872"/>
    <s v="4265"/>
    <s v="BTS 42RR65"/>
    <s v="5002583"/>
    <s v="4265 BTS T20 PB SYSTIVA P100"/>
    <n v="48"/>
    <n v="0"/>
    <n v="48"/>
    <x v="6"/>
    <s v="BR73"/>
    <s v="PRO 100"/>
    <s v="322"/>
    <s v="4.0 UN"/>
    <s v="STANDARD"/>
    <s v="N"/>
    <s v="N"/>
    <s v="N"/>
    <s v="T20"/>
    <s v="Y"/>
    <s v="N"/>
    <s v="Y"/>
    <s v="N"/>
    <s v="B011"/>
    <d v="2016-12-16T00:00:00"/>
    <s v="30"/>
    <s v="TAN"/>
    <s v="OR"/>
    <d v="2016-12-13T00:00:00"/>
    <s v="MT"/>
    <s v="US"/>
    <s v="ZR"/>
    <d v="2016-12-13T00:00:00"/>
  </r>
  <r>
    <x v="1"/>
    <x v="6"/>
    <x v="2812"/>
    <x v="51"/>
    <s v="Standard order"/>
    <x v="2690"/>
    <x v="872"/>
    <s v="437N"/>
    <s v="BTS 437N"/>
    <s v="5002208"/>
    <s v="437N BTS T20 PB SYSTIVA P100"/>
    <n v="48"/>
    <n v="0"/>
    <n v="48"/>
    <x v="6"/>
    <s v="EE73"/>
    <s v="PRO 100"/>
    <s v="322"/>
    <s v="4.0 UN"/>
    <s v="STANDARD"/>
    <s v="N"/>
    <s v="N"/>
    <s v="N"/>
    <s v="T20"/>
    <s v="Y"/>
    <s v="N"/>
    <s v="Y"/>
    <s v="N"/>
    <s v="B011"/>
    <d v="2016-12-16T00:00:00"/>
    <s v="40"/>
    <s v="TAN"/>
    <s v="OR"/>
    <d v="2016-12-13T00:00:00"/>
    <s v="MT"/>
    <s v="US"/>
    <s v="ZR"/>
    <d v="2016-12-13T00:00:00"/>
  </r>
  <r>
    <x v="1"/>
    <x v="6"/>
    <x v="2812"/>
    <x v="51"/>
    <s v="Standard order"/>
    <x v="2690"/>
    <x v="872"/>
    <s v="459N"/>
    <s v="BTS 459N"/>
    <s v="5002256"/>
    <s v="459N BTS T20 PB SYSTIVA P100"/>
    <n v="32"/>
    <n v="0"/>
    <n v="32"/>
    <x v="6"/>
    <s v="DVNU"/>
    <s v="PRO 100"/>
    <s v="322"/>
    <s v="4.0 UN"/>
    <s v="STANDARD"/>
    <s v="N"/>
    <s v="N"/>
    <s v="N"/>
    <s v="T20"/>
    <s v="Y"/>
    <s v="N"/>
    <s v="Y"/>
    <s v="N"/>
    <s v="B011"/>
    <d v="2016-12-16T00:00:00"/>
    <s v="50"/>
    <s v="TAN"/>
    <s v="OR"/>
    <d v="2016-12-13T00:00:00"/>
    <s v="MT"/>
    <s v="US"/>
    <s v="ZR"/>
    <d v="2016-12-13T00:00:00"/>
  </r>
  <r>
    <x v="1"/>
    <x v="6"/>
    <x v="2813"/>
    <x v="48"/>
    <s v="Standard order"/>
    <x v="2691"/>
    <x v="2339"/>
    <s v="459N"/>
    <s v="BTS 459N"/>
    <s v="5002256"/>
    <s v="459N BTS T20 PB SYSTIVA P100"/>
    <n v="36"/>
    <n v="0"/>
    <n v="36"/>
    <x v="6"/>
    <s v="DVNU"/>
    <s v="PRO 100"/>
    <s v="322"/>
    <s v="4.0 UN"/>
    <s v="STANDARD"/>
    <s v="N"/>
    <s v="N"/>
    <s v="N"/>
    <s v="T20"/>
    <s v="Y"/>
    <s v="N"/>
    <s v="Y"/>
    <s v="N"/>
    <s v="B012"/>
    <d v="2016-12-16T00:00:00"/>
    <s v="10"/>
    <s v="TAN"/>
    <s v="OR"/>
    <d v="2016-12-13T00:00:00"/>
    <s v="MT"/>
    <s v="US"/>
    <s v="ZR"/>
    <d v="2016-12-13T00:00:00"/>
  </r>
  <r>
    <x v="1"/>
    <x v="6"/>
    <x v="2813"/>
    <x v="48"/>
    <s v="Standard order"/>
    <x v="2691"/>
    <x v="2339"/>
    <s v="444N"/>
    <s v="BTS 444N"/>
    <s v="5002226"/>
    <s v="444N BTS T20 PB SYSTIVA P100"/>
    <n v="36"/>
    <n v="0"/>
    <n v="36"/>
    <x v="6"/>
    <s v="DVND"/>
    <s v="PRO 100"/>
    <s v="322"/>
    <s v="4.0 UN"/>
    <s v="STANDARD"/>
    <s v="N"/>
    <s v="N"/>
    <s v="N"/>
    <s v="T20"/>
    <s v="Y"/>
    <s v="N"/>
    <s v="Y"/>
    <s v="N"/>
    <s v="B012"/>
    <d v="2016-12-16T00:00:00"/>
    <s v="20"/>
    <s v="TAN"/>
    <s v="OR"/>
    <d v="2016-12-13T00:00:00"/>
    <s v="MT"/>
    <s v="US"/>
    <s v="ZR"/>
    <d v="2016-12-13T00:00:00"/>
  </r>
  <r>
    <x v="1"/>
    <x v="6"/>
    <x v="2813"/>
    <x v="48"/>
    <s v="Standard order"/>
    <x v="2691"/>
    <x v="2339"/>
    <s v="4548"/>
    <s v="BTS 4548"/>
    <s v="5002244"/>
    <s v="4548 BTS T20 PB SYSTIVA P100"/>
    <n v="16"/>
    <n v="0"/>
    <n v="16"/>
    <x v="6"/>
    <s v="FENR"/>
    <s v="PRO 100"/>
    <s v="322"/>
    <s v="4.0 UN"/>
    <s v="STANDARD"/>
    <s v="N"/>
    <s v="N"/>
    <s v="N"/>
    <s v="T20"/>
    <s v="Y"/>
    <s v="N"/>
    <s v="Y"/>
    <s v="N"/>
    <s v="B012"/>
    <d v="2016-12-16T00:00:00"/>
    <s v="30"/>
    <s v="TAN"/>
    <s v="OR"/>
    <d v="2016-12-13T00:00:00"/>
    <s v="MT"/>
    <s v="US"/>
    <s v="ZR"/>
    <d v="2016-12-13T00:00:00"/>
  </r>
  <r>
    <x v="1"/>
    <x v="2"/>
    <x v="2814"/>
    <x v="5"/>
    <s v="Standard order"/>
    <x v="2692"/>
    <x v="2340"/>
    <s v="630N"/>
    <s v="BTS 630N"/>
    <s v="5002402"/>
    <s v="630N BTS T20 PB SYSTIVA P100"/>
    <n v="16"/>
    <n v="0"/>
    <n v="16"/>
    <x v="2"/>
    <s v="DW73"/>
    <s v="PRO 100"/>
    <s v="322"/>
    <s v="4.0 UN"/>
    <s v="STANDARD"/>
    <s v="N"/>
    <s v="N"/>
    <s v="N"/>
    <s v="T20"/>
    <s v="Y"/>
    <s v="N"/>
    <s v="Y"/>
    <s v="N"/>
    <s v="B020"/>
    <d v="2016-12-16T00:00:00"/>
    <s v="10"/>
    <s v="TAN"/>
    <s v="OR"/>
    <d v="2016-12-13T00:00:00"/>
    <s v="CO"/>
    <s v="US"/>
    <s v="ZR"/>
    <d v="2016-12-13T00:00:00"/>
  </r>
  <r>
    <x v="1"/>
    <x v="2"/>
    <x v="2814"/>
    <x v="5"/>
    <s v="Standard order"/>
    <x v="2692"/>
    <x v="2340"/>
    <s v="64SN"/>
    <s v="BTS 64SN"/>
    <s v="5002420"/>
    <s v="64SN BTS T20 PB SYSTIVA P100"/>
    <n v="36"/>
    <n v="0"/>
    <n v="36"/>
    <x v="2"/>
    <s v="DVNB"/>
    <s v="PRO 100"/>
    <s v="322"/>
    <s v="4.0 UN"/>
    <s v="STANDARD"/>
    <s v="N"/>
    <s v="N"/>
    <s v="N"/>
    <s v="T20"/>
    <s v="Y"/>
    <s v="N"/>
    <s v="Y"/>
    <s v="N"/>
    <s v="B020"/>
    <d v="2016-12-16T00:00:00"/>
    <s v="20"/>
    <s v="TAN"/>
    <s v="OR"/>
    <d v="2016-12-13T00:00:00"/>
    <s v="CO"/>
    <s v="US"/>
    <s v="ZR"/>
    <d v="2016-12-13T00:00:00"/>
  </r>
  <r>
    <x v="1"/>
    <x v="5"/>
    <x v="2815"/>
    <x v="9"/>
    <s v="Standard order"/>
    <x v="2693"/>
    <x v="652"/>
    <s v="3650"/>
    <s v="BTS 36RR50"/>
    <s v="5002546"/>
    <s v="3650 BTS T20 PB SYSTIVA P200"/>
    <n v="12"/>
    <n v="0"/>
    <n v="12"/>
    <x v="5"/>
    <s v="4DAY"/>
    <s v="PRO 200"/>
    <s v="322"/>
    <s v="4.0 UN"/>
    <s v="STANDARD"/>
    <s v="N"/>
    <s v="Y"/>
    <s v="N"/>
    <s v="T20"/>
    <s v="Y"/>
    <s v="N"/>
    <s v="N"/>
    <s v="N"/>
    <s v="B016"/>
    <d v="2016-12-16T00:00:00"/>
    <s v="10"/>
    <s v="TAN"/>
    <s v="OR"/>
    <d v="2016-12-12T00:00:00"/>
    <s v="WY"/>
    <s v="US"/>
    <s v="ZR"/>
    <d v="2016-12-13T00:00:00"/>
  </r>
  <r>
    <x v="1"/>
    <x v="0"/>
    <x v="2816"/>
    <x v="57"/>
    <s v="Standard order"/>
    <x v="2694"/>
    <x v="2341"/>
    <s v="1399"/>
    <s v="BTS 1399"/>
    <s v="5002346"/>
    <s v="1399 BTS T20 Kabina MP"/>
    <n v="28"/>
    <n v="0"/>
    <n v="28"/>
    <x v="0"/>
    <s v="EG74"/>
    <s v="MP"/>
    <s v="380"/>
    <s v="4.0 UN"/>
    <s v="STANDARD"/>
    <s v="N"/>
    <s v="N"/>
    <s v="Y"/>
    <s v="T20"/>
    <s v="N"/>
    <s v="N"/>
    <s v="N"/>
    <s v="N"/>
    <s v="B008"/>
    <d v="2016-12-16T00:00:00"/>
    <s v="10"/>
    <s v="TAN"/>
    <s v="OR"/>
    <d v="2016-12-13T00:00:00"/>
    <s v="MI"/>
    <s v="US"/>
    <s v="ZR"/>
    <d v="2016-12-13T00:00:00"/>
  </r>
  <r>
    <x v="1"/>
    <x v="0"/>
    <x v="2817"/>
    <x v="42"/>
    <s v="Standard order"/>
    <x v="2695"/>
    <x v="2342"/>
    <s v="122N"/>
    <s v="BTS 12RR2N"/>
    <s v="5002311"/>
    <s v="122N BTS T20 Kabina RP"/>
    <n v="12"/>
    <n v="0"/>
    <n v="12"/>
    <x v="0"/>
    <s v="4TBG"/>
    <s v="RP"/>
    <s v="380"/>
    <s v="4.0 UN"/>
    <s v="STANDARD"/>
    <s v="N"/>
    <s v="N"/>
    <s v="Y"/>
    <s v="T20"/>
    <s v="N"/>
    <s v="N"/>
    <s v="N"/>
    <s v="N"/>
    <s v="B007"/>
    <d v="2016-12-16T00:00:00"/>
    <s v="10"/>
    <s v="TAN"/>
    <s v="OR"/>
    <d v="2016-12-13T00:00:00"/>
    <s v="MI"/>
    <s v="US"/>
    <s v="ZR"/>
    <d v="2016-12-13T00:00:00"/>
  </r>
  <r>
    <x v="1"/>
    <x v="0"/>
    <x v="2817"/>
    <x v="42"/>
    <s v="Standard order"/>
    <x v="2695"/>
    <x v="2342"/>
    <s v="149N"/>
    <s v="BTS 149N"/>
    <s v="5002368"/>
    <s v="149N BTS T20 Kabina RP"/>
    <n v="20"/>
    <n v="0"/>
    <n v="20"/>
    <x v="0"/>
    <s v="EEND"/>
    <s v="RP"/>
    <s v="380"/>
    <s v="4.0 UN"/>
    <s v="STANDARD"/>
    <s v="N"/>
    <s v="N"/>
    <s v="Y"/>
    <s v="T20"/>
    <s v="N"/>
    <s v="N"/>
    <s v="N"/>
    <s v="N"/>
    <s v="B007"/>
    <d v="2016-12-16T00:00:00"/>
    <s v="20"/>
    <s v="TAN"/>
    <s v="OR"/>
    <d v="2016-12-13T00:00:00"/>
    <s v="MI"/>
    <s v="US"/>
    <s v="ZR"/>
    <d v="2016-12-13T00:00:00"/>
  </r>
  <r>
    <x v="1"/>
    <x v="4"/>
    <x v="2818"/>
    <x v="53"/>
    <s v="Standard order"/>
    <x v="2696"/>
    <x v="64"/>
    <s v="251N"/>
    <s v="BTS 251N"/>
    <s v="5002196"/>
    <s v="251N BTS PB XL"/>
    <n v="16"/>
    <n v="0"/>
    <n v="16"/>
    <x v="4"/>
    <s v="5HBR"/>
    <s v="X-LARGE"/>
    <s v="307"/>
    <s v="4.0 UN"/>
    <s v="STANDARD"/>
    <s v="N"/>
    <s v="Y"/>
    <s v="N"/>
    <s v="N"/>
    <s v="N"/>
    <s v="N"/>
    <s v="N"/>
    <s v="N"/>
    <s v="B051"/>
    <d v="2016-12-16T00:00:00"/>
    <s v="10"/>
    <s v="TAN"/>
    <s v="OR"/>
    <d v="2016-12-13T00:00:00"/>
    <s v="ID"/>
    <s v="US"/>
    <s v="ZR"/>
    <d v="2016-12-13T00:00:00"/>
  </r>
  <r>
    <x v="1"/>
    <x v="2"/>
    <x v="2819"/>
    <x v="3"/>
    <s v="Standard order"/>
    <x v="2697"/>
    <x v="692"/>
    <s v="64SN"/>
    <s v="BTS 64SN"/>
    <s v="5002421"/>
    <s v="64SN BTS T20 PB SYSTIVA P200"/>
    <n v="32"/>
    <n v="0"/>
    <n v="32"/>
    <x v="2"/>
    <s v="DVNB"/>
    <s v="PRO 200"/>
    <s v="322"/>
    <s v="4.0 UN"/>
    <s v="STANDARD"/>
    <s v="N"/>
    <s v="N"/>
    <s v="N"/>
    <s v="T20"/>
    <s v="Y"/>
    <s v="N"/>
    <s v="Y"/>
    <s v="N"/>
    <s v="B024"/>
    <d v="2016-12-16T00:00:00"/>
    <s v="10"/>
    <s v="TAN"/>
    <s v="OR"/>
    <d v="2016-12-13T00:00:00"/>
    <s v="NE"/>
    <s v="US"/>
    <s v="ZR"/>
    <d v="2016-12-13T00:00:00"/>
  </r>
  <r>
    <x v="1"/>
    <x v="2"/>
    <x v="2819"/>
    <x v="3"/>
    <s v="Standard order"/>
    <x v="2697"/>
    <x v="692"/>
    <s v="628N"/>
    <s v="BTS 62RR8N"/>
    <s v="5002684"/>
    <s v="628N BTS T20 PB SYSTIVA P200"/>
    <n v="32"/>
    <n v="0"/>
    <n v="32"/>
    <x v="2"/>
    <s v="BL73"/>
    <s v="PRO 200"/>
    <s v="322"/>
    <s v="4.0 UN"/>
    <s v="STANDARD"/>
    <s v="N"/>
    <s v="N"/>
    <s v="N"/>
    <s v="T20"/>
    <s v="Y"/>
    <s v="N"/>
    <s v="Y"/>
    <s v="N"/>
    <s v="B024"/>
    <d v="2016-12-16T00:00:00"/>
    <s v="20"/>
    <s v="TAN"/>
    <s v="OR"/>
    <d v="2016-12-13T00:00:00"/>
    <s v="NE"/>
    <s v="US"/>
    <s v="ZR"/>
    <d v="2016-12-13T00:00:00"/>
  </r>
  <r>
    <x v="1"/>
    <x v="0"/>
    <x v="2820"/>
    <x v="54"/>
    <s v="Standard order"/>
    <x v="2698"/>
    <x v="2343"/>
    <s v="1399"/>
    <s v="BTS 1399"/>
    <s v="5002347"/>
    <s v="1399 BTS T20 Kabina P200"/>
    <n v="20"/>
    <n v="0"/>
    <n v="20"/>
    <x v="0"/>
    <s v="EG74"/>
    <s v="PRO 200"/>
    <s v="380"/>
    <s v="4.0 UN"/>
    <s v="STANDARD"/>
    <s v="N"/>
    <s v="N"/>
    <s v="Y"/>
    <s v="T20"/>
    <s v="N"/>
    <s v="N"/>
    <s v="N"/>
    <s v="N"/>
    <s v="B002"/>
    <d v="2016-12-16T00:00:00"/>
    <s v="10"/>
    <s v="TAN"/>
    <s v="OR"/>
    <d v="2016-12-13T00:00:00"/>
    <s v="MI"/>
    <s v="US"/>
    <s v="ZR"/>
    <d v="2016-12-13T00:00:00"/>
  </r>
  <r>
    <x v="1"/>
    <x v="0"/>
    <x v="2820"/>
    <x v="54"/>
    <s v="Standard order"/>
    <x v="2698"/>
    <x v="2343"/>
    <s v="122N"/>
    <s v="BTS 12RR2N"/>
    <s v="5002310"/>
    <s v="122N BTS T20 Kabina P200"/>
    <n v="16"/>
    <n v="0"/>
    <n v="16"/>
    <x v="0"/>
    <s v="4TBG"/>
    <s v="PRO 200"/>
    <s v="380"/>
    <s v="4.0 UN"/>
    <s v="STANDARD"/>
    <s v="N"/>
    <s v="N"/>
    <s v="Y"/>
    <s v="T20"/>
    <s v="N"/>
    <s v="N"/>
    <s v="N"/>
    <s v="N"/>
    <s v="B002"/>
    <d v="2016-12-16T00:00:00"/>
    <s v="20"/>
    <s v="TAN"/>
    <s v="OR"/>
    <d v="2016-12-13T00:00:00"/>
    <s v="MI"/>
    <s v="US"/>
    <s v="ZR"/>
    <d v="2016-12-13T00:00:00"/>
  </r>
  <r>
    <x v="1"/>
    <x v="4"/>
    <x v="2821"/>
    <x v="47"/>
    <s v="Standard order"/>
    <x v="2699"/>
    <x v="520"/>
    <s v="2570"/>
    <s v="BTS 2570"/>
    <s v="5002555"/>
    <s v="2570 BTS PB XL"/>
    <n v="12"/>
    <n v="0"/>
    <n v="12"/>
    <x v="4"/>
    <s v="EZNS"/>
    <s v="X-LARGE"/>
    <s v="307"/>
    <s v="4.0 UN"/>
    <s v="STANDARD"/>
    <s v="N"/>
    <s v="Y"/>
    <s v="N"/>
    <s v="N"/>
    <s v="N"/>
    <s v="N"/>
    <s v="N"/>
    <s v="N"/>
    <s v="B050"/>
    <d v="2016-12-16T00:00:00"/>
    <s v="10"/>
    <s v="TAN"/>
    <s v="OR"/>
    <d v="2016-12-13T00:00:00"/>
    <s v="ID"/>
    <s v="US"/>
    <s v="ZR"/>
    <d v="2016-12-13T00:00:00"/>
  </r>
  <r>
    <x v="1"/>
    <x v="2"/>
    <x v="2822"/>
    <x v="6"/>
    <s v="Standard order"/>
    <x v="2700"/>
    <x v="2344"/>
    <s v="64SN"/>
    <s v="BTS 64SN"/>
    <s v="5002420"/>
    <s v="64SN BTS T20 PB SYSTIVA P100"/>
    <n v="168"/>
    <n v="0"/>
    <n v="168"/>
    <x v="2"/>
    <s v="DVNB"/>
    <s v="PRO 100"/>
    <s v="322"/>
    <s v="4.0 UN"/>
    <s v="STANDARD"/>
    <s v="N"/>
    <s v="N"/>
    <s v="N"/>
    <s v="T20"/>
    <s v="Y"/>
    <s v="N"/>
    <s v="Y"/>
    <s v="N"/>
    <s v="B025"/>
    <d v="2016-12-16T00:00:00"/>
    <s v="10"/>
    <s v="TAN"/>
    <s v="OR"/>
    <d v="2016-12-13T00:00:00"/>
    <s v="NE"/>
    <s v="US"/>
    <s v="ZR"/>
    <d v="2016-12-13T00:00:00"/>
  </r>
  <r>
    <x v="1"/>
    <x v="4"/>
    <x v="2823"/>
    <x v="47"/>
    <s v="Standard order"/>
    <x v="2701"/>
    <x v="461"/>
    <s v="225N"/>
    <s v="BTS 22RR5N"/>
    <s v="5002111"/>
    <s v="225N BTS PB LRG"/>
    <n v="32"/>
    <n v="0"/>
    <n v="32"/>
    <x v="4"/>
    <s v="4TBD"/>
    <s v="LARGE"/>
    <s v="307"/>
    <s v="4.0 UN"/>
    <s v="STANDARD"/>
    <s v="N"/>
    <s v="Y"/>
    <s v="N"/>
    <s v="N"/>
    <s v="N"/>
    <s v="N"/>
    <s v="N"/>
    <s v="N"/>
    <s v="B050"/>
    <d v="2016-12-16T00:00:00"/>
    <s v="10"/>
    <s v="TAN"/>
    <s v="OR"/>
    <d v="2016-12-12T00:00:00"/>
    <s v="ID"/>
    <s v="US"/>
    <s v="ZR"/>
    <d v="2016-12-13T00:00:00"/>
  </r>
  <r>
    <x v="1"/>
    <x v="4"/>
    <x v="2823"/>
    <x v="47"/>
    <s v="Standard order"/>
    <x v="2701"/>
    <x v="461"/>
    <s v="2125"/>
    <s v="BTS 21RR25"/>
    <s v="5002379"/>
    <s v="2125 BTS LRG"/>
    <n v="32"/>
    <n v="0"/>
    <n v="32"/>
    <x v="4"/>
    <s v="AP92"/>
    <s v="LARGE"/>
    <s v="306"/>
    <s v="4.0 UN"/>
    <s v="STANDARD"/>
    <s v="N"/>
    <s v="N"/>
    <s v="N"/>
    <s v="N"/>
    <s v="N"/>
    <s v="N"/>
    <s v="N"/>
    <s v="N"/>
    <s v="B050"/>
    <d v="2016-12-16T00:00:00"/>
    <s v="20"/>
    <s v="TAN"/>
    <s v="OR"/>
    <d v="2016-12-12T00:00:00"/>
    <s v="ID"/>
    <s v="US"/>
    <s v="ZR"/>
    <d v="2016-12-13T00:00:00"/>
  </r>
  <r>
    <x v="1"/>
    <x v="4"/>
    <x v="2823"/>
    <x v="47"/>
    <s v="Standard order"/>
    <x v="2701"/>
    <x v="461"/>
    <s v="2720"/>
    <s v="BTS 27RR20"/>
    <s v="5002134"/>
    <s v="2720 BTS PB LRG"/>
    <n v="32"/>
    <n v="0"/>
    <n v="32"/>
    <x v="4"/>
    <s v="4GAY"/>
    <s v="LARGE"/>
    <s v="307"/>
    <s v="4.0 UN"/>
    <s v="STANDARD"/>
    <s v="N"/>
    <s v="Y"/>
    <s v="N"/>
    <s v="N"/>
    <s v="N"/>
    <s v="N"/>
    <s v="N"/>
    <s v="N"/>
    <s v="B050"/>
    <d v="2016-12-16T00:00:00"/>
    <s v="30"/>
    <s v="TAN"/>
    <s v="OR"/>
    <d v="2016-12-12T00:00:00"/>
    <s v="ID"/>
    <s v="US"/>
    <s v="ZR"/>
    <d v="2016-12-13T00:00:00"/>
  </r>
  <r>
    <x v="1"/>
    <x v="4"/>
    <x v="2824"/>
    <x v="44"/>
    <s v="Standard order"/>
    <x v="2702"/>
    <x v="2345"/>
    <s v="2570"/>
    <s v="BTS 2570"/>
    <s v="5002555"/>
    <s v="2570 BTS PB XL"/>
    <n v="36"/>
    <n v="0"/>
    <n v="36"/>
    <x v="4"/>
    <s v="EZNS"/>
    <s v="X-LARGE"/>
    <s v="307"/>
    <s v="4.0 UN"/>
    <s v="STANDARD"/>
    <s v="N"/>
    <s v="Y"/>
    <s v="N"/>
    <s v="N"/>
    <s v="N"/>
    <s v="N"/>
    <s v="N"/>
    <s v="N"/>
    <s v="MB13"/>
    <d v="2016-12-16T00:00:00"/>
    <s v="10"/>
    <s v="TAN"/>
    <s v="OR"/>
    <d v="2016-12-12T00:00:00"/>
    <s v="ID"/>
    <s v="US"/>
    <s v="ZR"/>
    <d v="2016-12-13T00:00:00"/>
  </r>
  <r>
    <x v="1"/>
    <x v="4"/>
    <x v="2824"/>
    <x v="44"/>
    <s v="Standard order"/>
    <x v="2702"/>
    <x v="2345"/>
    <s v="251N"/>
    <s v="BTS 251N"/>
    <s v="5002196"/>
    <s v="251N BTS PB XL"/>
    <n v="20"/>
    <n v="0"/>
    <n v="20"/>
    <x v="4"/>
    <s v="5HBR"/>
    <s v="X-LARGE"/>
    <s v="307"/>
    <s v="4.0 UN"/>
    <s v="STANDARD"/>
    <s v="N"/>
    <s v="Y"/>
    <s v="N"/>
    <s v="N"/>
    <s v="N"/>
    <s v="N"/>
    <s v="N"/>
    <s v="N"/>
    <s v="MB13"/>
    <d v="2016-12-16T00:00:00"/>
    <s v="20"/>
    <s v="TAN"/>
    <s v="OR"/>
    <d v="2016-12-12T00:00:00"/>
    <s v="ID"/>
    <s v="US"/>
    <s v="ZR"/>
    <d v="2016-12-13T00:00:00"/>
  </r>
  <r>
    <x v="1"/>
    <x v="6"/>
    <x v="2825"/>
    <x v="51"/>
    <s v="Standard order"/>
    <x v="2703"/>
    <x v="662"/>
    <s v="459N"/>
    <s v="BTS 459N"/>
    <s v="5002256"/>
    <s v="459N BTS T20 PB SYSTIVA P100"/>
    <n v="32"/>
    <n v="0"/>
    <n v="32"/>
    <x v="6"/>
    <s v="DVNU"/>
    <s v="PRO 100"/>
    <s v="322"/>
    <s v="4.0 UN"/>
    <s v="STANDARD"/>
    <s v="N"/>
    <s v="N"/>
    <s v="N"/>
    <s v="T20"/>
    <s v="Y"/>
    <s v="N"/>
    <s v="Y"/>
    <s v="N"/>
    <s v="B011"/>
    <d v="2016-12-16T00:00:00"/>
    <s v="10"/>
    <s v="TAN"/>
    <s v="OR"/>
    <d v="2016-12-13T00:00:00"/>
    <s v="MT"/>
    <s v="US"/>
    <s v="ZR"/>
    <d v="2016-12-13T00:00:00"/>
  </r>
  <r>
    <x v="1"/>
    <x v="6"/>
    <x v="2825"/>
    <x v="51"/>
    <s v="Standard order"/>
    <x v="2703"/>
    <x v="662"/>
    <s v="428N"/>
    <s v="BTS 42RR8N"/>
    <s v="5002595"/>
    <s v="428N BTS T20 PB SYSTIVA P100"/>
    <n v="44"/>
    <n v="0"/>
    <n v="44"/>
    <x v="6"/>
    <s v="4TBG"/>
    <s v="PRO 100"/>
    <s v="322"/>
    <s v="4.0 UN"/>
    <s v="STANDARD"/>
    <s v="N"/>
    <s v="N"/>
    <s v="N"/>
    <s v="T20"/>
    <s v="Y"/>
    <s v="N"/>
    <s v="Y"/>
    <s v="N"/>
    <s v="B011"/>
    <d v="2016-12-16T00:00:00"/>
    <s v="20"/>
    <s v="TAN"/>
    <s v="OR"/>
    <d v="2016-12-13T00:00:00"/>
    <s v="MT"/>
    <s v="US"/>
    <s v="ZR"/>
    <d v="2016-12-13T00:00:00"/>
  </r>
  <r>
    <x v="1"/>
    <x v="6"/>
    <x v="2826"/>
    <x v="51"/>
    <s v="Standard order"/>
    <x v="2704"/>
    <x v="667"/>
    <s v="4548"/>
    <s v="BTS 4548"/>
    <s v="5002244"/>
    <s v="4548 BTS T20 PB SYSTIVA P100"/>
    <n v="16"/>
    <n v="0"/>
    <n v="16"/>
    <x v="6"/>
    <s v="FENR"/>
    <s v="PRO 100"/>
    <s v="322"/>
    <s v="4.0 UN"/>
    <s v="STANDARD"/>
    <s v="N"/>
    <s v="N"/>
    <s v="N"/>
    <s v="T20"/>
    <s v="Y"/>
    <s v="N"/>
    <s v="Y"/>
    <s v="N"/>
    <s v="B011"/>
    <d v="2016-12-16T00:00:00"/>
    <s v="10"/>
    <s v="TAN"/>
    <s v="OR"/>
    <d v="2016-12-13T00:00:00"/>
    <s v="MT"/>
    <s v="US"/>
    <s v="ZR"/>
    <d v="2016-12-13T00:00:00"/>
  </r>
  <r>
    <x v="1"/>
    <x v="6"/>
    <x v="2826"/>
    <x v="51"/>
    <s v="Standard order"/>
    <x v="2704"/>
    <x v="667"/>
    <s v="444N"/>
    <s v="BTS 444N"/>
    <s v="5002226"/>
    <s v="444N BTS T20 PB SYSTIVA P100"/>
    <n v="16"/>
    <n v="0"/>
    <n v="16"/>
    <x v="6"/>
    <s v="DVND"/>
    <s v="PRO 100"/>
    <s v="322"/>
    <s v="4.0 UN"/>
    <s v="STANDARD"/>
    <s v="N"/>
    <s v="N"/>
    <s v="N"/>
    <s v="T20"/>
    <s v="Y"/>
    <s v="N"/>
    <s v="Y"/>
    <s v="N"/>
    <s v="B011"/>
    <d v="2016-12-16T00:00:00"/>
    <s v="20"/>
    <s v="TAN"/>
    <s v="OR"/>
    <d v="2016-12-13T00:00:00"/>
    <s v="MT"/>
    <s v="US"/>
    <s v="ZR"/>
    <d v="2016-12-13T00:00:00"/>
  </r>
  <r>
    <x v="1"/>
    <x v="2"/>
    <x v="2827"/>
    <x v="6"/>
    <s v="Standard order"/>
    <x v="2705"/>
    <x v="711"/>
    <s v="6027"/>
    <s v="BTS 60RR27"/>
    <s v="5002646"/>
    <s v="6027 BTS T20 PB SYSTIVA P200 WSS"/>
    <n v="60"/>
    <n v="0"/>
    <n v="60"/>
    <x v="2"/>
    <s v="APMC"/>
    <s v="PRO 200"/>
    <s v="322"/>
    <s v="4.0 UN"/>
    <s v="STANDARD"/>
    <s v="N"/>
    <s v="N"/>
    <s v="N"/>
    <s v="T20"/>
    <s v="Y"/>
    <s v="N"/>
    <s v="Y"/>
    <s v="N"/>
    <s v="B025"/>
    <d v="2016-12-16T00:00:00"/>
    <s v="10"/>
    <s v="TAN"/>
    <s v="OR"/>
    <d v="2016-12-13T00:00:00"/>
    <s v="NE"/>
    <s v="US"/>
    <s v="ZR"/>
    <d v="2016-12-13T00:00:00"/>
  </r>
  <r>
    <x v="1"/>
    <x v="4"/>
    <x v="2828"/>
    <x v="52"/>
    <s v="Standard order"/>
    <x v="2706"/>
    <x v="511"/>
    <s v="251N"/>
    <s v="BTS 251N"/>
    <s v="5002503"/>
    <s v="251N BTS PB Kabina LRG"/>
    <n v="44"/>
    <n v="0"/>
    <n v="44"/>
    <x v="4"/>
    <s v="5HBR"/>
    <s v="LARGE"/>
    <s v="384"/>
    <s v="4.0 UN"/>
    <s v="STANDARD"/>
    <s v="N"/>
    <s v="Y"/>
    <s v="Y"/>
    <s v="N"/>
    <s v="N"/>
    <s v="N"/>
    <s v="N"/>
    <s v="N"/>
    <s v="B048"/>
    <d v="2016-12-16T00:00:00"/>
    <s v="10"/>
    <s v="TAN"/>
    <s v="OR"/>
    <d v="2016-12-13T00:00:00"/>
    <s v="ID"/>
    <s v="US"/>
    <s v="ZR"/>
    <d v="2016-12-13T00:00:00"/>
  </r>
  <r>
    <x v="1"/>
    <x v="4"/>
    <x v="2829"/>
    <x v="44"/>
    <s v="Standard order"/>
    <x v="2707"/>
    <x v="2346"/>
    <s v="251N"/>
    <s v="BTS 251N"/>
    <s v="5002196"/>
    <s v="251N BTS PB XL"/>
    <n v="20"/>
    <n v="0"/>
    <n v="20"/>
    <x v="4"/>
    <s v="5HBR"/>
    <s v="X-LARGE"/>
    <s v="307"/>
    <s v="4.0 UN"/>
    <s v="STANDARD"/>
    <s v="N"/>
    <s v="Y"/>
    <s v="N"/>
    <s v="N"/>
    <s v="N"/>
    <s v="N"/>
    <s v="N"/>
    <s v="N"/>
    <s v="MB13"/>
    <d v="2016-12-16T00:00:00"/>
    <s v="30"/>
    <s v="TAN"/>
    <s v="OR"/>
    <d v="2016-12-13T00:00:00"/>
    <s v="OR"/>
    <s v="US"/>
    <s v="ZR"/>
    <d v="2016-12-13T00:00:00"/>
  </r>
  <r>
    <x v="1"/>
    <x v="4"/>
    <x v="2829"/>
    <x v="44"/>
    <s v="Standard order"/>
    <x v="2707"/>
    <x v="2346"/>
    <s v="225N"/>
    <s v="BTS 22RR5N"/>
    <s v="5002119"/>
    <s v="225N BTS PB XL"/>
    <n v="72"/>
    <n v="0"/>
    <n v="72"/>
    <x v="4"/>
    <s v="4TBD"/>
    <s v="X-LARGE"/>
    <s v="307"/>
    <s v="4.0 UN"/>
    <s v="STANDARD"/>
    <s v="N"/>
    <s v="Y"/>
    <s v="N"/>
    <s v="N"/>
    <s v="N"/>
    <s v="N"/>
    <s v="N"/>
    <s v="N"/>
    <s v="MB13"/>
    <d v="2016-12-16T00:00:00"/>
    <s v="10"/>
    <s v="TAN"/>
    <s v="OR"/>
    <d v="2016-12-13T00:00:00"/>
    <s v="OR"/>
    <s v="US"/>
    <s v="ZR"/>
    <d v="2016-12-13T00:00:00"/>
  </r>
  <r>
    <x v="1"/>
    <x v="2"/>
    <x v="2830"/>
    <x v="5"/>
    <s v="Standard order"/>
    <x v="2708"/>
    <x v="2347"/>
    <s v="628N"/>
    <s v="BTS 62RR8N"/>
    <s v="5002684"/>
    <s v="628N BTS T20 PB SYSTIVA P200"/>
    <n v="28"/>
    <n v="0"/>
    <n v="28"/>
    <x v="2"/>
    <s v="BL73"/>
    <s v="PRO 200"/>
    <s v="322"/>
    <s v="4.0 UN"/>
    <s v="STANDARD"/>
    <s v="N"/>
    <s v="N"/>
    <s v="N"/>
    <s v="T20"/>
    <s v="Y"/>
    <s v="N"/>
    <s v="Y"/>
    <s v="N"/>
    <s v="B020"/>
    <d v="2016-12-16T00:00:00"/>
    <s v="10"/>
    <s v="TAN"/>
    <s v="OR"/>
    <d v="2016-12-13T00:00:00"/>
    <s v="CO"/>
    <s v="US"/>
    <s v="ZR"/>
    <d v="2016-12-13T00:00:00"/>
  </r>
  <r>
    <x v="1"/>
    <x v="2"/>
    <x v="2830"/>
    <x v="5"/>
    <s v="Standard order"/>
    <x v="2708"/>
    <x v="2347"/>
    <s v="64SN"/>
    <s v="BTS 64SN"/>
    <s v="5002421"/>
    <s v="64SN BTS T20 PB SYSTIVA P200"/>
    <n v="16"/>
    <n v="0"/>
    <n v="16"/>
    <x v="2"/>
    <s v="DVNB"/>
    <s v="PRO 200"/>
    <s v="322"/>
    <s v="4.0 UN"/>
    <s v="STANDARD"/>
    <s v="N"/>
    <s v="N"/>
    <s v="N"/>
    <s v="T20"/>
    <s v="Y"/>
    <s v="N"/>
    <s v="Y"/>
    <s v="N"/>
    <s v="B020"/>
    <d v="2016-12-16T00:00:00"/>
    <s v="20"/>
    <s v="TAN"/>
    <s v="OR"/>
    <d v="2016-12-13T00:00:00"/>
    <s v="CO"/>
    <s v="US"/>
    <s v="ZR"/>
    <d v="2016-12-13T00:00:00"/>
  </r>
  <r>
    <x v="1"/>
    <x v="4"/>
    <x v="2831"/>
    <x v="47"/>
    <s v="Standard order"/>
    <x v="2709"/>
    <x v="699"/>
    <s v="251N"/>
    <s v="BTS 251N"/>
    <s v="5002194"/>
    <s v="251N BTS PB LRG"/>
    <n v="28"/>
    <n v="0"/>
    <n v="28"/>
    <x v="4"/>
    <s v="5HBR"/>
    <s v="LARGE"/>
    <s v="307"/>
    <s v="4.0 UN"/>
    <s v="STANDARD"/>
    <s v="N"/>
    <s v="Y"/>
    <s v="N"/>
    <s v="N"/>
    <s v="N"/>
    <s v="N"/>
    <s v="N"/>
    <s v="N"/>
    <s v="B050"/>
    <d v="2016-12-16T00:00:00"/>
    <s v="10"/>
    <s v="TAN"/>
    <s v="OR"/>
    <d v="2016-12-13T00:00:00"/>
    <s v="ID"/>
    <s v="US"/>
    <s v="ZR"/>
    <d v="2016-12-13T00:00:00"/>
  </r>
  <r>
    <x v="1"/>
    <x v="4"/>
    <x v="2831"/>
    <x v="47"/>
    <s v="Standard order"/>
    <x v="2709"/>
    <x v="699"/>
    <s v="225N"/>
    <s v="BTS 22RR5N"/>
    <s v="5002111"/>
    <s v="225N BTS PB LRG"/>
    <n v="40"/>
    <n v="0"/>
    <n v="40"/>
    <x v="4"/>
    <s v="4TBD"/>
    <s v="LARGE"/>
    <s v="307"/>
    <s v="4.0 UN"/>
    <s v="STANDARD"/>
    <s v="N"/>
    <s v="Y"/>
    <s v="N"/>
    <s v="N"/>
    <s v="N"/>
    <s v="N"/>
    <s v="N"/>
    <s v="N"/>
    <s v="B050"/>
    <d v="2016-12-16T00:00:00"/>
    <s v="20"/>
    <s v="TAN"/>
    <s v="OR"/>
    <d v="2016-12-13T00:00:00"/>
    <s v="ID"/>
    <s v="US"/>
    <s v="ZR"/>
    <d v="2016-12-13T00:00:00"/>
  </r>
  <r>
    <x v="1"/>
    <x v="4"/>
    <x v="2832"/>
    <x v="50"/>
    <s v="Standard order"/>
    <x v="2710"/>
    <x v="2348"/>
    <s v="2720"/>
    <s v="BTS 27RR20"/>
    <s v="5002142"/>
    <s v="2720 BTS PB XL"/>
    <n v="260"/>
    <n v="0"/>
    <n v="260"/>
    <x v="4"/>
    <s v="4GAY"/>
    <s v="X-LARGE"/>
    <s v="307"/>
    <s v="4.0 UN"/>
    <s v="STANDARD"/>
    <s v="N"/>
    <s v="Y"/>
    <s v="N"/>
    <s v="N"/>
    <s v="N"/>
    <s v="N"/>
    <s v="N"/>
    <s v="N"/>
    <s v="B047"/>
    <d v="2016-12-16T00:00:00"/>
    <s v="10"/>
    <s v="TAN"/>
    <s v="OR"/>
    <d v="2016-12-13T00:00:00"/>
    <s v="ID"/>
    <s v="US"/>
    <s v="ZR"/>
    <d v="2016-12-13T00:00:00"/>
  </r>
  <r>
    <x v="1"/>
    <x v="4"/>
    <x v="2832"/>
    <x v="50"/>
    <s v="Standard order"/>
    <x v="2710"/>
    <x v="2348"/>
    <s v="2523"/>
    <s v="BTS 2523"/>
    <s v="5002529"/>
    <s v="2523 BTS PB XL"/>
    <n v="68"/>
    <n v="0"/>
    <n v="68"/>
    <x v="4"/>
    <s v="EZPC"/>
    <s v="X-LARGE"/>
    <s v="307"/>
    <s v="4.0 UN"/>
    <s v="STANDARD"/>
    <s v="N"/>
    <s v="Y"/>
    <s v="N"/>
    <s v="N"/>
    <s v="N"/>
    <s v="N"/>
    <s v="N"/>
    <s v="N"/>
    <s v="B047"/>
    <d v="2016-12-16T00:00:00"/>
    <s v="20"/>
    <s v="TAN"/>
    <s v="OR"/>
    <d v="2016-12-13T00:00:00"/>
    <s v="ID"/>
    <s v="US"/>
    <s v="ZR"/>
    <d v="2016-12-13T00:00:00"/>
  </r>
  <r>
    <x v="1"/>
    <x v="0"/>
    <x v="2833"/>
    <x v="42"/>
    <s v="Standard order"/>
    <x v="2711"/>
    <x v="677"/>
    <s v="122N"/>
    <s v="BTS 12RR2N"/>
    <s v="5002309"/>
    <s v="122N BTS T20 Kabina MP"/>
    <n v="120"/>
    <n v="0"/>
    <n v="120"/>
    <x v="0"/>
    <s v="4TBG"/>
    <s v="MP"/>
    <s v="380"/>
    <s v="4.0 UN"/>
    <s v="STANDARD"/>
    <s v="N"/>
    <s v="N"/>
    <s v="Y"/>
    <s v="T20"/>
    <s v="N"/>
    <s v="N"/>
    <s v="N"/>
    <s v="N"/>
    <s v="B007"/>
    <d v="2016-12-16T00:00:00"/>
    <s v="10"/>
    <s v="TAN"/>
    <s v="OR"/>
    <d v="2016-12-13T00:00:00"/>
    <s v="MI"/>
    <s v="US"/>
    <s v="ZR"/>
    <d v="2016-12-13T00:00:00"/>
  </r>
  <r>
    <x v="1"/>
    <x v="2"/>
    <x v="2834"/>
    <x v="3"/>
    <s v="Standard order"/>
    <x v="2712"/>
    <x v="681"/>
    <s v="6027"/>
    <s v="BTS 60RR27"/>
    <s v="5002645"/>
    <s v="6027 BTS T20 PB SYSTIVA P100 WSS"/>
    <n v="64"/>
    <n v="0"/>
    <n v="64"/>
    <x v="2"/>
    <s v="APMC"/>
    <s v="PRO 100"/>
    <s v="322"/>
    <s v="4.0 UN"/>
    <s v="STANDARD"/>
    <s v="N"/>
    <s v="N"/>
    <s v="N"/>
    <s v="T20"/>
    <s v="Y"/>
    <s v="N"/>
    <s v="Y"/>
    <s v="N"/>
    <s v="B024"/>
    <d v="2016-12-16T00:00:00"/>
    <s v="10"/>
    <s v="TAN"/>
    <s v="OR"/>
    <d v="2016-12-13T00:00:00"/>
    <s v="NE"/>
    <s v="US"/>
    <s v="ZR"/>
    <d v="2016-12-13T00:00:00"/>
  </r>
  <r>
    <x v="1"/>
    <x v="2"/>
    <x v="2834"/>
    <x v="3"/>
    <s v="Standard order"/>
    <x v="2712"/>
    <x v="681"/>
    <s v="64SN"/>
    <s v="BTS 64SN"/>
    <s v="5002420"/>
    <s v="64SN BTS T20 PB SYSTIVA P100"/>
    <n v="32"/>
    <n v="0"/>
    <n v="32"/>
    <x v="2"/>
    <s v="DVNB"/>
    <s v="PRO 100"/>
    <s v="322"/>
    <s v="4.0 UN"/>
    <s v="STANDARD"/>
    <s v="N"/>
    <s v="N"/>
    <s v="N"/>
    <s v="T20"/>
    <s v="Y"/>
    <s v="N"/>
    <s v="Y"/>
    <s v="N"/>
    <s v="B024"/>
    <d v="2016-12-16T00:00:00"/>
    <s v="20"/>
    <s v="TAN"/>
    <s v="OR"/>
    <d v="2016-12-13T00:00:00"/>
    <s v="NE"/>
    <s v="US"/>
    <s v="ZR"/>
    <d v="2016-12-13T00:00:00"/>
  </r>
  <r>
    <x v="1"/>
    <x v="2"/>
    <x v="2835"/>
    <x v="6"/>
    <s v="Standard order"/>
    <x v="2713"/>
    <x v="712"/>
    <s v="628N"/>
    <s v="BTS 62RR8N"/>
    <s v="5002684"/>
    <s v="628N BTS T20 PB SYSTIVA P200"/>
    <n v="60"/>
    <n v="0"/>
    <n v="60"/>
    <x v="2"/>
    <s v="BL73"/>
    <s v="PRO 200"/>
    <s v="322"/>
    <s v="4.0 UN"/>
    <s v="STANDARD"/>
    <s v="N"/>
    <s v="N"/>
    <s v="N"/>
    <s v="T20"/>
    <s v="Y"/>
    <s v="N"/>
    <s v="Y"/>
    <s v="N"/>
    <s v="B025"/>
    <d v="2016-12-16T00:00:00"/>
    <s v="10"/>
    <s v="TAN"/>
    <s v="OR"/>
    <d v="2016-12-13T00:00:00"/>
    <s v="NE"/>
    <s v="US"/>
    <s v="ZR"/>
    <d v="2016-12-13T00:00:00"/>
  </r>
  <r>
    <x v="1"/>
    <x v="2"/>
    <x v="2835"/>
    <x v="6"/>
    <s v="Standard order"/>
    <x v="2713"/>
    <x v="712"/>
    <s v="630N"/>
    <s v="BTS 630N"/>
    <s v="5002403"/>
    <s v="630N BTS T20 PB SYSTIVA P200"/>
    <n v="28"/>
    <n v="0"/>
    <n v="28"/>
    <x v="2"/>
    <s v="DW73"/>
    <s v="PRO 200"/>
    <s v="322"/>
    <s v="4.0 UN"/>
    <s v="STANDARD"/>
    <s v="N"/>
    <s v="N"/>
    <s v="N"/>
    <s v="T20"/>
    <s v="Y"/>
    <s v="N"/>
    <s v="Y"/>
    <s v="N"/>
    <s v="B025"/>
    <d v="2016-12-16T00:00:00"/>
    <s v="20"/>
    <s v="TAN"/>
    <s v="OR"/>
    <d v="2016-12-13T00:00:00"/>
    <s v="NE"/>
    <s v="US"/>
    <s v="ZR"/>
    <d v="2016-12-13T00:00:00"/>
  </r>
  <r>
    <x v="1"/>
    <x v="2"/>
    <x v="2835"/>
    <x v="6"/>
    <s v="Standard order"/>
    <x v="2713"/>
    <x v="712"/>
    <s v="64SN"/>
    <s v="BTS 64SN"/>
    <s v="5002421"/>
    <s v="64SN BTS T20 PB SYSTIVA P200"/>
    <n v="32"/>
    <n v="0"/>
    <n v="32"/>
    <x v="2"/>
    <s v="DVNB"/>
    <s v="PRO 200"/>
    <s v="322"/>
    <s v="4.0 UN"/>
    <s v="STANDARD"/>
    <s v="N"/>
    <s v="N"/>
    <s v="N"/>
    <s v="T20"/>
    <s v="Y"/>
    <s v="N"/>
    <s v="Y"/>
    <s v="N"/>
    <s v="B025"/>
    <d v="2016-12-16T00:00:00"/>
    <s v="30"/>
    <s v="TAN"/>
    <s v="OR"/>
    <d v="2016-12-13T00:00:00"/>
    <s v="NE"/>
    <s v="US"/>
    <s v="ZR"/>
    <d v="2016-12-13T00:00:00"/>
  </r>
  <r>
    <x v="1"/>
    <x v="5"/>
    <x v="2836"/>
    <x v="21"/>
    <s v="Standard order"/>
    <x v="2714"/>
    <x v="2349"/>
    <s v="398N"/>
    <s v="BTS 39RR8N"/>
    <s v="5002572"/>
    <s v="398N BTS T20 PB SYSTIVA RP"/>
    <n v="80"/>
    <n v="0"/>
    <n v="80"/>
    <x v="5"/>
    <s v="2771"/>
    <s v="RP"/>
    <s v="322"/>
    <s v="4.0 UN"/>
    <s v="STANDARD"/>
    <s v="N"/>
    <s v="Y"/>
    <s v="N"/>
    <s v="T20"/>
    <s v="Y"/>
    <s v="N"/>
    <s v="N"/>
    <s v="N"/>
    <s v="B013"/>
    <d v="2016-12-19T00:00:00"/>
    <s v="10"/>
    <s v="TAN"/>
    <s v="OR"/>
    <d v="2016-12-14T00:00:00"/>
    <s v="MT"/>
    <s v="US"/>
    <s v="ZR"/>
    <d v="2016-12-14T00:00:00"/>
  </r>
  <r>
    <x v="1"/>
    <x v="0"/>
    <x v="2837"/>
    <x v="54"/>
    <s v="Standard order"/>
    <x v="2715"/>
    <x v="2350"/>
    <s v="122N"/>
    <s v="BTS 12RR2N"/>
    <s v="5002311"/>
    <s v="122N BTS T20 Kabina RP"/>
    <n v="12"/>
    <n v="0"/>
    <n v="12"/>
    <x v="0"/>
    <s v="4TBG"/>
    <s v="RP"/>
    <s v="380"/>
    <s v="4.0 UN"/>
    <s v="STANDARD"/>
    <s v="N"/>
    <s v="N"/>
    <s v="Y"/>
    <s v="T20"/>
    <s v="N"/>
    <s v="N"/>
    <s v="N"/>
    <s v="N"/>
    <s v="B002"/>
    <d v="2016-12-19T00:00:00"/>
    <s v="10"/>
    <s v="TAN"/>
    <s v="OR"/>
    <d v="2016-12-13T00:00:00"/>
    <s v="MI"/>
    <s v="US"/>
    <s v="ZR"/>
    <d v="2016-12-14T00:00:00"/>
  </r>
  <r>
    <x v="1"/>
    <x v="0"/>
    <x v="2837"/>
    <x v="54"/>
    <s v="Standard order"/>
    <x v="2715"/>
    <x v="2350"/>
    <s v="149N"/>
    <s v="BTS 149N"/>
    <s v="5002368"/>
    <s v="149N BTS T20 Kabina RP"/>
    <n v="12"/>
    <n v="0"/>
    <n v="12"/>
    <x v="0"/>
    <s v="EEND"/>
    <s v="RP"/>
    <s v="380"/>
    <s v="4.0 UN"/>
    <s v="STANDARD"/>
    <s v="N"/>
    <s v="N"/>
    <s v="Y"/>
    <s v="T20"/>
    <s v="N"/>
    <s v="N"/>
    <s v="N"/>
    <s v="N"/>
    <s v="B002"/>
    <d v="2016-12-19T00:00:00"/>
    <s v="20"/>
    <s v="TAN"/>
    <s v="OR"/>
    <d v="2016-12-13T00:00:00"/>
    <s v="MI"/>
    <s v="US"/>
    <s v="ZR"/>
    <d v="2016-12-14T00:00:00"/>
  </r>
  <r>
    <x v="1"/>
    <x v="0"/>
    <x v="2837"/>
    <x v="54"/>
    <s v="Standard order"/>
    <x v="2715"/>
    <x v="2350"/>
    <s v="149N"/>
    <s v="BTS 149N"/>
    <s v="5002368"/>
    <s v="149N BTS T20 Kabina RP"/>
    <n v="4"/>
    <n v="0"/>
    <n v="4"/>
    <x v="0"/>
    <s v="EEND"/>
    <s v="RP"/>
    <s v="380"/>
    <s v="4.0 UN"/>
    <s v="STANDARD"/>
    <s v="N"/>
    <s v="N"/>
    <s v="Y"/>
    <s v="T20"/>
    <s v="N"/>
    <s v="N"/>
    <s v="N"/>
    <s v="N"/>
    <s v="B002"/>
    <d v="2016-12-19T00:00:00"/>
    <s v="30"/>
    <s v="TAN"/>
    <s v="OR"/>
    <d v="2016-12-13T00:00:00"/>
    <s v="MI"/>
    <s v="US"/>
    <s v="ZR"/>
    <d v="2016-12-14T00:00:00"/>
  </r>
  <r>
    <x v="1"/>
    <x v="0"/>
    <x v="2837"/>
    <x v="54"/>
    <s v="Standard order"/>
    <x v="2715"/>
    <x v="2350"/>
    <s v="122N"/>
    <s v="BTS 12RR2N"/>
    <s v="5002311"/>
    <s v="122N BTS T20 Kabina RP"/>
    <n v="4"/>
    <n v="0"/>
    <n v="4"/>
    <x v="0"/>
    <s v="4TBG"/>
    <s v="RP"/>
    <s v="380"/>
    <s v="4.0 UN"/>
    <s v="STANDARD"/>
    <s v="N"/>
    <s v="N"/>
    <s v="Y"/>
    <s v="T20"/>
    <s v="N"/>
    <s v="N"/>
    <s v="N"/>
    <s v="N"/>
    <s v="B002"/>
    <d v="2016-12-19T00:00:00"/>
    <s v="40"/>
    <s v="TAN"/>
    <s v="OR"/>
    <d v="2016-12-13T00:00:00"/>
    <s v="MI"/>
    <s v="US"/>
    <s v="ZR"/>
    <d v="2016-12-14T00:00:00"/>
  </r>
  <r>
    <x v="1"/>
    <x v="0"/>
    <x v="2838"/>
    <x v="56"/>
    <s v="Standard order"/>
    <x v="2716"/>
    <x v="2351"/>
    <s v="149N"/>
    <s v="BTS 149N"/>
    <s v="5002375"/>
    <s v="149N BTS Vibrance RP"/>
    <n v="16"/>
    <n v="0"/>
    <n v="16"/>
    <x v="0"/>
    <s v="EEND"/>
    <s v="RP"/>
    <s v="365"/>
    <s v="4.0 UN"/>
    <s v="STANDARD"/>
    <s v="N"/>
    <s v="N"/>
    <s v="N"/>
    <s v="N"/>
    <s v="N"/>
    <s v="N"/>
    <s v="N"/>
    <s v="Y"/>
    <s v="B010"/>
    <d v="2016-12-19T00:00:00"/>
    <s v="10"/>
    <s v="TAN"/>
    <s v="OR"/>
    <d v="2016-12-13T00:00:00"/>
    <s v="ON"/>
    <s v="CA"/>
    <s v="ZR"/>
    <d v="2016-12-14T00:00:00"/>
  </r>
  <r>
    <x v="1"/>
    <x v="0"/>
    <x v="2838"/>
    <x v="56"/>
    <s v="Standard order"/>
    <x v="2716"/>
    <x v="2351"/>
    <s v="122N"/>
    <s v="BTS 12RR2N"/>
    <s v="5002318"/>
    <s v="122N BTS Vibrance RP"/>
    <n v="16"/>
    <n v="0"/>
    <n v="16"/>
    <x v="0"/>
    <s v="4TBG"/>
    <s v="RP"/>
    <s v="365"/>
    <s v="4.0 UN"/>
    <s v="STANDARD"/>
    <s v="N"/>
    <s v="N"/>
    <s v="N"/>
    <s v="N"/>
    <s v="N"/>
    <s v="N"/>
    <s v="N"/>
    <s v="Y"/>
    <s v="B010"/>
    <d v="2016-12-19T00:00:00"/>
    <s v="20"/>
    <s v="TAN"/>
    <s v="OR"/>
    <d v="2016-12-13T00:00:00"/>
    <s v="ON"/>
    <s v="CA"/>
    <s v="ZR"/>
    <d v="2016-12-14T00:00:00"/>
  </r>
  <r>
    <x v="1"/>
    <x v="2"/>
    <x v="2839"/>
    <x v="5"/>
    <s v="Standard order"/>
    <x v="2717"/>
    <x v="742"/>
    <s v="64SN"/>
    <s v="BTS 64SN"/>
    <s v="5002420"/>
    <s v="64SN BTS T20 PB SYSTIVA P100"/>
    <n v="20"/>
    <n v="0"/>
    <n v="20"/>
    <x v="2"/>
    <s v="DVNB"/>
    <s v="PRO 100"/>
    <s v="322"/>
    <s v="4.0 UN"/>
    <s v="STANDARD"/>
    <s v="N"/>
    <s v="N"/>
    <s v="N"/>
    <s v="T20"/>
    <s v="Y"/>
    <s v="N"/>
    <s v="Y"/>
    <s v="N"/>
    <s v="B020"/>
    <d v="2016-12-19T00:00:00"/>
    <s v="10"/>
    <s v="TAN"/>
    <s v="OR"/>
    <d v="2016-12-14T00:00:00"/>
    <s v="CO"/>
    <s v="US"/>
    <s v="ZR"/>
    <d v="2016-12-14T00:00:00"/>
  </r>
  <r>
    <x v="1"/>
    <x v="2"/>
    <x v="2840"/>
    <x v="22"/>
    <s v="Standard order"/>
    <x v="2718"/>
    <x v="724"/>
    <s v="6027"/>
    <s v="BTS 60RR27"/>
    <s v="5002645"/>
    <s v="6027 BTS T20 PB SYSTIVA P100 WSS"/>
    <n v="24"/>
    <n v="0"/>
    <n v="24"/>
    <x v="2"/>
    <s v="APMC"/>
    <s v="PRO 100"/>
    <s v="322"/>
    <s v="4.0 UN"/>
    <s v="STANDARD"/>
    <s v="N"/>
    <s v="N"/>
    <s v="N"/>
    <s v="T20"/>
    <s v="Y"/>
    <s v="N"/>
    <s v="Y"/>
    <s v="N"/>
    <s v="B018"/>
    <d v="2016-12-19T00:00:00"/>
    <s v="10"/>
    <s v="TAN"/>
    <s v="OR"/>
    <d v="2016-12-14T00:00:00"/>
    <s v="CO"/>
    <s v="US"/>
    <s v="ZR"/>
    <d v="2016-12-14T00:00:00"/>
  </r>
  <r>
    <x v="1"/>
    <x v="0"/>
    <x v="2841"/>
    <x v="42"/>
    <s v="Standard order"/>
    <x v="2719"/>
    <x v="707"/>
    <s v="1399"/>
    <s v="BTS 1399"/>
    <s v="5002348"/>
    <s v="1399 BTS T20 Kabina RP"/>
    <n v="40"/>
    <n v="0"/>
    <n v="40"/>
    <x v="0"/>
    <s v="EG74"/>
    <s v="RP"/>
    <s v="380"/>
    <s v="4.0 UN"/>
    <s v="STANDARD"/>
    <s v="N"/>
    <s v="N"/>
    <s v="Y"/>
    <s v="T20"/>
    <s v="N"/>
    <s v="N"/>
    <s v="N"/>
    <s v="N"/>
    <s v="B007"/>
    <d v="2016-12-19T00:00:00"/>
    <s v="10"/>
    <s v="TAN"/>
    <s v="OR"/>
    <d v="2016-12-14T00:00:00"/>
    <s v="MI"/>
    <s v="US"/>
    <s v="ZR"/>
    <d v="2016-12-14T00:00:00"/>
  </r>
  <r>
    <x v="1"/>
    <x v="4"/>
    <x v="2842"/>
    <x v="52"/>
    <s v="Standard order"/>
    <x v="2720"/>
    <x v="640"/>
    <s v="225N"/>
    <s v="BTS 22RR5N"/>
    <s v="5002107"/>
    <s v="225N BTS PB Kabina MED"/>
    <n v="40"/>
    <n v="0"/>
    <n v="40"/>
    <x v="4"/>
    <s v="4TBD"/>
    <s v="MEDIUM"/>
    <s v="384"/>
    <s v="4.0 UN"/>
    <s v="STANDARD"/>
    <s v="N"/>
    <s v="Y"/>
    <s v="Y"/>
    <s v="N"/>
    <s v="N"/>
    <s v="N"/>
    <s v="N"/>
    <s v="N"/>
    <s v="B048"/>
    <d v="2016-12-19T00:00:00"/>
    <s v="10"/>
    <s v="TAN"/>
    <s v="OR"/>
    <d v="2016-12-14T00:00:00"/>
    <s v="ID"/>
    <s v="US"/>
    <s v="ZR"/>
    <d v="2016-12-14T00:00:00"/>
  </r>
  <r>
    <x v="1"/>
    <x v="4"/>
    <x v="2842"/>
    <x v="52"/>
    <s v="Standard order"/>
    <x v="2720"/>
    <x v="640"/>
    <s v="251N"/>
    <s v="BTS 251N"/>
    <s v="5002501"/>
    <s v="251N BTS PB Kabina MED"/>
    <n v="8"/>
    <n v="0"/>
    <n v="8"/>
    <x v="4"/>
    <s v="5HBR"/>
    <s v="MEDIUM"/>
    <s v="384"/>
    <s v="4.0 UN"/>
    <s v="STANDARD"/>
    <s v="N"/>
    <s v="Y"/>
    <s v="Y"/>
    <s v="N"/>
    <s v="N"/>
    <s v="N"/>
    <s v="N"/>
    <s v="N"/>
    <s v="B048"/>
    <d v="2016-12-19T00:00:00"/>
    <s v="20"/>
    <s v="TAN"/>
    <s v="OR"/>
    <d v="2016-12-14T00:00:00"/>
    <s v="ID"/>
    <s v="US"/>
    <s v="ZR"/>
    <d v="2016-12-14T00:00:00"/>
  </r>
  <r>
    <x v="1"/>
    <x v="5"/>
    <x v="2843"/>
    <x v="21"/>
    <s v="Standard order"/>
    <x v="2721"/>
    <x v="2352"/>
    <s v="398N"/>
    <s v="BTS 39RR8N"/>
    <s v="5002572"/>
    <s v="398N BTS T20 PB SYSTIVA RP"/>
    <n v="24"/>
    <n v="0"/>
    <n v="24"/>
    <x v="5"/>
    <s v="2771"/>
    <s v="RP"/>
    <s v="322"/>
    <s v="4.0 UN"/>
    <s v="STANDARD"/>
    <s v="N"/>
    <s v="Y"/>
    <s v="N"/>
    <s v="T20"/>
    <s v="Y"/>
    <s v="N"/>
    <s v="N"/>
    <s v="N"/>
    <s v="B013"/>
    <d v="2016-12-19T00:00:00"/>
    <s v="10"/>
    <s v="TAN"/>
    <s v="OR"/>
    <d v="2016-12-14T00:00:00"/>
    <s v="MT"/>
    <s v="US"/>
    <s v="ZR"/>
    <d v="2016-12-14T00:00:00"/>
  </r>
  <r>
    <x v="1"/>
    <x v="4"/>
    <x v="2844"/>
    <x v="46"/>
    <s v="Standard order"/>
    <x v="2722"/>
    <x v="2353"/>
    <s v="251N"/>
    <s v="BTS 251N"/>
    <s v="5002194"/>
    <s v="251N BTS PB LRG"/>
    <n v="152"/>
    <n v="0"/>
    <n v="152"/>
    <x v="4"/>
    <s v="5HBR"/>
    <s v="LARGE"/>
    <s v="307"/>
    <s v="4.0 UN"/>
    <s v="STANDARD"/>
    <s v="N"/>
    <s v="Y"/>
    <s v="N"/>
    <s v="N"/>
    <s v="N"/>
    <s v="N"/>
    <s v="N"/>
    <s v="N"/>
    <s v="B049"/>
    <d v="2016-12-19T00:00:00"/>
    <s v="10"/>
    <s v="TAN"/>
    <s v="OR"/>
    <d v="2016-12-14T00:00:00"/>
    <s v="WA"/>
    <s v="US"/>
    <s v="ZR"/>
    <d v="2016-12-14T00:00:00"/>
  </r>
  <r>
    <x v="1"/>
    <x v="4"/>
    <x v="2844"/>
    <x v="46"/>
    <s v="Standard order"/>
    <x v="2722"/>
    <x v="2353"/>
    <s v="251N"/>
    <s v="BTS 251N"/>
    <s v="5002196"/>
    <s v="251N BTS PB XL"/>
    <n v="152"/>
    <n v="0"/>
    <n v="152"/>
    <x v="4"/>
    <s v="5HBR"/>
    <s v="X-LARGE"/>
    <s v="307"/>
    <s v="4.0 UN"/>
    <s v="STANDARD"/>
    <s v="N"/>
    <s v="Y"/>
    <s v="N"/>
    <s v="N"/>
    <s v="N"/>
    <s v="N"/>
    <s v="N"/>
    <s v="N"/>
    <s v="B049"/>
    <d v="2016-12-19T00:00:00"/>
    <s v="20"/>
    <s v="TAN"/>
    <s v="OR"/>
    <d v="2016-12-14T00:00:00"/>
    <s v="WA"/>
    <s v="US"/>
    <s v="ZR"/>
    <d v="2016-12-14T00:00:00"/>
  </r>
  <r>
    <x v="1"/>
    <x v="0"/>
    <x v="2845"/>
    <x v="54"/>
    <s v="Standard order"/>
    <x v="2723"/>
    <x v="1144"/>
    <s v="1399"/>
    <s v="BTS 1399"/>
    <s v="5002347"/>
    <s v="1399 BTS T20 Kabina P200"/>
    <n v="24"/>
    <n v="0"/>
    <n v="24"/>
    <x v="0"/>
    <s v="EG74"/>
    <s v="PRO 200"/>
    <s v="380"/>
    <s v="4.0 UN"/>
    <s v="STANDARD"/>
    <s v="N"/>
    <s v="N"/>
    <s v="Y"/>
    <s v="T20"/>
    <s v="N"/>
    <s v="N"/>
    <s v="N"/>
    <s v="N"/>
    <s v="B002"/>
    <d v="2016-12-19T00:00:00"/>
    <s v="10"/>
    <s v="TAN"/>
    <s v="OR"/>
    <d v="2016-12-14T00:00:00"/>
    <s v="MI"/>
    <s v="US"/>
    <s v="ZR"/>
    <d v="2016-12-14T00:00:00"/>
  </r>
  <r>
    <x v="1"/>
    <x v="5"/>
    <x v="2846"/>
    <x v="21"/>
    <s v="Standard order"/>
    <x v="2724"/>
    <x v="2354"/>
    <s v="398N"/>
    <s v="BTS 39RR8N"/>
    <s v="5002572"/>
    <s v="398N BTS T20 PB SYSTIVA RP"/>
    <n v="40"/>
    <n v="0"/>
    <n v="40"/>
    <x v="5"/>
    <s v="2771"/>
    <s v="RP"/>
    <s v="322"/>
    <s v="4.0 UN"/>
    <s v="STANDARD"/>
    <s v="N"/>
    <s v="Y"/>
    <s v="N"/>
    <s v="T20"/>
    <s v="Y"/>
    <s v="N"/>
    <s v="N"/>
    <s v="N"/>
    <s v="B013"/>
    <d v="2016-12-19T00:00:00"/>
    <s v="10"/>
    <s v="TAN"/>
    <s v="OR"/>
    <d v="2016-12-14T00:00:00"/>
    <s v="MT"/>
    <s v="US"/>
    <s v="ZR"/>
    <d v="2016-12-14T00:00:00"/>
  </r>
  <r>
    <x v="1"/>
    <x v="5"/>
    <x v="2846"/>
    <x v="21"/>
    <s v="Standard order"/>
    <x v="2724"/>
    <x v="2354"/>
    <s v="336N"/>
    <s v="BTS 336N"/>
    <s v="5002400"/>
    <s v="336N BTS T20 PB SYSTIVA RP"/>
    <n v="12"/>
    <n v="0"/>
    <n v="12"/>
    <x v="5"/>
    <s v="EEMG"/>
    <s v="RP"/>
    <s v="322"/>
    <s v="4.0 UN"/>
    <s v="STANDARD"/>
    <s v="N"/>
    <s v="N"/>
    <s v="N"/>
    <s v="T20"/>
    <s v="Y"/>
    <s v="N"/>
    <s v="N"/>
    <s v="N"/>
    <s v="B013"/>
    <d v="2016-12-19T00:00:00"/>
    <s v="20"/>
    <s v="TAN"/>
    <s v="OR"/>
    <d v="2016-12-14T00:00:00"/>
    <s v="MT"/>
    <s v="US"/>
    <s v="ZR"/>
    <d v="2016-12-14T00:00:00"/>
  </r>
  <r>
    <x v="1"/>
    <x v="5"/>
    <x v="2846"/>
    <x v="21"/>
    <s v="Standard order"/>
    <x v="2724"/>
    <x v="2354"/>
    <s v="353N"/>
    <s v="BTS 353N"/>
    <s v="5002524"/>
    <s v="353N BTS T20 PB SYSTIVA RP"/>
    <n v="8"/>
    <n v="0"/>
    <n v="8"/>
    <x v="5"/>
    <s v="EENZ"/>
    <s v="RP"/>
    <s v="322"/>
    <s v="4.0 UN"/>
    <s v="STANDARD"/>
    <s v="N"/>
    <s v="Y"/>
    <s v="N"/>
    <s v="T20"/>
    <s v="Y"/>
    <s v="N"/>
    <s v="N"/>
    <s v="N"/>
    <s v="B013"/>
    <d v="2016-12-19T00:00:00"/>
    <s v="30"/>
    <s v="TAN"/>
    <s v="OR"/>
    <d v="2016-12-14T00:00:00"/>
    <s v="MT"/>
    <s v="US"/>
    <s v="ZR"/>
    <d v="2016-12-14T00:00:00"/>
  </r>
  <r>
    <x v="1"/>
    <x v="2"/>
    <x v="2847"/>
    <x v="22"/>
    <s v="Standard order"/>
    <x v="2725"/>
    <x v="748"/>
    <s v="628N"/>
    <s v="BTS 62RR8N"/>
    <s v="5002683"/>
    <s v="628N BTS T20 PB SYSTIVA P100"/>
    <n v="24"/>
    <n v="0"/>
    <n v="24"/>
    <x v="2"/>
    <s v="BL73"/>
    <s v="PRO 100"/>
    <s v="322"/>
    <s v="4.0 UN"/>
    <s v="STANDARD"/>
    <s v="N"/>
    <s v="N"/>
    <s v="N"/>
    <s v="T20"/>
    <s v="Y"/>
    <s v="N"/>
    <s v="Y"/>
    <s v="N"/>
    <s v="B018"/>
    <d v="2016-12-19T00:00:00"/>
    <s v="10"/>
    <s v="TAN"/>
    <s v="OR"/>
    <d v="2016-12-14T00:00:00"/>
    <s v="CO"/>
    <s v="US"/>
    <s v="ZR"/>
    <d v="2016-12-14T00:00:00"/>
  </r>
  <r>
    <x v="1"/>
    <x v="2"/>
    <x v="2847"/>
    <x v="22"/>
    <s v="Standard order"/>
    <x v="2725"/>
    <x v="748"/>
    <s v="64SN"/>
    <s v="BTS 64SN"/>
    <s v="5002420"/>
    <s v="64SN BTS T20 PB SYSTIVA P100"/>
    <n v="8"/>
    <n v="0"/>
    <n v="8"/>
    <x v="2"/>
    <s v="DVNB"/>
    <s v="PRO 100"/>
    <s v="322"/>
    <s v="4.0 UN"/>
    <s v="STANDARD"/>
    <s v="N"/>
    <s v="N"/>
    <s v="N"/>
    <s v="T20"/>
    <s v="Y"/>
    <s v="N"/>
    <s v="Y"/>
    <s v="N"/>
    <s v="B018"/>
    <d v="2016-12-19T00:00:00"/>
    <s v="20"/>
    <s v="TAN"/>
    <s v="OR"/>
    <d v="2016-12-14T00:00:00"/>
    <s v="CO"/>
    <s v="US"/>
    <s v="ZR"/>
    <d v="2016-12-14T00:00:00"/>
  </r>
  <r>
    <x v="1"/>
    <x v="0"/>
    <x v="2848"/>
    <x v="30"/>
    <s v="Standard order"/>
    <x v="2726"/>
    <x v="348"/>
    <s v="122N"/>
    <s v="BTS 12RR2N"/>
    <s v="5002311"/>
    <s v="122N BTS T20 Kabina RP"/>
    <n v="24"/>
    <n v="0"/>
    <n v="24"/>
    <x v="0"/>
    <s v="4TBG"/>
    <s v="RP"/>
    <s v="380"/>
    <s v="4.0 UN"/>
    <s v="STANDARD"/>
    <s v="N"/>
    <s v="N"/>
    <s v="Y"/>
    <s v="T20"/>
    <s v="N"/>
    <s v="N"/>
    <s v="N"/>
    <s v="N"/>
    <s v="B001"/>
    <d v="2016-12-19T00:00:00"/>
    <s v="10"/>
    <s v="TAN"/>
    <s v="OR"/>
    <d v="2016-12-14T00:00:00"/>
    <s v="MI"/>
    <s v="US"/>
    <s v="ZR"/>
    <d v="2016-12-14T00:00:00"/>
  </r>
  <r>
    <x v="1"/>
    <x v="0"/>
    <x v="2848"/>
    <x v="30"/>
    <s v="Standard order"/>
    <x v="2726"/>
    <x v="348"/>
    <s v="149N"/>
    <s v="BTS 149N"/>
    <s v="5002366"/>
    <s v="149N BTS T20 Kabina MP"/>
    <n v="28"/>
    <n v="0"/>
    <n v="28"/>
    <x v="0"/>
    <s v="EEND"/>
    <s v="MP"/>
    <s v="380"/>
    <s v="4.0 UN"/>
    <s v="STANDARD"/>
    <s v="N"/>
    <s v="N"/>
    <s v="Y"/>
    <s v="T20"/>
    <s v="N"/>
    <s v="N"/>
    <s v="N"/>
    <s v="N"/>
    <s v="B001"/>
    <d v="2016-12-19T00:00:00"/>
    <s v="20"/>
    <s v="TAN"/>
    <s v="OR"/>
    <d v="2016-12-14T00:00:00"/>
    <s v="MI"/>
    <s v="US"/>
    <s v="ZR"/>
    <d v="2016-12-14T00:00:00"/>
  </r>
  <r>
    <x v="1"/>
    <x v="0"/>
    <x v="2848"/>
    <x v="30"/>
    <s v="Standard order"/>
    <x v="2726"/>
    <x v="348"/>
    <s v="1399"/>
    <s v="BTS 1399"/>
    <s v="5002346"/>
    <s v="1399 BTS T20 Kabina MP"/>
    <n v="24"/>
    <n v="0"/>
    <n v="24"/>
    <x v="0"/>
    <s v="EG74"/>
    <s v="MP"/>
    <s v="380"/>
    <s v="4.0 UN"/>
    <s v="STANDARD"/>
    <s v="N"/>
    <s v="N"/>
    <s v="Y"/>
    <s v="T20"/>
    <s v="N"/>
    <s v="N"/>
    <s v="N"/>
    <s v="N"/>
    <s v="B001"/>
    <d v="2016-12-19T00:00:00"/>
    <s v="30"/>
    <s v="TAN"/>
    <s v="OR"/>
    <d v="2016-12-14T00:00:00"/>
    <s v="MI"/>
    <s v="US"/>
    <s v="ZR"/>
    <d v="2016-12-14T00:00:00"/>
  </r>
  <r>
    <x v="1"/>
    <x v="2"/>
    <x v="2849"/>
    <x v="6"/>
    <s v="Standard order"/>
    <x v="2727"/>
    <x v="2355"/>
    <s v="6027"/>
    <s v="BTS 60RR27"/>
    <s v="5002647"/>
    <s v="6027 BTS T20 PB SYSTIVA P50 WSS"/>
    <n v="200"/>
    <n v="0"/>
    <n v="200"/>
    <x v="2"/>
    <s v="APMC"/>
    <s v="PRO 50"/>
    <s v="322"/>
    <s v="4.0 UN"/>
    <s v="STANDARD"/>
    <s v="N"/>
    <s v="N"/>
    <s v="N"/>
    <s v="T20"/>
    <s v="Y"/>
    <s v="N"/>
    <s v="Y"/>
    <s v="N"/>
    <s v="B025"/>
    <d v="2016-12-19T00:00:00"/>
    <s v="10"/>
    <s v="TAN"/>
    <s v="OR"/>
    <d v="2016-12-14T00:00:00"/>
    <s v="WY"/>
    <s v="US"/>
    <s v="ZR"/>
    <d v="2016-12-14T00:00:00"/>
  </r>
  <r>
    <x v="1"/>
    <x v="2"/>
    <x v="2850"/>
    <x v="5"/>
    <s v="Standard order"/>
    <x v="2728"/>
    <x v="762"/>
    <s v="64SN"/>
    <s v="BTS 64SN"/>
    <s v="5002422"/>
    <s v="64SN BTS T20 PB SYSTIVA P50"/>
    <n v="8"/>
    <n v="0"/>
    <n v="8"/>
    <x v="2"/>
    <s v="DVNB"/>
    <s v="PRO 50"/>
    <s v="322"/>
    <s v="4.0 UN"/>
    <s v="STANDARD"/>
    <s v="N"/>
    <s v="N"/>
    <s v="N"/>
    <s v="T20"/>
    <s v="Y"/>
    <s v="N"/>
    <s v="Y"/>
    <s v="N"/>
    <s v="B020"/>
    <d v="2016-12-19T00:00:00"/>
    <s v="10"/>
    <s v="TAN"/>
    <s v="OR"/>
    <d v="2016-12-14T00:00:00"/>
    <s v="CO"/>
    <s v="US"/>
    <s v="ZR"/>
    <d v="2016-12-14T00:00:00"/>
  </r>
  <r>
    <x v="1"/>
    <x v="4"/>
    <x v="2851"/>
    <x v="47"/>
    <s v="Standard order"/>
    <x v="2729"/>
    <x v="2356"/>
    <s v="251N"/>
    <s v="BTS 251N"/>
    <s v="5002194"/>
    <s v="251N BTS PB LRG"/>
    <n v="28"/>
    <n v="0"/>
    <n v="28"/>
    <x v="4"/>
    <s v="5HBR"/>
    <s v="LARGE"/>
    <s v="307"/>
    <s v="4.0 UN"/>
    <s v="STANDARD"/>
    <s v="N"/>
    <s v="Y"/>
    <s v="N"/>
    <s v="N"/>
    <s v="N"/>
    <s v="N"/>
    <s v="N"/>
    <s v="N"/>
    <s v="B050"/>
    <d v="2016-12-19T00:00:00"/>
    <s v="10"/>
    <s v="TAN"/>
    <s v="OR"/>
    <d v="2016-12-14T00:00:00"/>
    <s v="ID"/>
    <s v="US"/>
    <s v="ZR"/>
    <d v="2016-12-14T00:00:00"/>
  </r>
  <r>
    <x v="1"/>
    <x v="0"/>
    <x v="2852"/>
    <x v="43"/>
    <s v="Standard order"/>
    <x v="2730"/>
    <x v="2357"/>
    <s v="122N"/>
    <s v="BTS 12RR2N"/>
    <s v="5002317"/>
    <s v="122N BTS T20 SYSTIVA RP"/>
    <n v="32"/>
    <n v="0"/>
    <n v="32"/>
    <x v="0"/>
    <s v="4TBG"/>
    <s v="RP"/>
    <s v="326"/>
    <s v="4.0 UN"/>
    <s v="STANDARD"/>
    <s v="N"/>
    <s v="N"/>
    <s v="N"/>
    <s v="T20"/>
    <s v="Y"/>
    <s v="N"/>
    <s v="Y"/>
    <s v="N"/>
    <s v="B006"/>
    <d v="2016-12-19T00:00:00"/>
    <s v="10"/>
    <s v="TAN"/>
    <s v="OR"/>
    <d v="2016-12-14T00:00:00"/>
    <s v="MI"/>
    <s v="US"/>
    <s v="ZR"/>
    <d v="2016-12-14T00:00:00"/>
  </r>
  <r>
    <x v="1"/>
    <x v="0"/>
    <x v="2853"/>
    <x v="45"/>
    <s v="Standard order"/>
    <x v="2731"/>
    <x v="2358"/>
    <s v="1399"/>
    <s v="BTS 1399"/>
    <s v="5002348"/>
    <s v="1399 BTS T20 Kabina RP"/>
    <n v="36"/>
    <n v="0"/>
    <n v="36"/>
    <x v="0"/>
    <s v="EG74"/>
    <s v="RP"/>
    <s v="380"/>
    <s v="4.0 UN"/>
    <s v="STANDARD"/>
    <s v="N"/>
    <s v="N"/>
    <s v="Y"/>
    <s v="T20"/>
    <s v="N"/>
    <s v="N"/>
    <s v="N"/>
    <s v="N"/>
    <s v="B003"/>
    <d v="2016-12-19T00:00:00"/>
    <s v="10"/>
    <s v="TAN"/>
    <s v="OR"/>
    <d v="2016-12-14T00:00:00"/>
    <s v="MI"/>
    <s v="US"/>
    <s v="ZR"/>
    <d v="2016-12-14T00:00:00"/>
  </r>
  <r>
    <x v="1"/>
    <x v="2"/>
    <x v="2854"/>
    <x v="22"/>
    <s v="Standard order"/>
    <x v="2732"/>
    <x v="768"/>
    <s v="6027"/>
    <s v="BTS 60RR27"/>
    <s v="5002645"/>
    <s v="6027 BTS T20 PB SYSTIVA P100 WSS"/>
    <n v="96"/>
    <n v="0"/>
    <n v="96"/>
    <x v="2"/>
    <s v="APMC"/>
    <s v="PRO 100"/>
    <s v="322"/>
    <s v="4.0 UN"/>
    <s v="STANDARD"/>
    <s v="N"/>
    <s v="N"/>
    <s v="N"/>
    <s v="T20"/>
    <s v="Y"/>
    <s v="N"/>
    <s v="Y"/>
    <s v="N"/>
    <s v="B018"/>
    <d v="2016-12-19T00:00:00"/>
    <s v="10"/>
    <s v="TAN"/>
    <s v="OR"/>
    <d v="2016-12-14T00:00:00"/>
    <s v="CO"/>
    <s v="US"/>
    <s v="ZR"/>
    <d v="2016-12-14T00:00:00"/>
  </r>
  <r>
    <x v="1"/>
    <x v="0"/>
    <x v="2855"/>
    <x v="42"/>
    <s v="Standard order"/>
    <x v="2733"/>
    <x v="2359"/>
    <s v="1399"/>
    <s v="BTS 1399"/>
    <s v="5002347"/>
    <s v="1399 BTS T20 Kabina P200"/>
    <n v="80"/>
    <n v="0"/>
    <n v="80"/>
    <x v="0"/>
    <s v="EG74"/>
    <s v="PRO 200"/>
    <s v="380"/>
    <s v="4.0 UN"/>
    <s v="STANDARD"/>
    <s v="N"/>
    <s v="N"/>
    <s v="Y"/>
    <s v="T20"/>
    <s v="N"/>
    <s v="N"/>
    <s v="N"/>
    <s v="N"/>
    <s v="B007"/>
    <d v="2016-12-19T00:00:00"/>
    <s v="10"/>
    <s v="TAN"/>
    <s v="OR"/>
    <d v="2016-12-14T00:00:00"/>
    <s v="MI"/>
    <s v="US"/>
    <s v="ZR"/>
    <d v="2016-12-14T00:00:00"/>
  </r>
  <r>
    <x v="1"/>
    <x v="5"/>
    <x v="2856"/>
    <x v="12"/>
    <s v="Standard order"/>
    <x v="2734"/>
    <x v="725"/>
    <s v="336N"/>
    <s v="BTS 336N"/>
    <s v="5002199"/>
    <s v="336N BTS T20 PB SYSTIVA P200"/>
    <n v="164"/>
    <n v="0"/>
    <n v="164"/>
    <x v="5"/>
    <s v="EEMG"/>
    <s v="PRO 200"/>
    <s v="322"/>
    <s v="4.0 UN"/>
    <s v="STANDARD"/>
    <s v="N"/>
    <s v="N"/>
    <s v="N"/>
    <s v="T20"/>
    <s v="Y"/>
    <s v="N"/>
    <s v="N"/>
    <s v="N"/>
    <s v="B014"/>
    <d v="2016-12-19T00:00:00"/>
    <s v="10"/>
    <s v="TAN"/>
    <s v="OR"/>
    <d v="2016-12-14T00:00:00"/>
    <s v="MT"/>
    <s v="US"/>
    <s v="ZR"/>
    <d v="2016-12-14T00:00:00"/>
  </r>
  <r>
    <x v="1"/>
    <x v="4"/>
    <x v="2857"/>
    <x v="52"/>
    <s v="Standard order"/>
    <x v="2735"/>
    <x v="488"/>
    <s v="251N"/>
    <s v="BTS 251N"/>
    <s v="5002194"/>
    <s v="251N BTS PB LRG"/>
    <n v="200"/>
    <n v="0"/>
    <n v="200"/>
    <x v="4"/>
    <s v="5HBR"/>
    <s v="LARGE"/>
    <s v="307"/>
    <s v="4.0 UN"/>
    <s v="STANDARD"/>
    <s v="N"/>
    <s v="Y"/>
    <s v="N"/>
    <s v="N"/>
    <s v="N"/>
    <s v="N"/>
    <s v="N"/>
    <s v="N"/>
    <s v="B048"/>
    <d v="2016-12-19T00:00:00"/>
    <s v="10"/>
    <s v="TAN"/>
    <s v="OR"/>
    <d v="2016-12-14T00:00:00"/>
    <s v="WA"/>
    <s v="US"/>
    <s v="ZR"/>
    <d v="2016-12-14T00:00:00"/>
  </r>
  <r>
    <x v="1"/>
    <x v="4"/>
    <x v="2857"/>
    <x v="52"/>
    <s v="Standard order"/>
    <x v="2735"/>
    <x v="488"/>
    <s v="225N"/>
    <s v="BTS 22RR5N"/>
    <s v="5002111"/>
    <s v="225N BTS PB LRG"/>
    <n v="200"/>
    <n v="0"/>
    <n v="200"/>
    <x v="4"/>
    <s v="4TBD"/>
    <s v="LARGE"/>
    <s v="307"/>
    <s v="4.0 UN"/>
    <s v="STANDARD"/>
    <s v="N"/>
    <s v="Y"/>
    <s v="N"/>
    <s v="N"/>
    <s v="N"/>
    <s v="N"/>
    <s v="N"/>
    <s v="N"/>
    <s v="B048"/>
    <d v="2016-12-19T00:00:00"/>
    <s v="20"/>
    <s v="TAN"/>
    <s v="OR"/>
    <d v="2016-12-14T00:00:00"/>
    <s v="WA"/>
    <s v="US"/>
    <s v="ZR"/>
    <d v="2016-12-14T00:00:00"/>
  </r>
  <r>
    <x v="1"/>
    <x v="0"/>
    <x v="2858"/>
    <x v="42"/>
    <s v="Standard order"/>
    <x v="2736"/>
    <x v="2360"/>
    <s v="1399"/>
    <s v="BTS 1399"/>
    <s v="5002347"/>
    <s v="1399 BTS T20 Kabina P200"/>
    <n v="44"/>
    <n v="0"/>
    <n v="44"/>
    <x v="0"/>
    <s v="EG74"/>
    <s v="PRO 200"/>
    <s v="380"/>
    <s v="4.0 UN"/>
    <s v="STANDARD"/>
    <s v="N"/>
    <s v="N"/>
    <s v="Y"/>
    <s v="T20"/>
    <s v="N"/>
    <s v="N"/>
    <s v="N"/>
    <s v="N"/>
    <s v="B007"/>
    <d v="2016-12-19T00:00:00"/>
    <s v="10"/>
    <s v="TAN"/>
    <s v="OR"/>
    <d v="2016-12-14T00:00:00"/>
    <s v="MI"/>
    <s v="US"/>
    <s v="ZR"/>
    <d v="2016-12-14T00:00:00"/>
  </r>
  <r>
    <x v="1"/>
    <x v="0"/>
    <x v="2859"/>
    <x v="43"/>
    <s v="Standard order"/>
    <x v="2737"/>
    <x v="1196"/>
    <s v="122N"/>
    <s v="BTS 12RR2N"/>
    <s v="5002311"/>
    <s v="122N BTS T20 Kabina RP"/>
    <n v="124"/>
    <n v="0"/>
    <n v="124"/>
    <x v="0"/>
    <s v="4TBG"/>
    <s v="RP"/>
    <s v="380"/>
    <s v="4.0 UN"/>
    <s v="STANDARD"/>
    <s v="N"/>
    <s v="N"/>
    <s v="Y"/>
    <s v="T20"/>
    <s v="N"/>
    <s v="N"/>
    <s v="N"/>
    <s v="N"/>
    <s v="B006"/>
    <d v="2016-12-19T00:00:00"/>
    <s v="10"/>
    <s v="TAN"/>
    <s v="OR"/>
    <d v="2016-12-14T00:00:00"/>
    <s v="MI"/>
    <s v="US"/>
    <s v="ZR"/>
    <d v="2016-12-14T00:00:00"/>
  </r>
  <r>
    <x v="1"/>
    <x v="0"/>
    <x v="2859"/>
    <x v="43"/>
    <s v="Standard order"/>
    <x v="2737"/>
    <x v="1196"/>
    <s v="149N"/>
    <s v="BTS 149N"/>
    <s v="5002368"/>
    <s v="149N BTS T20 Kabina RP"/>
    <n v="80"/>
    <n v="0"/>
    <n v="80"/>
    <x v="0"/>
    <s v="EEND"/>
    <s v="RP"/>
    <s v="380"/>
    <s v="4.0 UN"/>
    <s v="STANDARD"/>
    <s v="N"/>
    <s v="N"/>
    <s v="Y"/>
    <s v="T20"/>
    <s v="N"/>
    <s v="N"/>
    <s v="N"/>
    <s v="N"/>
    <s v="B006"/>
    <d v="2016-12-19T00:00:00"/>
    <s v="20"/>
    <s v="TAN"/>
    <s v="OR"/>
    <d v="2016-12-14T00:00:00"/>
    <s v="MI"/>
    <s v="US"/>
    <s v="ZR"/>
    <d v="2016-12-14T00:00:00"/>
  </r>
  <r>
    <x v="1"/>
    <x v="0"/>
    <x v="2860"/>
    <x v="43"/>
    <s v="Standard order"/>
    <x v="2738"/>
    <x v="2361"/>
    <s v="122N"/>
    <s v="BTS 12RR2N"/>
    <s v="5002311"/>
    <s v="122N BTS T20 Kabina RP"/>
    <n v="16"/>
    <n v="0"/>
    <n v="16"/>
    <x v="0"/>
    <s v="4TBG"/>
    <s v="RP"/>
    <s v="380"/>
    <s v="4.0 UN"/>
    <s v="STANDARD"/>
    <s v="N"/>
    <s v="N"/>
    <s v="Y"/>
    <s v="T20"/>
    <s v="N"/>
    <s v="N"/>
    <s v="N"/>
    <s v="N"/>
    <s v="B006"/>
    <d v="2016-12-19T00:00:00"/>
    <s v="10"/>
    <s v="TAN"/>
    <s v="OR"/>
    <d v="2016-12-14T00:00:00"/>
    <s v="MI"/>
    <s v="US"/>
    <s v="ZR"/>
    <d v="2016-12-14T00:00:00"/>
  </r>
  <r>
    <x v="1"/>
    <x v="2"/>
    <x v="2861"/>
    <x v="22"/>
    <s v="Standard order"/>
    <x v="2739"/>
    <x v="728"/>
    <s v="628N"/>
    <s v="BTS 62RR8N"/>
    <s v="5002683"/>
    <s v="628N BTS T20 PB SYSTIVA P100"/>
    <n v="12"/>
    <n v="0"/>
    <n v="12"/>
    <x v="2"/>
    <s v="BL73"/>
    <s v="PRO 100"/>
    <s v="322"/>
    <s v="4.0 UN"/>
    <s v="STANDARD"/>
    <s v="N"/>
    <s v="N"/>
    <s v="N"/>
    <s v="T20"/>
    <s v="Y"/>
    <s v="N"/>
    <s v="Y"/>
    <s v="N"/>
    <s v="B018"/>
    <d v="2016-12-19T00:00:00"/>
    <s v="10"/>
    <s v="TAN"/>
    <s v="OR"/>
    <d v="2016-12-14T00:00:00"/>
    <s v="CO"/>
    <s v="US"/>
    <s v="ZR"/>
    <d v="2016-12-14T00:00:00"/>
  </r>
  <r>
    <x v="1"/>
    <x v="4"/>
    <x v="2862"/>
    <x v="47"/>
    <s v="Standard order"/>
    <x v="2740"/>
    <x v="2362"/>
    <s v="251N"/>
    <s v="BTS 251N"/>
    <s v="5002194"/>
    <s v="251N BTS PB LRG"/>
    <n v="120"/>
    <n v="0"/>
    <n v="120"/>
    <x v="4"/>
    <s v="5HBR"/>
    <s v="LARGE"/>
    <s v="307"/>
    <s v="4.0 UN"/>
    <s v="STANDARD"/>
    <s v="N"/>
    <s v="Y"/>
    <s v="N"/>
    <s v="N"/>
    <s v="N"/>
    <s v="N"/>
    <s v="N"/>
    <s v="N"/>
    <s v="B050"/>
    <d v="2016-12-19T00:00:00"/>
    <s v="10"/>
    <s v="TAN"/>
    <s v="OR"/>
    <d v="2016-12-14T00:00:00"/>
    <s v="ID"/>
    <s v="US"/>
    <s v="ZR"/>
    <d v="2016-12-14T00:00:00"/>
  </r>
  <r>
    <x v="1"/>
    <x v="7"/>
    <x v="2863"/>
    <x v="36"/>
    <s v="Standard order"/>
    <x v="2741"/>
    <x v="2363"/>
    <s v="8500"/>
    <s v="BTS 8500"/>
    <s v="5002856"/>
    <s v="8500 BTS T35 PB SYSTIVA RP"/>
    <n v="144"/>
    <n v="0"/>
    <n v="144"/>
    <x v="7"/>
    <s v="FTND"/>
    <s v="RP"/>
    <s v="333"/>
    <s v="4.0 UN"/>
    <s v="STANDARD"/>
    <s v="N"/>
    <s v="Y"/>
    <s v="N"/>
    <s v="T35"/>
    <s v="Y"/>
    <s v="N"/>
    <s v="Y"/>
    <s v="N"/>
    <s v="B027"/>
    <d v="2016-12-19T00:00:00"/>
    <s v="10"/>
    <s v="TAN"/>
    <s v="OR"/>
    <d v="2016-12-14T00:00:00"/>
    <s v="ND"/>
    <s v="US"/>
    <s v="ZR"/>
    <d v="2016-12-14T00:00:00"/>
  </r>
  <r>
    <x v="1"/>
    <x v="0"/>
    <x v="2864"/>
    <x v="29"/>
    <s v="Standard order"/>
    <x v="2742"/>
    <x v="2364"/>
    <s v="1399"/>
    <s v="BTS 1399"/>
    <s v="5002347"/>
    <s v="1399 BTS T20 Kabina P200"/>
    <n v="32"/>
    <n v="0"/>
    <n v="32"/>
    <x v="0"/>
    <s v="EG74"/>
    <s v="PRO 200"/>
    <s v="380"/>
    <s v="4.0 UN"/>
    <s v="STANDARD"/>
    <s v="N"/>
    <s v="N"/>
    <s v="Y"/>
    <s v="T20"/>
    <s v="N"/>
    <s v="N"/>
    <s v="N"/>
    <s v="N"/>
    <s v="B005"/>
    <d v="2016-12-19T00:00:00"/>
    <s v="10"/>
    <s v="TAN"/>
    <s v="OR"/>
    <d v="2016-12-14T00:00:00"/>
    <s v="MI"/>
    <s v="US"/>
    <s v="ZR"/>
    <d v="2016-12-14T00:00:00"/>
  </r>
  <r>
    <x v="1"/>
    <x v="0"/>
    <x v="2864"/>
    <x v="29"/>
    <s v="Standard order"/>
    <x v="2742"/>
    <x v="2364"/>
    <s v="149N"/>
    <s v="BTS 149N"/>
    <s v="5002367"/>
    <s v="149N BTS T20 Kabina P200"/>
    <n v="72"/>
    <n v="0"/>
    <n v="72"/>
    <x v="0"/>
    <s v="EEND"/>
    <s v="PRO 200"/>
    <s v="380"/>
    <s v="4.0 UN"/>
    <s v="STANDARD"/>
    <s v="N"/>
    <s v="N"/>
    <s v="Y"/>
    <s v="T20"/>
    <s v="N"/>
    <s v="N"/>
    <s v="N"/>
    <s v="N"/>
    <s v="B005"/>
    <d v="2016-12-19T00:00:00"/>
    <s v="20"/>
    <s v="TAN"/>
    <s v="OR"/>
    <d v="2016-12-14T00:00:00"/>
    <s v="MI"/>
    <s v="US"/>
    <s v="ZR"/>
    <d v="2016-12-14T00:00:00"/>
  </r>
  <r>
    <x v="1"/>
    <x v="0"/>
    <x v="2865"/>
    <x v="29"/>
    <s v="Standard order"/>
    <x v="2743"/>
    <x v="2365"/>
    <s v="1399"/>
    <s v="BTS 1399"/>
    <s v="5002347"/>
    <s v="1399 BTS T20 Kabina P200"/>
    <n v="44"/>
    <n v="0"/>
    <n v="44"/>
    <x v="0"/>
    <s v="EG74"/>
    <s v="PRO 200"/>
    <s v="380"/>
    <s v="4.0 UN"/>
    <s v="STANDARD"/>
    <s v="N"/>
    <s v="N"/>
    <s v="Y"/>
    <s v="T20"/>
    <s v="N"/>
    <s v="N"/>
    <s v="N"/>
    <s v="N"/>
    <s v="B005"/>
    <d v="2016-12-19T00:00:00"/>
    <s v="10"/>
    <s v="TAN"/>
    <s v="OR"/>
    <d v="2016-12-14T00:00:00"/>
    <s v="MI"/>
    <s v="US"/>
    <s v="ZR"/>
    <d v="2016-12-14T00:00:00"/>
  </r>
  <r>
    <x v="1"/>
    <x v="4"/>
    <x v="2866"/>
    <x v="53"/>
    <s v="Standard order"/>
    <x v="2744"/>
    <x v="515"/>
    <s v="2559"/>
    <s v="BTS 2559"/>
    <s v="5002563"/>
    <s v="2559 BTS PB XL"/>
    <n v="68"/>
    <n v="0"/>
    <n v="68"/>
    <x v="4"/>
    <s v="FGNE"/>
    <s v="X-LARGE"/>
    <s v="307"/>
    <s v="4.0 UN"/>
    <s v="STANDARD"/>
    <s v="N"/>
    <s v="Y"/>
    <s v="N"/>
    <s v="N"/>
    <s v="N"/>
    <s v="N"/>
    <s v="N"/>
    <s v="N"/>
    <s v="B051"/>
    <d v="2016-12-19T00:00:00"/>
    <s v="10"/>
    <s v="TAN"/>
    <s v="OR"/>
    <d v="2016-12-14T00:00:00"/>
    <s v="ID"/>
    <s v="US"/>
    <s v="ZR"/>
    <d v="2016-12-14T00:00:00"/>
  </r>
  <r>
    <x v="1"/>
    <x v="0"/>
    <x v="2867"/>
    <x v="29"/>
    <s v="Standard order"/>
    <x v="2745"/>
    <x v="2366"/>
    <s v="122N"/>
    <s v="BTS 12RR2N"/>
    <s v="5002311"/>
    <s v="122N BTS T20 Kabina RP"/>
    <n v="52"/>
    <n v="0"/>
    <n v="52"/>
    <x v="0"/>
    <s v="4TBG"/>
    <s v="RP"/>
    <s v="380"/>
    <s v="4.0 UN"/>
    <s v="STANDARD"/>
    <s v="N"/>
    <s v="N"/>
    <s v="Y"/>
    <s v="T20"/>
    <s v="N"/>
    <s v="N"/>
    <s v="N"/>
    <s v="N"/>
    <s v="B005"/>
    <d v="2016-12-19T00:00:00"/>
    <s v="10"/>
    <s v="TAN"/>
    <s v="OR"/>
    <d v="2016-12-14T00:00:00"/>
    <s v="MI"/>
    <s v="US"/>
    <s v="ZR"/>
    <d v="2016-12-14T00:00:00"/>
  </r>
  <r>
    <x v="1"/>
    <x v="0"/>
    <x v="2867"/>
    <x v="29"/>
    <s v="Standard order"/>
    <x v="2745"/>
    <x v="2366"/>
    <s v="1399"/>
    <s v="BTS 1399"/>
    <s v="5002348"/>
    <s v="1399 BTS T20 Kabina RP"/>
    <n v="40"/>
    <n v="0"/>
    <n v="40"/>
    <x v="0"/>
    <s v="EG74"/>
    <s v="RP"/>
    <s v="380"/>
    <s v="4.0 UN"/>
    <s v="STANDARD"/>
    <s v="N"/>
    <s v="N"/>
    <s v="Y"/>
    <s v="T20"/>
    <s v="N"/>
    <s v="N"/>
    <s v="N"/>
    <s v="N"/>
    <s v="B005"/>
    <d v="2016-12-19T00:00:00"/>
    <s v="20"/>
    <s v="TAN"/>
    <s v="OR"/>
    <d v="2016-12-14T00:00:00"/>
    <s v="MI"/>
    <s v="US"/>
    <s v="ZR"/>
    <d v="2016-12-14T00:00:00"/>
  </r>
  <r>
    <x v="1"/>
    <x v="4"/>
    <x v="2868"/>
    <x v="47"/>
    <s v="Standard order"/>
    <x v="2746"/>
    <x v="2367"/>
    <s v="2523"/>
    <s v="BTS 2523"/>
    <s v="5002527"/>
    <s v="2523 BTS PB LRG"/>
    <n v="68"/>
    <n v="0"/>
    <n v="68"/>
    <x v="4"/>
    <s v="EZPC"/>
    <s v="LARGE"/>
    <s v="307"/>
    <s v="4.0 UN"/>
    <s v="STANDARD"/>
    <s v="N"/>
    <s v="Y"/>
    <s v="N"/>
    <s v="N"/>
    <s v="N"/>
    <s v="N"/>
    <s v="N"/>
    <s v="N"/>
    <s v="B050"/>
    <d v="2016-12-19T00:00:00"/>
    <s v="10"/>
    <s v="TAN"/>
    <s v="OR"/>
    <d v="2016-12-13T00:00:00"/>
    <s v="ID"/>
    <s v="US"/>
    <s v="ZR"/>
    <d v="2016-12-14T00:00:00"/>
  </r>
  <r>
    <x v="1"/>
    <x v="4"/>
    <x v="2868"/>
    <x v="47"/>
    <s v="Standard order"/>
    <x v="2746"/>
    <x v="2367"/>
    <s v="2559"/>
    <s v="BTS 2559"/>
    <s v="5002561"/>
    <s v="2559 BTS PB LRG"/>
    <n v="52"/>
    <n v="0"/>
    <n v="52"/>
    <x v="4"/>
    <s v="FGNE"/>
    <s v="LARGE"/>
    <s v="307"/>
    <s v="4.0 UN"/>
    <s v="STANDARD"/>
    <s v="N"/>
    <s v="Y"/>
    <s v="N"/>
    <s v="N"/>
    <s v="N"/>
    <s v="N"/>
    <s v="N"/>
    <s v="N"/>
    <s v="B050"/>
    <d v="2016-12-19T00:00:00"/>
    <s v="20"/>
    <s v="TAN"/>
    <s v="OR"/>
    <d v="2016-12-13T00:00:00"/>
    <s v="ID"/>
    <s v="US"/>
    <s v="ZR"/>
    <d v="2016-12-14T00:00:00"/>
  </r>
  <r>
    <x v="1"/>
    <x v="4"/>
    <x v="2869"/>
    <x v="47"/>
    <s v="Standard order"/>
    <x v="2709"/>
    <x v="699"/>
    <s v="251N"/>
    <s v="BTS 251N"/>
    <s v="5002194"/>
    <s v="251N BTS PB LRG"/>
    <n v="24"/>
    <n v="0"/>
    <n v="24"/>
    <x v="4"/>
    <s v="5HBR"/>
    <s v="LARGE"/>
    <s v="307"/>
    <s v="4.0 UN"/>
    <s v="STANDARD"/>
    <s v="N"/>
    <s v="Y"/>
    <s v="N"/>
    <s v="N"/>
    <s v="N"/>
    <s v="N"/>
    <s v="N"/>
    <s v="N"/>
    <s v="B050"/>
    <d v="2016-12-19T00:00:00"/>
    <s v="10"/>
    <s v="TAN"/>
    <s v="OR"/>
    <d v="2016-12-14T00:00:00"/>
    <s v="ID"/>
    <s v="US"/>
    <s v="ZR"/>
    <d v="2016-12-14T00:00:00"/>
  </r>
  <r>
    <x v="1"/>
    <x v="0"/>
    <x v="2870"/>
    <x v="45"/>
    <s v="Standard order"/>
    <x v="2747"/>
    <x v="1218"/>
    <s v="1399"/>
    <s v="BTS 1399"/>
    <s v="5002348"/>
    <s v="1399 BTS T20 Kabina RP"/>
    <n v="16"/>
    <n v="0"/>
    <n v="16"/>
    <x v="0"/>
    <s v="EG74"/>
    <s v="RP"/>
    <s v="380"/>
    <s v="4.0 UN"/>
    <s v="STANDARD"/>
    <s v="N"/>
    <s v="N"/>
    <s v="Y"/>
    <s v="T20"/>
    <s v="N"/>
    <s v="N"/>
    <s v="N"/>
    <s v="N"/>
    <s v="B003"/>
    <d v="2016-12-19T00:00:00"/>
    <s v="10"/>
    <s v="TAN"/>
    <s v="OR"/>
    <d v="2016-12-14T00:00:00"/>
    <s v="MI"/>
    <s v="US"/>
    <s v="ZR"/>
    <d v="2016-12-14T00:00:00"/>
  </r>
  <r>
    <x v="1"/>
    <x v="2"/>
    <x v="2871"/>
    <x v="23"/>
    <s v="Standard order"/>
    <x v="2748"/>
    <x v="2368"/>
    <s v="6543"/>
    <s v="BTS 6543"/>
    <s v="5002440"/>
    <s v="6543 BTS T20 PB SYSTIVA P50"/>
    <n v="36"/>
    <n v="0"/>
    <n v="36"/>
    <x v="2"/>
    <s v="FXND"/>
    <s v="PRO 50"/>
    <s v="322"/>
    <s v="4.0 UN"/>
    <s v="STANDARD"/>
    <s v="N"/>
    <s v="N"/>
    <s v="N"/>
    <s v="T20"/>
    <s v="Y"/>
    <s v="N"/>
    <s v="Y"/>
    <s v="N"/>
    <s v="B055"/>
    <d v="2016-12-19T00:00:00"/>
    <s v="10"/>
    <s v="TAN"/>
    <s v="OR"/>
    <d v="2016-12-14T00:00:00"/>
    <s v="WY"/>
    <s v="US"/>
    <s v="ZR"/>
    <d v="2016-12-14T00:00:00"/>
  </r>
  <r>
    <x v="1"/>
    <x v="5"/>
    <x v="2872"/>
    <x v="12"/>
    <s v="Standard order"/>
    <x v="2749"/>
    <x v="2369"/>
    <s v="336N"/>
    <s v="BTS 336N"/>
    <s v="5002199"/>
    <s v="336N BTS T20 PB SYSTIVA P200"/>
    <n v="140"/>
    <n v="0"/>
    <n v="140"/>
    <x v="5"/>
    <s v="EEMG"/>
    <s v="PRO 200"/>
    <s v="322"/>
    <s v="4.0 UN"/>
    <s v="STANDARD"/>
    <s v="N"/>
    <s v="N"/>
    <s v="N"/>
    <s v="T20"/>
    <s v="Y"/>
    <s v="N"/>
    <s v="N"/>
    <s v="N"/>
    <s v="B014"/>
    <d v="2016-12-19T00:00:00"/>
    <s v="10"/>
    <s v="TAN"/>
    <s v="OR"/>
    <d v="2016-12-14T00:00:00"/>
    <s v="MT"/>
    <s v="US"/>
    <s v="ZR"/>
    <d v="2016-12-14T00:00:00"/>
  </r>
  <r>
    <x v="1"/>
    <x v="5"/>
    <x v="2872"/>
    <x v="12"/>
    <s v="Standard order"/>
    <x v="2749"/>
    <x v="2369"/>
    <s v="353N"/>
    <s v="BTS 353N"/>
    <s v="5002522"/>
    <s v="353N BTS T20 PB SYSTIVA P200"/>
    <n v="24"/>
    <n v="0"/>
    <n v="24"/>
    <x v="5"/>
    <s v="EENZ"/>
    <s v="PRO 200"/>
    <s v="322"/>
    <s v="4.0 UN"/>
    <s v="STANDARD"/>
    <s v="N"/>
    <s v="Y"/>
    <s v="N"/>
    <s v="T20"/>
    <s v="Y"/>
    <s v="N"/>
    <s v="N"/>
    <s v="N"/>
    <s v="B014"/>
    <d v="2016-12-19T00:00:00"/>
    <s v="20"/>
    <s v="TAN"/>
    <s v="OR"/>
    <d v="2016-12-14T00:00:00"/>
    <s v="MT"/>
    <s v="US"/>
    <s v="ZR"/>
    <d v="2016-12-14T00:00:00"/>
  </r>
  <r>
    <x v="1"/>
    <x v="2"/>
    <x v="2873"/>
    <x v="5"/>
    <s v="Standard order"/>
    <x v="2750"/>
    <x v="784"/>
    <s v="630N"/>
    <s v="BTS 630N"/>
    <s v="5002403"/>
    <s v="630N BTS T20 PB SYSTIVA P200"/>
    <n v="40"/>
    <n v="0"/>
    <n v="40"/>
    <x v="2"/>
    <s v="DW73"/>
    <s v="PRO 200"/>
    <s v="322"/>
    <s v="4.0 UN"/>
    <s v="STANDARD"/>
    <s v="N"/>
    <s v="N"/>
    <s v="N"/>
    <s v="T20"/>
    <s v="Y"/>
    <s v="N"/>
    <s v="Y"/>
    <s v="N"/>
    <s v="B020"/>
    <d v="2016-12-19T00:00:00"/>
    <s v="10"/>
    <s v="TAN"/>
    <s v="OR"/>
    <d v="2016-12-14T00:00:00"/>
    <s v="CO"/>
    <s v="US"/>
    <s v="ZR"/>
    <d v="2016-12-14T00:00:00"/>
  </r>
  <r>
    <x v="1"/>
    <x v="2"/>
    <x v="2873"/>
    <x v="5"/>
    <s v="Standard order"/>
    <x v="2750"/>
    <x v="784"/>
    <s v="64SN"/>
    <s v="BTS 64SN"/>
    <s v="5002421"/>
    <s v="64SN BTS T20 PB SYSTIVA P200"/>
    <n v="60"/>
    <n v="0"/>
    <n v="60"/>
    <x v="2"/>
    <s v="DVNB"/>
    <s v="PRO 200"/>
    <s v="322"/>
    <s v="4.0 UN"/>
    <s v="STANDARD"/>
    <s v="N"/>
    <s v="N"/>
    <s v="N"/>
    <s v="T20"/>
    <s v="Y"/>
    <s v="N"/>
    <s v="Y"/>
    <s v="N"/>
    <s v="B020"/>
    <d v="2016-12-19T00:00:00"/>
    <s v="20"/>
    <s v="TAN"/>
    <s v="OR"/>
    <d v="2016-12-14T00:00:00"/>
    <s v="CO"/>
    <s v="US"/>
    <s v="ZR"/>
    <d v="2016-12-14T00:00:00"/>
  </r>
  <r>
    <x v="1"/>
    <x v="0"/>
    <x v="2874"/>
    <x v="42"/>
    <s v="Standard order"/>
    <x v="2751"/>
    <x v="2370"/>
    <s v="1399"/>
    <s v="BTS 1399"/>
    <s v="5002347"/>
    <s v="1399 BTS T20 Kabina P200"/>
    <n v="52"/>
    <n v="0"/>
    <n v="52"/>
    <x v="0"/>
    <s v="EG74"/>
    <s v="PRO 200"/>
    <s v="380"/>
    <s v="4.0 UN"/>
    <s v="STANDARD"/>
    <s v="N"/>
    <s v="N"/>
    <s v="Y"/>
    <s v="T20"/>
    <s v="N"/>
    <s v="N"/>
    <s v="N"/>
    <s v="N"/>
    <s v="B007"/>
    <d v="2016-12-19T00:00:00"/>
    <s v="10"/>
    <s v="TAN"/>
    <s v="OR"/>
    <d v="2016-12-14T00:00:00"/>
    <s v="MI"/>
    <s v="US"/>
    <s v="ZR"/>
    <d v="2016-12-14T00:00:00"/>
  </r>
  <r>
    <x v="1"/>
    <x v="2"/>
    <x v="2875"/>
    <x v="22"/>
    <s v="Standard order"/>
    <x v="2752"/>
    <x v="2371"/>
    <s v="6027"/>
    <s v="BTS 60RR27"/>
    <s v="5002645"/>
    <s v="6027 BTS T20 PB SYSTIVA P100 WSS"/>
    <n v="8"/>
    <n v="0"/>
    <n v="8"/>
    <x v="2"/>
    <s v="APMC"/>
    <s v="PRO 100"/>
    <s v="322"/>
    <s v="4.0 UN"/>
    <s v="STANDARD"/>
    <s v="N"/>
    <s v="N"/>
    <s v="N"/>
    <s v="T20"/>
    <s v="Y"/>
    <s v="N"/>
    <s v="Y"/>
    <s v="N"/>
    <s v="B018"/>
    <d v="2016-12-19T00:00:00"/>
    <s v="10"/>
    <s v="TAN"/>
    <s v="OR"/>
    <d v="2016-12-14T00:00:00"/>
    <s v="CO"/>
    <s v="US"/>
    <s v="ZR"/>
    <d v="2016-12-14T00:00:00"/>
  </r>
  <r>
    <x v="1"/>
    <x v="2"/>
    <x v="2876"/>
    <x v="6"/>
    <s v="Standard order"/>
    <x v="2753"/>
    <x v="785"/>
    <s v="628N"/>
    <s v="BTS 62RR8N"/>
    <s v="5002685"/>
    <s v="628N BTS T20 PB SYSTIVA P50"/>
    <n v="48"/>
    <n v="0"/>
    <n v="48"/>
    <x v="2"/>
    <s v="BL73"/>
    <s v="PRO 50"/>
    <s v="322"/>
    <s v="4.0 UN"/>
    <s v="STANDARD"/>
    <s v="N"/>
    <s v="N"/>
    <s v="N"/>
    <s v="T20"/>
    <s v="Y"/>
    <s v="N"/>
    <s v="Y"/>
    <s v="N"/>
    <s v="B025"/>
    <d v="2016-12-19T00:00:00"/>
    <s v="10"/>
    <s v="TAN"/>
    <s v="OR"/>
    <d v="2016-12-14T00:00:00"/>
    <s v="NE"/>
    <s v="US"/>
    <s v="ZR"/>
    <d v="2016-12-14T00:00:00"/>
  </r>
  <r>
    <x v="1"/>
    <x v="2"/>
    <x v="2876"/>
    <x v="6"/>
    <s v="Standard order"/>
    <x v="2753"/>
    <x v="785"/>
    <s v="64SN"/>
    <s v="BTS 64SN"/>
    <s v="5002422"/>
    <s v="64SN BTS T20 PB SYSTIVA P50"/>
    <n v="28"/>
    <n v="0"/>
    <n v="28"/>
    <x v="2"/>
    <s v="DVNB"/>
    <s v="PRO 50"/>
    <s v="322"/>
    <s v="4.0 UN"/>
    <s v="STANDARD"/>
    <s v="N"/>
    <s v="N"/>
    <s v="N"/>
    <s v="T20"/>
    <s v="Y"/>
    <s v="N"/>
    <s v="Y"/>
    <s v="N"/>
    <s v="B025"/>
    <d v="2016-12-19T00:00:00"/>
    <s v="20"/>
    <s v="TAN"/>
    <s v="OR"/>
    <d v="2016-12-14T00:00:00"/>
    <s v="NE"/>
    <s v="US"/>
    <s v="ZR"/>
    <d v="2016-12-14T00:00:00"/>
  </r>
  <r>
    <x v="1"/>
    <x v="0"/>
    <x v="2877"/>
    <x v="29"/>
    <s v="Standard order"/>
    <x v="2754"/>
    <x v="2372"/>
    <s v="149N"/>
    <s v="BTS 149N"/>
    <s v="5002368"/>
    <s v="149N BTS T20 Kabina RP"/>
    <n v="24"/>
    <n v="0"/>
    <n v="24"/>
    <x v="0"/>
    <s v="EEND"/>
    <s v="RP"/>
    <s v="380"/>
    <s v="4.0 UN"/>
    <s v="STANDARD"/>
    <s v="N"/>
    <s v="N"/>
    <s v="Y"/>
    <s v="T20"/>
    <s v="N"/>
    <s v="N"/>
    <s v="N"/>
    <s v="N"/>
    <s v="B005"/>
    <d v="2016-12-19T00:00:00"/>
    <s v="10"/>
    <s v="TAN"/>
    <s v="OR"/>
    <d v="2016-12-14T00:00:00"/>
    <s v="MI"/>
    <s v="US"/>
    <s v="ZR"/>
    <d v="2016-12-14T00:00:00"/>
  </r>
  <r>
    <x v="1"/>
    <x v="0"/>
    <x v="2877"/>
    <x v="29"/>
    <s v="Standard order"/>
    <x v="2754"/>
    <x v="2372"/>
    <s v="122N"/>
    <s v="BTS 12RR2N"/>
    <s v="5002311"/>
    <s v="122N BTS T20 Kabina RP"/>
    <n v="20"/>
    <n v="0"/>
    <n v="20"/>
    <x v="0"/>
    <s v="4TBG"/>
    <s v="RP"/>
    <s v="380"/>
    <s v="4.0 UN"/>
    <s v="STANDARD"/>
    <s v="N"/>
    <s v="N"/>
    <s v="Y"/>
    <s v="T20"/>
    <s v="N"/>
    <s v="N"/>
    <s v="N"/>
    <s v="N"/>
    <s v="B005"/>
    <d v="2016-12-19T00:00:00"/>
    <s v="20"/>
    <s v="TAN"/>
    <s v="OR"/>
    <d v="2016-12-14T00:00:00"/>
    <s v="MI"/>
    <s v="US"/>
    <s v="ZR"/>
    <d v="2016-12-14T00:00:00"/>
  </r>
  <r>
    <x v="1"/>
    <x v="0"/>
    <x v="2878"/>
    <x v="45"/>
    <s v="Standard order"/>
    <x v="2755"/>
    <x v="2373"/>
    <s v="1399"/>
    <s v="BTS 1399"/>
    <s v="5002348"/>
    <s v="1399 BTS T20 Kabina RP"/>
    <n v="48"/>
    <n v="0"/>
    <n v="48"/>
    <x v="0"/>
    <s v="EG74"/>
    <s v="RP"/>
    <s v="380"/>
    <s v="4.0 UN"/>
    <s v="STANDARD"/>
    <s v="N"/>
    <s v="N"/>
    <s v="Y"/>
    <s v="T20"/>
    <s v="N"/>
    <s v="N"/>
    <s v="N"/>
    <s v="N"/>
    <s v="B003"/>
    <d v="2016-12-19T00:00:00"/>
    <s v="10"/>
    <s v="TAN"/>
    <s v="OR"/>
    <d v="2016-12-14T00:00:00"/>
    <s v="MI"/>
    <s v="US"/>
    <s v="ZR"/>
    <d v="2016-12-14T00:00:00"/>
  </r>
  <r>
    <x v="1"/>
    <x v="6"/>
    <x v="2879"/>
    <x v="51"/>
    <s v="Standard order"/>
    <x v="2756"/>
    <x v="996"/>
    <s v="444N"/>
    <s v="BTS 444N"/>
    <s v="5002226"/>
    <s v="444N BTS T20 PB SYSTIVA P100"/>
    <n v="32"/>
    <n v="0"/>
    <n v="32"/>
    <x v="6"/>
    <s v="DVND"/>
    <s v="PRO 100"/>
    <s v="322"/>
    <s v="4.0 UN"/>
    <s v="STANDARD"/>
    <s v="N"/>
    <s v="N"/>
    <s v="N"/>
    <s v="T20"/>
    <s v="Y"/>
    <s v="N"/>
    <s v="Y"/>
    <s v="N"/>
    <s v="B011"/>
    <d v="2016-12-19T00:00:00"/>
    <s v="10"/>
    <s v="TAN"/>
    <s v="OR"/>
    <d v="2016-12-14T00:00:00"/>
    <s v="MT"/>
    <s v="US"/>
    <s v="ZR"/>
    <d v="2016-12-14T00:00:00"/>
  </r>
  <r>
    <x v="1"/>
    <x v="6"/>
    <x v="2879"/>
    <x v="51"/>
    <s v="Standard order"/>
    <x v="2756"/>
    <x v="996"/>
    <s v="459N"/>
    <s v="BTS 459N"/>
    <s v="5002256"/>
    <s v="459N BTS T20 PB SYSTIVA P100"/>
    <n v="28"/>
    <n v="0"/>
    <n v="28"/>
    <x v="6"/>
    <s v="DVNU"/>
    <s v="PRO 100"/>
    <s v="322"/>
    <s v="4.0 UN"/>
    <s v="STANDARD"/>
    <s v="N"/>
    <s v="N"/>
    <s v="N"/>
    <s v="T20"/>
    <s v="Y"/>
    <s v="N"/>
    <s v="Y"/>
    <s v="N"/>
    <s v="B011"/>
    <d v="2016-12-19T00:00:00"/>
    <s v="20"/>
    <s v="TAN"/>
    <s v="OR"/>
    <d v="2016-12-14T00:00:00"/>
    <s v="MT"/>
    <s v="US"/>
    <s v="ZR"/>
    <d v="2016-12-14T00:00:00"/>
  </r>
  <r>
    <x v="1"/>
    <x v="4"/>
    <x v="2880"/>
    <x v="47"/>
    <s v="Standard order"/>
    <x v="2757"/>
    <x v="593"/>
    <s v="2570"/>
    <s v="BTS 2570"/>
    <s v="5002553"/>
    <s v="2570 BTS PB LRG"/>
    <n v="32"/>
    <n v="0"/>
    <n v="32"/>
    <x v="4"/>
    <s v="EZNS"/>
    <s v="LARGE"/>
    <s v="307"/>
    <s v="4.0 UN"/>
    <s v="STANDARD"/>
    <s v="N"/>
    <s v="Y"/>
    <s v="N"/>
    <s v="N"/>
    <s v="N"/>
    <s v="N"/>
    <s v="N"/>
    <s v="N"/>
    <s v="B050"/>
    <d v="2016-12-19T00:00:00"/>
    <s v="10"/>
    <s v="TAN"/>
    <s v="OR"/>
    <d v="2016-12-14T00:00:00"/>
    <s v="ID"/>
    <s v="US"/>
    <s v="ZR"/>
    <d v="2016-12-14T00:00:00"/>
  </r>
  <r>
    <x v="1"/>
    <x v="0"/>
    <x v="2881"/>
    <x v="42"/>
    <s v="Standard order"/>
    <x v="2758"/>
    <x v="2374"/>
    <s v="122N"/>
    <s v="BTS 12RR2N"/>
    <s v="5002310"/>
    <s v="122N BTS T20 Kabina P200"/>
    <n v="64"/>
    <n v="0"/>
    <n v="64"/>
    <x v="0"/>
    <s v="4TBG"/>
    <s v="PRO 200"/>
    <s v="380"/>
    <s v="4.0 UN"/>
    <s v="STANDARD"/>
    <s v="N"/>
    <s v="N"/>
    <s v="Y"/>
    <s v="T20"/>
    <s v="N"/>
    <s v="N"/>
    <s v="N"/>
    <s v="N"/>
    <s v="B007"/>
    <d v="2016-12-19T00:00:00"/>
    <s v="10"/>
    <s v="TAN"/>
    <s v="OR"/>
    <d v="2016-12-13T00:00:00"/>
    <s v="MI"/>
    <s v="US"/>
    <s v="ZR"/>
    <d v="2016-12-14T00:00:00"/>
  </r>
  <r>
    <x v="1"/>
    <x v="0"/>
    <x v="2882"/>
    <x v="45"/>
    <s v="Standard order"/>
    <x v="2759"/>
    <x v="2375"/>
    <s v="122N"/>
    <s v="BTS 12RR2N"/>
    <s v="5002315"/>
    <s v="122N BTS T20 SYSTIVA MP"/>
    <n v="28"/>
    <n v="0"/>
    <n v="28"/>
    <x v="0"/>
    <s v="4TBG"/>
    <s v="MP"/>
    <s v="326"/>
    <s v="4.0 UN"/>
    <s v="STANDARD"/>
    <s v="N"/>
    <s v="N"/>
    <s v="N"/>
    <s v="T20"/>
    <s v="Y"/>
    <s v="N"/>
    <s v="Y"/>
    <s v="N"/>
    <s v="B003"/>
    <d v="2016-12-19T00:00:00"/>
    <s v="30"/>
    <s v="TAN"/>
    <s v="OR"/>
    <d v="2016-12-13T00:00:00"/>
    <s v="MI"/>
    <s v="US"/>
    <s v="ZR"/>
    <d v="2016-12-14T00:00:00"/>
  </r>
  <r>
    <x v="1"/>
    <x v="0"/>
    <x v="2882"/>
    <x v="45"/>
    <s v="Standard order"/>
    <x v="2759"/>
    <x v="2375"/>
    <s v="1399"/>
    <s v="BTS 1399"/>
    <s v="5002346"/>
    <s v="1399 BTS T20 Kabina MP"/>
    <n v="24"/>
    <n v="0"/>
    <n v="24"/>
    <x v="0"/>
    <s v="EG74"/>
    <s v="MP"/>
    <s v="380"/>
    <s v="4.0 UN"/>
    <s v="STANDARD"/>
    <s v="N"/>
    <s v="N"/>
    <s v="Y"/>
    <s v="T20"/>
    <s v="N"/>
    <s v="N"/>
    <s v="N"/>
    <s v="N"/>
    <s v="B003"/>
    <d v="2016-12-19T00:00:00"/>
    <s v="10"/>
    <s v="TAN"/>
    <s v="OR"/>
    <d v="2016-12-13T00:00:00"/>
    <s v="MI"/>
    <s v="US"/>
    <s v="ZR"/>
    <d v="2016-12-14T00:00:00"/>
  </r>
  <r>
    <x v="1"/>
    <x v="5"/>
    <x v="2883"/>
    <x v="21"/>
    <s v="Standard order"/>
    <x v="2760"/>
    <x v="2376"/>
    <s v="398N"/>
    <s v="BTS 39RR8N"/>
    <s v="5002572"/>
    <s v="398N BTS T20 PB SYSTIVA RP"/>
    <n v="72"/>
    <n v="0"/>
    <n v="72"/>
    <x v="5"/>
    <s v="2771"/>
    <s v="RP"/>
    <s v="322"/>
    <s v="4.0 UN"/>
    <s v="STANDARD"/>
    <s v="N"/>
    <s v="Y"/>
    <s v="N"/>
    <s v="T20"/>
    <s v="Y"/>
    <s v="N"/>
    <s v="N"/>
    <s v="N"/>
    <s v="B013"/>
    <d v="2016-12-19T00:00:00"/>
    <s v="10"/>
    <s v="TAN"/>
    <s v="OR"/>
    <d v="2016-12-13T00:00:00"/>
    <s v="MT"/>
    <s v="US"/>
    <s v="ZR"/>
    <d v="2016-12-14T00:00:00"/>
  </r>
  <r>
    <x v="1"/>
    <x v="5"/>
    <x v="2883"/>
    <x v="21"/>
    <s v="Standard order"/>
    <x v="2760"/>
    <x v="2376"/>
    <s v="336N"/>
    <s v="BTS 336N"/>
    <s v="5002400"/>
    <s v="336N BTS T20 PB SYSTIVA RP"/>
    <n v="24"/>
    <n v="0"/>
    <n v="24"/>
    <x v="5"/>
    <s v="EEMG"/>
    <s v="RP"/>
    <s v="322"/>
    <s v="4.0 UN"/>
    <s v="STANDARD"/>
    <s v="N"/>
    <s v="N"/>
    <s v="N"/>
    <s v="T20"/>
    <s v="Y"/>
    <s v="N"/>
    <s v="N"/>
    <s v="N"/>
    <s v="B013"/>
    <d v="2016-12-19T00:00:00"/>
    <s v="20"/>
    <s v="TAN"/>
    <s v="OR"/>
    <d v="2016-12-13T00:00:00"/>
    <s v="MT"/>
    <s v="US"/>
    <s v="ZR"/>
    <d v="2016-12-14T00:00:00"/>
  </r>
  <r>
    <x v="1"/>
    <x v="0"/>
    <x v="2884"/>
    <x v="54"/>
    <s v="Standard order"/>
    <x v="2761"/>
    <x v="2377"/>
    <s v="122N"/>
    <s v="BTS 12RR2N"/>
    <s v="5002311"/>
    <s v="122N BTS T20 Kabina RP"/>
    <n v="56"/>
    <n v="0"/>
    <n v="56"/>
    <x v="0"/>
    <s v="4TBG"/>
    <s v="RP"/>
    <s v="380"/>
    <s v="4.0 UN"/>
    <s v="STANDARD"/>
    <s v="N"/>
    <s v="N"/>
    <s v="Y"/>
    <s v="T20"/>
    <s v="N"/>
    <s v="N"/>
    <s v="N"/>
    <s v="N"/>
    <s v="B002"/>
    <d v="2016-12-19T00:00:00"/>
    <s v="10"/>
    <s v="TAN"/>
    <s v="OR"/>
    <d v="2016-12-13T00:00:00"/>
    <s v="MI"/>
    <s v="US"/>
    <s v="ZR"/>
    <d v="2016-12-14T00:00:00"/>
  </r>
  <r>
    <x v="1"/>
    <x v="0"/>
    <x v="2884"/>
    <x v="54"/>
    <s v="Standard order"/>
    <x v="2761"/>
    <x v="2377"/>
    <s v="149N"/>
    <s v="BTS 149N"/>
    <s v="5002368"/>
    <s v="149N BTS T20 Kabina RP"/>
    <n v="56"/>
    <n v="0"/>
    <n v="56"/>
    <x v="0"/>
    <s v="EEND"/>
    <s v="RP"/>
    <s v="380"/>
    <s v="4.0 UN"/>
    <s v="STANDARD"/>
    <s v="N"/>
    <s v="N"/>
    <s v="Y"/>
    <s v="T20"/>
    <s v="N"/>
    <s v="N"/>
    <s v="N"/>
    <s v="N"/>
    <s v="B002"/>
    <d v="2016-12-19T00:00:00"/>
    <s v="20"/>
    <s v="TAN"/>
    <s v="OR"/>
    <d v="2016-12-13T00:00:00"/>
    <s v="MI"/>
    <s v="US"/>
    <s v="ZR"/>
    <d v="2016-12-14T00:00:00"/>
  </r>
  <r>
    <x v="1"/>
    <x v="7"/>
    <x v="2885"/>
    <x v="37"/>
    <s v="Standard order"/>
    <x v="2762"/>
    <x v="2378"/>
    <s v="8500"/>
    <s v="BTS 8500"/>
    <s v="5002856"/>
    <s v="8500 BTS T35 PB SYSTIVA RP"/>
    <n v="68"/>
    <n v="0"/>
    <n v="68"/>
    <x v="7"/>
    <s v="FTND"/>
    <s v="RP"/>
    <s v="333"/>
    <s v="4.0 UN"/>
    <s v="STANDARD"/>
    <s v="N"/>
    <s v="Y"/>
    <s v="N"/>
    <s v="T35"/>
    <s v="Y"/>
    <s v="N"/>
    <s v="Y"/>
    <s v="N"/>
    <s v="B033"/>
    <d v="2016-12-19T00:00:00"/>
    <s v="10"/>
    <s v="TAN"/>
    <s v="OR"/>
    <d v="2016-12-14T00:00:00"/>
    <s v="MN"/>
    <s v="US"/>
    <s v="ZR"/>
    <d v="2016-12-14T00:00:00"/>
  </r>
  <r>
    <x v="1"/>
    <x v="0"/>
    <x v="2886"/>
    <x v="45"/>
    <s v="Standard order"/>
    <x v="2763"/>
    <x v="1299"/>
    <s v="1399"/>
    <s v="BTS 1399"/>
    <s v="5002348"/>
    <s v="1399 BTS T20 Kabina RP"/>
    <n v="12"/>
    <n v="0"/>
    <n v="12"/>
    <x v="0"/>
    <s v="EG74"/>
    <s v="RP"/>
    <s v="380"/>
    <s v="4.0 UN"/>
    <s v="STANDARD"/>
    <s v="N"/>
    <s v="N"/>
    <s v="Y"/>
    <s v="T20"/>
    <s v="N"/>
    <s v="N"/>
    <s v="N"/>
    <s v="N"/>
    <s v="B003"/>
    <d v="2016-12-19T00:00:00"/>
    <s v="10"/>
    <s v="TAN"/>
    <s v="OR"/>
    <d v="2016-12-14T00:00:00"/>
    <s v="MI"/>
    <s v="US"/>
    <s v="ZR"/>
    <d v="2016-12-14T00:00:00"/>
  </r>
  <r>
    <x v="1"/>
    <x v="0"/>
    <x v="2886"/>
    <x v="45"/>
    <s v="Standard order"/>
    <x v="2763"/>
    <x v="1299"/>
    <s v="122N"/>
    <s v="BTS 12RR2N"/>
    <s v="5002311"/>
    <s v="122N BTS T20 Kabina RP"/>
    <n v="12"/>
    <n v="0"/>
    <n v="12"/>
    <x v="0"/>
    <s v="4TBG"/>
    <s v="RP"/>
    <s v="380"/>
    <s v="4.0 UN"/>
    <s v="STANDARD"/>
    <s v="N"/>
    <s v="N"/>
    <s v="Y"/>
    <s v="T20"/>
    <s v="N"/>
    <s v="N"/>
    <s v="N"/>
    <s v="N"/>
    <s v="B003"/>
    <d v="2016-12-19T00:00:00"/>
    <s v="20"/>
    <s v="TAN"/>
    <s v="OR"/>
    <d v="2016-12-14T00:00:00"/>
    <s v="MI"/>
    <s v="US"/>
    <s v="ZR"/>
    <d v="2016-12-14T00:00:00"/>
  </r>
  <r>
    <x v="1"/>
    <x v="2"/>
    <x v="2887"/>
    <x v="5"/>
    <s v="Standard order"/>
    <x v="2764"/>
    <x v="761"/>
    <s v="628N"/>
    <s v="BTS 62RR8N"/>
    <s v="5002684"/>
    <s v="628N BTS T20 PB SYSTIVA P200"/>
    <n v="24"/>
    <n v="0"/>
    <n v="24"/>
    <x v="2"/>
    <s v="BL73"/>
    <s v="PRO 200"/>
    <s v="322"/>
    <s v="4.0 UN"/>
    <s v="STANDARD"/>
    <s v="N"/>
    <s v="N"/>
    <s v="N"/>
    <s v="T20"/>
    <s v="Y"/>
    <s v="N"/>
    <s v="Y"/>
    <s v="N"/>
    <s v="B020"/>
    <d v="2016-12-19T00:00:00"/>
    <s v="10"/>
    <s v="TAN"/>
    <s v="OR"/>
    <d v="2016-12-14T00:00:00"/>
    <s v="CO"/>
    <s v="US"/>
    <s v="ZR"/>
    <d v="2016-12-14T00:00:00"/>
  </r>
  <r>
    <x v="1"/>
    <x v="2"/>
    <x v="2887"/>
    <x v="5"/>
    <s v="Standard order"/>
    <x v="2764"/>
    <x v="761"/>
    <s v="64SN"/>
    <s v="BTS 64SN"/>
    <s v="5002421"/>
    <s v="64SN BTS T20 PB SYSTIVA P200"/>
    <n v="16"/>
    <n v="0"/>
    <n v="16"/>
    <x v="2"/>
    <s v="DVNB"/>
    <s v="PRO 200"/>
    <s v="322"/>
    <s v="4.0 UN"/>
    <s v="STANDARD"/>
    <s v="N"/>
    <s v="N"/>
    <s v="N"/>
    <s v="T20"/>
    <s v="Y"/>
    <s v="N"/>
    <s v="Y"/>
    <s v="N"/>
    <s v="B020"/>
    <d v="2016-12-19T00:00:00"/>
    <s v="20"/>
    <s v="TAN"/>
    <s v="OR"/>
    <d v="2016-12-14T00:00:00"/>
    <s v="CO"/>
    <s v="US"/>
    <s v="ZR"/>
    <d v="2016-12-14T00:00:00"/>
  </r>
  <r>
    <x v="1"/>
    <x v="2"/>
    <x v="2888"/>
    <x v="22"/>
    <s v="Standard order"/>
    <x v="2765"/>
    <x v="777"/>
    <s v="628N"/>
    <s v="BTS 62RR8N"/>
    <s v="5002683"/>
    <s v="628N BTS T20 PB SYSTIVA P100"/>
    <n v="16"/>
    <n v="0"/>
    <n v="16"/>
    <x v="2"/>
    <s v="BL73"/>
    <s v="PRO 100"/>
    <s v="322"/>
    <s v="4.0 UN"/>
    <s v="STANDARD"/>
    <s v="N"/>
    <s v="N"/>
    <s v="N"/>
    <s v="T20"/>
    <s v="Y"/>
    <s v="N"/>
    <s v="Y"/>
    <s v="N"/>
    <s v="B018"/>
    <d v="2016-12-19T00:00:00"/>
    <s v="10"/>
    <s v="TAN"/>
    <s v="OR"/>
    <d v="2016-12-14T00:00:00"/>
    <s v="CO"/>
    <s v="US"/>
    <s v="ZR"/>
    <d v="2016-12-14T00:00:00"/>
  </r>
  <r>
    <x v="1"/>
    <x v="7"/>
    <x v="2889"/>
    <x v="33"/>
    <s v="Standard order"/>
    <x v="2766"/>
    <x v="2379"/>
    <s v="8500"/>
    <s v="BTS 8500"/>
    <s v="5002856"/>
    <s v="8500 BTS T35 PB SYSTIVA RP"/>
    <n v="32"/>
    <n v="0"/>
    <n v="32"/>
    <x v="7"/>
    <s v="FTND"/>
    <s v="RP"/>
    <s v="333"/>
    <s v="4.0 UN"/>
    <s v="STANDARD"/>
    <s v="N"/>
    <s v="Y"/>
    <s v="N"/>
    <s v="T35"/>
    <s v="Y"/>
    <s v="N"/>
    <s v="Y"/>
    <s v="N"/>
    <s v="B026"/>
    <d v="2016-12-19T00:00:00"/>
    <s v="10"/>
    <s v="TAN"/>
    <s v="OR"/>
    <d v="2016-12-14T00:00:00"/>
    <s v="MN"/>
    <s v="US"/>
    <s v="ZR"/>
    <d v="2016-12-14T00:00:00"/>
  </r>
  <r>
    <x v="1"/>
    <x v="2"/>
    <x v="2890"/>
    <x v="5"/>
    <s v="Standard order"/>
    <x v="2767"/>
    <x v="752"/>
    <s v="64SN"/>
    <s v="BTS 64SN"/>
    <s v="5002420"/>
    <s v="64SN BTS T20 PB SYSTIVA P100"/>
    <n v="20"/>
    <n v="0"/>
    <n v="20"/>
    <x v="2"/>
    <s v="DVNB"/>
    <s v="PRO 100"/>
    <s v="322"/>
    <s v="4.0 UN"/>
    <s v="STANDARD"/>
    <s v="N"/>
    <s v="N"/>
    <s v="N"/>
    <s v="T20"/>
    <s v="Y"/>
    <s v="N"/>
    <s v="Y"/>
    <s v="N"/>
    <s v="B020"/>
    <d v="2016-12-19T00:00:00"/>
    <s v="10"/>
    <s v="TAN"/>
    <s v="OR"/>
    <d v="2016-12-13T00:00:00"/>
    <s v="CO"/>
    <s v="US"/>
    <s v="ZR"/>
    <d v="2016-12-14T00:00:00"/>
  </r>
  <r>
    <x v="1"/>
    <x v="2"/>
    <x v="2890"/>
    <x v="5"/>
    <s v="Standard order"/>
    <x v="2767"/>
    <x v="752"/>
    <s v="630N"/>
    <s v="BTS 630N"/>
    <s v="5002402"/>
    <s v="630N BTS T20 PB SYSTIVA P100"/>
    <n v="12"/>
    <n v="0"/>
    <n v="12"/>
    <x v="2"/>
    <s v="DW73"/>
    <s v="PRO 100"/>
    <s v="322"/>
    <s v="4.0 UN"/>
    <s v="STANDARD"/>
    <s v="N"/>
    <s v="N"/>
    <s v="N"/>
    <s v="T20"/>
    <s v="Y"/>
    <s v="N"/>
    <s v="Y"/>
    <s v="N"/>
    <s v="B020"/>
    <d v="2016-12-19T00:00:00"/>
    <s v="20"/>
    <s v="TAN"/>
    <s v="OR"/>
    <d v="2016-12-13T00:00:00"/>
    <s v="CO"/>
    <s v="US"/>
    <s v="ZR"/>
    <d v="2016-12-14T00:00:00"/>
  </r>
  <r>
    <x v="1"/>
    <x v="0"/>
    <x v="2891"/>
    <x v="45"/>
    <s v="Standard order"/>
    <x v="2768"/>
    <x v="1131"/>
    <s v="1399"/>
    <s v="BTS 1399"/>
    <s v="5002348"/>
    <s v="1399 BTS T20 Kabina RP"/>
    <n v="24"/>
    <n v="0"/>
    <n v="24"/>
    <x v="0"/>
    <s v="EG74"/>
    <s v="RP"/>
    <s v="380"/>
    <s v="4.0 UN"/>
    <s v="STANDARD"/>
    <s v="N"/>
    <s v="N"/>
    <s v="Y"/>
    <s v="T20"/>
    <s v="N"/>
    <s v="N"/>
    <s v="N"/>
    <s v="N"/>
    <s v="B003"/>
    <d v="2016-12-19T00:00:00"/>
    <s v="10"/>
    <s v="TAN"/>
    <s v="OR"/>
    <d v="2016-12-14T00:00:00"/>
    <s v="MI"/>
    <s v="US"/>
    <s v="ZR"/>
    <d v="2016-12-14T00:00:00"/>
  </r>
  <r>
    <x v="1"/>
    <x v="0"/>
    <x v="2891"/>
    <x v="45"/>
    <s v="Standard order"/>
    <x v="2768"/>
    <x v="1131"/>
    <s v="122N"/>
    <s v="BTS 12RR2N"/>
    <s v="5002317"/>
    <s v="122N BTS T20 SYSTIVA RP"/>
    <n v="8"/>
    <n v="0"/>
    <n v="8"/>
    <x v="0"/>
    <s v="4TBG"/>
    <s v="RP"/>
    <s v="326"/>
    <s v="4.0 UN"/>
    <s v="STANDARD"/>
    <s v="N"/>
    <s v="N"/>
    <s v="N"/>
    <s v="T20"/>
    <s v="Y"/>
    <s v="N"/>
    <s v="Y"/>
    <s v="N"/>
    <s v="B003"/>
    <d v="2016-12-19T00:00:00"/>
    <s v="20"/>
    <s v="TAN"/>
    <s v="OR"/>
    <d v="2016-12-14T00:00:00"/>
    <s v="MI"/>
    <s v="US"/>
    <s v="ZR"/>
    <d v="2016-12-14T00:00:00"/>
  </r>
  <r>
    <x v="1"/>
    <x v="0"/>
    <x v="2892"/>
    <x v="42"/>
    <s v="Standard order"/>
    <x v="2769"/>
    <x v="2380"/>
    <s v="1399"/>
    <s v="BTS 1399"/>
    <s v="5002346"/>
    <s v="1399 BTS T20 Kabina MP"/>
    <n v="40"/>
    <n v="0"/>
    <n v="40"/>
    <x v="0"/>
    <s v="EG74"/>
    <s v="MP"/>
    <s v="380"/>
    <s v="4.0 UN"/>
    <s v="STANDARD"/>
    <s v="N"/>
    <s v="N"/>
    <s v="Y"/>
    <s v="T20"/>
    <s v="N"/>
    <s v="N"/>
    <s v="N"/>
    <s v="N"/>
    <s v="B007"/>
    <d v="2016-12-20T00:00:00"/>
    <s v="10"/>
    <s v="TAN"/>
    <s v="OR"/>
    <d v="2016-12-15T00:00:00"/>
    <s v="MI"/>
    <s v="US"/>
    <s v="ZR"/>
    <d v="2016-12-15T00:00:00"/>
  </r>
  <r>
    <x v="1"/>
    <x v="0"/>
    <x v="2892"/>
    <x v="42"/>
    <s v="Standard order"/>
    <x v="2769"/>
    <x v="2380"/>
    <s v="122N"/>
    <s v="BTS 12RR2N"/>
    <s v="5002309"/>
    <s v="122N BTS T20 Kabina MP"/>
    <n v="12"/>
    <n v="0"/>
    <n v="12"/>
    <x v="0"/>
    <s v="4TBG"/>
    <s v="MP"/>
    <s v="380"/>
    <s v="4.0 UN"/>
    <s v="STANDARD"/>
    <s v="N"/>
    <s v="N"/>
    <s v="Y"/>
    <s v="T20"/>
    <s v="N"/>
    <s v="N"/>
    <s v="N"/>
    <s v="N"/>
    <s v="B007"/>
    <d v="2016-12-20T00:00:00"/>
    <s v="20"/>
    <s v="TAN"/>
    <s v="OR"/>
    <d v="2016-12-15T00:00:00"/>
    <s v="MI"/>
    <s v="US"/>
    <s v="ZR"/>
    <d v="2016-12-15T00:00:00"/>
  </r>
  <r>
    <x v="1"/>
    <x v="0"/>
    <x v="2893"/>
    <x v="43"/>
    <s v="Standard order"/>
    <x v="2770"/>
    <x v="2381"/>
    <s v="122N"/>
    <s v="BTS 12RR2N"/>
    <s v="5002317"/>
    <s v="122N BTS T20 SYSTIVA RP"/>
    <n v="24"/>
    <n v="0"/>
    <n v="24"/>
    <x v="0"/>
    <s v="4TBG"/>
    <s v="RP"/>
    <s v="326"/>
    <s v="4.0 UN"/>
    <s v="STANDARD"/>
    <s v="N"/>
    <s v="N"/>
    <s v="N"/>
    <s v="T20"/>
    <s v="Y"/>
    <s v="N"/>
    <s v="Y"/>
    <s v="N"/>
    <s v="B006"/>
    <d v="2016-12-20T00:00:00"/>
    <s v="10"/>
    <s v="TAN"/>
    <s v="OR"/>
    <d v="2016-12-15T00:00:00"/>
    <s v="MI"/>
    <s v="US"/>
    <s v="ZR"/>
    <d v="2016-12-15T00:00:00"/>
  </r>
  <r>
    <x v="1"/>
    <x v="0"/>
    <x v="2894"/>
    <x v="43"/>
    <s v="Standard order"/>
    <x v="2771"/>
    <x v="2382"/>
    <s v="133N"/>
    <s v="BTS 133N"/>
    <s v="5002329"/>
    <s v="133N BTS T20 Kabina RP"/>
    <n v="40"/>
    <n v="0"/>
    <n v="40"/>
    <x v="0"/>
    <s v="DW73"/>
    <s v="RP"/>
    <s v="380"/>
    <s v="4.0 UN"/>
    <s v="STANDARD"/>
    <s v="N"/>
    <s v="N"/>
    <s v="Y"/>
    <s v="T20"/>
    <s v="N"/>
    <s v="N"/>
    <s v="N"/>
    <s v="N"/>
    <s v="B006"/>
    <d v="2016-12-20T00:00:00"/>
    <s v="10"/>
    <s v="TAN"/>
    <s v="OR"/>
    <d v="2016-12-15T00:00:00"/>
    <s v="MI"/>
    <s v="US"/>
    <s v="ZR"/>
    <d v="2016-12-15T00:00:00"/>
  </r>
  <r>
    <x v="1"/>
    <x v="7"/>
    <x v="2895"/>
    <x v="38"/>
    <s v="Standard order"/>
    <x v="2772"/>
    <x v="2383"/>
    <s v="8337"/>
    <s v="BTS 8337"/>
    <s v="5002794"/>
    <s v="8337 BTS T35 PB SYSTIVA P200"/>
    <n v="72"/>
    <n v="0"/>
    <n v="72"/>
    <x v="7"/>
    <s v="DHMC"/>
    <s v="PRO 200"/>
    <s v="333"/>
    <s v="4.0 UN"/>
    <s v="STANDARD"/>
    <s v="N"/>
    <s v="Y"/>
    <s v="N"/>
    <s v="T35"/>
    <s v="Y"/>
    <s v="N"/>
    <s v="Y"/>
    <s v="N"/>
    <s v="B031"/>
    <d v="2016-12-20T00:00:00"/>
    <s v="50"/>
    <s v="TAN"/>
    <s v="OR"/>
    <d v="2016-12-15T00:00:00"/>
    <s v="ND"/>
    <s v="US"/>
    <s v="ZR"/>
    <d v="2016-12-15T00:00:00"/>
  </r>
  <r>
    <x v="1"/>
    <x v="7"/>
    <x v="2895"/>
    <x v="38"/>
    <s v="Standard order"/>
    <x v="2772"/>
    <x v="2383"/>
    <s v="8233"/>
    <s v="BTS 82RR33"/>
    <s v="5002774"/>
    <s v="8233 BTS T35 PB SYSTIVA P200"/>
    <n v="72"/>
    <n v="0"/>
    <n v="72"/>
    <x v="7"/>
    <s v="DRMC"/>
    <s v="PRO 200"/>
    <s v="333"/>
    <s v="4.0 UN"/>
    <s v="STANDARD"/>
    <s v="N"/>
    <s v="Y"/>
    <s v="N"/>
    <s v="T35"/>
    <s v="Y"/>
    <s v="N"/>
    <s v="Y"/>
    <s v="N"/>
    <s v="B031"/>
    <d v="2016-12-20T00:00:00"/>
    <s v="60"/>
    <s v="TAN"/>
    <s v="OR"/>
    <d v="2016-12-15T00:00:00"/>
    <s v="ND"/>
    <s v="US"/>
    <s v="ZR"/>
    <d v="2016-12-15T00:00:00"/>
  </r>
  <r>
    <x v="1"/>
    <x v="7"/>
    <x v="2895"/>
    <x v="38"/>
    <s v="Standard order"/>
    <x v="2772"/>
    <x v="2383"/>
    <s v="8363"/>
    <s v="BTS 8363"/>
    <s v="5002815"/>
    <s v="8363 BTS T35 PB SYSTIVA P200"/>
    <n v="72"/>
    <n v="0"/>
    <n v="72"/>
    <x v="7"/>
    <s v="DMMZ"/>
    <s v="PRO 200"/>
    <s v="333"/>
    <s v="4.0 UN"/>
    <s v="STANDARD"/>
    <s v="N"/>
    <s v="Y"/>
    <s v="N"/>
    <s v="T35"/>
    <s v="Y"/>
    <s v="N"/>
    <s v="Y"/>
    <s v="N"/>
    <s v="B031"/>
    <d v="2016-12-20T00:00:00"/>
    <s v="70"/>
    <s v="TAN"/>
    <s v="OR"/>
    <d v="2016-12-15T00:00:00"/>
    <s v="ND"/>
    <s v="US"/>
    <s v="ZR"/>
    <d v="2016-12-15T00:00:00"/>
  </r>
  <r>
    <x v="1"/>
    <x v="7"/>
    <x v="2895"/>
    <x v="38"/>
    <s v="Standard order"/>
    <x v="2772"/>
    <x v="2383"/>
    <s v="8500"/>
    <s v="BTS 8500"/>
    <s v="5002855"/>
    <s v="8500 BTS T35 PB SYSTIVA P200"/>
    <n v="84"/>
    <n v="0"/>
    <n v="84"/>
    <x v="7"/>
    <s v="FTND"/>
    <s v="PRO 200"/>
    <s v="333"/>
    <s v="4.0 UN"/>
    <s v="STANDARD"/>
    <s v="N"/>
    <s v="Y"/>
    <s v="N"/>
    <s v="T35"/>
    <s v="Y"/>
    <s v="N"/>
    <s v="Y"/>
    <s v="N"/>
    <s v="B031"/>
    <d v="2016-12-20T00:00:00"/>
    <s v="80"/>
    <s v="TAN"/>
    <s v="OR"/>
    <d v="2016-12-15T00:00:00"/>
    <s v="ND"/>
    <s v="US"/>
    <s v="ZR"/>
    <d v="2016-12-15T00:00:00"/>
  </r>
  <r>
    <x v="1"/>
    <x v="7"/>
    <x v="2896"/>
    <x v="39"/>
    <s v="Standard order"/>
    <x v="2773"/>
    <x v="2384"/>
    <s v="8337"/>
    <s v="BTS 8337"/>
    <s v="5002794"/>
    <s v="8337 BTS T35 PB SYSTIVA P200"/>
    <n v="24"/>
    <n v="0"/>
    <n v="24"/>
    <x v="7"/>
    <s v="DHMC"/>
    <s v="PRO 200"/>
    <s v="333"/>
    <s v="4.0 UN"/>
    <s v="STANDARD"/>
    <s v="N"/>
    <s v="Y"/>
    <s v="N"/>
    <s v="T35"/>
    <s v="Y"/>
    <s v="N"/>
    <s v="Y"/>
    <s v="N"/>
    <s v="B030"/>
    <d v="2016-12-20T00:00:00"/>
    <s v="10"/>
    <s v="TAN"/>
    <s v="OR"/>
    <d v="2016-12-15T00:00:00"/>
    <s v="MN"/>
    <s v="US"/>
    <s v="ZR"/>
    <d v="2016-12-15T00:00:00"/>
  </r>
  <r>
    <x v="1"/>
    <x v="0"/>
    <x v="2897"/>
    <x v="54"/>
    <s v="Standard order"/>
    <x v="2774"/>
    <x v="2385"/>
    <s v="122N"/>
    <s v="BTS 12RR2N"/>
    <s v="5002311"/>
    <s v="122N BTS T20 Kabina RP"/>
    <n v="60"/>
    <n v="0"/>
    <n v="60"/>
    <x v="0"/>
    <s v="4TBG"/>
    <s v="RP"/>
    <s v="380"/>
    <s v="4.0 UN"/>
    <s v="STANDARD"/>
    <s v="N"/>
    <s v="N"/>
    <s v="Y"/>
    <s v="T20"/>
    <s v="N"/>
    <s v="N"/>
    <s v="N"/>
    <s v="N"/>
    <s v="B002"/>
    <d v="2016-12-20T00:00:00"/>
    <s v="10"/>
    <s v="TAN"/>
    <s v="OR"/>
    <d v="2016-12-15T00:00:00"/>
    <s v="MI"/>
    <s v="US"/>
    <s v="ZR"/>
    <d v="2016-12-15T00:00:00"/>
  </r>
  <r>
    <x v="1"/>
    <x v="0"/>
    <x v="2897"/>
    <x v="54"/>
    <s v="Standard order"/>
    <x v="2774"/>
    <x v="2385"/>
    <s v="149N"/>
    <s v="BTS 149N"/>
    <s v="5002366"/>
    <s v="149N BTS T20 Kabina MP"/>
    <n v="64"/>
    <n v="0"/>
    <n v="64"/>
    <x v="0"/>
    <s v="EEND"/>
    <s v="MP"/>
    <s v="380"/>
    <s v="4.0 UN"/>
    <s v="STANDARD"/>
    <s v="N"/>
    <s v="N"/>
    <s v="Y"/>
    <s v="T20"/>
    <s v="N"/>
    <s v="N"/>
    <s v="N"/>
    <s v="N"/>
    <s v="B002"/>
    <d v="2016-12-20T00:00:00"/>
    <s v="20"/>
    <s v="TAN"/>
    <s v="OR"/>
    <d v="2016-12-15T00:00:00"/>
    <s v="MI"/>
    <s v="US"/>
    <s v="ZR"/>
    <d v="2016-12-15T00:00:00"/>
  </r>
  <r>
    <x v="1"/>
    <x v="0"/>
    <x v="2898"/>
    <x v="29"/>
    <s v="Standard order"/>
    <x v="2775"/>
    <x v="939"/>
    <s v="122N"/>
    <s v="BTS 12RR2N"/>
    <s v="5002311"/>
    <s v="122N BTS T20 Kabina RP"/>
    <n v="32"/>
    <n v="0"/>
    <n v="32"/>
    <x v="0"/>
    <s v="4TBG"/>
    <s v="RP"/>
    <s v="380"/>
    <s v="4.0 UN"/>
    <s v="STANDARD"/>
    <s v="N"/>
    <s v="N"/>
    <s v="Y"/>
    <s v="T20"/>
    <s v="N"/>
    <s v="N"/>
    <s v="N"/>
    <s v="N"/>
    <s v="B005"/>
    <d v="2016-12-20T00:00:00"/>
    <s v="10"/>
    <s v="TAN"/>
    <s v="OR"/>
    <d v="2016-12-14T00:00:00"/>
    <s v="MI"/>
    <s v="US"/>
    <s v="ZR"/>
    <d v="2016-12-15T00:00:00"/>
  </r>
  <r>
    <x v="1"/>
    <x v="2"/>
    <x v="2899"/>
    <x v="5"/>
    <s v="Standard order"/>
    <x v="2776"/>
    <x v="809"/>
    <s v="630N"/>
    <s v="BTS 630N"/>
    <s v="5002402"/>
    <s v="630N BTS T20 PB SYSTIVA P100"/>
    <n v="16"/>
    <n v="0"/>
    <n v="16"/>
    <x v="2"/>
    <s v="DW73"/>
    <s v="PRO 100"/>
    <s v="322"/>
    <s v="4.0 UN"/>
    <s v="STANDARD"/>
    <s v="N"/>
    <s v="N"/>
    <s v="N"/>
    <s v="T20"/>
    <s v="Y"/>
    <s v="N"/>
    <s v="Y"/>
    <s v="N"/>
    <s v="B020"/>
    <d v="2016-12-20T00:00:00"/>
    <s v="10"/>
    <s v="TAN"/>
    <s v="OR"/>
    <d v="2016-12-14T00:00:00"/>
    <s v="CO"/>
    <s v="US"/>
    <s v="ZR"/>
    <d v="2016-12-15T00:00:00"/>
  </r>
  <r>
    <x v="1"/>
    <x v="2"/>
    <x v="2900"/>
    <x v="3"/>
    <s v="Standard order"/>
    <x v="2777"/>
    <x v="805"/>
    <s v="6027"/>
    <s v="BTS 60RR27"/>
    <s v="5002645"/>
    <s v="6027 BTS T20 PB SYSTIVA P100 WSS"/>
    <n v="104"/>
    <n v="0"/>
    <n v="104"/>
    <x v="2"/>
    <s v="APMC"/>
    <s v="PRO 100"/>
    <s v="322"/>
    <s v="4.0 UN"/>
    <s v="STANDARD"/>
    <s v="N"/>
    <s v="N"/>
    <s v="N"/>
    <s v="T20"/>
    <s v="Y"/>
    <s v="N"/>
    <s v="Y"/>
    <s v="N"/>
    <s v="B024"/>
    <d v="2016-12-20T00:00:00"/>
    <s v="10"/>
    <s v="TAN"/>
    <s v="OR"/>
    <d v="2016-12-15T00:00:00"/>
    <s v="NE"/>
    <s v="US"/>
    <s v="ZR"/>
    <d v="2016-12-15T00:00:00"/>
  </r>
  <r>
    <x v="1"/>
    <x v="2"/>
    <x v="2900"/>
    <x v="3"/>
    <s v="Standard order"/>
    <x v="2777"/>
    <x v="805"/>
    <s v="64SN"/>
    <s v="BTS 64SN"/>
    <s v="5002420"/>
    <s v="64SN BTS T20 PB SYSTIVA P100"/>
    <n v="56"/>
    <n v="0"/>
    <n v="56"/>
    <x v="2"/>
    <s v="DVNB"/>
    <s v="PRO 100"/>
    <s v="322"/>
    <s v="4.0 UN"/>
    <s v="STANDARD"/>
    <s v="N"/>
    <s v="N"/>
    <s v="N"/>
    <s v="T20"/>
    <s v="Y"/>
    <s v="N"/>
    <s v="Y"/>
    <s v="N"/>
    <s v="B024"/>
    <d v="2016-12-20T00:00:00"/>
    <s v="20"/>
    <s v="TAN"/>
    <s v="OR"/>
    <d v="2016-12-15T00:00:00"/>
    <s v="NE"/>
    <s v="US"/>
    <s v="ZR"/>
    <d v="2016-12-15T00:00:00"/>
  </r>
  <r>
    <x v="1"/>
    <x v="5"/>
    <x v="2901"/>
    <x v="21"/>
    <s v="Standard order"/>
    <x v="2778"/>
    <x v="802"/>
    <s v="353N"/>
    <s v="BTS 353N"/>
    <s v="5002524"/>
    <s v="353N BTS T20 PB SYSTIVA RP"/>
    <n v="8"/>
    <n v="0"/>
    <n v="8"/>
    <x v="5"/>
    <s v="EENZ"/>
    <s v="RP"/>
    <s v="322"/>
    <s v="4.0 UN"/>
    <s v="STANDARD"/>
    <s v="N"/>
    <s v="Y"/>
    <s v="N"/>
    <s v="T20"/>
    <s v="Y"/>
    <s v="N"/>
    <s v="N"/>
    <s v="N"/>
    <s v="B013"/>
    <d v="2016-12-20T00:00:00"/>
    <s v="10"/>
    <s v="TAN"/>
    <s v="OR"/>
    <d v="2016-12-15T00:00:00"/>
    <s v="MT"/>
    <s v="US"/>
    <s v="ZR"/>
    <d v="2016-12-15T00:00:00"/>
  </r>
  <r>
    <x v="1"/>
    <x v="5"/>
    <x v="2901"/>
    <x v="21"/>
    <s v="Standard order"/>
    <x v="2778"/>
    <x v="802"/>
    <s v="398N"/>
    <s v="BTS 39RR8N"/>
    <s v="5002572"/>
    <s v="398N BTS T20 PB SYSTIVA RP"/>
    <n v="32"/>
    <n v="0"/>
    <n v="32"/>
    <x v="5"/>
    <s v="2771"/>
    <s v="RP"/>
    <s v="322"/>
    <s v="4.0 UN"/>
    <s v="STANDARD"/>
    <s v="N"/>
    <s v="Y"/>
    <s v="N"/>
    <s v="T20"/>
    <s v="Y"/>
    <s v="N"/>
    <s v="N"/>
    <s v="N"/>
    <s v="B013"/>
    <d v="2016-12-20T00:00:00"/>
    <s v="20"/>
    <s v="TAN"/>
    <s v="OR"/>
    <d v="2016-12-15T00:00:00"/>
    <s v="MT"/>
    <s v="US"/>
    <s v="ZR"/>
    <d v="2016-12-15T00:00:00"/>
  </r>
  <r>
    <x v="1"/>
    <x v="2"/>
    <x v="2902"/>
    <x v="5"/>
    <s v="Standard order"/>
    <x v="2779"/>
    <x v="836"/>
    <s v="64SN"/>
    <s v="BTS 64SN"/>
    <s v="5002421"/>
    <s v="64SN BTS T20 PB SYSTIVA P200"/>
    <n v="40"/>
    <n v="0"/>
    <n v="40"/>
    <x v="2"/>
    <s v="DVNB"/>
    <s v="PRO 200"/>
    <s v="322"/>
    <s v="4.0 UN"/>
    <s v="STANDARD"/>
    <s v="N"/>
    <s v="N"/>
    <s v="N"/>
    <s v="T20"/>
    <s v="Y"/>
    <s v="N"/>
    <s v="Y"/>
    <s v="N"/>
    <s v="B020"/>
    <d v="2016-12-20T00:00:00"/>
    <s v="10"/>
    <s v="TAN"/>
    <s v="OR"/>
    <d v="2016-12-15T00:00:00"/>
    <s v="CO"/>
    <s v="US"/>
    <s v="ZR"/>
    <d v="2016-12-15T00:00:00"/>
  </r>
  <r>
    <x v="1"/>
    <x v="0"/>
    <x v="2903"/>
    <x v="56"/>
    <s v="Standard order"/>
    <x v="2780"/>
    <x v="2386"/>
    <s v="1399"/>
    <s v="BTS 1399"/>
    <s v="5002338"/>
    <s v="1399 BTS CM Vibrance RP"/>
    <n v="28"/>
    <n v="0"/>
    <n v="28"/>
    <x v="0"/>
    <s v="EG74"/>
    <s v="RP"/>
    <s v="366"/>
    <s v="4.0 UN"/>
    <s v="STANDARD"/>
    <s v="Y"/>
    <s v="N"/>
    <s v="N"/>
    <s v="N"/>
    <s v="N"/>
    <s v="N"/>
    <s v="N"/>
    <s v="Y"/>
    <s v="B010"/>
    <d v="2016-12-20T00:00:00"/>
    <s v="10"/>
    <s v="TAN"/>
    <s v="OR"/>
    <d v="2016-12-15T00:00:00"/>
    <s v="ON"/>
    <s v="CA"/>
    <s v="ZR"/>
    <d v="2016-12-15T00:00:00"/>
  </r>
  <r>
    <x v="1"/>
    <x v="5"/>
    <x v="2904"/>
    <x v="21"/>
    <s v="Standard order"/>
    <x v="2781"/>
    <x v="792"/>
    <s v="336N"/>
    <s v="BTS 336N"/>
    <s v="5002400"/>
    <s v="336N BTS T20 PB SYSTIVA RP"/>
    <n v="16"/>
    <n v="0"/>
    <n v="16"/>
    <x v="5"/>
    <s v="EEMG"/>
    <s v="RP"/>
    <s v="322"/>
    <s v="4.0 UN"/>
    <s v="STANDARD"/>
    <s v="N"/>
    <s v="N"/>
    <s v="N"/>
    <s v="T20"/>
    <s v="Y"/>
    <s v="N"/>
    <s v="N"/>
    <s v="N"/>
    <s v="B013"/>
    <d v="2016-12-20T00:00:00"/>
    <s v="10"/>
    <s v="TAN"/>
    <s v="OR"/>
    <d v="2016-12-15T00:00:00"/>
    <s v="MT"/>
    <s v="US"/>
    <s v="ZR"/>
    <d v="2016-12-15T00:00:00"/>
  </r>
  <r>
    <x v="1"/>
    <x v="5"/>
    <x v="2904"/>
    <x v="21"/>
    <s v="Standard order"/>
    <x v="2781"/>
    <x v="792"/>
    <s v="353N"/>
    <s v="BTS 353N"/>
    <s v="5002524"/>
    <s v="353N BTS T20 PB SYSTIVA RP"/>
    <n v="16"/>
    <n v="0"/>
    <n v="16"/>
    <x v="5"/>
    <s v="EENZ"/>
    <s v="RP"/>
    <s v="322"/>
    <s v="4.0 UN"/>
    <s v="STANDARD"/>
    <s v="N"/>
    <s v="Y"/>
    <s v="N"/>
    <s v="T20"/>
    <s v="Y"/>
    <s v="N"/>
    <s v="N"/>
    <s v="N"/>
    <s v="B013"/>
    <d v="2016-12-20T00:00:00"/>
    <s v="20"/>
    <s v="TAN"/>
    <s v="OR"/>
    <d v="2016-12-15T00:00:00"/>
    <s v="MT"/>
    <s v="US"/>
    <s v="ZR"/>
    <d v="2016-12-15T00:00:00"/>
  </r>
  <r>
    <x v="1"/>
    <x v="2"/>
    <x v="2905"/>
    <x v="5"/>
    <s v="Standard order"/>
    <x v="2782"/>
    <x v="819"/>
    <s v="630N"/>
    <s v="BTS 630N"/>
    <s v="5002404"/>
    <s v="630N BTS T20 PB SYSTIVA P50"/>
    <n v="8"/>
    <n v="0"/>
    <n v="8"/>
    <x v="2"/>
    <s v="DW73"/>
    <s v="PRO 50"/>
    <s v="322"/>
    <s v="4.0 UN"/>
    <s v="STANDARD"/>
    <s v="N"/>
    <s v="N"/>
    <s v="N"/>
    <s v="T20"/>
    <s v="Y"/>
    <s v="N"/>
    <s v="Y"/>
    <s v="N"/>
    <s v="B020"/>
    <d v="2016-12-20T00:00:00"/>
    <s v="10"/>
    <s v="TAN"/>
    <s v="OR"/>
    <d v="2016-12-14T00:00:00"/>
    <s v="CO"/>
    <s v="US"/>
    <s v="ZR"/>
    <d v="2016-12-15T00:00:00"/>
  </r>
  <r>
    <x v="1"/>
    <x v="0"/>
    <x v="2906"/>
    <x v="42"/>
    <s v="Standard order"/>
    <x v="2783"/>
    <x v="2387"/>
    <s v="1399"/>
    <s v="BTS 1399"/>
    <s v="5002348"/>
    <s v="1399 BTS T20 Kabina RP"/>
    <n v="32"/>
    <n v="0"/>
    <n v="32"/>
    <x v="0"/>
    <s v="EG74"/>
    <s v="RP"/>
    <s v="380"/>
    <s v="4.0 UN"/>
    <s v="STANDARD"/>
    <s v="N"/>
    <s v="N"/>
    <s v="Y"/>
    <s v="T20"/>
    <s v="N"/>
    <s v="N"/>
    <s v="N"/>
    <s v="N"/>
    <s v="B007"/>
    <d v="2016-12-20T00:00:00"/>
    <s v="10"/>
    <s v="TAN"/>
    <s v="OR"/>
    <d v="2016-12-15T00:00:00"/>
    <s v="MI"/>
    <s v="US"/>
    <s v="ZR"/>
    <d v="2016-12-15T00:00:00"/>
  </r>
  <r>
    <x v="1"/>
    <x v="0"/>
    <x v="2907"/>
    <x v="56"/>
    <s v="Standard order"/>
    <x v="2784"/>
    <x v="2388"/>
    <s v="1399"/>
    <s v="BTS 1399"/>
    <s v="5002355"/>
    <s v="1399 BTS Vibrance RP"/>
    <n v="36"/>
    <n v="0"/>
    <n v="36"/>
    <x v="0"/>
    <s v="EG74"/>
    <s v="RP"/>
    <s v="365"/>
    <s v="4.0 UN"/>
    <s v="STANDARD"/>
    <s v="N"/>
    <s v="N"/>
    <s v="N"/>
    <s v="N"/>
    <s v="N"/>
    <s v="N"/>
    <s v="N"/>
    <s v="Y"/>
    <s v="B010"/>
    <d v="2016-12-20T00:00:00"/>
    <s v="10"/>
    <s v="TAN"/>
    <s v="OR"/>
    <d v="2016-12-15T00:00:00"/>
    <s v="ON"/>
    <s v="CA"/>
    <s v="ZR"/>
    <d v="2016-12-15T00:00:00"/>
  </r>
  <r>
    <x v="1"/>
    <x v="2"/>
    <x v="2908"/>
    <x v="6"/>
    <s v="Standard order"/>
    <x v="2785"/>
    <x v="2389"/>
    <s v="628N"/>
    <s v="BTS 62RR8N"/>
    <s v="5002685"/>
    <s v="628N BTS T20 PB SYSTIVA P50"/>
    <n v="24"/>
    <n v="0"/>
    <n v="24"/>
    <x v="2"/>
    <s v="BL73"/>
    <s v="PRO 50"/>
    <s v="322"/>
    <s v="4.0 UN"/>
    <s v="STANDARD"/>
    <s v="N"/>
    <s v="N"/>
    <s v="N"/>
    <s v="T20"/>
    <s v="Y"/>
    <s v="N"/>
    <s v="Y"/>
    <s v="N"/>
    <s v="B025"/>
    <d v="2016-12-20T00:00:00"/>
    <s v="10"/>
    <s v="TAN"/>
    <s v="OR"/>
    <d v="2016-12-15T00:00:00"/>
    <s v="NE"/>
    <s v="US"/>
    <s v="ZR"/>
    <d v="2016-12-15T00:00:00"/>
  </r>
  <r>
    <x v="1"/>
    <x v="2"/>
    <x v="2908"/>
    <x v="6"/>
    <s v="Standard order"/>
    <x v="2785"/>
    <x v="2389"/>
    <s v="64SN"/>
    <s v="BTS 64SN"/>
    <s v="5002422"/>
    <s v="64SN BTS T20 PB SYSTIVA P50"/>
    <n v="24"/>
    <n v="0"/>
    <n v="24"/>
    <x v="2"/>
    <s v="DVNB"/>
    <s v="PRO 50"/>
    <s v="322"/>
    <s v="4.0 UN"/>
    <s v="STANDARD"/>
    <s v="N"/>
    <s v="N"/>
    <s v="N"/>
    <s v="T20"/>
    <s v="Y"/>
    <s v="N"/>
    <s v="Y"/>
    <s v="N"/>
    <s v="B025"/>
    <d v="2016-12-20T00:00:00"/>
    <s v="20"/>
    <s v="TAN"/>
    <s v="OR"/>
    <d v="2016-12-15T00:00:00"/>
    <s v="NE"/>
    <s v="US"/>
    <s v="ZR"/>
    <d v="2016-12-15T00:00:00"/>
  </r>
  <r>
    <x v="1"/>
    <x v="6"/>
    <x v="2909"/>
    <x v="51"/>
    <s v="Standard order"/>
    <x v="2786"/>
    <x v="491"/>
    <s v="444N"/>
    <s v="BTS 444N"/>
    <s v="5002226"/>
    <s v="444N BTS T20 PB SYSTIVA P100"/>
    <n v="24"/>
    <n v="0"/>
    <n v="24"/>
    <x v="6"/>
    <s v="DVND"/>
    <s v="PRO 100"/>
    <s v="322"/>
    <s v="4.0 UN"/>
    <s v="STANDARD"/>
    <s v="N"/>
    <s v="N"/>
    <s v="N"/>
    <s v="T20"/>
    <s v="Y"/>
    <s v="N"/>
    <s v="Y"/>
    <s v="N"/>
    <s v="B011"/>
    <d v="2016-12-20T00:00:00"/>
    <s v="10"/>
    <s v="TAN"/>
    <s v="OR"/>
    <d v="2016-12-14T00:00:00"/>
    <s v="MT"/>
    <s v="US"/>
    <s v="ZR"/>
    <d v="2016-12-15T00:00:00"/>
  </r>
  <r>
    <x v="1"/>
    <x v="6"/>
    <x v="2909"/>
    <x v="51"/>
    <s v="Standard order"/>
    <x v="2786"/>
    <x v="491"/>
    <s v="437N"/>
    <s v="BTS 437N"/>
    <s v="5002208"/>
    <s v="437N BTS T20 PB SYSTIVA P100"/>
    <n v="32"/>
    <n v="0"/>
    <n v="32"/>
    <x v="6"/>
    <s v="EE73"/>
    <s v="PRO 100"/>
    <s v="322"/>
    <s v="4.0 UN"/>
    <s v="STANDARD"/>
    <s v="N"/>
    <s v="N"/>
    <s v="N"/>
    <s v="T20"/>
    <s v="Y"/>
    <s v="N"/>
    <s v="Y"/>
    <s v="N"/>
    <s v="B011"/>
    <d v="2016-12-20T00:00:00"/>
    <s v="20"/>
    <s v="TAN"/>
    <s v="OR"/>
    <d v="2016-12-14T00:00:00"/>
    <s v="MT"/>
    <s v="US"/>
    <s v="ZR"/>
    <d v="2016-12-15T00:00:00"/>
  </r>
  <r>
    <x v="1"/>
    <x v="0"/>
    <x v="2910"/>
    <x v="56"/>
    <s v="Standard order"/>
    <x v="2787"/>
    <x v="1085"/>
    <s v="122N"/>
    <s v="BTS 12RR2N"/>
    <s v="5002301"/>
    <s v="122N BTS CM Vibrance RP"/>
    <n v="4"/>
    <n v="0"/>
    <n v="4"/>
    <x v="0"/>
    <s v="4TBG"/>
    <s v="RP"/>
    <s v="366"/>
    <s v="4.0 UN"/>
    <s v="STANDARD"/>
    <s v="Y"/>
    <s v="N"/>
    <s v="N"/>
    <s v="N"/>
    <s v="N"/>
    <s v="N"/>
    <s v="N"/>
    <s v="Y"/>
    <s v="B010"/>
    <d v="2016-12-20T00:00:00"/>
    <s v="10"/>
    <s v="TAN"/>
    <s v="OR"/>
    <d v="2016-12-15T00:00:00"/>
    <s v="ON"/>
    <s v="CA"/>
    <s v="ZR"/>
    <d v="2016-12-15T00:00:00"/>
  </r>
  <r>
    <x v="1"/>
    <x v="0"/>
    <x v="2910"/>
    <x v="56"/>
    <s v="Standard order"/>
    <x v="2787"/>
    <x v="1085"/>
    <s v="1399"/>
    <s v="BTS 1399"/>
    <s v="5002338"/>
    <s v="1399 BTS CM Vibrance RP"/>
    <n v="8"/>
    <n v="0"/>
    <n v="8"/>
    <x v="0"/>
    <s v="EG74"/>
    <s v="RP"/>
    <s v="366"/>
    <s v="4.0 UN"/>
    <s v="STANDARD"/>
    <s v="Y"/>
    <s v="N"/>
    <s v="N"/>
    <s v="N"/>
    <s v="N"/>
    <s v="N"/>
    <s v="N"/>
    <s v="Y"/>
    <s v="B010"/>
    <d v="2016-12-20T00:00:00"/>
    <s v="20"/>
    <s v="TAN"/>
    <s v="OR"/>
    <d v="2016-12-15T00:00:00"/>
    <s v="ON"/>
    <s v="CA"/>
    <s v="ZR"/>
    <d v="2016-12-15T00:00:00"/>
  </r>
  <r>
    <x v="1"/>
    <x v="0"/>
    <x v="2911"/>
    <x v="42"/>
    <s v="Standard order"/>
    <x v="2788"/>
    <x v="2390"/>
    <s v="122N"/>
    <s v="BTS 12RR2N"/>
    <s v="5002310"/>
    <s v="122N BTS T20 Kabina P200"/>
    <n v="24"/>
    <n v="0"/>
    <n v="24"/>
    <x v="0"/>
    <s v="4TBG"/>
    <s v="PRO 200"/>
    <s v="380"/>
    <s v="4.0 UN"/>
    <s v="STANDARD"/>
    <s v="N"/>
    <s v="N"/>
    <s v="Y"/>
    <s v="T20"/>
    <s v="N"/>
    <s v="N"/>
    <s v="N"/>
    <s v="N"/>
    <s v="B007"/>
    <d v="2016-12-20T00:00:00"/>
    <s v="10"/>
    <s v="TAN"/>
    <s v="OR"/>
    <d v="2016-12-15T00:00:00"/>
    <s v="MI"/>
    <s v="US"/>
    <s v="ZR"/>
    <d v="2016-12-15T00:00:00"/>
  </r>
  <r>
    <x v="1"/>
    <x v="4"/>
    <x v="2912"/>
    <x v="52"/>
    <s v="Standard order"/>
    <x v="2789"/>
    <x v="587"/>
    <s v="2125"/>
    <s v="BTS 21RR25"/>
    <s v="5002385"/>
    <s v="2125 BTS PB Kabina XL"/>
    <n v="36"/>
    <n v="0"/>
    <n v="36"/>
    <x v="4"/>
    <s v="AP92"/>
    <s v="X-LARGE"/>
    <s v="384"/>
    <s v="4.0 UN"/>
    <s v="STANDARD"/>
    <s v="N"/>
    <s v="Y"/>
    <s v="Y"/>
    <s v="N"/>
    <s v="N"/>
    <s v="N"/>
    <s v="N"/>
    <s v="N"/>
    <s v="B048"/>
    <d v="2016-12-20T00:00:00"/>
    <s v="10"/>
    <s v="TAN"/>
    <s v="OR"/>
    <d v="2016-12-15T00:00:00"/>
    <s v="ID"/>
    <s v="US"/>
    <s v="ZR"/>
    <d v="2016-12-15T00:00:00"/>
  </r>
  <r>
    <x v="1"/>
    <x v="2"/>
    <x v="2913"/>
    <x v="5"/>
    <s v="Standard order"/>
    <x v="2790"/>
    <x v="816"/>
    <s v="64SN"/>
    <s v="BTS 64SN"/>
    <s v="5002420"/>
    <s v="64SN BTS T20 PB SYSTIVA P100"/>
    <n v="236"/>
    <n v="0"/>
    <n v="236"/>
    <x v="2"/>
    <s v="DVNB"/>
    <s v="PRO 100"/>
    <s v="322"/>
    <s v="4.0 UN"/>
    <s v="STANDARD"/>
    <s v="N"/>
    <s v="N"/>
    <s v="N"/>
    <s v="T20"/>
    <s v="Y"/>
    <s v="N"/>
    <s v="Y"/>
    <s v="N"/>
    <s v="B020"/>
    <d v="2016-12-20T00:00:00"/>
    <s v="10"/>
    <s v="TAN"/>
    <s v="OR"/>
    <d v="2016-12-15T00:00:00"/>
    <s v="CO"/>
    <s v="US"/>
    <s v="ZR"/>
    <d v="2016-12-15T00:00:00"/>
  </r>
  <r>
    <x v="1"/>
    <x v="2"/>
    <x v="2913"/>
    <x v="5"/>
    <s v="Standard order"/>
    <x v="2790"/>
    <x v="816"/>
    <s v="630N"/>
    <s v="BTS 630N"/>
    <s v="5002402"/>
    <s v="630N BTS T20 PB SYSTIVA P100"/>
    <n v="24"/>
    <n v="0"/>
    <n v="24"/>
    <x v="2"/>
    <s v="DW73"/>
    <s v="PRO 100"/>
    <s v="322"/>
    <s v="4.0 UN"/>
    <s v="STANDARD"/>
    <s v="N"/>
    <s v="N"/>
    <s v="N"/>
    <s v="T20"/>
    <s v="Y"/>
    <s v="N"/>
    <s v="Y"/>
    <s v="N"/>
    <s v="B020"/>
    <d v="2016-12-20T00:00:00"/>
    <s v="20"/>
    <s v="TAN"/>
    <s v="OR"/>
    <d v="2016-12-15T00:00:00"/>
    <s v="CO"/>
    <s v="US"/>
    <s v="ZR"/>
    <d v="2016-12-15T00:00:00"/>
  </r>
  <r>
    <x v="1"/>
    <x v="7"/>
    <x v="2914"/>
    <x v="38"/>
    <s v="Standard order"/>
    <x v="2791"/>
    <x v="2391"/>
    <s v="8052"/>
    <s v="BTS 80RR52"/>
    <s v="5002735"/>
    <s v="8052 BTS T35 PB SYSTIVA RP"/>
    <n v="48"/>
    <n v="0"/>
    <n v="48"/>
    <x v="7"/>
    <s v="AP82"/>
    <s v="RP"/>
    <s v="333"/>
    <s v="4.0 UN"/>
    <s v="STANDARD"/>
    <s v="N"/>
    <s v="Y"/>
    <s v="N"/>
    <s v="T35"/>
    <s v="Y"/>
    <s v="N"/>
    <s v="Y"/>
    <s v="N"/>
    <s v="B031"/>
    <d v="2016-12-20T00:00:00"/>
    <s v="10"/>
    <s v="TAN"/>
    <s v="OR"/>
    <d v="2016-12-15T00:00:00"/>
    <s v="MN"/>
    <s v="US"/>
    <s v="ZR"/>
    <d v="2016-12-15T00:00:00"/>
  </r>
  <r>
    <x v="1"/>
    <x v="7"/>
    <x v="2914"/>
    <x v="38"/>
    <s v="Standard order"/>
    <x v="2791"/>
    <x v="2391"/>
    <s v="8524"/>
    <s v="BTS 8524"/>
    <s v="5002896"/>
    <s v="8524 BTS T35 PB SYSTIVA RP"/>
    <n v="92"/>
    <n v="0"/>
    <n v="92"/>
    <x v="7"/>
    <s v="FWND"/>
    <s v="RP"/>
    <s v="333"/>
    <s v="4.0 UN"/>
    <s v="STANDARD"/>
    <s v="N"/>
    <s v="Y"/>
    <s v="N"/>
    <s v="T35"/>
    <s v="Y"/>
    <s v="N"/>
    <s v="Y"/>
    <s v="N"/>
    <s v="B031"/>
    <d v="2016-12-20T00:00:00"/>
    <s v="20"/>
    <s v="TAN"/>
    <s v="OR"/>
    <d v="2016-12-15T00:00:00"/>
    <s v="MN"/>
    <s v="US"/>
    <s v="ZR"/>
    <d v="2016-12-15T00:00:00"/>
  </r>
  <r>
    <x v="1"/>
    <x v="7"/>
    <x v="2914"/>
    <x v="38"/>
    <s v="Standard order"/>
    <x v="2791"/>
    <x v="2391"/>
    <s v="8052"/>
    <s v="BTS 80RR52"/>
    <s v="5002735"/>
    <s v="8052 BTS T35 PB SYSTIVA RP"/>
    <n v="92"/>
    <n v="0"/>
    <n v="92"/>
    <x v="7"/>
    <s v="AP82"/>
    <s v="RP"/>
    <s v="333"/>
    <s v="4.0 UN"/>
    <s v="STANDARD"/>
    <s v="N"/>
    <s v="Y"/>
    <s v="N"/>
    <s v="T35"/>
    <s v="Y"/>
    <s v="N"/>
    <s v="Y"/>
    <s v="N"/>
    <s v="B031"/>
    <d v="2016-12-20T00:00:00"/>
    <s v="30"/>
    <s v="TAN"/>
    <s v="OR"/>
    <d v="2016-12-15T00:00:00"/>
    <s v="MN"/>
    <s v="US"/>
    <s v="ZR"/>
    <d v="2016-12-15T00:00:00"/>
  </r>
  <r>
    <x v="1"/>
    <x v="2"/>
    <x v="2915"/>
    <x v="3"/>
    <s v="Standard order"/>
    <x v="1335"/>
    <x v="5"/>
    <s v="64SN"/>
    <s v="BTS 64SN"/>
    <s v="5002420"/>
    <s v="64SN BTS T20 PB SYSTIVA P100"/>
    <n v="64"/>
    <n v="0"/>
    <n v="64"/>
    <x v="2"/>
    <s v="DVNB"/>
    <s v="PRO 100"/>
    <s v="322"/>
    <s v="4.0 UN"/>
    <s v="STANDARD"/>
    <s v="N"/>
    <s v="N"/>
    <s v="N"/>
    <s v="T20"/>
    <s v="Y"/>
    <s v="N"/>
    <s v="Y"/>
    <s v="N"/>
    <s v="B024"/>
    <d v="2016-12-20T00:00:00"/>
    <s v="10"/>
    <s v="TAN"/>
    <s v="OR"/>
    <d v="2016-12-15T00:00:00"/>
    <s v="NE"/>
    <s v="US"/>
    <s v="ZR"/>
    <d v="2016-12-15T00:00:00"/>
  </r>
  <r>
    <x v="1"/>
    <x v="2"/>
    <x v="2915"/>
    <x v="3"/>
    <s v="Standard order"/>
    <x v="1335"/>
    <x v="5"/>
    <s v="628N"/>
    <s v="BTS 62RR8N"/>
    <s v="5002683"/>
    <s v="628N BTS T20 PB SYSTIVA P100"/>
    <n v="92"/>
    <n v="0"/>
    <n v="92"/>
    <x v="2"/>
    <s v="BL73"/>
    <s v="PRO 100"/>
    <s v="322"/>
    <s v="4.0 UN"/>
    <s v="STANDARD"/>
    <s v="N"/>
    <s v="N"/>
    <s v="N"/>
    <s v="T20"/>
    <s v="Y"/>
    <s v="N"/>
    <s v="Y"/>
    <s v="N"/>
    <s v="B024"/>
    <d v="2016-12-20T00:00:00"/>
    <s v="20"/>
    <s v="TAN"/>
    <s v="OR"/>
    <d v="2016-12-15T00:00:00"/>
    <s v="NE"/>
    <s v="US"/>
    <s v="ZR"/>
    <d v="2016-12-15T00:00:00"/>
  </r>
  <r>
    <x v="1"/>
    <x v="2"/>
    <x v="2916"/>
    <x v="5"/>
    <s v="Standard order"/>
    <x v="2792"/>
    <x v="2392"/>
    <s v="64SN"/>
    <s v="BTS 64SN"/>
    <s v="5002420"/>
    <s v="64SN BTS T20 PB SYSTIVA P100"/>
    <n v="32"/>
    <n v="0"/>
    <n v="32"/>
    <x v="2"/>
    <s v="DVNB"/>
    <s v="PRO 100"/>
    <s v="322"/>
    <s v="4.0 UN"/>
    <s v="STANDARD"/>
    <s v="N"/>
    <s v="N"/>
    <s v="N"/>
    <s v="T20"/>
    <s v="Y"/>
    <s v="N"/>
    <s v="Y"/>
    <s v="N"/>
    <s v="B020"/>
    <d v="2016-12-20T00:00:00"/>
    <s v="10"/>
    <s v="TAN"/>
    <s v="OR"/>
    <d v="2016-12-15T00:00:00"/>
    <s v="CO"/>
    <s v="US"/>
    <s v="ZR"/>
    <d v="2016-12-15T00:00:00"/>
  </r>
  <r>
    <x v="1"/>
    <x v="2"/>
    <x v="2917"/>
    <x v="5"/>
    <s v="Standard order"/>
    <x v="2793"/>
    <x v="2393"/>
    <s v="64SN"/>
    <s v="BTS 64SN"/>
    <s v="5002420"/>
    <s v="64SN BTS T20 PB SYSTIVA P100"/>
    <n v="16"/>
    <n v="0"/>
    <n v="16"/>
    <x v="2"/>
    <s v="DVNB"/>
    <s v="PRO 100"/>
    <s v="322"/>
    <s v="4.0 UN"/>
    <s v="STANDARD"/>
    <s v="N"/>
    <s v="N"/>
    <s v="N"/>
    <s v="T20"/>
    <s v="Y"/>
    <s v="N"/>
    <s v="Y"/>
    <s v="N"/>
    <s v="B020"/>
    <d v="2016-12-20T00:00:00"/>
    <s v="10"/>
    <s v="TAN"/>
    <s v="OR"/>
    <d v="2016-12-15T00:00:00"/>
    <s v="CO"/>
    <s v="US"/>
    <s v="ZR"/>
    <d v="2016-12-15T00:00:00"/>
  </r>
  <r>
    <x v="1"/>
    <x v="0"/>
    <x v="2918"/>
    <x v="43"/>
    <s v="Standard order"/>
    <x v="2794"/>
    <x v="2394"/>
    <s v="1399"/>
    <s v="BTS 1399"/>
    <s v="5002348"/>
    <s v="1399 BTS T20 Kabina RP"/>
    <n v="32"/>
    <n v="0"/>
    <n v="32"/>
    <x v="0"/>
    <s v="EG74"/>
    <s v="RP"/>
    <s v="380"/>
    <s v="4.0 UN"/>
    <s v="STANDARD"/>
    <s v="N"/>
    <s v="N"/>
    <s v="Y"/>
    <s v="T20"/>
    <s v="N"/>
    <s v="N"/>
    <s v="N"/>
    <s v="N"/>
    <s v="B006"/>
    <d v="2016-12-20T00:00:00"/>
    <s v="10"/>
    <s v="TAN"/>
    <s v="OR"/>
    <d v="2016-12-15T00:00:00"/>
    <s v="MI"/>
    <s v="US"/>
    <s v="ZR"/>
    <d v="2016-12-15T00:00:00"/>
  </r>
  <r>
    <x v="1"/>
    <x v="0"/>
    <x v="2919"/>
    <x v="43"/>
    <s v="Standard order"/>
    <x v="2795"/>
    <x v="2395"/>
    <s v="122N"/>
    <s v="BTS 12RR2N"/>
    <s v="5002317"/>
    <s v="122N BTS T20 SYSTIVA RP"/>
    <n v="40"/>
    <n v="0"/>
    <n v="40"/>
    <x v="0"/>
    <s v="4TBG"/>
    <s v="RP"/>
    <s v="326"/>
    <s v="4.0 UN"/>
    <s v="STANDARD"/>
    <s v="N"/>
    <s v="N"/>
    <s v="N"/>
    <s v="T20"/>
    <s v="Y"/>
    <s v="N"/>
    <s v="Y"/>
    <s v="N"/>
    <s v="B006"/>
    <d v="2016-12-20T00:00:00"/>
    <s v="10"/>
    <s v="TAN"/>
    <s v="OR"/>
    <d v="2016-12-15T00:00:00"/>
    <s v="MI"/>
    <s v="US"/>
    <s v="ZR"/>
    <d v="2016-12-15T00:00:00"/>
  </r>
  <r>
    <x v="1"/>
    <x v="0"/>
    <x v="2920"/>
    <x v="43"/>
    <s v="Standard order"/>
    <x v="2796"/>
    <x v="2396"/>
    <s v="1399"/>
    <s v="BTS 1399"/>
    <s v="5002348"/>
    <s v="1399 BTS T20 Kabina RP"/>
    <n v="96"/>
    <n v="0"/>
    <n v="96"/>
    <x v="0"/>
    <s v="EG74"/>
    <s v="RP"/>
    <s v="380"/>
    <s v="4.0 UN"/>
    <s v="STANDARD"/>
    <s v="N"/>
    <s v="N"/>
    <s v="Y"/>
    <s v="T20"/>
    <s v="N"/>
    <s v="N"/>
    <s v="N"/>
    <s v="N"/>
    <s v="B006"/>
    <d v="2016-12-20T00:00:00"/>
    <s v="10"/>
    <s v="TAN"/>
    <s v="OR"/>
    <d v="2016-12-15T00:00:00"/>
    <s v="MI"/>
    <s v="US"/>
    <s v="ZR"/>
    <d v="2016-12-15T00:00:00"/>
  </r>
  <r>
    <x v="1"/>
    <x v="0"/>
    <x v="2920"/>
    <x v="43"/>
    <s v="Standard order"/>
    <x v="2796"/>
    <x v="2396"/>
    <s v="122N"/>
    <s v="BTS 12RR2N"/>
    <s v="5002315"/>
    <s v="122N BTS T20 SYSTIVA MP"/>
    <n v="32"/>
    <n v="0"/>
    <n v="32"/>
    <x v="0"/>
    <s v="4TBG"/>
    <s v="MP"/>
    <s v="326"/>
    <s v="4.0 UN"/>
    <s v="STANDARD"/>
    <s v="N"/>
    <s v="N"/>
    <s v="N"/>
    <s v="T20"/>
    <s v="Y"/>
    <s v="N"/>
    <s v="Y"/>
    <s v="N"/>
    <s v="B006"/>
    <d v="2016-12-20T00:00:00"/>
    <s v="20"/>
    <s v="TAN"/>
    <s v="OR"/>
    <d v="2016-12-15T00:00:00"/>
    <s v="MI"/>
    <s v="US"/>
    <s v="ZR"/>
    <d v="2016-12-15T00:00:00"/>
  </r>
  <r>
    <x v="1"/>
    <x v="2"/>
    <x v="2921"/>
    <x v="5"/>
    <s v="Standard order"/>
    <x v="2797"/>
    <x v="818"/>
    <s v="630N"/>
    <s v="BTS 630N"/>
    <s v="5002402"/>
    <s v="630N BTS T20 PB SYSTIVA P100"/>
    <n v="32"/>
    <n v="0"/>
    <n v="32"/>
    <x v="2"/>
    <s v="DW73"/>
    <s v="PRO 100"/>
    <s v="322"/>
    <s v="4.0 UN"/>
    <s v="STANDARD"/>
    <s v="N"/>
    <s v="N"/>
    <s v="N"/>
    <s v="T20"/>
    <s v="Y"/>
    <s v="N"/>
    <s v="Y"/>
    <s v="N"/>
    <s v="B020"/>
    <d v="2016-12-20T00:00:00"/>
    <s v="10"/>
    <s v="TAN"/>
    <s v="OR"/>
    <d v="2016-12-14T00:00:00"/>
    <s v="CO"/>
    <s v="US"/>
    <s v="ZR"/>
    <d v="2016-12-15T00:00:00"/>
  </r>
  <r>
    <x v="1"/>
    <x v="2"/>
    <x v="2921"/>
    <x v="5"/>
    <s v="Standard order"/>
    <x v="2797"/>
    <x v="818"/>
    <s v="64SN"/>
    <s v="BTS 64SN"/>
    <s v="5002420"/>
    <s v="64SN BTS T20 PB SYSTIVA P100"/>
    <n v="32"/>
    <n v="0"/>
    <n v="32"/>
    <x v="2"/>
    <s v="DVNB"/>
    <s v="PRO 100"/>
    <s v="322"/>
    <s v="4.0 UN"/>
    <s v="STANDARD"/>
    <s v="N"/>
    <s v="N"/>
    <s v="N"/>
    <s v="T20"/>
    <s v="Y"/>
    <s v="N"/>
    <s v="Y"/>
    <s v="N"/>
    <s v="B020"/>
    <d v="2016-12-20T00:00:00"/>
    <s v="20"/>
    <s v="TAN"/>
    <s v="OR"/>
    <d v="2016-12-14T00:00:00"/>
    <s v="CO"/>
    <s v="US"/>
    <s v="ZR"/>
    <d v="2016-12-15T00:00:00"/>
  </r>
  <r>
    <x v="1"/>
    <x v="2"/>
    <x v="2922"/>
    <x v="3"/>
    <s v="Standard order"/>
    <x v="2798"/>
    <x v="821"/>
    <s v="6027"/>
    <s v="BTS 60RR27"/>
    <s v="5002645"/>
    <s v="6027 BTS T20 PB SYSTIVA P100 WSS"/>
    <n v="128"/>
    <n v="0"/>
    <n v="128"/>
    <x v="2"/>
    <s v="APMC"/>
    <s v="PRO 100"/>
    <s v="322"/>
    <s v="4.0 UN"/>
    <s v="STANDARD"/>
    <s v="N"/>
    <s v="N"/>
    <s v="N"/>
    <s v="T20"/>
    <s v="Y"/>
    <s v="N"/>
    <s v="Y"/>
    <s v="N"/>
    <s v="B024"/>
    <d v="2016-12-20T00:00:00"/>
    <s v="10"/>
    <s v="TAN"/>
    <s v="OR"/>
    <d v="2016-12-15T00:00:00"/>
    <s v="NE"/>
    <s v="US"/>
    <s v="ZR"/>
    <d v="2016-12-15T00:00:00"/>
  </r>
  <r>
    <x v="1"/>
    <x v="2"/>
    <x v="2922"/>
    <x v="3"/>
    <s v="Standard order"/>
    <x v="2798"/>
    <x v="821"/>
    <s v="64SN"/>
    <s v="BTS 64SN"/>
    <s v="5002420"/>
    <s v="64SN BTS T20 PB SYSTIVA P100"/>
    <n v="128"/>
    <n v="0"/>
    <n v="128"/>
    <x v="2"/>
    <s v="DVNB"/>
    <s v="PRO 100"/>
    <s v="322"/>
    <s v="4.0 UN"/>
    <s v="STANDARD"/>
    <s v="N"/>
    <s v="N"/>
    <s v="N"/>
    <s v="T20"/>
    <s v="Y"/>
    <s v="N"/>
    <s v="Y"/>
    <s v="N"/>
    <s v="B024"/>
    <d v="2016-12-20T00:00:00"/>
    <s v="20"/>
    <s v="TAN"/>
    <s v="OR"/>
    <d v="2016-12-15T00:00:00"/>
    <s v="NE"/>
    <s v="US"/>
    <s v="ZR"/>
    <d v="2016-12-15T00:00:00"/>
  </r>
  <r>
    <x v="1"/>
    <x v="0"/>
    <x v="2923"/>
    <x v="42"/>
    <s v="Standard order"/>
    <x v="2799"/>
    <x v="2397"/>
    <s v="1399"/>
    <s v="BTS 1399"/>
    <s v="5002346"/>
    <s v="1399 BTS T20 Kabina MP"/>
    <n v="68"/>
    <n v="0"/>
    <n v="68"/>
    <x v="0"/>
    <s v="EG74"/>
    <s v="MP"/>
    <s v="380"/>
    <s v="4.0 UN"/>
    <s v="STANDARD"/>
    <s v="N"/>
    <s v="N"/>
    <s v="Y"/>
    <s v="T20"/>
    <s v="N"/>
    <s v="N"/>
    <s v="N"/>
    <s v="N"/>
    <s v="B007"/>
    <d v="2016-12-20T00:00:00"/>
    <s v="10"/>
    <s v="TAN"/>
    <s v="OR"/>
    <d v="2016-12-14T00:00:00"/>
    <s v="MI"/>
    <s v="US"/>
    <s v="ZR"/>
    <d v="2016-12-15T00:00:00"/>
  </r>
  <r>
    <x v="1"/>
    <x v="0"/>
    <x v="2923"/>
    <x v="42"/>
    <s v="Standard order"/>
    <x v="2799"/>
    <x v="2397"/>
    <s v="149N"/>
    <s v="BTS 149N"/>
    <s v="5002366"/>
    <s v="149N BTS T20 Kabina MP"/>
    <n v="68"/>
    <n v="0"/>
    <n v="68"/>
    <x v="0"/>
    <s v="EEND"/>
    <s v="MP"/>
    <s v="380"/>
    <s v="4.0 UN"/>
    <s v="STANDARD"/>
    <s v="N"/>
    <s v="N"/>
    <s v="Y"/>
    <s v="T20"/>
    <s v="N"/>
    <s v="N"/>
    <s v="N"/>
    <s v="N"/>
    <s v="B007"/>
    <d v="2016-12-20T00:00:00"/>
    <s v="20"/>
    <s v="TAN"/>
    <s v="OR"/>
    <d v="2016-12-14T00:00:00"/>
    <s v="MI"/>
    <s v="US"/>
    <s v="ZR"/>
    <d v="2016-12-15T00:00:00"/>
  </r>
  <r>
    <x v="1"/>
    <x v="0"/>
    <x v="2924"/>
    <x v="43"/>
    <s v="Standard order"/>
    <x v="2800"/>
    <x v="1194"/>
    <s v="1399"/>
    <s v="BTS 1399"/>
    <s v="5002348"/>
    <s v="1399 BTS T20 Kabina RP"/>
    <n v="20"/>
    <n v="0"/>
    <n v="20"/>
    <x v="0"/>
    <s v="EG74"/>
    <s v="RP"/>
    <s v="380"/>
    <s v="4.0 UN"/>
    <s v="STANDARD"/>
    <s v="N"/>
    <s v="N"/>
    <s v="Y"/>
    <s v="T20"/>
    <s v="N"/>
    <s v="N"/>
    <s v="N"/>
    <s v="N"/>
    <s v="B006"/>
    <d v="2016-12-20T00:00:00"/>
    <s v="10"/>
    <s v="TAN"/>
    <s v="OR"/>
    <d v="2016-12-15T00:00:00"/>
    <s v="MI"/>
    <s v="US"/>
    <s v="ZR"/>
    <d v="2016-12-15T00:00:00"/>
  </r>
  <r>
    <x v="1"/>
    <x v="0"/>
    <x v="2924"/>
    <x v="43"/>
    <s v="Standard order"/>
    <x v="2800"/>
    <x v="1194"/>
    <s v="122N"/>
    <s v="BTS 12RR2N"/>
    <s v="5002311"/>
    <s v="122N BTS T20 Kabina RP"/>
    <n v="20"/>
    <n v="0"/>
    <n v="20"/>
    <x v="0"/>
    <s v="4TBG"/>
    <s v="RP"/>
    <s v="380"/>
    <s v="4.0 UN"/>
    <s v="STANDARD"/>
    <s v="N"/>
    <s v="N"/>
    <s v="Y"/>
    <s v="T20"/>
    <s v="N"/>
    <s v="N"/>
    <s v="N"/>
    <s v="N"/>
    <s v="B006"/>
    <d v="2016-12-20T00:00:00"/>
    <s v="20"/>
    <s v="TAN"/>
    <s v="OR"/>
    <d v="2016-12-15T00:00:00"/>
    <s v="MI"/>
    <s v="US"/>
    <s v="ZR"/>
    <d v="2016-12-15T00:00:00"/>
  </r>
  <r>
    <x v="1"/>
    <x v="0"/>
    <x v="2924"/>
    <x v="43"/>
    <s v="Standard order"/>
    <x v="2800"/>
    <x v="1194"/>
    <s v="149N"/>
    <s v="BTS 149N"/>
    <s v="5002368"/>
    <s v="149N BTS T20 Kabina RP"/>
    <n v="8"/>
    <n v="0"/>
    <n v="8"/>
    <x v="0"/>
    <s v="EEND"/>
    <s v="RP"/>
    <s v="380"/>
    <s v="4.0 UN"/>
    <s v="STANDARD"/>
    <s v="N"/>
    <s v="N"/>
    <s v="Y"/>
    <s v="T20"/>
    <s v="N"/>
    <s v="N"/>
    <s v="N"/>
    <s v="N"/>
    <s v="B006"/>
    <d v="2016-12-20T00:00:00"/>
    <s v="30"/>
    <s v="TAN"/>
    <s v="OR"/>
    <d v="2016-12-15T00:00:00"/>
    <s v="MI"/>
    <s v="US"/>
    <s v="ZR"/>
    <d v="2016-12-15T00:00:00"/>
  </r>
  <r>
    <x v="1"/>
    <x v="0"/>
    <x v="2925"/>
    <x v="45"/>
    <s v="Standard order"/>
    <x v="2801"/>
    <x v="2398"/>
    <s v="1399"/>
    <s v="BTS 1399"/>
    <s v="5002346"/>
    <s v="1399 BTS T20 Kabina MP"/>
    <n v="16"/>
    <n v="0"/>
    <n v="16"/>
    <x v="0"/>
    <s v="EG74"/>
    <s v="MP"/>
    <s v="380"/>
    <s v="4.0 UN"/>
    <s v="STANDARD"/>
    <s v="N"/>
    <s v="N"/>
    <s v="Y"/>
    <s v="T20"/>
    <s v="N"/>
    <s v="N"/>
    <s v="N"/>
    <s v="N"/>
    <s v="B003"/>
    <d v="2016-12-20T00:00:00"/>
    <s v="10"/>
    <s v="TAN"/>
    <s v="OR"/>
    <d v="2016-12-15T00:00:00"/>
    <s v="MI"/>
    <s v="US"/>
    <s v="ZR"/>
    <d v="2016-12-15T00:00:00"/>
  </r>
  <r>
    <x v="1"/>
    <x v="0"/>
    <x v="2925"/>
    <x v="45"/>
    <s v="Standard order"/>
    <x v="2801"/>
    <x v="2398"/>
    <s v="122N"/>
    <s v="BTS 12RR2N"/>
    <s v="5002309"/>
    <s v="122N BTS T20 Kabina MP"/>
    <n v="4"/>
    <n v="0"/>
    <n v="4"/>
    <x v="0"/>
    <s v="4TBG"/>
    <s v="MP"/>
    <s v="380"/>
    <s v="4.0 UN"/>
    <s v="STANDARD"/>
    <s v="N"/>
    <s v="N"/>
    <s v="Y"/>
    <s v="T20"/>
    <s v="N"/>
    <s v="N"/>
    <s v="N"/>
    <s v="N"/>
    <s v="B003"/>
    <d v="2016-12-20T00:00:00"/>
    <s v="20"/>
    <s v="TAN"/>
    <s v="OR"/>
    <d v="2016-12-15T00:00:00"/>
    <s v="MI"/>
    <s v="US"/>
    <s v="ZR"/>
    <d v="2016-12-15T00:00:00"/>
  </r>
  <r>
    <x v="1"/>
    <x v="6"/>
    <x v="2926"/>
    <x v="51"/>
    <s v="Standard order"/>
    <x v="2802"/>
    <x v="231"/>
    <s v="444N"/>
    <s v="BTS 444N"/>
    <s v="5002226"/>
    <s v="444N BTS T20 PB SYSTIVA P100"/>
    <n v="36"/>
    <n v="0"/>
    <n v="36"/>
    <x v="6"/>
    <s v="DVND"/>
    <s v="PRO 100"/>
    <s v="322"/>
    <s v="4.0 UN"/>
    <s v="STANDARD"/>
    <s v="N"/>
    <s v="N"/>
    <s v="N"/>
    <s v="T20"/>
    <s v="Y"/>
    <s v="N"/>
    <s v="Y"/>
    <s v="N"/>
    <s v="B011"/>
    <d v="2016-12-20T00:00:00"/>
    <s v="10"/>
    <s v="TAN"/>
    <s v="OR"/>
    <d v="2016-12-15T00:00:00"/>
    <s v="MT"/>
    <s v="US"/>
    <s v="ZR"/>
    <d v="2016-12-15T00:00:00"/>
  </r>
  <r>
    <x v="1"/>
    <x v="6"/>
    <x v="2926"/>
    <x v="51"/>
    <s v="Standard order"/>
    <x v="2802"/>
    <x v="231"/>
    <s v="459N"/>
    <s v="BTS 459N"/>
    <s v="5002256"/>
    <s v="459N BTS T20 PB SYSTIVA P100"/>
    <n v="20"/>
    <n v="0"/>
    <n v="20"/>
    <x v="6"/>
    <s v="DVNU"/>
    <s v="PRO 100"/>
    <s v="322"/>
    <s v="4.0 UN"/>
    <s v="STANDARD"/>
    <s v="N"/>
    <s v="N"/>
    <s v="N"/>
    <s v="T20"/>
    <s v="Y"/>
    <s v="N"/>
    <s v="Y"/>
    <s v="N"/>
    <s v="B011"/>
    <d v="2016-12-20T00:00:00"/>
    <s v="20"/>
    <s v="TAN"/>
    <s v="OR"/>
    <d v="2016-12-15T00:00:00"/>
    <s v="MT"/>
    <s v="US"/>
    <s v="ZR"/>
    <d v="2016-12-15T00:00:00"/>
  </r>
  <r>
    <x v="1"/>
    <x v="0"/>
    <x v="2927"/>
    <x v="42"/>
    <s v="Standard order"/>
    <x v="2803"/>
    <x v="2399"/>
    <s v="122N"/>
    <s v="BTS 12RR2N"/>
    <s v="5002311"/>
    <s v="122N BTS T20 Kabina RP"/>
    <n v="64"/>
    <n v="0"/>
    <n v="64"/>
    <x v="0"/>
    <s v="4TBG"/>
    <s v="RP"/>
    <s v="380"/>
    <s v="4.0 UN"/>
    <s v="STANDARD"/>
    <s v="N"/>
    <s v="N"/>
    <s v="Y"/>
    <s v="T20"/>
    <s v="N"/>
    <s v="N"/>
    <s v="N"/>
    <s v="N"/>
    <s v="B007"/>
    <d v="2016-12-20T00:00:00"/>
    <s v="10"/>
    <s v="TAN"/>
    <s v="OR"/>
    <d v="2016-12-15T00:00:00"/>
    <s v="MI"/>
    <s v="US"/>
    <s v="ZR"/>
    <d v="2016-12-15T00:00:00"/>
  </r>
  <r>
    <x v="1"/>
    <x v="0"/>
    <x v="2927"/>
    <x v="42"/>
    <s v="Standard order"/>
    <x v="2803"/>
    <x v="2399"/>
    <s v="1399"/>
    <s v="BTS 1399"/>
    <s v="5002348"/>
    <s v="1399 BTS T20 Kabina RP"/>
    <n v="64"/>
    <n v="0"/>
    <n v="64"/>
    <x v="0"/>
    <s v="EG74"/>
    <s v="RP"/>
    <s v="380"/>
    <s v="4.0 UN"/>
    <s v="STANDARD"/>
    <s v="N"/>
    <s v="N"/>
    <s v="Y"/>
    <s v="T20"/>
    <s v="N"/>
    <s v="N"/>
    <s v="N"/>
    <s v="N"/>
    <s v="B007"/>
    <d v="2016-12-20T00:00:00"/>
    <s v="20"/>
    <s v="TAN"/>
    <s v="OR"/>
    <d v="2016-12-15T00:00:00"/>
    <s v="MI"/>
    <s v="US"/>
    <s v="ZR"/>
    <d v="2016-12-15T00:00:00"/>
  </r>
  <r>
    <x v="1"/>
    <x v="6"/>
    <x v="2928"/>
    <x v="51"/>
    <s v="Standard order"/>
    <x v="2804"/>
    <x v="753"/>
    <s v="4548"/>
    <s v="BTS 4548"/>
    <s v="5002246"/>
    <s v="4548 BTS T20 PB SYSTIVA P50"/>
    <n v="12"/>
    <n v="0"/>
    <n v="12"/>
    <x v="6"/>
    <s v="FENR"/>
    <s v="PRO 50"/>
    <s v="322"/>
    <s v="4.0 UN"/>
    <s v="STANDARD"/>
    <s v="N"/>
    <s v="N"/>
    <s v="N"/>
    <s v="T20"/>
    <s v="Y"/>
    <s v="N"/>
    <s v="Y"/>
    <s v="N"/>
    <s v="B011"/>
    <d v="2016-12-20T00:00:00"/>
    <s v="10"/>
    <s v="TAN"/>
    <s v="OR"/>
    <d v="2016-12-15T00:00:00"/>
    <s v="MT"/>
    <s v="US"/>
    <s v="ZR"/>
    <d v="2016-12-15T00:00:00"/>
  </r>
  <r>
    <x v="1"/>
    <x v="6"/>
    <x v="2928"/>
    <x v="51"/>
    <s v="Standard order"/>
    <x v="2804"/>
    <x v="753"/>
    <s v="4265"/>
    <s v="BTS 42RR65"/>
    <s v="5002585"/>
    <s v="4265 BTS T20 PB SYSTIVA P50"/>
    <n v="12"/>
    <n v="0"/>
    <n v="12"/>
    <x v="6"/>
    <s v="BR73"/>
    <s v="PRO 50"/>
    <s v="322"/>
    <s v="4.0 UN"/>
    <s v="STANDARD"/>
    <s v="N"/>
    <s v="N"/>
    <s v="N"/>
    <s v="T20"/>
    <s v="Y"/>
    <s v="N"/>
    <s v="Y"/>
    <s v="N"/>
    <s v="B011"/>
    <d v="2016-12-20T00:00:00"/>
    <s v="20"/>
    <s v="TAN"/>
    <s v="OR"/>
    <d v="2016-12-15T00:00:00"/>
    <s v="MT"/>
    <s v="US"/>
    <s v="ZR"/>
    <d v="2016-12-15T00:00:00"/>
  </r>
  <r>
    <x v="1"/>
    <x v="7"/>
    <x v="2929"/>
    <x v="38"/>
    <s v="Standard order"/>
    <x v="2805"/>
    <x v="2400"/>
    <s v="8337"/>
    <s v="BTS 8337"/>
    <s v="5002799"/>
    <s v="8337 BTS T35 SYSTIVA RP"/>
    <n v="96"/>
    <n v="0"/>
    <n v="96"/>
    <x v="7"/>
    <s v="DHMC"/>
    <s v="RP"/>
    <s v="334"/>
    <s v="4.0 UN"/>
    <s v="STANDARD"/>
    <s v="N"/>
    <s v="N"/>
    <s v="N"/>
    <s v="T35"/>
    <s v="Y"/>
    <s v="N"/>
    <s v="Y"/>
    <s v="N"/>
    <s v="B031"/>
    <d v="2016-12-20T00:00:00"/>
    <s v="10"/>
    <s v="TAN"/>
    <s v="OR"/>
    <d v="2016-12-15T00:00:00"/>
    <s v="MN"/>
    <s v="US"/>
    <s v="ZR"/>
    <d v="2016-12-15T00:00:00"/>
  </r>
  <r>
    <x v="1"/>
    <x v="7"/>
    <x v="2929"/>
    <x v="38"/>
    <s v="Standard order"/>
    <x v="2805"/>
    <x v="2400"/>
    <s v="8524"/>
    <s v="BTS 8524"/>
    <s v="5002900"/>
    <s v="8524 BTS T35 SYSTIVA RP"/>
    <n v="96"/>
    <n v="0"/>
    <n v="96"/>
    <x v="7"/>
    <s v="FWND"/>
    <s v="RP"/>
    <s v="334"/>
    <s v="4.0 UN"/>
    <s v="STANDARD"/>
    <s v="N"/>
    <s v="N"/>
    <s v="N"/>
    <s v="T35"/>
    <s v="Y"/>
    <s v="N"/>
    <s v="Y"/>
    <s v="N"/>
    <s v="B031"/>
    <d v="2016-12-20T00:00:00"/>
    <s v="20"/>
    <s v="TAN"/>
    <s v="OR"/>
    <d v="2016-12-15T00:00:00"/>
    <s v="MN"/>
    <s v="US"/>
    <s v="ZR"/>
    <d v="2016-12-15T00:00:00"/>
  </r>
  <r>
    <x v="1"/>
    <x v="5"/>
    <x v="2930"/>
    <x v="9"/>
    <s v="Standard order"/>
    <x v="1847"/>
    <x v="1832"/>
    <s v="336N"/>
    <s v="BTS 336N"/>
    <s v="5002400"/>
    <s v="336N BTS T20 PB SYSTIVA RP"/>
    <n v="8"/>
    <n v="0"/>
    <n v="8"/>
    <x v="5"/>
    <s v="EEMG"/>
    <s v="RP"/>
    <s v="322"/>
    <s v="4.0 UN"/>
    <s v="STANDARD"/>
    <s v="N"/>
    <s v="N"/>
    <s v="N"/>
    <s v="T20"/>
    <s v="Y"/>
    <s v="N"/>
    <s v="N"/>
    <s v="N"/>
    <s v="B016"/>
    <d v="2016-12-20T00:00:00"/>
    <s v="10"/>
    <s v="TAN"/>
    <s v="OR"/>
    <d v="2016-12-15T00:00:00"/>
    <s v="WY"/>
    <s v="US"/>
    <s v="ZR"/>
    <d v="2016-12-15T00:00:00"/>
  </r>
  <r>
    <x v="1"/>
    <x v="5"/>
    <x v="2930"/>
    <x v="9"/>
    <s v="Standard order"/>
    <x v="1847"/>
    <x v="1832"/>
    <s v="353N"/>
    <s v="BTS 353N"/>
    <s v="5002524"/>
    <s v="353N BTS T20 PB SYSTIVA RP"/>
    <n v="4"/>
    <n v="0"/>
    <n v="4"/>
    <x v="5"/>
    <s v="EENZ"/>
    <s v="RP"/>
    <s v="322"/>
    <s v="4.0 UN"/>
    <s v="STANDARD"/>
    <s v="N"/>
    <s v="Y"/>
    <s v="N"/>
    <s v="T20"/>
    <s v="Y"/>
    <s v="N"/>
    <s v="N"/>
    <s v="N"/>
    <s v="B016"/>
    <d v="2016-12-20T00:00:00"/>
    <s v="20"/>
    <s v="TAN"/>
    <s v="OR"/>
    <d v="2016-12-15T00:00:00"/>
    <s v="WY"/>
    <s v="US"/>
    <s v="ZR"/>
    <d v="2016-12-15T00:00:00"/>
  </r>
  <r>
    <x v="1"/>
    <x v="2"/>
    <x v="2931"/>
    <x v="5"/>
    <s v="Standard order"/>
    <x v="2806"/>
    <x v="804"/>
    <s v="630N"/>
    <s v="BTS 630N"/>
    <s v="5002402"/>
    <s v="630N BTS T20 PB SYSTIVA P100"/>
    <n v="16"/>
    <n v="0"/>
    <n v="16"/>
    <x v="2"/>
    <s v="DW73"/>
    <s v="PRO 100"/>
    <s v="322"/>
    <s v="4.0 UN"/>
    <s v="STANDARD"/>
    <s v="N"/>
    <s v="N"/>
    <s v="N"/>
    <s v="T20"/>
    <s v="Y"/>
    <s v="N"/>
    <s v="Y"/>
    <s v="N"/>
    <s v="B020"/>
    <d v="2016-12-20T00:00:00"/>
    <s v="10"/>
    <s v="TAN"/>
    <s v="OR"/>
    <d v="2016-12-14T00:00:00"/>
    <s v="CO"/>
    <s v="US"/>
    <s v="ZR"/>
    <d v="2016-12-15T00:00:00"/>
  </r>
  <r>
    <x v="1"/>
    <x v="2"/>
    <x v="2931"/>
    <x v="5"/>
    <s v="Standard order"/>
    <x v="2806"/>
    <x v="804"/>
    <s v="64SN"/>
    <s v="BTS 64SN"/>
    <s v="5002420"/>
    <s v="64SN BTS T20 PB SYSTIVA P100"/>
    <n v="4"/>
    <n v="0"/>
    <n v="4"/>
    <x v="2"/>
    <s v="DVNB"/>
    <s v="PRO 100"/>
    <s v="322"/>
    <s v="4.0 UN"/>
    <s v="STANDARD"/>
    <s v="N"/>
    <s v="N"/>
    <s v="N"/>
    <s v="T20"/>
    <s v="Y"/>
    <s v="N"/>
    <s v="Y"/>
    <s v="N"/>
    <s v="B020"/>
    <d v="2016-12-20T00:00:00"/>
    <s v="20"/>
    <s v="TAN"/>
    <s v="OR"/>
    <d v="2016-12-14T00:00:00"/>
    <s v="CO"/>
    <s v="US"/>
    <s v="ZR"/>
    <d v="2016-12-15T00:00:00"/>
  </r>
  <r>
    <x v="1"/>
    <x v="0"/>
    <x v="2932"/>
    <x v="29"/>
    <s v="Standard order"/>
    <x v="2807"/>
    <x v="2401"/>
    <s v="1399"/>
    <s v="BTS 1399"/>
    <s v="5002347"/>
    <s v="1399 BTS T20 Kabina P200"/>
    <n v="24"/>
    <n v="0"/>
    <n v="24"/>
    <x v="0"/>
    <s v="EG74"/>
    <s v="PRO 200"/>
    <s v="380"/>
    <s v="4.0 UN"/>
    <s v="STANDARD"/>
    <s v="N"/>
    <s v="N"/>
    <s v="Y"/>
    <s v="T20"/>
    <s v="N"/>
    <s v="N"/>
    <s v="N"/>
    <s v="N"/>
    <s v="B005"/>
    <d v="2016-12-20T00:00:00"/>
    <s v="10"/>
    <s v="TAN"/>
    <s v="OR"/>
    <d v="2016-12-14T00:00:00"/>
    <s v="MI"/>
    <s v="US"/>
    <s v="ZR"/>
    <d v="2016-12-15T00:00:00"/>
  </r>
  <r>
    <x v="1"/>
    <x v="0"/>
    <x v="2933"/>
    <x v="43"/>
    <s v="Standard order"/>
    <x v="2808"/>
    <x v="2402"/>
    <s v="122N"/>
    <s v="BTS 12RR2N"/>
    <s v="5002315"/>
    <s v="122N BTS T20 SYSTIVA MP"/>
    <n v="80"/>
    <n v="0"/>
    <n v="80"/>
    <x v="0"/>
    <s v="4TBG"/>
    <s v="MP"/>
    <s v="326"/>
    <s v="4.0 UN"/>
    <s v="STANDARD"/>
    <s v="N"/>
    <s v="N"/>
    <s v="N"/>
    <s v="T20"/>
    <s v="Y"/>
    <s v="N"/>
    <s v="Y"/>
    <s v="N"/>
    <s v="B006"/>
    <d v="2016-12-20T00:00:00"/>
    <s v="10"/>
    <s v="TAN"/>
    <s v="OR"/>
    <d v="2016-12-15T00:00:00"/>
    <s v="MI"/>
    <s v="US"/>
    <s v="ZR"/>
    <d v="2016-12-15T00:00:00"/>
  </r>
  <r>
    <x v="1"/>
    <x v="0"/>
    <x v="2933"/>
    <x v="43"/>
    <s v="Standard order"/>
    <x v="2808"/>
    <x v="2402"/>
    <s v="1399"/>
    <s v="BTS 1399"/>
    <s v="5002346"/>
    <s v="1399 BTS T20 Kabina MP"/>
    <n v="80"/>
    <n v="0"/>
    <n v="80"/>
    <x v="0"/>
    <s v="EG74"/>
    <s v="MP"/>
    <s v="380"/>
    <s v="4.0 UN"/>
    <s v="STANDARD"/>
    <s v="N"/>
    <s v="N"/>
    <s v="Y"/>
    <s v="T20"/>
    <s v="N"/>
    <s v="N"/>
    <s v="N"/>
    <s v="N"/>
    <s v="B006"/>
    <d v="2016-12-20T00:00:00"/>
    <s v="20"/>
    <s v="TAN"/>
    <s v="OR"/>
    <d v="2016-12-15T00:00:00"/>
    <s v="MI"/>
    <s v="US"/>
    <s v="ZR"/>
    <d v="2016-12-15T00:00:00"/>
  </r>
  <r>
    <x v="1"/>
    <x v="2"/>
    <x v="2934"/>
    <x v="24"/>
    <s v="Standard order"/>
    <x v="2809"/>
    <x v="808"/>
    <s v="630N"/>
    <s v="BTS 630N"/>
    <s v="5002404"/>
    <s v="630N BTS T20 PB SYSTIVA P50"/>
    <n v="40"/>
    <n v="0"/>
    <n v="40"/>
    <x v="2"/>
    <s v="DW73"/>
    <s v="PRO 50"/>
    <s v="322"/>
    <s v="4.0 UN"/>
    <s v="STANDARD"/>
    <s v="N"/>
    <s v="N"/>
    <s v="N"/>
    <s v="T20"/>
    <s v="Y"/>
    <s v="N"/>
    <s v="Y"/>
    <s v="N"/>
    <s v="B022"/>
    <d v="2016-12-20T00:00:00"/>
    <s v="10"/>
    <s v="TAN"/>
    <s v="OR"/>
    <d v="2016-12-14T00:00:00"/>
    <s v="CO"/>
    <s v="US"/>
    <s v="ZR"/>
    <d v="2016-12-15T00:00:00"/>
  </r>
  <r>
    <x v="1"/>
    <x v="0"/>
    <x v="2935"/>
    <x v="43"/>
    <s v="Standard order"/>
    <x v="2810"/>
    <x v="2403"/>
    <s v="133N"/>
    <s v="BTS 133N"/>
    <s v="5002329"/>
    <s v="133N BTS T20 Kabina RP"/>
    <n v="24"/>
    <n v="0"/>
    <n v="24"/>
    <x v="0"/>
    <s v="DW73"/>
    <s v="RP"/>
    <s v="380"/>
    <s v="4.0 UN"/>
    <s v="STANDARD"/>
    <s v="N"/>
    <s v="N"/>
    <s v="Y"/>
    <s v="T20"/>
    <s v="N"/>
    <s v="N"/>
    <s v="N"/>
    <s v="N"/>
    <s v="B006"/>
    <d v="2016-12-20T00:00:00"/>
    <s v="10"/>
    <s v="TAN"/>
    <s v="OR"/>
    <d v="2016-12-15T00:00:00"/>
    <s v="MI"/>
    <s v="US"/>
    <s v="ZR"/>
    <d v="2016-12-15T00:00:00"/>
  </r>
  <r>
    <x v="1"/>
    <x v="0"/>
    <x v="2935"/>
    <x v="43"/>
    <s v="Standard order"/>
    <x v="2810"/>
    <x v="2403"/>
    <s v="149N"/>
    <s v="BTS 149N"/>
    <s v="5002368"/>
    <s v="149N BTS T20 Kabina RP"/>
    <n v="28"/>
    <n v="0"/>
    <n v="28"/>
    <x v="0"/>
    <s v="EEND"/>
    <s v="RP"/>
    <s v="380"/>
    <s v="4.0 UN"/>
    <s v="STANDARD"/>
    <s v="N"/>
    <s v="N"/>
    <s v="Y"/>
    <s v="T20"/>
    <s v="N"/>
    <s v="N"/>
    <s v="N"/>
    <s v="N"/>
    <s v="B006"/>
    <d v="2016-12-20T00:00:00"/>
    <s v="20"/>
    <s v="TAN"/>
    <s v="OR"/>
    <d v="2016-12-15T00:00:00"/>
    <s v="MI"/>
    <s v="US"/>
    <s v="ZR"/>
    <d v="2016-12-15T00:00:00"/>
  </r>
  <r>
    <x v="1"/>
    <x v="5"/>
    <x v="2936"/>
    <x v="9"/>
    <s v="Standard order"/>
    <x v="2811"/>
    <x v="810"/>
    <s v="353N"/>
    <s v="BTS 353N"/>
    <s v="5002524"/>
    <s v="353N BTS T20 PB SYSTIVA RP"/>
    <n v="24"/>
    <n v="0"/>
    <n v="24"/>
    <x v="5"/>
    <s v="EENZ"/>
    <s v="RP"/>
    <s v="322"/>
    <s v="4.0 UN"/>
    <s v="STANDARD"/>
    <s v="N"/>
    <s v="Y"/>
    <s v="N"/>
    <s v="T20"/>
    <s v="Y"/>
    <s v="N"/>
    <s v="N"/>
    <s v="N"/>
    <s v="B016"/>
    <d v="2016-12-20T00:00:00"/>
    <s v="10"/>
    <s v="TAN"/>
    <s v="OR"/>
    <d v="2016-12-15T00:00:00"/>
    <s v="WY"/>
    <s v="US"/>
    <s v="ZR"/>
    <d v="2016-12-15T00:00:00"/>
  </r>
  <r>
    <x v="1"/>
    <x v="5"/>
    <x v="2936"/>
    <x v="9"/>
    <s v="Standard order"/>
    <x v="2811"/>
    <x v="810"/>
    <s v="3650"/>
    <s v="BTS 36RR50"/>
    <s v="5002548"/>
    <s v="3650 BTS T20 PB SYSTIVA RP"/>
    <n v="16"/>
    <n v="0"/>
    <n v="16"/>
    <x v="5"/>
    <s v="4DAY"/>
    <s v="RP"/>
    <s v="322"/>
    <s v="4.0 UN"/>
    <s v="STANDARD"/>
    <s v="N"/>
    <s v="Y"/>
    <s v="N"/>
    <s v="T20"/>
    <s v="Y"/>
    <s v="N"/>
    <s v="N"/>
    <s v="N"/>
    <s v="B016"/>
    <d v="2016-12-20T00:00:00"/>
    <s v="20"/>
    <s v="TAN"/>
    <s v="OR"/>
    <d v="2016-12-15T00:00:00"/>
    <s v="WY"/>
    <s v="US"/>
    <s v="ZR"/>
    <d v="2016-12-15T00:00:00"/>
  </r>
  <r>
    <x v="1"/>
    <x v="5"/>
    <x v="2936"/>
    <x v="9"/>
    <s v="Standard order"/>
    <x v="2811"/>
    <x v="810"/>
    <s v="398N"/>
    <s v="BTS 39RR8N"/>
    <s v="5002572"/>
    <s v="398N BTS T20 PB SYSTIVA RP"/>
    <n v="20"/>
    <n v="0"/>
    <n v="20"/>
    <x v="5"/>
    <s v="2771"/>
    <s v="RP"/>
    <s v="322"/>
    <s v="4.0 UN"/>
    <s v="STANDARD"/>
    <s v="N"/>
    <s v="Y"/>
    <s v="N"/>
    <s v="T20"/>
    <s v="Y"/>
    <s v="N"/>
    <s v="N"/>
    <s v="N"/>
    <s v="B016"/>
    <d v="2016-12-20T00:00:00"/>
    <s v="30"/>
    <s v="TAN"/>
    <s v="OR"/>
    <d v="2016-12-15T00:00:00"/>
    <s v="WY"/>
    <s v="US"/>
    <s v="ZR"/>
    <d v="2016-12-15T00:00:00"/>
  </r>
  <r>
    <x v="1"/>
    <x v="5"/>
    <x v="2937"/>
    <x v="9"/>
    <s v="Standard order"/>
    <x v="2812"/>
    <x v="817"/>
    <s v="336N"/>
    <s v="BTS 336N"/>
    <s v="5002400"/>
    <s v="336N BTS T20 PB SYSTIVA RP"/>
    <n v="12"/>
    <n v="0"/>
    <n v="12"/>
    <x v="5"/>
    <s v="EEMG"/>
    <s v="RP"/>
    <s v="322"/>
    <s v="4.0 UN"/>
    <s v="STANDARD"/>
    <s v="N"/>
    <s v="N"/>
    <s v="N"/>
    <s v="T20"/>
    <s v="Y"/>
    <s v="N"/>
    <s v="N"/>
    <s v="N"/>
    <s v="B016"/>
    <d v="2016-12-20T00:00:00"/>
    <s v="10"/>
    <s v="TAN"/>
    <s v="OR"/>
    <d v="2016-12-15T00:00:00"/>
    <s v="WY"/>
    <s v="US"/>
    <s v="ZR"/>
    <d v="2016-12-15T00:00:00"/>
  </r>
  <r>
    <x v="1"/>
    <x v="6"/>
    <x v="2938"/>
    <x v="51"/>
    <s v="Standard order"/>
    <x v="2813"/>
    <x v="2404"/>
    <s v="437N"/>
    <s v="BTS 437N"/>
    <s v="5002208"/>
    <s v="437N BTS T20 PB SYSTIVA P100"/>
    <n v="92"/>
    <n v="0"/>
    <n v="92"/>
    <x v="6"/>
    <s v="EE73"/>
    <s v="PRO 100"/>
    <s v="322"/>
    <s v="4.0 UN"/>
    <s v="STANDARD"/>
    <s v="N"/>
    <s v="N"/>
    <s v="N"/>
    <s v="T20"/>
    <s v="Y"/>
    <s v="N"/>
    <s v="Y"/>
    <s v="N"/>
    <s v="B011"/>
    <d v="2016-12-20T00:00:00"/>
    <s v="10"/>
    <s v="TAN"/>
    <s v="OR"/>
    <d v="2016-12-15T00:00:00"/>
    <s v="MT"/>
    <s v="US"/>
    <s v="ZR"/>
    <d v="2016-12-15T00:00:00"/>
  </r>
  <r>
    <x v="1"/>
    <x v="5"/>
    <x v="2939"/>
    <x v="21"/>
    <s v="Standard order"/>
    <x v="2814"/>
    <x v="2405"/>
    <s v="353N"/>
    <s v="BTS 353N"/>
    <s v="5002524"/>
    <s v="353N BTS T20 PB SYSTIVA RP"/>
    <n v="8"/>
    <n v="0"/>
    <n v="8"/>
    <x v="5"/>
    <s v="EENZ"/>
    <s v="RP"/>
    <s v="322"/>
    <s v="4.0 UN"/>
    <s v="STANDARD"/>
    <s v="N"/>
    <s v="Y"/>
    <s v="N"/>
    <s v="T20"/>
    <s v="Y"/>
    <s v="N"/>
    <s v="N"/>
    <s v="N"/>
    <s v="B013"/>
    <d v="2016-12-20T00:00:00"/>
    <s v="10"/>
    <s v="TAN"/>
    <s v="OR"/>
    <d v="2016-12-15T00:00:00"/>
    <s v="MT"/>
    <s v="US"/>
    <s v="ZR"/>
    <d v="2016-12-15T00:00:00"/>
  </r>
  <r>
    <x v="1"/>
    <x v="5"/>
    <x v="2939"/>
    <x v="21"/>
    <s v="Standard order"/>
    <x v="2814"/>
    <x v="2405"/>
    <s v="398N"/>
    <s v="BTS 39RR8N"/>
    <s v="5002572"/>
    <s v="398N BTS T20 PB SYSTIVA RP"/>
    <n v="32"/>
    <n v="0"/>
    <n v="32"/>
    <x v="5"/>
    <s v="2771"/>
    <s v="RP"/>
    <s v="322"/>
    <s v="4.0 UN"/>
    <s v="STANDARD"/>
    <s v="N"/>
    <s v="Y"/>
    <s v="N"/>
    <s v="T20"/>
    <s v="Y"/>
    <s v="N"/>
    <s v="N"/>
    <s v="N"/>
    <s v="B013"/>
    <d v="2016-12-20T00:00:00"/>
    <s v="20"/>
    <s v="TAN"/>
    <s v="OR"/>
    <d v="2016-12-15T00:00:00"/>
    <s v="MT"/>
    <s v="US"/>
    <s v="ZR"/>
    <d v="2016-12-15T00:00:00"/>
  </r>
  <r>
    <x v="1"/>
    <x v="0"/>
    <x v="2940"/>
    <x v="54"/>
    <s v="Standard order"/>
    <x v="2815"/>
    <x v="2406"/>
    <s v="122N"/>
    <s v="BTS 12RR2N"/>
    <s v="5002311"/>
    <s v="122N BTS T20 Kabina RP"/>
    <n v="32"/>
    <n v="0"/>
    <n v="32"/>
    <x v="0"/>
    <s v="4TBG"/>
    <s v="RP"/>
    <s v="380"/>
    <s v="4.0 UN"/>
    <s v="STANDARD"/>
    <s v="N"/>
    <s v="N"/>
    <s v="Y"/>
    <s v="T20"/>
    <s v="N"/>
    <s v="N"/>
    <s v="N"/>
    <s v="N"/>
    <s v="B002"/>
    <d v="2016-12-20T00:00:00"/>
    <s v="10"/>
    <s v="TAN"/>
    <s v="OR"/>
    <d v="2016-12-15T00:00:00"/>
    <s v="MI"/>
    <s v="US"/>
    <s v="ZR"/>
    <d v="2016-12-15T00:00:00"/>
  </r>
  <r>
    <x v="1"/>
    <x v="0"/>
    <x v="2940"/>
    <x v="54"/>
    <s v="Standard order"/>
    <x v="2815"/>
    <x v="2406"/>
    <s v="149N"/>
    <s v="BTS 149N"/>
    <s v="5002368"/>
    <s v="149N BTS T20 Kabina RP"/>
    <n v="32"/>
    <n v="0"/>
    <n v="32"/>
    <x v="0"/>
    <s v="EEND"/>
    <s v="RP"/>
    <s v="380"/>
    <s v="4.0 UN"/>
    <s v="STANDARD"/>
    <s v="N"/>
    <s v="N"/>
    <s v="Y"/>
    <s v="T20"/>
    <s v="N"/>
    <s v="N"/>
    <s v="N"/>
    <s v="N"/>
    <s v="B002"/>
    <d v="2016-12-20T00:00:00"/>
    <s v="20"/>
    <s v="TAN"/>
    <s v="OR"/>
    <d v="2016-12-15T00:00:00"/>
    <s v="MI"/>
    <s v="US"/>
    <s v="ZR"/>
    <d v="2016-12-15T00:00:00"/>
  </r>
  <r>
    <x v="1"/>
    <x v="4"/>
    <x v="2941"/>
    <x v="44"/>
    <s v="Standard order"/>
    <x v="2816"/>
    <x v="2407"/>
    <s v="225N"/>
    <s v="BTS 22RR5N"/>
    <s v="5002119"/>
    <s v="225N BTS PB XL"/>
    <n v="500"/>
    <n v="0"/>
    <n v="500"/>
    <x v="4"/>
    <s v="4TBD"/>
    <s v="X-LARGE"/>
    <s v="307"/>
    <s v="4.0 UN"/>
    <s v="STANDARD"/>
    <s v="N"/>
    <s v="Y"/>
    <s v="N"/>
    <s v="N"/>
    <s v="N"/>
    <s v="N"/>
    <s v="N"/>
    <s v="N"/>
    <s v="MB13"/>
    <d v="2016-12-20T00:00:00"/>
    <s v="10"/>
    <s v="TAN"/>
    <s v="OR"/>
    <d v="2016-12-15T00:00:00"/>
    <s v="ID"/>
    <s v="US"/>
    <s v="ZR"/>
    <d v="2016-12-15T00:00:00"/>
  </r>
  <r>
    <x v="1"/>
    <x v="0"/>
    <x v="2942"/>
    <x v="45"/>
    <s v="Standard order"/>
    <x v="2817"/>
    <x v="2408"/>
    <s v="122N"/>
    <s v="BTS 12RR2N"/>
    <s v="5002317"/>
    <s v="122N BTS T20 SYSTIVA RP"/>
    <n v="20"/>
    <n v="0"/>
    <n v="20"/>
    <x v="0"/>
    <s v="4TBG"/>
    <s v="RP"/>
    <s v="326"/>
    <s v="4.0 UN"/>
    <s v="STANDARD"/>
    <s v="N"/>
    <s v="N"/>
    <s v="N"/>
    <s v="T20"/>
    <s v="Y"/>
    <s v="N"/>
    <s v="Y"/>
    <s v="N"/>
    <s v="B003"/>
    <d v="2016-12-20T00:00:00"/>
    <s v="10"/>
    <s v="TAN"/>
    <s v="OR"/>
    <d v="2016-12-15T00:00:00"/>
    <s v="MI"/>
    <s v="US"/>
    <s v="ZR"/>
    <d v="2016-12-15T00:00:00"/>
  </r>
  <r>
    <x v="1"/>
    <x v="0"/>
    <x v="2942"/>
    <x v="45"/>
    <s v="Standard order"/>
    <x v="2817"/>
    <x v="2408"/>
    <s v="1399"/>
    <s v="BTS 1399"/>
    <s v="5002348"/>
    <s v="1399 BTS T20 Kabina RP"/>
    <n v="44"/>
    <n v="0"/>
    <n v="44"/>
    <x v="0"/>
    <s v="EG74"/>
    <s v="RP"/>
    <s v="380"/>
    <s v="4.0 UN"/>
    <s v="STANDARD"/>
    <s v="N"/>
    <s v="N"/>
    <s v="Y"/>
    <s v="T20"/>
    <s v="N"/>
    <s v="N"/>
    <s v="N"/>
    <s v="N"/>
    <s v="B003"/>
    <d v="2016-12-20T00:00:00"/>
    <s v="20"/>
    <s v="TAN"/>
    <s v="OR"/>
    <d v="2016-12-15T00:00:00"/>
    <s v="MI"/>
    <s v="US"/>
    <s v="ZR"/>
    <d v="2016-12-15T00:00:00"/>
  </r>
  <r>
    <x v="1"/>
    <x v="0"/>
    <x v="2942"/>
    <x v="45"/>
    <s v="Standard order"/>
    <x v="2817"/>
    <x v="2408"/>
    <s v="149N"/>
    <s v="BTS 149N"/>
    <s v="5002368"/>
    <s v="149N BTS T20 Kabina RP"/>
    <n v="32"/>
    <n v="0"/>
    <n v="32"/>
    <x v="0"/>
    <s v="EEND"/>
    <s v="RP"/>
    <s v="380"/>
    <s v="4.0 UN"/>
    <s v="STANDARD"/>
    <s v="N"/>
    <s v="N"/>
    <s v="Y"/>
    <s v="T20"/>
    <s v="N"/>
    <s v="N"/>
    <s v="N"/>
    <s v="N"/>
    <s v="B003"/>
    <d v="2016-12-20T00:00:00"/>
    <s v="30"/>
    <s v="TAN"/>
    <s v="OR"/>
    <d v="2016-12-15T00:00:00"/>
    <s v="MI"/>
    <s v="US"/>
    <s v="ZR"/>
    <d v="2016-12-15T00:00:00"/>
  </r>
  <r>
    <x v="1"/>
    <x v="5"/>
    <x v="2943"/>
    <x v="21"/>
    <s v="Standard order"/>
    <x v="2818"/>
    <x v="835"/>
    <s v="398N"/>
    <s v="BTS 39RR8N"/>
    <s v="5002572"/>
    <s v="398N BTS T20 PB SYSTIVA RP"/>
    <n v="12"/>
    <n v="0"/>
    <n v="12"/>
    <x v="5"/>
    <s v="2771"/>
    <s v="RP"/>
    <s v="322"/>
    <s v="4.0 UN"/>
    <s v="STANDARD"/>
    <s v="N"/>
    <s v="Y"/>
    <s v="N"/>
    <s v="T20"/>
    <s v="Y"/>
    <s v="N"/>
    <s v="N"/>
    <s v="N"/>
    <s v="B013"/>
    <d v="2016-12-20T00:00:00"/>
    <s v="10"/>
    <s v="TAN"/>
    <s v="OR"/>
    <d v="2016-12-15T00:00:00"/>
    <s v="MT"/>
    <s v="US"/>
    <s v="ZR"/>
    <d v="2016-12-15T00:00:00"/>
  </r>
  <r>
    <x v="1"/>
    <x v="5"/>
    <x v="2943"/>
    <x v="21"/>
    <s v="Standard order"/>
    <x v="2818"/>
    <x v="835"/>
    <s v="336N"/>
    <s v="BTS 336N"/>
    <s v="5002400"/>
    <s v="336N BTS T20 PB SYSTIVA RP"/>
    <n v="8"/>
    <n v="0"/>
    <n v="8"/>
    <x v="5"/>
    <s v="EEMG"/>
    <s v="RP"/>
    <s v="322"/>
    <s v="4.0 UN"/>
    <s v="STANDARD"/>
    <s v="N"/>
    <s v="N"/>
    <s v="N"/>
    <s v="T20"/>
    <s v="Y"/>
    <s v="N"/>
    <s v="N"/>
    <s v="N"/>
    <s v="B013"/>
    <d v="2016-12-20T00:00:00"/>
    <s v="20"/>
    <s v="TAN"/>
    <s v="OR"/>
    <d v="2016-12-15T00:00:00"/>
    <s v="MT"/>
    <s v="US"/>
    <s v="ZR"/>
    <d v="2016-12-15T00:00:00"/>
  </r>
  <r>
    <x v="1"/>
    <x v="5"/>
    <x v="2943"/>
    <x v="21"/>
    <s v="Standard order"/>
    <x v="2818"/>
    <x v="835"/>
    <s v="353N"/>
    <s v="BTS 353N"/>
    <s v="5002524"/>
    <s v="353N BTS T20 PB SYSTIVA RP"/>
    <n v="8"/>
    <n v="0"/>
    <n v="8"/>
    <x v="5"/>
    <s v="EENZ"/>
    <s v="RP"/>
    <s v="322"/>
    <s v="4.0 UN"/>
    <s v="STANDARD"/>
    <s v="N"/>
    <s v="Y"/>
    <s v="N"/>
    <s v="T20"/>
    <s v="Y"/>
    <s v="N"/>
    <s v="N"/>
    <s v="N"/>
    <s v="B013"/>
    <d v="2016-12-20T00:00:00"/>
    <s v="30"/>
    <s v="TAN"/>
    <s v="OR"/>
    <d v="2016-12-15T00:00:00"/>
    <s v="MT"/>
    <s v="US"/>
    <s v="ZR"/>
    <d v="2016-12-15T00:00:00"/>
  </r>
  <r>
    <x v="1"/>
    <x v="4"/>
    <x v="2944"/>
    <x v="53"/>
    <s v="Standard order"/>
    <x v="2819"/>
    <x v="136"/>
    <s v="225N"/>
    <s v="BTS 22RR5N"/>
    <s v="5002111"/>
    <s v="225N BTS PB LRG"/>
    <n v="8"/>
    <n v="0"/>
    <n v="8"/>
    <x v="4"/>
    <s v="4TBD"/>
    <s v="LARGE"/>
    <s v="307"/>
    <s v="4.0 UN"/>
    <s v="STANDARD"/>
    <s v="N"/>
    <s v="Y"/>
    <s v="N"/>
    <s v="N"/>
    <s v="N"/>
    <s v="N"/>
    <s v="N"/>
    <s v="N"/>
    <s v="B051"/>
    <d v="2016-12-20T00:00:00"/>
    <s v="10"/>
    <s v="TAN"/>
    <s v="OR"/>
    <d v="2016-12-15T00:00:00"/>
    <s v="ID"/>
    <s v="US"/>
    <s v="ZR"/>
    <d v="2016-12-15T00:00:00"/>
  </r>
  <r>
    <x v="1"/>
    <x v="7"/>
    <x v="2945"/>
    <x v="38"/>
    <s v="Standard order"/>
    <x v="2820"/>
    <x v="2409"/>
    <s v="8524"/>
    <s v="BTS 8524"/>
    <s v="5002896"/>
    <s v="8524 BTS T35 PB SYSTIVA RP"/>
    <n v="40"/>
    <n v="0"/>
    <n v="40"/>
    <x v="7"/>
    <s v="FWND"/>
    <s v="RP"/>
    <s v="333"/>
    <s v="4.0 UN"/>
    <s v="STANDARD"/>
    <s v="N"/>
    <s v="Y"/>
    <s v="N"/>
    <s v="T35"/>
    <s v="Y"/>
    <s v="N"/>
    <s v="Y"/>
    <s v="N"/>
    <s v="B031"/>
    <d v="2016-12-20T00:00:00"/>
    <s v="10"/>
    <s v="TAN"/>
    <s v="OR"/>
    <d v="2016-12-15T00:00:00"/>
    <s v="MN"/>
    <s v="US"/>
    <s v="ZR"/>
    <d v="2016-12-15T00:00:00"/>
  </r>
  <r>
    <x v="1"/>
    <x v="0"/>
    <x v="2946"/>
    <x v="56"/>
    <s v="Standard order"/>
    <x v="2821"/>
    <x v="2410"/>
    <s v="1399"/>
    <s v="BTS 1399"/>
    <s v="5002338"/>
    <s v="1399 BTS CM Vibrance RP"/>
    <n v="44"/>
    <n v="0"/>
    <n v="44"/>
    <x v="0"/>
    <s v="EG74"/>
    <s v="RP"/>
    <s v="366"/>
    <s v="4.0 UN"/>
    <s v="STANDARD"/>
    <s v="Y"/>
    <s v="N"/>
    <s v="N"/>
    <s v="N"/>
    <s v="N"/>
    <s v="N"/>
    <s v="N"/>
    <s v="Y"/>
    <s v="B010"/>
    <d v="2016-12-20T00:00:00"/>
    <s v="10"/>
    <s v="TAN"/>
    <s v="OR"/>
    <d v="2016-12-15T00:00:00"/>
    <s v="ON"/>
    <s v="CA"/>
    <s v="ZR"/>
    <d v="2016-12-15T00:00:00"/>
  </r>
  <r>
    <x v="1"/>
    <x v="0"/>
    <x v="2946"/>
    <x v="56"/>
    <s v="Standard order"/>
    <x v="2821"/>
    <x v="2410"/>
    <s v="1399"/>
    <s v="BTS 1399"/>
    <s v="5002355"/>
    <s v="1399 BTS Vibrance RP"/>
    <n v="28"/>
    <n v="0"/>
    <n v="28"/>
    <x v="0"/>
    <s v="EG74"/>
    <s v="RP"/>
    <s v="365"/>
    <s v="4.0 UN"/>
    <s v="STANDARD"/>
    <s v="N"/>
    <s v="N"/>
    <s v="N"/>
    <s v="N"/>
    <s v="N"/>
    <s v="N"/>
    <s v="N"/>
    <s v="Y"/>
    <s v="B010"/>
    <d v="2016-12-20T00:00:00"/>
    <s v="20"/>
    <s v="TAN"/>
    <s v="OR"/>
    <d v="2016-12-15T00:00:00"/>
    <s v="ON"/>
    <s v="CA"/>
    <s v="ZR"/>
    <d v="2016-12-15T00:00:00"/>
  </r>
  <r>
    <x v="1"/>
    <x v="0"/>
    <x v="2947"/>
    <x v="56"/>
    <s v="Standard order"/>
    <x v="2822"/>
    <x v="2411"/>
    <s v="1399"/>
    <s v="BTS 1399"/>
    <s v="5002338"/>
    <s v="1399 BTS CM Vibrance RP"/>
    <n v="12"/>
    <n v="0"/>
    <n v="12"/>
    <x v="0"/>
    <s v="EG74"/>
    <s v="RP"/>
    <s v="366"/>
    <s v="4.0 UN"/>
    <s v="STANDARD"/>
    <s v="Y"/>
    <s v="N"/>
    <s v="N"/>
    <s v="N"/>
    <s v="N"/>
    <s v="N"/>
    <s v="N"/>
    <s v="Y"/>
    <s v="B010"/>
    <d v="2016-12-20T00:00:00"/>
    <s v="10"/>
    <s v="TAN"/>
    <s v="OR"/>
    <d v="2016-12-15T00:00:00"/>
    <s v="ON"/>
    <s v="CA"/>
    <s v="ZR"/>
    <d v="2016-12-15T00:00:00"/>
  </r>
  <r>
    <x v="1"/>
    <x v="0"/>
    <x v="2948"/>
    <x v="43"/>
    <s v="Standard order"/>
    <x v="2823"/>
    <x v="1069"/>
    <s v="1399"/>
    <s v="BTS 1399"/>
    <s v="5002346"/>
    <s v="1399 BTS T20 Kabina MP"/>
    <n v="124"/>
    <n v="0"/>
    <n v="124"/>
    <x v="0"/>
    <s v="EG74"/>
    <s v="MP"/>
    <s v="380"/>
    <s v="4.0 UN"/>
    <s v="STANDARD"/>
    <s v="N"/>
    <s v="N"/>
    <s v="Y"/>
    <s v="T20"/>
    <s v="N"/>
    <s v="N"/>
    <s v="N"/>
    <s v="N"/>
    <s v="B006"/>
    <d v="2016-12-20T00:00:00"/>
    <s v="10"/>
    <s v="TAN"/>
    <s v="OR"/>
    <d v="2016-12-15T00:00:00"/>
    <s v="MI"/>
    <s v="US"/>
    <s v="ZR"/>
    <d v="2016-12-15T00:00:00"/>
  </r>
  <r>
    <x v="1"/>
    <x v="7"/>
    <x v="2949"/>
    <x v="38"/>
    <s v="Standard order"/>
    <x v="2824"/>
    <x v="2412"/>
    <s v="8052"/>
    <s v="BTS 80RR52"/>
    <s v="5002735"/>
    <s v="8052 BTS T35 PB SYSTIVA RP"/>
    <n v="112"/>
    <n v="0"/>
    <n v="112"/>
    <x v="7"/>
    <s v="AP82"/>
    <s v="RP"/>
    <s v="333"/>
    <s v="4.0 UN"/>
    <s v="STANDARD"/>
    <s v="N"/>
    <s v="Y"/>
    <s v="N"/>
    <s v="T35"/>
    <s v="Y"/>
    <s v="N"/>
    <s v="Y"/>
    <s v="N"/>
    <s v="B031"/>
    <d v="2016-12-20T00:00:00"/>
    <s v="10"/>
    <s v="TAN"/>
    <s v="OR"/>
    <d v="2016-12-15T00:00:00"/>
    <s v="MN"/>
    <s v="US"/>
    <s v="ZR"/>
    <d v="2016-12-15T00:00:00"/>
  </r>
  <r>
    <x v="1"/>
    <x v="0"/>
    <x v="2950"/>
    <x v="43"/>
    <s v="Standard order"/>
    <x v="2825"/>
    <x v="1092"/>
    <s v="133N"/>
    <s v="BTS 133N"/>
    <s v="5002328"/>
    <s v="133N BTS T20 Kabina P200"/>
    <n v="104"/>
    <n v="0"/>
    <n v="104"/>
    <x v="0"/>
    <s v="DW73"/>
    <s v="PRO 200"/>
    <s v="380"/>
    <s v="4.0 UN"/>
    <s v="STANDARD"/>
    <s v="N"/>
    <s v="N"/>
    <s v="Y"/>
    <s v="T20"/>
    <s v="N"/>
    <s v="N"/>
    <s v="N"/>
    <s v="N"/>
    <s v="B006"/>
    <d v="2016-12-20T00:00:00"/>
    <s v="10"/>
    <s v="TAN"/>
    <s v="OR"/>
    <d v="2016-12-15T00:00:00"/>
    <s v="MI"/>
    <s v="US"/>
    <s v="ZR"/>
    <d v="2016-12-15T00:00:00"/>
  </r>
  <r>
    <x v="1"/>
    <x v="0"/>
    <x v="2951"/>
    <x v="54"/>
    <s v="Standard order"/>
    <x v="2826"/>
    <x v="2413"/>
    <s v="122N"/>
    <s v="BTS 12RR2N"/>
    <s v="5002311"/>
    <s v="122N BTS T20 Kabina RP"/>
    <n v="48"/>
    <n v="0"/>
    <n v="48"/>
    <x v="0"/>
    <s v="4TBG"/>
    <s v="RP"/>
    <s v="380"/>
    <s v="4.0 UN"/>
    <s v="STANDARD"/>
    <s v="N"/>
    <s v="N"/>
    <s v="Y"/>
    <s v="T20"/>
    <s v="N"/>
    <s v="N"/>
    <s v="N"/>
    <s v="N"/>
    <s v="B002"/>
    <d v="2016-12-20T00:00:00"/>
    <s v="10"/>
    <s v="TAN"/>
    <s v="OR"/>
    <d v="2016-12-15T00:00:00"/>
    <s v="MI"/>
    <s v="US"/>
    <s v="ZR"/>
    <d v="2016-12-15T00:00:00"/>
  </r>
  <r>
    <x v="1"/>
    <x v="0"/>
    <x v="2951"/>
    <x v="54"/>
    <s v="Standard order"/>
    <x v="2826"/>
    <x v="2413"/>
    <s v="149N"/>
    <s v="BTS 149N"/>
    <s v="5002368"/>
    <s v="149N BTS T20 Kabina RP"/>
    <n v="48"/>
    <n v="0"/>
    <n v="48"/>
    <x v="0"/>
    <s v="EEND"/>
    <s v="RP"/>
    <s v="380"/>
    <s v="4.0 UN"/>
    <s v="STANDARD"/>
    <s v="N"/>
    <s v="N"/>
    <s v="Y"/>
    <s v="T20"/>
    <s v="N"/>
    <s v="N"/>
    <s v="N"/>
    <s v="N"/>
    <s v="B002"/>
    <d v="2016-12-20T00:00:00"/>
    <s v="20"/>
    <s v="TAN"/>
    <s v="OR"/>
    <d v="2016-12-15T00:00:00"/>
    <s v="MI"/>
    <s v="US"/>
    <s v="ZR"/>
    <d v="2016-12-15T00:00:00"/>
  </r>
  <r>
    <x v="1"/>
    <x v="4"/>
    <x v="2952"/>
    <x v="53"/>
    <s v="Standard order"/>
    <x v="2827"/>
    <x v="401"/>
    <s v="225N"/>
    <s v="BTS 22RR5N"/>
    <s v="5002119"/>
    <s v="225N BTS PB XL"/>
    <n v="28"/>
    <n v="0"/>
    <n v="28"/>
    <x v="4"/>
    <s v="4TBD"/>
    <s v="X-LARGE"/>
    <s v="307"/>
    <s v="4.0 UN"/>
    <s v="STANDARD"/>
    <s v="N"/>
    <s v="Y"/>
    <s v="N"/>
    <s v="N"/>
    <s v="N"/>
    <s v="N"/>
    <s v="N"/>
    <s v="N"/>
    <s v="B051"/>
    <d v="2016-12-20T00:00:00"/>
    <s v="10"/>
    <s v="TAN"/>
    <s v="OR"/>
    <d v="2016-12-15T00:00:00"/>
    <s v="ID"/>
    <s v="US"/>
    <s v="ZR"/>
    <d v="2016-12-15T00:00:00"/>
  </r>
  <r>
    <x v="1"/>
    <x v="4"/>
    <x v="2952"/>
    <x v="53"/>
    <s v="Standard order"/>
    <x v="2827"/>
    <x v="401"/>
    <s v="251N"/>
    <s v="BTS 251N"/>
    <s v="5002196"/>
    <s v="251N BTS PB XL"/>
    <n v="16"/>
    <n v="0"/>
    <n v="16"/>
    <x v="4"/>
    <s v="5HBR"/>
    <s v="X-LARGE"/>
    <s v="307"/>
    <s v="4.0 UN"/>
    <s v="STANDARD"/>
    <s v="N"/>
    <s v="Y"/>
    <s v="N"/>
    <s v="N"/>
    <s v="N"/>
    <s v="N"/>
    <s v="N"/>
    <s v="N"/>
    <s v="B051"/>
    <d v="2016-12-20T00:00:00"/>
    <s v="20"/>
    <s v="TAN"/>
    <s v="OR"/>
    <d v="2016-12-15T00:00:00"/>
    <s v="ID"/>
    <s v="US"/>
    <s v="ZR"/>
    <d v="2016-12-15T00:00:00"/>
  </r>
  <r>
    <x v="1"/>
    <x v="7"/>
    <x v="2953"/>
    <x v="37"/>
    <s v="Standard order"/>
    <x v="2828"/>
    <x v="2414"/>
    <s v="8363"/>
    <s v="BTS 8363"/>
    <s v="5002820"/>
    <s v="8363 BTS T35 SYSTIVA RP"/>
    <n v="72"/>
    <n v="0"/>
    <n v="72"/>
    <x v="7"/>
    <s v="DMMZ"/>
    <s v="RP"/>
    <s v="334"/>
    <s v="4.0 UN"/>
    <s v="STANDARD"/>
    <s v="N"/>
    <s v="N"/>
    <s v="N"/>
    <s v="T35"/>
    <s v="Y"/>
    <s v="N"/>
    <s v="Y"/>
    <s v="N"/>
    <s v="B033"/>
    <d v="2016-12-21T00:00:00"/>
    <s v="10"/>
    <s v="TAN"/>
    <s v="OR"/>
    <d v="2016-12-15T00:00:00"/>
    <s v="ND"/>
    <s v="US"/>
    <s v="ZR"/>
    <d v="2016-12-16T00:00:00"/>
  </r>
  <r>
    <x v="1"/>
    <x v="7"/>
    <x v="2953"/>
    <x v="37"/>
    <s v="Standard order"/>
    <x v="2828"/>
    <x v="2414"/>
    <s v="8500"/>
    <s v="BTS 8500"/>
    <s v="5002860"/>
    <s v="8500 BTS T35 SYSTIVA RP"/>
    <n v="92"/>
    <n v="0"/>
    <n v="92"/>
    <x v="7"/>
    <s v="FTND"/>
    <s v="RP"/>
    <s v="334"/>
    <s v="4.0 UN"/>
    <s v="STANDARD"/>
    <s v="N"/>
    <s v="N"/>
    <s v="N"/>
    <s v="T35"/>
    <s v="Y"/>
    <s v="N"/>
    <s v="Y"/>
    <s v="N"/>
    <s v="B033"/>
    <d v="2016-12-21T00:00:00"/>
    <s v="20"/>
    <s v="TAN"/>
    <s v="OR"/>
    <d v="2016-12-15T00:00:00"/>
    <s v="ND"/>
    <s v="US"/>
    <s v="ZR"/>
    <d v="2016-12-16T00:00:00"/>
  </r>
  <r>
    <x v="1"/>
    <x v="0"/>
    <x v="2954"/>
    <x v="43"/>
    <s v="Standard order"/>
    <x v="2829"/>
    <x v="2415"/>
    <s v="133N"/>
    <s v="BTS 133N"/>
    <s v="5002327"/>
    <s v="133N BTS T20 Kabina MP"/>
    <n v="56"/>
    <n v="0"/>
    <n v="56"/>
    <x v="0"/>
    <s v="DW73"/>
    <s v="MP"/>
    <s v="380"/>
    <s v="4.0 UN"/>
    <s v="STANDARD"/>
    <s v="N"/>
    <s v="N"/>
    <s v="Y"/>
    <s v="T20"/>
    <s v="N"/>
    <s v="N"/>
    <s v="N"/>
    <s v="N"/>
    <s v="B006"/>
    <d v="2016-12-21T00:00:00"/>
    <s v="10"/>
    <s v="TAN"/>
    <s v="OR"/>
    <d v="2016-12-15T00:00:00"/>
    <s v="MI"/>
    <s v="US"/>
    <s v="ZR"/>
    <d v="2016-12-16T00:00:00"/>
  </r>
  <r>
    <x v="1"/>
    <x v="0"/>
    <x v="2954"/>
    <x v="43"/>
    <s v="Standard order"/>
    <x v="2829"/>
    <x v="2415"/>
    <s v="149N"/>
    <s v="BTS 149N"/>
    <s v="5002366"/>
    <s v="149N BTS T20 Kabina MP"/>
    <n v="16"/>
    <n v="0"/>
    <n v="16"/>
    <x v="0"/>
    <s v="EEND"/>
    <s v="MP"/>
    <s v="380"/>
    <s v="4.0 UN"/>
    <s v="STANDARD"/>
    <s v="N"/>
    <s v="N"/>
    <s v="Y"/>
    <s v="T20"/>
    <s v="N"/>
    <s v="N"/>
    <s v="N"/>
    <s v="N"/>
    <s v="B006"/>
    <d v="2016-12-21T00:00:00"/>
    <s v="20"/>
    <s v="TAN"/>
    <s v="OR"/>
    <d v="2016-12-15T00:00:00"/>
    <s v="MI"/>
    <s v="US"/>
    <s v="ZR"/>
    <d v="2016-12-16T00:00:00"/>
  </r>
  <r>
    <x v="1"/>
    <x v="0"/>
    <x v="2955"/>
    <x v="43"/>
    <s v="Standard order"/>
    <x v="2830"/>
    <x v="1019"/>
    <s v="1399"/>
    <s v="BTS 1399"/>
    <s v="5002348"/>
    <s v="1399 BTS T20 Kabina RP"/>
    <n v="120"/>
    <n v="0"/>
    <n v="120"/>
    <x v="0"/>
    <s v="EG74"/>
    <s v="RP"/>
    <s v="380"/>
    <s v="4.0 UN"/>
    <s v="STANDARD"/>
    <s v="N"/>
    <s v="N"/>
    <s v="Y"/>
    <s v="T20"/>
    <s v="N"/>
    <s v="N"/>
    <s v="N"/>
    <s v="N"/>
    <s v="B006"/>
    <d v="2016-12-21T00:00:00"/>
    <s v="10"/>
    <s v="TAN"/>
    <s v="OR"/>
    <d v="2016-12-15T00:00:00"/>
    <s v="MI"/>
    <s v="US"/>
    <s v="ZR"/>
    <d v="2016-12-16T00:00:00"/>
  </r>
  <r>
    <x v="1"/>
    <x v="0"/>
    <x v="2955"/>
    <x v="43"/>
    <s v="Standard order"/>
    <x v="2830"/>
    <x v="1019"/>
    <s v="149N"/>
    <s v="BTS 149N"/>
    <s v="5002368"/>
    <s v="149N BTS T20 Kabina RP"/>
    <n v="52"/>
    <n v="0"/>
    <n v="52"/>
    <x v="0"/>
    <s v="EEND"/>
    <s v="RP"/>
    <s v="380"/>
    <s v="4.0 UN"/>
    <s v="STANDARD"/>
    <s v="N"/>
    <s v="N"/>
    <s v="Y"/>
    <s v="T20"/>
    <s v="N"/>
    <s v="N"/>
    <s v="N"/>
    <s v="N"/>
    <s v="B006"/>
    <d v="2016-12-21T00:00:00"/>
    <s v="20"/>
    <s v="TAN"/>
    <s v="OR"/>
    <d v="2016-12-15T00:00:00"/>
    <s v="MI"/>
    <s v="US"/>
    <s v="ZR"/>
    <d v="2016-12-16T00:00:00"/>
  </r>
  <r>
    <x v="1"/>
    <x v="0"/>
    <x v="2956"/>
    <x v="43"/>
    <s v="Standard order"/>
    <x v="2831"/>
    <x v="2416"/>
    <s v="1399"/>
    <s v="BTS 1399"/>
    <s v="5002348"/>
    <s v="1399 BTS T20 Kabina RP"/>
    <n v="76"/>
    <n v="0"/>
    <n v="76"/>
    <x v="0"/>
    <s v="EG74"/>
    <s v="RP"/>
    <s v="380"/>
    <s v="4.0 UN"/>
    <s v="STANDARD"/>
    <s v="N"/>
    <s v="N"/>
    <s v="Y"/>
    <s v="T20"/>
    <s v="N"/>
    <s v="N"/>
    <s v="N"/>
    <s v="N"/>
    <s v="B006"/>
    <d v="2016-12-21T00:00:00"/>
    <s v="10"/>
    <s v="TAN"/>
    <s v="OR"/>
    <d v="2016-12-16T00:00:00"/>
    <s v="MI"/>
    <s v="US"/>
    <s v="ZR"/>
    <d v="2016-12-16T00:00:00"/>
  </r>
  <r>
    <x v="1"/>
    <x v="0"/>
    <x v="2957"/>
    <x v="43"/>
    <s v="Standard order"/>
    <x v="2832"/>
    <x v="2417"/>
    <s v="1399"/>
    <s v="BTS 1399"/>
    <s v="5002348"/>
    <s v="1399 BTS T20 Kabina RP"/>
    <n v="12"/>
    <n v="0"/>
    <n v="12"/>
    <x v="0"/>
    <s v="EG74"/>
    <s v="RP"/>
    <s v="380"/>
    <s v="4.0 UN"/>
    <s v="STANDARD"/>
    <s v="N"/>
    <s v="N"/>
    <s v="Y"/>
    <s v="T20"/>
    <s v="N"/>
    <s v="N"/>
    <s v="N"/>
    <s v="N"/>
    <s v="B006"/>
    <d v="2016-12-21T00:00:00"/>
    <s v="10"/>
    <s v="TAN"/>
    <s v="OR"/>
    <d v="2016-12-16T00:00:00"/>
    <s v="MI"/>
    <s v="US"/>
    <s v="ZR"/>
    <d v="2016-12-16T00:00:00"/>
  </r>
  <r>
    <x v="1"/>
    <x v="2"/>
    <x v="2958"/>
    <x v="5"/>
    <s v="Standard order"/>
    <x v="2833"/>
    <x v="840"/>
    <s v="64SN"/>
    <s v="BTS 64SN"/>
    <s v="5002421"/>
    <s v="64SN BTS T20 PB SYSTIVA P200"/>
    <n v="56"/>
    <n v="0"/>
    <n v="56"/>
    <x v="2"/>
    <s v="DVNB"/>
    <s v="PRO 200"/>
    <s v="322"/>
    <s v="4.0 UN"/>
    <s v="STANDARD"/>
    <s v="N"/>
    <s v="N"/>
    <s v="N"/>
    <s v="T20"/>
    <s v="Y"/>
    <s v="N"/>
    <s v="Y"/>
    <s v="N"/>
    <s v="B020"/>
    <d v="2016-12-21T00:00:00"/>
    <s v="10"/>
    <s v="TAN"/>
    <s v="OR"/>
    <d v="2016-12-15T00:00:00"/>
    <s v="CO"/>
    <s v="US"/>
    <s v="ZR"/>
    <d v="2016-12-16T00:00:00"/>
  </r>
  <r>
    <x v="1"/>
    <x v="0"/>
    <x v="2959"/>
    <x v="42"/>
    <s v="Standard order"/>
    <x v="2834"/>
    <x v="946"/>
    <s v="1399"/>
    <s v="BTS 1399"/>
    <s v="5002347"/>
    <s v="1399 BTS T20 Kabina P200"/>
    <n v="20"/>
    <n v="0"/>
    <n v="20"/>
    <x v="0"/>
    <s v="EG74"/>
    <s v="PRO 200"/>
    <s v="380"/>
    <s v="4.0 UN"/>
    <s v="STANDARD"/>
    <s v="N"/>
    <s v="N"/>
    <s v="Y"/>
    <s v="T20"/>
    <s v="N"/>
    <s v="N"/>
    <s v="N"/>
    <s v="N"/>
    <s v="B007"/>
    <d v="2016-12-21T00:00:00"/>
    <s v="10"/>
    <s v="TAN"/>
    <s v="OR"/>
    <d v="2016-12-16T00:00:00"/>
    <s v="MI"/>
    <s v="US"/>
    <s v="ZR"/>
    <d v="2016-12-16T00:00:00"/>
  </r>
  <r>
    <x v="1"/>
    <x v="0"/>
    <x v="2960"/>
    <x v="54"/>
    <s v="Standard order"/>
    <x v="2835"/>
    <x v="990"/>
    <s v="122N"/>
    <s v="BTS 12RR2N"/>
    <s v="5002311"/>
    <s v="122N BTS T20 Kabina RP"/>
    <n v="88"/>
    <n v="0"/>
    <n v="88"/>
    <x v="0"/>
    <s v="4TBG"/>
    <s v="RP"/>
    <s v="380"/>
    <s v="4.0 UN"/>
    <s v="STANDARD"/>
    <s v="N"/>
    <s v="N"/>
    <s v="Y"/>
    <s v="T20"/>
    <s v="N"/>
    <s v="N"/>
    <s v="N"/>
    <s v="N"/>
    <s v="B002"/>
    <d v="2016-12-21T00:00:00"/>
    <s v="10"/>
    <s v="TAN"/>
    <s v="OR"/>
    <d v="2016-12-16T00:00:00"/>
    <s v="MI"/>
    <s v="US"/>
    <s v="ZR"/>
    <d v="2016-12-16T00:00:00"/>
  </r>
  <r>
    <x v="1"/>
    <x v="0"/>
    <x v="2960"/>
    <x v="54"/>
    <s v="Standard order"/>
    <x v="2835"/>
    <x v="990"/>
    <s v="149N"/>
    <s v="BTS 149N"/>
    <s v="5002366"/>
    <s v="149N BTS T20 Kabina MP"/>
    <n v="92"/>
    <n v="0"/>
    <n v="92"/>
    <x v="0"/>
    <s v="EEND"/>
    <s v="MP"/>
    <s v="380"/>
    <s v="4.0 UN"/>
    <s v="STANDARD"/>
    <s v="N"/>
    <s v="N"/>
    <s v="Y"/>
    <s v="T20"/>
    <s v="N"/>
    <s v="N"/>
    <s v="N"/>
    <s v="N"/>
    <s v="B002"/>
    <d v="2016-12-21T00:00:00"/>
    <s v="20"/>
    <s v="TAN"/>
    <s v="OR"/>
    <d v="2016-12-16T00:00:00"/>
    <s v="MI"/>
    <s v="US"/>
    <s v="ZR"/>
    <d v="2016-12-16T00:00:00"/>
  </r>
  <r>
    <x v="1"/>
    <x v="4"/>
    <x v="2961"/>
    <x v="47"/>
    <s v="Standard order"/>
    <x v="2836"/>
    <x v="915"/>
    <s v="251N"/>
    <s v="BTS 251N"/>
    <s v="5002196"/>
    <s v="251N BTS PB XL"/>
    <n v="128"/>
    <n v="0"/>
    <n v="128"/>
    <x v="4"/>
    <s v="5HBR"/>
    <s v="X-LARGE"/>
    <s v="307"/>
    <s v="4.0 UN"/>
    <s v="STANDARD"/>
    <s v="N"/>
    <s v="Y"/>
    <s v="N"/>
    <s v="N"/>
    <s v="N"/>
    <s v="N"/>
    <s v="N"/>
    <s v="N"/>
    <s v="B050"/>
    <d v="2016-12-21T00:00:00"/>
    <s v="10"/>
    <s v="TAN"/>
    <s v="OR"/>
    <d v="2016-12-16T00:00:00"/>
    <s v="ID"/>
    <s v="US"/>
    <s v="ZR"/>
    <d v="2016-12-16T00:00:00"/>
  </r>
  <r>
    <x v="1"/>
    <x v="0"/>
    <x v="2962"/>
    <x v="56"/>
    <s v="Standard order"/>
    <x v="2837"/>
    <x v="2418"/>
    <s v="1399"/>
    <s v="BTS 1399"/>
    <s v="5002338"/>
    <s v="1399 BTS CM Vibrance RP"/>
    <n v="52"/>
    <n v="0"/>
    <n v="52"/>
    <x v="0"/>
    <s v="EG74"/>
    <s v="RP"/>
    <s v="366"/>
    <s v="4.0 UN"/>
    <s v="STANDARD"/>
    <s v="Y"/>
    <s v="N"/>
    <s v="N"/>
    <s v="N"/>
    <s v="N"/>
    <s v="N"/>
    <s v="N"/>
    <s v="Y"/>
    <s v="B010"/>
    <d v="2016-12-21T00:00:00"/>
    <s v="10"/>
    <s v="TAN"/>
    <s v="OR"/>
    <d v="2016-12-16T00:00:00"/>
    <s v="ON"/>
    <s v="CA"/>
    <s v="ZR"/>
    <d v="2016-12-16T00:00:00"/>
  </r>
  <r>
    <x v="1"/>
    <x v="0"/>
    <x v="2962"/>
    <x v="56"/>
    <s v="Standard order"/>
    <x v="2837"/>
    <x v="2418"/>
    <s v="149N"/>
    <s v="BTS 149N"/>
    <s v="5002358"/>
    <s v="149N BTS CM Vibrance RP"/>
    <n v="24"/>
    <n v="0"/>
    <n v="24"/>
    <x v="0"/>
    <s v="EEND"/>
    <s v="RP"/>
    <s v="366"/>
    <s v="4.0 UN"/>
    <s v="STANDARD"/>
    <s v="Y"/>
    <s v="N"/>
    <s v="N"/>
    <s v="N"/>
    <s v="N"/>
    <s v="N"/>
    <s v="N"/>
    <s v="Y"/>
    <s v="B010"/>
    <d v="2016-12-21T00:00:00"/>
    <s v="20"/>
    <s v="TAN"/>
    <s v="OR"/>
    <d v="2016-12-16T00:00:00"/>
    <s v="ON"/>
    <s v="CA"/>
    <s v="ZR"/>
    <d v="2016-12-16T00:00:00"/>
  </r>
  <r>
    <x v="1"/>
    <x v="4"/>
    <x v="2963"/>
    <x v="53"/>
    <s v="Standard order"/>
    <x v="2838"/>
    <x v="2419"/>
    <s v="225N"/>
    <s v="BTS 22RR5N"/>
    <s v="5002119"/>
    <s v="225N BTS PB XL"/>
    <n v="20"/>
    <n v="0"/>
    <n v="20"/>
    <x v="4"/>
    <s v="4TBD"/>
    <s v="X-LARGE"/>
    <s v="307"/>
    <s v="4.0 UN"/>
    <s v="STANDARD"/>
    <s v="N"/>
    <s v="Y"/>
    <s v="N"/>
    <s v="N"/>
    <s v="N"/>
    <s v="N"/>
    <s v="N"/>
    <s v="N"/>
    <s v="B051"/>
    <d v="2016-12-21T00:00:00"/>
    <s v="10"/>
    <s v="TAN"/>
    <s v="OR"/>
    <d v="2016-12-16T00:00:00"/>
    <s v="ID"/>
    <s v="US"/>
    <s v="ZR"/>
    <d v="2016-12-16T00:00:00"/>
  </r>
  <r>
    <x v="1"/>
    <x v="4"/>
    <x v="2964"/>
    <x v="52"/>
    <s v="Standard order"/>
    <x v="2839"/>
    <x v="361"/>
    <s v="225N"/>
    <s v="BTS 22RR5N"/>
    <s v="5002111"/>
    <s v="225N BTS PB LRG"/>
    <n v="24"/>
    <n v="0"/>
    <n v="24"/>
    <x v="4"/>
    <s v="4TBD"/>
    <s v="LARGE"/>
    <s v="307"/>
    <s v="4.0 UN"/>
    <s v="STANDARD"/>
    <s v="N"/>
    <s v="Y"/>
    <s v="N"/>
    <s v="N"/>
    <s v="N"/>
    <s v="N"/>
    <s v="N"/>
    <s v="N"/>
    <s v="B048"/>
    <d v="2016-12-21T00:00:00"/>
    <s v="10"/>
    <s v="TAN"/>
    <s v="OR"/>
    <d v="2016-12-16T00:00:00"/>
    <s v="ID"/>
    <s v="US"/>
    <s v="ZR"/>
    <d v="2016-12-16T00:00:00"/>
  </r>
  <r>
    <x v="1"/>
    <x v="4"/>
    <x v="2964"/>
    <x v="52"/>
    <s v="Standard order"/>
    <x v="2839"/>
    <x v="361"/>
    <s v="251N"/>
    <s v="BTS 251N"/>
    <s v="5002194"/>
    <s v="251N BTS PB LRG"/>
    <n v="24"/>
    <n v="0"/>
    <n v="24"/>
    <x v="4"/>
    <s v="5HBR"/>
    <s v="LARGE"/>
    <s v="307"/>
    <s v="4.0 UN"/>
    <s v="STANDARD"/>
    <s v="N"/>
    <s v="Y"/>
    <s v="N"/>
    <s v="N"/>
    <s v="N"/>
    <s v="N"/>
    <s v="N"/>
    <s v="N"/>
    <s v="B048"/>
    <d v="2016-12-21T00:00:00"/>
    <s v="20"/>
    <s v="TAN"/>
    <s v="OR"/>
    <d v="2016-12-16T00:00:00"/>
    <s v="ID"/>
    <s v="US"/>
    <s v="ZR"/>
    <d v="2016-12-16T00:00:00"/>
  </r>
  <r>
    <x v="1"/>
    <x v="2"/>
    <x v="2965"/>
    <x v="22"/>
    <s v="Standard order"/>
    <x v="2840"/>
    <x v="850"/>
    <s v="6027"/>
    <s v="BTS 60RR27"/>
    <s v="5002647"/>
    <s v="6027 BTS T20 PB SYSTIVA P50 WSS"/>
    <n v="60"/>
    <n v="0"/>
    <n v="60"/>
    <x v="2"/>
    <s v="APMC"/>
    <s v="PRO 50"/>
    <s v="322"/>
    <s v="4.0 UN"/>
    <s v="STANDARD"/>
    <s v="N"/>
    <s v="N"/>
    <s v="N"/>
    <s v="T20"/>
    <s v="Y"/>
    <s v="N"/>
    <s v="Y"/>
    <s v="N"/>
    <s v="B018"/>
    <d v="2016-12-21T00:00:00"/>
    <s v="10"/>
    <s v="TAN"/>
    <s v="OR"/>
    <d v="2016-12-16T00:00:00"/>
    <s v="CO"/>
    <s v="US"/>
    <s v="ZR"/>
    <d v="2016-12-16T00:00:00"/>
  </r>
  <r>
    <x v="1"/>
    <x v="0"/>
    <x v="2966"/>
    <x v="54"/>
    <s v="Standard order"/>
    <x v="2841"/>
    <x v="2420"/>
    <s v="122N"/>
    <s v="BTS 12RR2N"/>
    <s v="5002311"/>
    <s v="122N BTS T20 Kabina RP"/>
    <n v="12"/>
    <n v="0"/>
    <n v="12"/>
    <x v="0"/>
    <s v="4TBG"/>
    <s v="RP"/>
    <s v="380"/>
    <s v="4.0 UN"/>
    <s v="STANDARD"/>
    <s v="N"/>
    <s v="N"/>
    <s v="Y"/>
    <s v="T20"/>
    <s v="N"/>
    <s v="N"/>
    <s v="N"/>
    <s v="N"/>
    <s v="B002"/>
    <d v="2016-12-21T00:00:00"/>
    <s v="10"/>
    <s v="TAN"/>
    <s v="OR"/>
    <d v="2016-12-16T00:00:00"/>
    <s v="MI"/>
    <s v="US"/>
    <s v="ZR"/>
    <d v="2016-12-16T00:00:00"/>
  </r>
  <r>
    <x v="1"/>
    <x v="0"/>
    <x v="2966"/>
    <x v="54"/>
    <s v="Standard order"/>
    <x v="2841"/>
    <x v="2420"/>
    <s v="149N"/>
    <s v="BTS 149N"/>
    <s v="5002366"/>
    <s v="149N BTS T20 Kabina MP"/>
    <n v="12"/>
    <n v="0"/>
    <n v="12"/>
    <x v="0"/>
    <s v="EEND"/>
    <s v="MP"/>
    <s v="380"/>
    <s v="4.0 UN"/>
    <s v="STANDARD"/>
    <s v="N"/>
    <s v="N"/>
    <s v="Y"/>
    <s v="T20"/>
    <s v="N"/>
    <s v="N"/>
    <s v="N"/>
    <s v="N"/>
    <s v="B002"/>
    <d v="2016-12-21T00:00:00"/>
    <s v="20"/>
    <s v="TAN"/>
    <s v="OR"/>
    <d v="2016-12-16T00:00:00"/>
    <s v="MI"/>
    <s v="US"/>
    <s v="ZR"/>
    <d v="2016-12-16T00:00:00"/>
  </r>
  <r>
    <x v="1"/>
    <x v="4"/>
    <x v="2967"/>
    <x v="53"/>
    <s v="Standard order"/>
    <x v="2842"/>
    <x v="371"/>
    <s v="225N"/>
    <s v="BTS 22RR5N"/>
    <s v="5002119"/>
    <s v="225N BTS PB XL"/>
    <n v="28"/>
    <n v="0"/>
    <n v="28"/>
    <x v="4"/>
    <s v="4TBD"/>
    <s v="X-LARGE"/>
    <s v="307"/>
    <s v="4.0 UN"/>
    <s v="STANDARD"/>
    <s v="N"/>
    <s v="Y"/>
    <s v="N"/>
    <s v="N"/>
    <s v="N"/>
    <s v="N"/>
    <s v="N"/>
    <s v="N"/>
    <s v="B051"/>
    <d v="2016-12-21T00:00:00"/>
    <s v="10"/>
    <s v="TAN"/>
    <s v="OR"/>
    <d v="2016-12-16T00:00:00"/>
    <s v="ID"/>
    <s v="US"/>
    <s v="ZR"/>
    <d v="2016-12-16T00:00:00"/>
  </r>
  <r>
    <x v="1"/>
    <x v="4"/>
    <x v="2968"/>
    <x v="44"/>
    <s v="Standard order"/>
    <x v="2843"/>
    <x v="656"/>
    <s v="225N"/>
    <s v="BTS 22RR5N"/>
    <s v="5002111"/>
    <s v="225N BTS PB LRG"/>
    <n v="16"/>
    <n v="0"/>
    <n v="16"/>
    <x v="4"/>
    <s v="4TBD"/>
    <s v="LARGE"/>
    <s v="307"/>
    <s v="4.0 UN"/>
    <s v="STANDARD"/>
    <s v="N"/>
    <s v="Y"/>
    <s v="N"/>
    <s v="N"/>
    <s v="N"/>
    <s v="N"/>
    <s v="N"/>
    <s v="N"/>
    <s v="MB13"/>
    <d v="2016-12-21T00:00:00"/>
    <s v="10"/>
    <s v="TAN"/>
    <s v="OR"/>
    <d v="2016-12-16T00:00:00"/>
    <s v="OR"/>
    <s v="US"/>
    <s v="ZR"/>
    <d v="2016-12-16T00:00:00"/>
  </r>
  <r>
    <x v="1"/>
    <x v="4"/>
    <x v="2968"/>
    <x v="44"/>
    <s v="Standard order"/>
    <x v="2843"/>
    <x v="656"/>
    <s v="2570"/>
    <s v="BTS 2570"/>
    <s v="5002553"/>
    <s v="2570 BTS PB LRG"/>
    <n v="16"/>
    <n v="0"/>
    <n v="16"/>
    <x v="4"/>
    <s v="EZNS"/>
    <s v="LARGE"/>
    <s v="307"/>
    <s v="4.0 UN"/>
    <s v="STANDARD"/>
    <s v="N"/>
    <s v="Y"/>
    <s v="N"/>
    <s v="N"/>
    <s v="N"/>
    <s v="N"/>
    <s v="N"/>
    <s v="N"/>
    <s v="MB13"/>
    <d v="2016-12-21T00:00:00"/>
    <s v="30"/>
    <s v="TAN"/>
    <s v="OR"/>
    <d v="2016-12-16T00:00:00"/>
    <s v="OR"/>
    <s v="US"/>
    <s v="ZR"/>
    <d v="2016-12-16T00:00:00"/>
  </r>
  <r>
    <x v="1"/>
    <x v="4"/>
    <x v="2968"/>
    <x v="44"/>
    <s v="Standard order"/>
    <x v="2843"/>
    <x v="656"/>
    <s v="251N"/>
    <s v="BTS 251N"/>
    <s v="5002194"/>
    <s v="251N BTS PB LRG"/>
    <n v="16"/>
    <n v="0"/>
    <n v="16"/>
    <x v="4"/>
    <s v="5HBR"/>
    <s v="LARGE"/>
    <s v="307"/>
    <s v="4.0 UN"/>
    <s v="STANDARD"/>
    <s v="N"/>
    <s v="Y"/>
    <s v="N"/>
    <s v="N"/>
    <s v="N"/>
    <s v="N"/>
    <s v="N"/>
    <s v="N"/>
    <s v="MB13"/>
    <d v="2016-12-21T00:00:00"/>
    <s v="40"/>
    <s v="TAN"/>
    <s v="OR"/>
    <d v="2016-12-16T00:00:00"/>
    <s v="OR"/>
    <s v="US"/>
    <s v="ZR"/>
    <d v="2016-12-16T00:00:00"/>
  </r>
  <r>
    <x v="1"/>
    <x v="7"/>
    <x v="2969"/>
    <x v="33"/>
    <s v="Standard order"/>
    <x v="2844"/>
    <x v="2421"/>
    <s v="8500"/>
    <s v="BTS 8500"/>
    <s v="5002856"/>
    <s v="8500 BTS T35 PB SYSTIVA RP"/>
    <n v="48"/>
    <n v="0"/>
    <n v="48"/>
    <x v="7"/>
    <s v="FTND"/>
    <s v="RP"/>
    <s v="333"/>
    <s v="4.0 UN"/>
    <s v="STANDARD"/>
    <s v="N"/>
    <s v="Y"/>
    <s v="N"/>
    <s v="T35"/>
    <s v="Y"/>
    <s v="N"/>
    <s v="Y"/>
    <s v="N"/>
    <s v="B026"/>
    <d v="2016-12-21T00:00:00"/>
    <s v="10"/>
    <s v="TAN"/>
    <s v="OR"/>
    <d v="2016-12-16T00:00:00"/>
    <s v="ND"/>
    <s v="US"/>
    <s v="ZR"/>
    <d v="2016-12-16T00:00:00"/>
  </r>
  <r>
    <x v="1"/>
    <x v="7"/>
    <x v="2969"/>
    <x v="33"/>
    <s v="Standard order"/>
    <x v="2844"/>
    <x v="2421"/>
    <s v="8572"/>
    <s v="BTS 8572"/>
    <s v="5003215"/>
    <s v="8572 BTS T35 PB SYSTIVA RP"/>
    <n v="48"/>
    <n v="0"/>
    <n v="48"/>
    <x v="7"/>
    <s v="FENB"/>
    <s v="RP"/>
    <s v="333"/>
    <s v="4.0 UN"/>
    <s v="STANDARD"/>
    <s v="N"/>
    <s v="Y"/>
    <s v="N"/>
    <s v="T35"/>
    <s v="Y"/>
    <s v="N"/>
    <s v="Y"/>
    <s v="N"/>
    <s v="B026"/>
    <d v="2016-12-21T00:00:00"/>
    <s v="20"/>
    <s v="TAN"/>
    <s v="OR"/>
    <d v="2016-12-16T00:00:00"/>
    <s v="ND"/>
    <s v="US"/>
    <s v="ZR"/>
    <d v="2016-12-16T00:00:00"/>
  </r>
  <r>
    <x v="1"/>
    <x v="0"/>
    <x v="2970"/>
    <x v="30"/>
    <s v="Standard order"/>
    <x v="2845"/>
    <x v="2422"/>
    <s v="149N"/>
    <s v="BTS 149N"/>
    <s v="5002367"/>
    <s v="149N BTS T20 Kabina P200"/>
    <n v="20"/>
    <n v="0"/>
    <n v="20"/>
    <x v="0"/>
    <s v="EEND"/>
    <s v="PRO 200"/>
    <s v="380"/>
    <s v="4.0 UN"/>
    <s v="STANDARD"/>
    <s v="N"/>
    <s v="N"/>
    <s v="Y"/>
    <s v="T20"/>
    <s v="N"/>
    <s v="N"/>
    <s v="N"/>
    <s v="N"/>
    <s v="B001"/>
    <d v="2016-12-21T00:00:00"/>
    <s v="10"/>
    <s v="TAN"/>
    <s v="OR"/>
    <d v="2016-12-16T00:00:00"/>
    <s v="MI"/>
    <s v="US"/>
    <s v="ZR"/>
    <d v="2016-12-16T00:00:00"/>
  </r>
  <r>
    <x v="1"/>
    <x v="0"/>
    <x v="2971"/>
    <x v="56"/>
    <s v="Standard order"/>
    <x v="2846"/>
    <x v="2423"/>
    <s v="1399"/>
    <s v="BTS 1399"/>
    <s v="5002355"/>
    <s v="1399 BTS Vibrance RP"/>
    <n v="20"/>
    <n v="0"/>
    <n v="20"/>
    <x v="0"/>
    <s v="EG74"/>
    <s v="RP"/>
    <s v="365"/>
    <s v="4.0 UN"/>
    <s v="STANDARD"/>
    <s v="N"/>
    <s v="N"/>
    <s v="N"/>
    <s v="N"/>
    <s v="N"/>
    <s v="N"/>
    <s v="N"/>
    <s v="Y"/>
    <s v="B010"/>
    <d v="2016-12-21T00:00:00"/>
    <s v="10"/>
    <s v="TAN"/>
    <s v="OR"/>
    <d v="2016-12-16T00:00:00"/>
    <s v="ON"/>
    <s v="CA"/>
    <s v="ZR"/>
    <d v="2016-12-16T00:00:00"/>
  </r>
  <r>
    <x v="1"/>
    <x v="4"/>
    <x v="2972"/>
    <x v="47"/>
    <s v="Standard order"/>
    <x v="2847"/>
    <x v="2424"/>
    <s v="251N"/>
    <s v="BTS 251N"/>
    <s v="5002194"/>
    <s v="251N BTS PB LRG"/>
    <n v="84"/>
    <n v="0"/>
    <n v="84"/>
    <x v="4"/>
    <s v="5HBR"/>
    <s v="LARGE"/>
    <s v="307"/>
    <s v="4.0 UN"/>
    <s v="STANDARD"/>
    <s v="N"/>
    <s v="Y"/>
    <s v="N"/>
    <s v="N"/>
    <s v="N"/>
    <s v="N"/>
    <s v="N"/>
    <s v="N"/>
    <s v="B050"/>
    <d v="2016-12-21T00:00:00"/>
    <s v="10"/>
    <s v="TAN"/>
    <s v="OR"/>
    <d v="2016-12-15T00:00:00"/>
    <s v="ID"/>
    <s v="US"/>
    <s v="ZR"/>
    <d v="2016-12-16T00:00:00"/>
  </r>
  <r>
    <x v="1"/>
    <x v="2"/>
    <x v="2973"/>
    <x v="22"/>
    <s v="Standard order"/>
    <x v="2848"/>
    <x v="2425"/>
    <s v="628N"/>
    <s v="BTS 62RR8N"/>
    <s v="5002683"/>
    <s v="628N BTS T20 PB SYSTIVA P100"/>
    <n v="24"/>
    <n v="0"/>
    <n v="24"/>
    <x v="2"/>
    <s v="BL73"/>
    <s v="PRO 100"/>
    <s v="322"/>
    <s v="4.0 UN"/>
    <s v="STANDARD"/>
    <s v="N"/>
    <s v="N"/>
    <s v="N"/>
    <s v="T20"/>
    <s v="Y"/>
    <s v="N"/>
    <s v="Y"/>
    <s v="N"/>
    <s v="B018"/>
    <d v="2016-12-21T00:00:00"/>
    <s v="10"/>
    <s v="TAN"/>
    <s v="OR"/>
    <d v="2016-12-15T00:00:00"/>
    <s v="CO"/>
    <s v="US"/>
    <s v="ZR"/>
    <d v="2016-12-16T00:00:00"/>
  </r>
  <r>
    <x v="1"/>
    <x v="5"/>
    <x v="2974"/>
    <x v="21"/>
    <s v="Standard order"/>
    <x v="2849"/>
    <x v="2426"/>
    <s v="398N"/>
    <s v="BTS 39RR8N"/>
    <s v="5002572"/>
    <s v="398N BTS T20 PB SYSTIVA RP"/>
    <n v="28"/>
    <n v="0"/>
    <n v="28"/>
    <x v="5"/>
    <s v="2771"/>
    <s v="RP"/>
    <s v="322"/>
    <s v="4.0 UN"/>
    <s v="STANDARD"/>
    <s v="N"/>
    <s v="Y"/>
    <s v="N"/>
    <s v="T20"/>
    <s v="Y"/>
    <s v="N"/>
    <s v="N"/>
    <s v="N"/>
    <s v="B013"/>
    <d v="2016-12-21T00:00:00"/>
    <s v="10"/>
    <s v="TAN"/>
    <s v="OR"/>
    <d v="2016-12-15T00:00:00"/>
    <s v="MT"/>
    <s v="US"/>
    <s v="ZR"/>
    <d v="2016-12-16T00:00:00"/>
  </r>
  <r>
    <x v="1"/>
    <x v="5"/>
    <x v="2974"/>
    <x v="21"/>
    <s v="Standard order"/>
    <x v="2849"/>
    <x v="2426"/>
    <s v="336N"/>
    <s v="BTS 336N"/>
    <s v="5002400"/>
    <s v="336N BTS T20 PB SYSTIVA RP"/>
    <n v="32"/>
    <n v="0"/>
    <n v="32"/>
    <x v="5"/>
    <s v="EEMG"/>
    <s v="RP"/>
    <s v="322"/>
    <s v="4.0 UN"/>
    <s v="STANDARD"/>
    <s v="N"/>
    <s v="N"/>
    <s v="N"/>
    <s v="T20"/>
    <s v="Y"/>
    <s v="N"/>
    <s v="N"/>
    <s v="N"/>
    <s v="B013"/>
    <d v="2016-12-21T00:00:00"/>
    <s v="20"/>
    <s v="TAN"/>
    <s v="OR"/>
    <d v="2016-12-15T00:00:00"/>
    <s v="MT"/>
    <s v="US"/>
    <s v="ZR"/>
    <d v="2016-12-16T00:00:00"/>
  </r>
  <r>
    <x v="1"/>
    <x v="0"/>
    <x v="2975"/>
    <x v="54"/>
    <s v="Standard order"/>
    <x v="2850"/>
    <x v="1302"/>
    <s v="149N"/>
    <s v="BTS 149N"/>
    <s v="5002366"/>
    <s v="149N BTS T20 Kabina MP"/>
    <n v="52"/>
    <n v="0"/>
    <n v="52"/>
    <x v="0"/>
    <s v="EEND"/>
    <s v="MP"/>
    <s v="380"/>
    <s v="4.0 UN"/>
    <s v="STANDARD"/>
    <s v="N"/>
    <s v="N"/>
    <s v="Y"/>
    <s v="T20"/>
    <s v="N"/>
    <s v="N"/>
    <s v="N"/>
    <s v="N"/>
    <s v="B002"/>
    <d v="2016-12-21T00:00:00"/>
    <s v="10"/>
    <s v="TAN"/>
    <s v="OR"/>
    <d v="2016-12-16T00:00:00"/>
    <s v="MI"/>
    <s v="US"/>
    <s v="ZR"/>
    <d v="2016-12-16T00:00:00"/>
  </r>
  <r>
    <x v="1"/>
    <x v="0"/>
    <x v="2976"/>
    <x v="42"/>
    <s v="Standard order"/>
    <x v="2851"/>
    <x v="2427"/>
    <s v="1399"/>
    <s v="BTS 1399"/>
    <s v="5002347"/>
    <s v="1399 BTS T20 Kabina P200"/>
    <n v="40"/>
    <n v="0"/>
    <n v="40"/>
    <x v="0"/>
    <s v="EG74"/>
    <s v="PRO 200"/>
    <s v="380"/>
    <s v="4.0 UN"/>
    <s v="STANDARD"/>
    <s v="N"/>
    <s v="N"/>
    <s v="Y"/>
    <s v="T20"/>
    <s v="N"/>
    <s v="N"/>
    <s v="N"/>
    <s v="N"/>
    <s v="B007"/>
    <d v="2016-12-21T00:00:00"/>
    <s v="10"/>
    <s v="TAN"/>
    <s v="OR"/>
    <d v="2016-12-16T00:00:00"/>
    <s v="MI"/>
    <s v="US"/>
    <s v="ZR"/>
    <d v="2016-12-16T00:00:00"/>
  </r>
  <r>
    <x v="1"/>
    <x v="0"/>
    <x v="2976"/>
    <x v="42"/>
    <s v="Standard order"/>
    <x v="2851"/>
    <x v="2427"/>
    <s v="122N"/>
    <s v="BTS 12RR2N"/>
    <s v="5002310"/>
    <s v="122N BTS T20 Kabina P200"/>
    <n v="20"/>
    <n v="0"/>
    <n v="20"/>
    <x v="0"/>
    <s v="4TBG"/>
    <s v="PRO 200"/>
    <s v="380"/>
    <s v="4.0 UN"/>
    <s v="STANDARD"/>
    <s v="N"/>
    <s v="N"/>
    <s v="Y"/>
    <s v="T20"/>
    <s v="N"/>
    <s v="N"/>
    <s v="N"/>
    <s v="N"/>
    <s v="B007"/>
    <d v="2016-12-21T00:00:00"/>
    <s v="20"/>
    <s v="TAN"/>
    <s v="OR"/>
    <d v="2016-12-16T00:00:00"/>
    <s v="MI"/>
    <s v="US"/>
    <s v="ZR"/>
    <d v="2016-12-16T00:00:00"/>
  </r>
  <r>
    <x v="1"/>
    <x v="0"/>
    <x v="2977"/>
    <x v="43"/>
    <s v="Standard order"/>
    <x v="2852"/>
    <x v="2428"/>
    <s v="149N"/>
    <s v="BTS 149N"/>
    <s v="5002366"/>
    <s v="149N BTS T20 Kabina MP"/>
    <n v="40"/>
    <n v="0"/>
    <n v="40"/>
    <x v="0"/>
    <s v="EEND"/>
    <s v="MP"/>
    <s v="380"/>
    <s v="4.0 UN"/>
    <s v="STANDARD"/>
    <s v="N"/>
    <s v="N"/>
    <s v="Y"/>
    <s v="T20"/>
    <s v="N"/>
    <s v="N"/>
    <s v="N"/>
    <s v="N"/>
    <s v="B006"/>
    <d v="2016-12-21T00:00:00"/>
    <s v="10"/>
    <s v="TAN"/>
    <s v="OR"/>
    <d v="2016-12-15T00:00:00"/>
    <s v="MI"/>
    <s v="US"/>
    <s v="ZR"/>
    <d v="2016-12-16T00:00:00"/>
  </r>
  <r>
    <x v="1"/>
    <x v="0"/>
    <x v="2978"/>
    <x v="43"/>
    <s v="Standard order"/>
    <x v="2853"/>
    <x v="2429"/>
    <s v="1399"/>
    <s v="BTS 1399"/>
    <s v="5002348"/>
    <s v="1399 BTS T20 Kabina RP"/>
    <n v="16"/>
    <n v="0"/>
    <n v="16"/>
    <x v="0"/>
    <s v="EG74"/>
    <s v="RP"/>
    <s v="380"/>
    <s v="4.0 UN"/>
    <s v="STANDARD"/>
    <s v="N"/>
    <s v="N"/>
    <s v="Y"/>
    <s v="T20"/>
    <s v="N"/>
    <s v="N"/>
    <s v="N"/>
    <s v="N"/>
    <s v="B006"/>
    <d v="2016-12-21T00:00:00"/>
    <s v="10"/>
    <s v="TAN"/>
    <s v="OR"/>
    <d v="2016-12-15T00:00:00"/>
    <s v="MI"/>
    <s v="US"/>
    <s v="ZR"/>
    <d v="2016-12-16T00:00:00"/>
  </r>
  <r>
    <x v="1"/>
    <x v="2"/>
    <x v="2979"/>
    <x v="22"/>
    <s v="Standard order"/>
    <x v="2854"/>
    <x v="858"/>
    <s v="64SN"/>
    <s v="BTS 64SN"/>
    <s v="5002420"/>
    <s v="64SN BTS T20 PB SYSTIVA P100"/>
    <n v="12"/>
    <n v="0"/>
    <n v="12"/>
    <x v="2"/>
    <s v="DVNB"/>
    <s v="PRO 100"/>
    <s v="322"/>
    <s v="4.0 UN"/>
    <s v="STANDARD"/>
    <s v="N"/>
    <s v="N"/>
    <s v="N"/>
    <s v="T20"/>
    <s v="Y"/>
    <s v="N"/>
    <s v="Y"/>
    <s v="N"/>
    <s v="B018"/>
    <d v="2016-12-21T00:00:00"/>
    <s v="10"/>
    <s v="TAN"/>
    <s v="OR"/>
    <d v="2016-12-16T00:00:00"/>
    <s v="CO"/>
    <s v="US"/>
    <s v="ZR"/>
    <d v="2016-12-16T00:00:00"/>
  </r>
  <r>
    <x v="1"/>
    <x v="2"/>
    <x v="2979"/>
    <x v="22"/>
    <s v="Standard order"/>
    <x v="2854"/>
    <x v="858"/>
    <s v="628N"/>
    <s v="BTS 62RR8N"/>
    <s v="5002683"/>
    <s v="628N BTS T20 PB SYSTIVA P100"/>
    <n v="12"/>
    <n v="0"/>
    <n v="12"/>
    <x v="2"/>
    <s v="BL73"/>
    <s v="PRO 100"/>
    <s v="322"/>
    <s v="4.0 UN"/>
    <s v="STANDARD"/>
    <s v="N"/>
    <s v="N"/>
    <s v="N"/>
    <s v="T20"/>
    <s v="Y"/>
    <s v="N"/>
    <s v="Y"/>
    <s v="N"/>
    <s v="B018"/>
    <d v="2016-12-21T00:00:00"/>
    <s v="20"/>
    <s v="TAN"/>
    <s v="OR"/>
    <d v="2016-12-16T00:00:00"/>
    <s v="CO"/>
    <s v="US"/>
    <s v="ZR"/>
    <d v="2016-12-16T00:00:00"/>
  </r>
  <r>
    <x v="1"/>
    <x v="4"/>
    <x v="2980"/>
    <x v="52"/>
    <s v="Standard order"/>
    <x v="2855"/>
    <x v="648"/>
    <s v="225N"/>
    <s v="BTS 22RR5N"/>
    <s v="5002119"/>
    <s v="225N BTS PB XL"/>
    <n v="152"/>
    <n v="0"/>
    <n v="152"/>
    <x v="4"/>
    <s v="4TBD"/>
    <s v="X-LARGE"/>
    <s v="307"/>
    <s v="4.0 UN"/>
    <s v="STANDARD"/>
    <s v="N"/>
    <s v="Y"/>
    <s v="N"/>
    <s v="N"/>
    <s v="N"/>
    <s v="N"/>
    <s v="N"/>
    <s v="N"/>
    <s v="B048"/>
    <d v="2016-12-21T00:00:00"/>
    <s v="10"/>
    <s v="TAN"/>
    <s v="OR"/>
    <d v="2016-12-16T00:00:00"/>
    <s v="ID"/>
    <s v="US"/>
    <s v="ZR"/>
    <d v="2016-12-16T00:00:00"/>
  </r>
  <r>
    <x v="1"/>
    <x v="4"/>
    <x v="2980"/>
    <x v="52"/>
    <s v="Standard order"/>
    <x v="2855"/>
    <x v="648"/>
    <s v="2570"/>
    <s v="BTS 2570"/>
    <s v="5002555"/>
    <s v="2570 BTS PB XL"/>
    <n v="48"/>
    <n v="0"/>
    <n v="48"/>
    <x v="4"/>
    <s v="EZNS"/>
    <s v="X-LARGE"/>
    <s v="307"/>
    <s v="4.0 UN"/>
    <s v="STANDARD"/>
    <s v="N"/>
    <s v="Y"/>
    <s v="N"/>
    <s v="N"/>
    <s v="N"/>
    <s v="N"/>
    <s v="N"/>
    <s v="N"/>
    <s v="B048"/>
    <d v="2016-12-21T00:00:00"/>
    <s v="30"/>
    <s v="TAN"/>
    <s v="OR"/>
    <d v="2016-12-16T00:00:00"/>
    <s v="ID"/>
    <s v="US"/>
    <s v="ZR"/>
    <d v="2016-12-16T00:00:00"/>
  </r>
  <r>
    <x v="1"/>
    <x v="0"/>
    <x v="2981"/>
    <x v="56"/>
    <s v="Standard order"/>
    <x v="2856"/>
    <x v="736"/>
    <s v="1399"/>
    <s v="BTS 1399"/>
    <s v="5002338"/>
    <s v="1399 BTS CM Vibrance RP"/>
    <n v="28"/>
    <n v="0"/>
    <n v="28"/>
    <x v="0"/>
    <s v="EG74"/>
    <s v="RP"/>
    <s v="366"/>
    <s v="4.0 UN"/>
    <s v="STANDARD"/>
    <s v="Y"/>
    <s v="N"/>
    <s v="N"/>
    <s v="N"/>
    <s v="N"/>
    <s v="N"/>
    <s v="N"/>
    <s v="Y"/>
    <s v="B010"/>
    <d v="2016-12-21T00:00:00"/>
    <s v="10"/>
    <s v="TAN"/>
    <s v="OR"/>
    <d v="2016-12-16T00:00:00"/>
    <s v="ON"/>
    <s v="CA"/>
    <s v="ZR"/>
    <d v="2016-12-16T00:00:00"/>
  </r>
  <r>
    <x v="1"/>
    <x v="0"/>
    <x v="2982"/>
    <x v="45"/>
    <s v="Standard order"/>
    <x v="2857"/>
    <x v="2430"/>
    <s v="1399"/>
    <s v="BTS 1399"/>
    <s v="5002346"/>
    <s v="1399 BTS T20 Kabina MP"/>
    <n v="8"/>
    <n v="0"/>
    <n v="8"/>
    <x v="0"/>
    <s v="EG74"/>
    <s v="MP"/>
    <s v="380"/>
    <s v="4.0 UN"/>
    <s v="STANDARD"/>
    <s v="N"/>
    <s v="N"/>
    <s v="Y"/>
    <s v="T20"/>
    <s v="N"/>
    <s v="N"/>
    <s v="N"/>
    <s v="N"/>
    <s v="B003"/>
    <d v="2016-12-21T00:00:00"/>
    <s v="10"/>
    <s v="TAN"/>
    <s v="OR"/>
    <d v="2016-12-16T00:00:00"/>
    <s v="MI"/>
    <s v="US"/>
    <s v="ZR"/>
    <d v="2016-12-16T00:00:00"/>
  </r>
  <r>
    <x v="1"/>
    <x v="0"/>
    <x v="2982"/>
    <x v="45"/>
    <s v="Standard order"/>
    <x v="2857"/>
    <x v="2430"/>
    <s v="133N"/>
    <s v="BTS 133N"/>
    <s v="5002327"/>
    <s v="133N BTS T20 Kabina MP"/>
    <n v="12"/>
    <n v="0"/>
    <n v="12"/>
    <x v="0"/>
    <s v="DW73"/>
    <s v="MP"/>
    <s v="380"/>
    <s v="4.0 UN"/>
    <s v="STANDARD"/>
    <s v="N"/>
    <s v="N"/>
    <s v="Y"/>
    <s v="T20"/>
    <s v="N"/>
    <s v="N"/>
    <s v="N"/>
    <s v="N"/>
    <s v="B003"/>
    <d v="2016-12-21T00:00:00"/>
    <s v="20"/>
    <s v="TAN"/>
    <s v="OR"/>
    <d v="2016-12-16T00:00:00"/>
    <s v="MI"/>
    <s v="US"/>
    <s v="ZR"/>
    <d v="2016-12-16T00:00:00"/>
  </r>
  <r>
    <x v="1"/>
    <x v="6"/>
    <x v="2983"/>
    <x v="51"/>
    <s v="Standard order"/>
    <x v="2858"/>
    <x v="2431"/>
    <s v="437N"/>
    <s v="BTS 437N"/>
    <s v="5002208"/>
    <s v="437N BTS T20 PB SYSTIVA P100"/>
    <n v="32"/>
    <n v="0"/>
    <n v="32"/>
    <x v="6"/>
    <s v="EE73"/>
    <s v="PRO 100"/>
    <s v="322"/>
    <s v="4.0 UN"/>
    <s v="STANDARD"/>
    <s v="N"/>
    <s v="N"/>
    <s v="N"/>
    <s v="T20"/>
    <s v="Y"/>
    <s v="N"/>
    <s v="Y"/>
    <s v="N"/>
    <s v="B011"/>
    <d v="2016-12-21T00:00:00"/>
    <s v="10"/>
    <s v="TAN"/>
    <s v="OR"/>
    <d v="2016-12-16T00:00:00"/>
    <s v="MT"/>
    <s v="US"/>
    <s v="ZR"/>
    <d v="2016-12-16T00:00:00"/>
  </r>
  <r>
    <x v="1"/>
    <x v="6"/>
    <x v="2983"/>
    <x v="51"/>
    <s v="Standard order"/>
    <x v="2858"/>
    <x v="2431"/>
    <s v="428N"/>
    <s v="BTS 42RR8N"/>
    <s v="5002595"/>
    <s v="428N BTS T20 PB SYSTIVA P100"/>
    <n v="28"/>
    <n v="0"/>
    <n v="28"/>
    <x v="6"/>
    <s v="4TBG"/>
    <s v="PRO 100"/>
    <s v="322"/>
    <s v="4.0 UN"/>
    <s v="STANDARD"/>
    <s v="N"/>
    <s v="N"/>
    <s v="N"/>
    <s v="T20"/>
    <s v="Y"/>
    <s v="N"/>
    <s v="Y"/>
    <s v="N"/>
    <s v="B011"/>
    <d v="2016-12-21T00:00:00"/>
    <s v="20"/>
    <s v="TAN"/>
    <s v="OR"/>
    <d v="2016-12-16T00:00:00"/>
    <s v="MT"/>
    <s v="US"/>
    <s v="ZR"/>
    <d v="2016-12-16T00:00:00"/>
  </r>
  <r>
    <x v="1"/>
    <x v="6"/>
    <x v="2983"/>
    <x v="51"/>
    <s v="Standard order"/>
    <x v="2858"/>
    <x v="2431"/>
    <s v="444N"/>
    <s v="BTS 444N"/>
    <s v="5002226"/>
    <s v="444N BTS T20 PB SYSTIVA P100"/>
    <n v="32"/>
    <n v="0"/>
    <n v="32"/>
    <x v="6"/>
    <s v="DVND"/>
    <s v="PRO 100"/>
    <s v="322"/>
    <s v="4.0 UN"/>
    <s v="STANDARD"/>
    <s v="N"/>
    <s v="N"/>
    <s v="N"/>
    <s v="T20"/>
    <s v="Y"/>
    <s v="N"/>
    <s v="Y"/>
    <s v="N"/>
    <s v="B011"/>
    <d v="2016-12-21T00:00:00"/>
    <s v="30"/>
    <s v="TAN"/>
    <s v="OR"/>
    <d v="2016-12-16T00:00:00"/>
    <s v="MT"/>
    <s v="US"/>
    <s v="ZR"/>
    <d v="2016-12-16T00:00:00"/>
  </r>
  <r>
    <x v="1"/>
    <x v="6"/>
    <x v="2983"/>
    <x v="51"/>
    <s v="Standard order"/>
    <x v="2858"/>
    <x v="2431"/>
    <s v="4548"/>
    <s v="BTS 4548"/>
    <s v="5002244"/>
    <s v="4548 BTS T20 PB SYSTIVA P100"/>
    <n v="24"/>
    <n v="0"/>
    <n v="24"/>
    <x v="6"/>
    <s v="FENR"/>
    <s v="PRO 100"/>
    <s v="322"/>
    <s v="4.0 UN"/>
    <s v="STANDARD"/>
    <s v="N"/>
    <s v="N"/>
    <s v="N"/>
    <s v="T20"/>
    <s v="Y"/>
    <s v="N"/>
    <s v="Y"/>
    <s v="N"/>
    <s v="B011"/>
    <d v="2016-12-21T00:00:00"/>
    <s v="40"/>
    <s v="TAN"/>
    <s v="OR"/>
    <d v="2016-12-16T00:00:00"/>
    <s v="MT"/>
    <s v="US"/>
    <s v="ZR"/>
    <d v="2016-12-16T00:00:00"/>
  </r>
  <r>
    <x v="1"/>
    <x v="6"/>
    <x v="2983"/>
    <x v="51"/>
    <s v="Standard order"/>
    <x v="2858"/>
    <x v="2431"/>
    <s v="4265"/>
    <s v="BTS 42RR65"/>
    <s v="5002583"/>
    <s v="4265 BTS T20 PB SYSTIVA P100"/>
    <n v="12"/>
    <n v="0"/>
    <n v="12"/>
    <x v="6"/>
    <s v="BR73"/>
    <s v="PRO 100"/>
    <s v="322"/>
    <s v="4.0 UN"/>
    <s v="STANDARD"/>
    <s v="N"/>
    <s v="N"/>
    <s v="N"/>
    <s v="T20"/>
    <s v="Y"/>
    <s v="N"/>
    <s v="Y"/>
    <s v="N"/>
    <s v="B011"/>
    <d v="2016-12-21T00:00:00"/>
    <s v="50"/>
    <s v="TAN"/>
    <s v="OR"/>
    <d v="2016-12-16T00:00:00"/>
    <s v="MT"/>
    <s v="US"/>
    <s v="ZR"/>
    <d v="2016-12-16T00:00:00"/>
  </r>
  <r>
    <x v="1"/>
    <x v="4"/>
    <x v="2984"/>
    <x v="46"/>
    <s v="Standard order"/>
    <x v="2859"/>
    <x v="189"/>
    <s v="4933"/>
    <s v="BTS 49RR33"/>
    <s v="5002280"/>
    <s v="4933 BTS PB XL IDH"/>
    <n v="48"/>
    <n v="0"/>
    <n v="48"/>
    <x v="4"/>
    <s v="AKMC"/>
    <s v="X-LARGE"/>
    <s v="307"/>
    <s v="4.0 UN"/>
    <s v="STANDARD"/>
    <s v="N"/>
    <s v="Y"/>
    <s v="N"/>
    <s v="N"/>
    <s v="N"/>
    <s v="N"/>
    <s v="N"/>
    <s v="N"/>
    <s v="B049"/>
    <d v="2016-12-21T00:00:00"/>
    <s v="10"/>
    <s v="TAN"/>
    <s v="OR"/>
    <d v="2016-12-16T00:00:00"/>
    <s v="ID"/>
    <s v="US"/>
    <s v="ZR"/>
    <d v="2016-12-16T00:00:00"/>
  </r>
  <r>
    <x v="1"/>
    <x v="4"/>
    <x v="2984"/>
    <x v="46"/>
    <s v="Standard order"/>
    <x v="2859"/>
    <x v="189"/>
    <s v="6027"/>
    <s v="BTS 60RR27"/>
    <s v="5002625"/>
    <s v="6027 BTS PB XL IDH"/>
    <n v="48"/>
    <n v="0"/>
    <n v="48"/>
    <x v="4"/>
    <s v="APMC"/>
    <s v="X-LARGE"/>
    <s v="307"/>
    <s v="4.0 UN"/>
    <s v="STANDARD"/>
    <s v="N"/>
    <s v="Y"/>
    <s v="N"/>
    <s v="N"/>
    <s v="N"/>
    <s v="N"/>
    <s v="N"/>
    <s v="N"/>
    <s v="B049"/>
    <d v="2016-12-21T00:00:00"/>
    <s v="20"/>
    <s v="TAN"/>
    <s v="OR"/>
    <d v="2016-12-16T00:00:00"/>
    <s v="ID"/>
    <s v="US"/>
    <s v="ZR"/>
    <d v="2016-12-16T00:00:00"/>
  </r>
  <r>
    <x v="1"/>
    <x v="4"/>
    <x v="2984"/>
    <x v="46"/>
    <s v="Standard order"/>
    <x v="2859"/>
    <x v="189"/>
    <s v="2523"/>
    <s v="BTS 2523"/>
    <s v="5002529"/>
    <s v="2523 BTS PB XL"/>
    <n v="64"/>
    <n v="0"/>
    <n v="64"/>
    <x v="4"/>
    <s v="EZPC"/>
    <s v="X-LARGE"/>
    <s v="307"/>
    <s v="4.0 UN"/>
    <s v="STANDARD"/>
    <s v="N"/>
    <s v="Y"/>
    <s v="N"/>
    <s v="N"/>
    <s v="N"/>
    <s v="N"/>
    <s v="N"/>
    <s v="N"/>
    <s v="B049"/>
    <d v="2016-12-21T00:00:00"/>
    <s v="30"/>
    <s v="TAN"/>
    <s v="OR"/>
    <d v="2016-12-16T00:00:00"/>
    <s v="ID"/>
    <s v="US"/>
    <s v="ZR"/>
    <d v="2016-12-16T00:00:00"/>
  </r>
  <r>
    <x v="1"/>
    <x v="4"/>
    <x v="2984"/>
    <x v="46"/>
    <s v="Standard order"/>
    <x v="2859"/>
    <x v="189"/>
    <s v="2559"/>
    <s v="BTS 2559"/>
    <s v="5002563"/>
    <s v="2559 BTS PB XL"/>
    <n v="48"/>
    <n v="0"/>
    <n v="48"/>
    <x v="4"/>
    <s v="FGNE"/>
    <s v="X-LARGE"/>
    <s v="307"/>
    <s v="4.0 UN"/>
    <s v="STANDARD"/>
    <s v="N"/>
    <s v="Y"/>
    <s v="N"/>
    <s v="N"/>
    <s v="N"/>
    <s v="N"/>
    <s v="N"/>
    <s v="N"/>
    <s v="B049"/>
    <d v="2016-12-21T00:00:00"/>
    <s v="40"/>
    <s v="TAN"/>
    <s v="OR"/>
    <d v="2016-12-16T00:00:00"/>
    <s v="ID"/>
    <s v="US"/>
    <s v="ZR"/>
    <d v="2016-12-16T00:00:00"/>
  </r>
  <r>
    <x v="1"/>
    <x v="0"/>
    <x v="2985"/>
    <x v="56"/>
    <s v="Standard order"/>
    <x v="2860"/>
    <x v="2432"/>
    <s v="122N"/>
    <s v="BTS 12RR2N"/>
    <s v="5002301"/>
    <s v="122N BTS CM Vibrance RP"/>
    <n v="8"/>
    <n v="0"/>
    <n v="8"/>
    <x v="0"/>
    <s v="4TBG"/>
    <s v="RP"/>
    <s v="366"/>
    <s v="4.0 UN"/>
    <s v="STANDARD"/>
    <s v="Y"/>
    <s v="N"/>
    <s v="N"/>
    <s v="N"/>
    <s v="N"/>
    <s v="N"/>
    <s v="N"/>
    <s v="Y"/>
    <s v="B010"/>
    <d v="2016-12-21T00:00:00"/>
    <s v="10"/>
    <s v="TAN"/>
    <s v="OR"/>
    <d v="2016-12-16T00:00:00"/>
    <s v="ON"/>
    <s v="CA"/>
    <s v="ZR"/>
    <d v="2016-12-16T00:00:00"/>
  </r>
  <r>
    <x v="1"/>
    <x v="0"/>
    <x v="2985"/>
    <x v="56"/>
    <s v="Standard order"/>
    <x v="2860"/>
    <x v="2432"/>
    <s v="149N"/>
    <s v="BTS 149N"/>
    <s v="5002358"/>
    <s v="149N BTS CM Vibrance RP"/>
    <n v="8"/>
    <n v="0"/>
    <n v="8"/>
    <x v="0"/>
    <s v="EEND"/>
    <s v="RP"/>
    <s v="366"/>
    <s v="4.0 UN"/>
    <s v="STANDARD"/>
    <s v="Y"/>
    <s v="N"/>
    <s v="N"/>
    <s v="N"/>
    <s v="N"/>
    <s v="N"/>
    <s v="N"/>
    <s v="Y"/>
    <s v="B010"/>
    <d v="2016-12-21T00:00:00"/>
    <s v="20"/>
    <s v="TAN"/>
    <s v="OR"/>
    <d v="2016-12-16T00:00:00"/>
    <s v="ON"/>
    <s v="CA"/>
    <s v="ZR"/>
    <d v="2016-12-16T00:00:00"/>
  </r>
  <r>
    <x v="1"/>
    <x v="0"/>
    <x v="2986"/>
    <x v="29"/>
    <s v="Standard order"/>
    <x v="2047"/>
    <x v="1981"/>
    <s v="1399"/>
    <s v="BTS 1399"/>
    <s v="5002348"/>
    <s v="1399 BTS T20 Kabina RP"/>
    <n v="24"/>
    <n v="0"/>
    <n v="24"/>
    <x v="0"/>
    <s v="EG74"/>
    <s v="RP"/>
    <s v="380"/>
    <s v="4.0 UN"/>
    <s v="STANDARD"/>
    <s v="N"/>
    <s v="N"/>
    <s v="Y"/>
    <s v="T20"/>
    <s v="N"/>
    <s v="N"/>
    <s v="N"/>
    <s v="N"/>
    <s v="B005"/>
    <d v="2016-12-21T00:00:00"/>
    <s v="10"/>
    <s v="TAN"/>
    <s v="OR"/>
    <d v="2016-12-16T00:00:00"/>
    <s v="MI"/>
    <s v="US"/>
    <s v="ZR"/>
    <d v="2016-12-16T00:00:00"/>
  </r>
  <r>
    <x v="1"/>
    <x v="0"/>
    <x v="2987"/>
    <x v="45"/>
    <s v="Standard order"/>
    <x v="2861"/>
    <x v="885"/>
    <s v="149N"/>
    <s v="BTS 149N"/>
    <s v="5002368"/>
    <s v="149N BTS T20 Kabina RP"/>
    <n v="24"/>
    <n v="0"/>
    <n v="24"/>
    <x v="0"/>
    <s v="EEND"/>
    <s v="RP"/>
    <s v="380"/>
    <s v="4.0 UN"/>
    <s v="STANDARD"/>
    <s v="N"/>
    <s v="N"/>
    <s v="Y"/>
    <s v="T20"/>
    <s v="N"/>
    <s v="N"/>
    <s v="N"/>
    <s v="N"/>
    <s v="B003"/>
    <d v="2016-12-21T00:00:00"/>
    <s v="10"/>
    <s v="TAN"/>
    <s v="OR"/>
    <d v="2016-12-16T00:00:00"/>
    <s v="MI"/>
    <s v="US"/>
    <s v="ZR"/>
    <d v="2016-12-16T00:00:00"/>
  </r>
  <r>
    <x v="1"/>
    <x v="0"/>
    <x v="2987"/>
    <x v="45"/>
    <s v="Standard order"/>
    <x v="2861"/>
    <x v="885"/>
    <s v="122N"/>
    <s v="BTS 12RR2N"/>
    <s v="5002317"/>
    <s v="122N BTS T20 SYSTIVA RP"/>
    <n v="76"/>
    <n v="0"/>
    <n v="76"/>
    <x v="0"/>
    <s v="4TBG"/>
    <s v="RP"/>
    <s v="326"/>
    <s v="4.0 UN"/>
    <s v="STANDARD"/>
    <s v="N"/>
    <s v="N"/>
    <s v="N"/>
    <s v="T20"/>
    <s v="Y"/>
    <s v="N"/>
    <s v="Y"/>
    <s v="N"/>
    <s v="B003"/>
    <d v="2016-12-21T00:00:00"/>
    <s v="20"/>
    <s v="TAN"/>
    <s v="OR"/>
    <d v="2016-12-16T00:00:00"/>
    <s v="MI"/>
    <s v="US"/>
    <s v="ZR"/>
    <d v="2016-12-16T00:00:00"/>
  </r>
  <r>
    <x v="1"/>
    <x v="4"/>
    <x v="2988"/>
    <x v="52"/>
    <s v="Standard order"/>
    <x v="2862"/>
    <x v="2433"/>
    <s v="225N"/>
    <s v="BTS 22RR5N"/>
    <s v="5002112"/>
    <s v="225N BTS PB MED"/>
    <n v="44"/>
    <n v="0"/>
    <n v="44"/>
    <x v="4"/>
    <s v="4TBD"/>
    <s v="MEDIUM"/>
    <s v="307"/>
    <s v="4.0 UN"/>
    <s v="STANDARD"/>
    <s v="N"/>
    <s v="Y"/>
    <s v="N"/>
    <s v="N"/>
    <s v="N"/>
    <s v="N"/>
    <s v="N"/>
    <s v="N"/>
    <s v="B048"/>
    <d v="2016-12-21T00:00:00"/>
    <s v="10"/>
    <s v="TAN"/>
    <s v="OR"/>
    <d v="2016-12-16T00:00:00"/>
    <s v="ID"/>
    <s v="US"/>
    <s v="ZR"/>
    <d v="2016-12-16T00:00:00"/>
  </r>
  <r>
    <x v="1"/>
    <x v="0"/>
    <x v="2989"/>
    <x v="54"/>
    <s v="Standard order"/>
    <x v="2863"/>
    <x v="2434"/>
    <s v="122N"/>
    <s v="BTS 12RR2N"/>
    <s v="5002310"/>
    <s v="122N BTS T20 Kabina P200"/>
    <n v="40"/>
    <n v="0"/>
    <n v="40"/>
    <x v="0"/>
    <s v="4TBG"/>
    <s v="PRO 200"/>
    <s v="380"/>
    <s v="4.0 UN"/>
    <s v="STANDARD"/>
    <s v="N"/>
    <s v="N"/>
    <s v="Y"/>
    <s v="T20"/>
    <s v="N"/>
    <s v="N"/>
    <s v="N"/>
    <s v="N"/>
    <s v="B002"/>
    <d v="2016-12-21T00:00:00"/>
    <s v="10"/>
    <s v="TAN"/>
    <s v="OR"/>
    <d v="2016-12-16T00:00:00"/>
    <s v="MI"/>
    <s v="US"/>
    <s v="ZR"/>
    <d v="2016-12-16T00:00:00"/>
  </r>
  <r>
    <x v="1"/>
    <x v="0"/>
    <x v="2990"/>
    <x v="56"/>
    <s v="Standard order"/>
    <x v="2864"/>
    <x v="2435"/>
    <s v="149N"/>
    <s v="BTS 149N"/>
    <s v="5002375"/>
    <s v="149N BTS Vibrance RP"/>
    <n v="20"/>
    <n v="0"/>
    <n v="20"/>
    <x v="0"/>
    <s v="EEND"/>
    <s v="RP"/>
    <s v="365"/>
    <s v="4.0 UN"/>
    <s v="STANDARD"/>
    <s v="N"/>
    <s v="N"/>
    <s v="N"/>
    <s v="N"/>
    <s v="N"/>
    <s v="N"/>
    <s v="N"/>
    <s v="Y"/>
    <s v="B010"/>
    <d v="2016-12-21T00:00:00"/>
    <s v="10"/>
    <s v="TAN"/>
    <s v="OR"/>
    <d v="2016-12-16T00:00:00"/>
    <s v="ON"/>
    <s v="CA"/>
    <s v="ZR"/>
    <d v="2016-12-16T00:00:00"/>
  </r>
  <r>
    <x v="1"/>
    <x v="0"/>
    <x v="2990"/>
    <x v="56"/>
    <s v="Standard order"/>
    <x v="2864"/>
    <x v="2435"/>
    <s v="1399"/>
    <s v="BTS 1399"/>
    <s v="5002355"/>
    <s v="1399 BTS Vibrance RP"/>
    <n v="36"/>
    <n v="0"/>
    <n v="36"/>
    <x v="0"/>
    <s v="EG74"/>
    <s v="RP"/>
    <s v="365"/>
    <s v="4.0 UN"/>
    <s v="STANDARD"/>
    <s v="N"/>
    <s v="N"/>
    <s v="N"/>
    <s v="N"/>
    <s v="N"/>
    <s v="N"/>
    <s v="N"/>
    <s v="Y"/>
    <s v="B010"/>
    <d v="2016-12-21T00:00:00"/>
    <s v="20"/>
    <s v="TAN"/>
    <s v="OR"/>
    <d v="2016-12-16T00:00:00"/>
    <s v="ON"/>
    <s v="CA"/>
    <s v="ZR"/>
    <d v="2016-12-16T00:00:00"/>
  </r>
  <r>
    <x v="1"/>
    <x v="5"/>
    <x v="2991"/>
    <x v="21"/>
    <s v="Standard order"/>
    <x v="2865"/>
    <x v="2436"/>
    <s v="398N"/>
    <s v="BTS 39RR8N"/>
    <s v="5002572"/>
    <s v="398N BTS T20 PB SYSTIVA RP"/>
    <n v="8"/>
    <n v="0"/>
    <n v="8"/>
    <x v="5"/>
    <s v="2771"/>
    <s v="RP"/>
    <s v="322"/>
    <s v="4.0 UN"/>
    <s v="STANDARD"/>
    <s v="N"/>
    <s v="Y"/>
    <s v="N"/>
    <s v="T20"/>
    <s v="Y"/>
    <s v="N"/>
    <s v="N"/>
    <s v="N"/>
    <s v="B013"/>
    <d v="2016-12-21T00:00:00"/>
    <s v="10"/>
    <s v="TAN"/>
    <s v="OR"/>
    <d v="2016-12-16T00:00:00"/>
    <s v="MT"/>
    <s v="US"/>
    <s v="ZR"/>
    <d v="2016-12-16T00:00:00"/>
  </r>
  <r>
    <x v="1"/>
    <x v="5"/>
    <x v="2991"/>
    <x v="21"/>
    <s v="Standard order"/>
    <x v="2865"/>
    <x v="2436"/>
    <s v="336N"/>
    <s v="BTS 336N"/>
    <s v="5002400"/>
    <s v="336N BTS T20 PB SYSTIVA RP"/>
    <n v="12"/>
    <n v="0"/>
    <n v="12"/>
    <x v="5"/>
    <s v="EEMG"/>
    <s v="RP"/>
    <s v="322"/>
    <s v="4.0 UN"/>
    <s v="STANDARD"/>
    <s v="N"/>
    <s v="N"/>
    <s v="N"/>
    <s v="T20"/>
    <s v="Y"/>
    <s v="N"/>
    <s v="N"/>
    <s v="N"/>
    <s v="B013"/>
    <d v="2016-12-21T00:00:00"/>
    <s v="20"/>
    <s v="TAN"/>
    <s v="OR"/>
    <d v="2016-12-16T00:00:00"/>
    <s v="MT"/>
    <s v="US"/>
    <s v="ZR"/>
    <d v="2016-12-16T00:00:00"/>
  </r>
  <r>
    <x v="1"/>
    <x v="0"/>
    <x v="2992"/>
    <x v="49"/>
    <s v="Standard order"/>
    <x v="2866"/>
    <x v="2437"/>
    <s v="149N"/>
    <s v="BTS 149N"/>
    <s v="5002368"/>
    <s v="149N BTS T20 Kabina RP"/>
    <n v="100"/>
    <n v="0"/>
    <n v="100"/>
    <x v="0"/>
    <s v="EEND"/>
    <s v="RP"/>
    <s v="380"/>
    <s v="4.0 UN"/>
    <s v="STANDARD"/>
    <s v="N"/>
    <s v="N"/>
    <s v="Y"/>
    <s v="T20"/>
    <s v="N"/>
    <s v="N"/>
    <s v="N"/>
    <s v="N"/>
    <s v="B004"/>
    <d v="2016-12-21T00:00:00"/>
    <s v="10"/>
    <s v="TAN"/>
    <s v="OR"/>
    <d v="2016-12-16T00:00:00"/>
    <s v="MI"/>
    <s v="US"/>
    <s v="ZR"/>
    <d v="2016-12-16T00:00:00"/>
  </r>
  <r>
    <x v="1"/>
    <x v="0"/>
    <x v="2992"/>
    <x v="49"/>
    <s v="Standard order"/>
    <x v="2866"/>
    <x v="2437"/>
    <s v="133N"/>
    <s v="BTS 133N"/>
    <s v="5002329"/>
    <s v="133N BTS T20 Kabina RP"/>
    <n v="52"/>
    <n v="0"/>
    <n v="52"/>
    <x v="0"/>
    <s v="DW73"/>
    <s v="RP"/>
    <s v="380"/>
    <s v="4.0 UN"/>
    <s v="STANDARD"/>
    <s v="N"/>
    <s v="N"/>
    <s v="Y"/>
    <s v="T20"/>
    <s v="N"/>
    <s v="N"/>
    <s v="N"/>
    <s v="N"/>
    <s v="B004"/>
    <d v="2016-12-21T00:00:00"/>
    <s v="20"/>
    <s v="TAN"/>
    <s v="OR"/>
    <d v="2016-12-16T00:00:00"/>
    <s v="MI"/>
    <s v="US"/>
    <s v="ZR"/>
    <d v="2016-12-16T00:00:00"/>
  </r>
  <r>
    <x v="1"/>
    <x v="0"/>
    <x v="2992"/>
    <x v="49"/>
    <s v="Standard order"/>
    <x v="2866"/>
    <x v="2437"/>
    <s v="122N"/>
    <s v="BTS 12RR2N"/>
    <s v="5002311"/>
    <s v="122N BTS T20 Kabina RP"/>
    <n v="16"/>
    <n v="0"/>
    <n v="16"/>
    <x v="0"/>
    <s v="4TBG"/>
    <s v="RP"/>
    <s v="380"/>
    <s v="4.0 UN"/>
    <s v="STANDARD"/>
    <s v="N"/>
    <s v="N"/>
    <s v="Y"/>
    <s v="T20"/>
    <s v="N"/>
    <s v="N"/>
    <s v="N"/>
    <s v="N"/>
    <s v="B004"/>
    <d v="2016-12-21T00:00:00"/>
    <s v="30"/>
    <s v="TAN"/>
    <s v="OR"/>
    <d v="2016-12-16T00:00:00"/>
    <s v="MI"/>
    <s v="US"/>
    <s v="ZR"/>
    <d v="2016-12-16T00:00:00"/>
  </r>
  <r>
    <x v="1"/>
    <x v="0"/>
    <x v="2993"/>
    <x v="54"/>
    <s v="Standard order"/>
    <x v="2867"/>
    <x v="2438"/>
    <s v="149N"/>
    <s v="BTS 149N"/>
    <s v="5002368"/>
    <s v="149N BTS T20 Kabina RP"/>
    <n v="20"/>
    <n v="0"/>
    <n v="20"/>
    <x v="0"/>
    <s v="EEND"/>
    <s v="RP"/>
    <s v="380"/>
    <s v="4.0 UN"/>
    <s v="STANDARD"/>
    <s v="N"/>
    <s v="N"/>
    <s v="Y"/>
    <s v="T20"/>
    <s v="N"/>
    <s v="N"/>
    <s v="N"/>
    <s v="N"/>
    <s v="B002"/>
    <d v="2016-12-21T00:00:00"/>
    <s v="10"/>
    <s v="TAN"/>
    <s v="OR"/>
    <d v="2016-12-16T00:00:00"/>
    <s v="MI"/>
    <s v="US"/>
    <s v="ZR"/>
    <d v="2016-12-16T00:00:00"/>
  </r>
  <r>
    <x v="1"/>
    <x v="6"/>
    <x v="2994"/>
    <x v="51"/>
    <s v="Standard order"/>
    <x v="2868"/>
    <x v="888"/>
    <s v="459N"/>
    <s v="BTS 459N"/>
    <s v="5002256"/>
    <s v="459N BTS T20 PB SYSTIVA P100"/>
    <n v="48"/>
    <n v="0"/>
    <n v="48"/>
    <x v="6"/>
    <s v="DVNU"/>
    <s v="PRO 100"/>
    <s v="322"/>
    <s v="4.0 UN"/>
    <s v="STANDARD"/>
    <s v="N"/>
    <s v="N"/>
    <s v="N"/>
    <s v="T20"/>
    <s v="Y"/>
    <s v="N"/>
    <s v="Y"/>
    <s v="N"/>
    <s v="B011"/>
    <d v="2016-12-21T00:00:00"/>
    <s v="10"/>
    <s v="TAN"/>
    <s v="OR"/>
    <d v="2016-12-16T00:00:00"/>
    <s v="MT"/>
    <s v="US"/>
    <s v="ZR"/>
    <d v="2016-12-16T00:00:00"/>
  </r>
  <r>
    <x v="1"/>
    <x v="6"/>
    <x v="2994"/>
    <x v="51"/>
    <s v="Standard order"/>
    <x v="2868"/>
    <x v="888"/>
    <s v="444N"/>
    <s v="BTS 444N"/>
    <s v="5002226"/>
    <s v="444N BTS T20 PB SYSTIVA P100"/>
    <n v="24"/>
    <n v="0"/>
    <n v="24"/>
    <x v="6"/>
    <s v="DVND"/>
    <s v="PRO 100"/>
    <s v="322"/>
    <s v="4.0 UN"/>
    <s v="STANDARD"/>
    <s v="N"/>
    <s v="N"/>
    <s v="N"/>
    <s v="T20"/>
    <s v="Y"/>
    <s v="N"/>
    <s v="Y"/>
    <s v="N"/>
    <s v="B011"/>
    <d v="2016-12-21T00:00:00"/>
    <s v="20"/>
    <s v="TAN"/>
    <s v="OR"/>
    <d v="2016-12-16T00:00:00"/>
    <s v="MT"/>
    <s v="US"/>
    <s v="ZR"/>
    <d v="2016-12-16T00:00:00"/>
  </r>
  <r>
    <x v="1"/>
    <x v="6"/>
    <x v="2994"/>
    <x v="51"/>
    <s v="Standard order"/>
    <x v="2868"/>
    <x v="888"/>
    <s v="437N"/>
    <s v="BTS 437N"/>
    <s v="5002208"/>
    <s v="437N BTS T20 PB SYSTIVA P100"/>
    <n v="12"/>
    <n v="0"/>
    <n v="12"/>
    <x v="6"/>
    <s v="EE73"/>
    <s v="PRO 100"/>
    <s v="322"/>
    <s v="4.0 UN"/>
    <s v="STANDARD"/>
    <s v="N"/>
    <s v="N"/>
    <s v="N"/>
    <s v="T20"/>
    <s v="Y"/>
    <s v="N"/>
    <s v="Y"/>
    <s v="N"/>
    <s v="B011"/>
    <d v="2016-12-21T00:00:00"/>
    <s v="30"/>
    <s v="TAN"/>
    <s v="OR"/>
    <d v="2016-12-16T00:00:00"/>
    <s v="MT"/>
    <s v="US"/>
    <s v="ZR"/>
    <d v="2016-12-16T00:00:00"/>
  </r>
  <r>
    <x v="1"/>
    <x v="0"/>
    <x v="2995"/>
    <x v="43"/>
    <s v="Standard order"/>
    <x v="2869"/>
    <x v="1287"/>
    <s v="149N"/>
    <s v="BTS 149N"/>
    <s v="5002368"/>
    <s v="149N BTS T20 Kabina RP"/>
    <n v="24"/>
    <n v="0"/>
    <n v="24"/>
    <x v="0"/>
    <s v="EEND"/>
    <s v="RP"/>
    <s v="380"/>
    <s v="4.0 UN"/>
    <s v="STANDARD"/>
    <s v="N"/>
    <s v="N"/>
    <s v="Y"/>
    <s v="T20"/>
    <s v="N"/>
    <s v="N"/>
    <s v="N"/>
    <s v="N"/>
    <s v="B006"/>
    <d v="2016-12-21T00:00:00"/>
    <s v="10"/>
    <s v="TAN"/>
    <s v="OR"/>
    <d v="2016-12-16T00:00:00"/>
    <s v="MI"/>
    <s v="US"/>
    <s v="ZR"/>
    <d v="2016-12-16T00:00:00"/>
  </r>
  <r>
    <x v="1"/>
    <x v="0"/>
    <x v="2995"/>
    <x v="43"/>
    <s v="Standard order"/>
    <x v="2869"/>
    <x v="1287"/>
    <s v="133N"/>
    <s v="BTS 133N"/>
    <s v="5002329"/>
    <s v="133N BTS T20 Kabina RP"/>
    <n v="8"/>
    <n v="0"/>
    <n v="8"/>
    <x v="0"/>
    <s v="DW73"/>
    <s v="RP"/>
    <s v="380"/>
    <s v="4.0 UN"/>
    <s v="STANDARD"/>
    <s v="N"/>
    <s v="N"/>
    <s v="Y"/>
    <s v="T20"/>
    <s v="N"/>
    <s v="N"/>
    <s v="N"/>
    <s v="N"/>
    <s v="B006"/>
    <d v="2016-12-21T00:00:00"/>
    <s v="20"/>
    <s v="TAN"/>
    <s v="OR"/>
    <d v="2016-12-16T00:00:00"/>
    <s v="MI"/>
    <s v="US"/>
    <s v="ZR"/>
    <d v="2016-12-16T00:00:00"/>
  </r>
  <r>
    <x v="1"/>
    <x v="2"/>
    <x v="2996"/>
    <x v="3"/>
    <s v="Standard order"/>
    <x v="2870"/>
    <x v="863"/>
    <s v="630N"/>
    <s v="BTS 630N"/>
    <s v="5002403"/>
    <s v="630N BTS T20 PB SYSTIVA P200"/>
    <n v="60"/>
    <n v="0"/>
    <n v="60"/>
    <x v="2"/>
    <s v="DW73"/>
    <s v="PRO 200"/>
    <s v="322"/>
    <s v="4.0 UN"/>
    <s v="STANDARD"/>
    <s v="N"/>
    <s v="N"/>
    <s v="N"/>
    <s v="T20"/>
    <s v="Y"/>
    <s v="N"/>
    <s v="Y"/>
    <s v="N"/>
    <s v="B024"/>
    <d v="2016-12-21T00:00:00"/>
    <s v="10"/>
    <s v="TAN"/>
    <s v="OR"/>
    <d v="2016-12-16T00:00:00"/>
    <s v="NE"/>
    <s v="US"/>
    <s v="ZR"/>
    <d v="2016-12-16T00:00:00"/>
  </r>
  <r>
    <x v="1"/>
    <x v="2"/>
    <x v="2996"/>
    <x v="3"/>
    <s v="Standard order"/>
    <x v="2870"/>
    <x v="863"/>
    <s v="6027"/>
    <s v="BTS 60RR27"/>
    <s v="5002646"/>
    <s v="6027 BTS T20 PB SYSTIVA P200 WSS"/>
    <n v="32"/>
    <n v="0"/>
    <n v="32"/>
    <x v="2"/>
    <s v="APMC"/>
    <s v="PRO 200"/>
    <s v="322"/>
    <s v="4.0 UN"/>
    <s v="STANDARD"/>
    <s v="N"/>
    <s v="N"/>
    <s v="N"/>
    <s v="T20"/>
    <s v="Y"/>
    <s v="N"/>
    <s v="Y"/>
    <s v="N"/>
    <s v="B024"/>
    <d v="2016-12-21T00:00:00"/>
    <s v="20"/>
    <s v="TAN"/>
    <s v="OR"/>
    <d v="2016-12-16T00:00:00"/>
    <s v="NE"/>
    <s v="US"/>
    <s v="ZR"/>
    <d v="2016-12-16T00:00:00"/>
  </r>
  <r>
    <x v="1"/>
    <x v="0"/>
    <x v="2997"/>
    <x v="57"/>
    <s v="Standard order"/>
    <x v="2871"/>
    <x v="2439"/>
    <s v="133N"/>
    <s v="BTS 133N"/>
    <s v="5002329"/>
    <s v="133N BTS T20 Kabina RP"/>
    <n v="8"/>
    <n v="0"/>
    <n v="8"/>
    <x v="0"/>
    <s v="DW73"/>
    <s v="RP"/>
    <s v="380"/>
    <s v="4.0 UN"/>
    <s v="STANDARD"/>
    <s v="N"/>
    <s v="N"/>
    <s v="Y"/>
    <s v="T20"/>
    <s v="N"/>
    <s v="N"/>
    <s v="N"/>
    <s v="N"/>
    <s v="B008"/>
    <d v="2016-12-21T00:00:00"/>
    <s v="10"/>
    <s v="TAN"/>
    <s v="OR"/>
    <d v="2016-12-16T00:00:00"/>
    <s v="MI"/>
    <s v="US"/>
    <s v="ZR"/>
    <d v="2016-12-16T00:00:00"/>
  </r>
  <r>
    <x v="1"/>
    <x v="0"/>
    <x v="2998"/>
    <x v="29"/>
    <s v="Standard order"/>
    <x v="2872"/>
    <x v="2440"/>
    <s v="122N"/>
    <s v="BTS 12RR2N"/>
    <s v="5002311"/>
    <s v="122N BTS T20 Kabina RP"/>
    <n v="52"/>
    <n v="0"/>
    <n v="52"/>
    <x v="0"/>
    <s v="4TBG"/>
    <s v="RP"/>
    <s v="380"/>
    <s v="4.0 UN"/>
    <s v="STANDARD"/>
    <s v="N"/>
    <s v="N"/>
    <s v="Y"/>
    <s v="T20"/>
    <s v="N"/>
    <s v="N"/>
    <s v="N"/>
    <s v="N"/>
    <s v="B005"/>
    <d v="2016-12-21T00:00:00"/>
    <s v="10"/>
    <s v="TAN"/>
    <s v="OR"/>
    <d v="2016-12-16T00:00:00"/>
    <s v="MI"/>
    <s v="US"/>
    <s v="ZR"/>
    <d v="2016-12-16T00:00:00"/>
  </r>
  <r>
    <x v="1"/>
    <x v="0"/>
    <x v="2998"/>
    <x v="29"/>
    <s v="Standard order"/>
    <x v="2872"/>
    <x v="2440"/>
    <s v="1399"/>
    <s v="BTS 1399"/>
    <s v="5002348"/>
    <s v="1399 BTS T20 Kabina RP"/>
    <n v="36"/>
    <n v="0"/>
    <n v="36"/>
    <x v="0"/>
    <s v="EG74"/>
    <s v="RP"/>
    <s v="380"/>
    <s v="4.0 UN"/>
    <s v="STANDARD"/>
    <s v="N"/>
    <s v="N"/>
    <s v="Y"/>
    <s v="T20"/>
    <s v="N"/>
    <s v="N"/>
    <s v="N"/>
    <s v="N"/>
    <s v="B005"/>
    <d v="2016-12-21T00:00:00"/>
    <s v="20"/>
    <s v="TAN"/>
    <s v="OR"/>
    <d v="2016-12-16T00:00:00"/>
    <s v="MI"/>
    <s v="US"/>
    <s v="ZR"/>
    <d v="2016-12-16T00:00:00"/>
  </r>
  <r>
    <x v="1"/>
    <x v="4"/>
    <x v="2999"/>
    <x v="52"/>
    <s v="Standard order"/>
    <x v="2873"/>
    <x v="2441"/>
    <s v="251N"/>
    <s v="BTS 251N"/>
    <s v="5002503"/>
    <s v="251N BTS PB Kabina LRG"/>
    <n v="28"/>
    <n v="0"/>
    <n v="28"/>
    <x v="4"/>
    <s v="5HBR"/>
    <s v="LARGE"/>
    <s v="384"/>
    <s v="4.0 UN"/>
    <s v="STANDARD"/>
    <s v="N"/>
    <s v="Y"/>
    <s v="Y"/>
    <s v="N"/>
    <s v="N"/>
    <s v="N"/>
    <s v="N"/>
    <s v="N"/>
    <s v="B048"/>
    <d v="2016-12-21T00:00:00"/>
    <s v="10"/>
    <s v="TAN"/>
    <s v="OR"/>
    <d v="2016-12-16T00:00:00"/>
    <s v="ID"/>
    <s v="US"/>
    <s v="ZR"/>
    <d v="2016-12-16T00:00:00"/>
  </r>
  <r>
    <x v="1"/>
    <x v="4"/>
    <x v="2999"/>
    <x v="52"/>
    <s v="Standard order"/>
    <x v="2873"/>
    <x v="2441"/>
    <s v="2559"/>
    <s v="BTS 2559"/>
    <s v="5002571"/>
    <s v="2559 BTS PB Kabina LRG"/>
    <n v="16"/>
    <n v="0"/>
    <n v="16"/>
    <x v="4"/>
    <s v="FGNE"/>
    <s v="LARGE"/>
    <s v="384"/>
    <s v="4.0 UN"/>
    <s v="STANDARD"/>
    <s v="N"/>
    <s v="Y"/>
    <s v="Y"/>
    <s v="N"/>
    <s v="N"/>
    <s v="N"/>
    <s v="N"/>
    <s v="N"/>
    <s v="B048"/>
    <d v="2016-12-21T00:00:00"/>
    <s v="20"/>
    <s v="TAN"/>
    <s v="OR"/>
    <d v="2016-12-16T00:00:00"/>
    <s v="ID"/>
    <s v="US"/>
    <s v="ZR"/>
    <d v="2016-12-16T00:00:00"/>
  </r>
  <r>
    <x v="1"/>
    <x v="4"/>
    <x v="2999"/>
    <x v="52"/>
    <s v="Standard order"/>
    <x v="2873"/>
    <x v="2441"/>
    <s v="225N"/>
    <s v="BTS 22RR5N"/>
    <s v="5002106"/>
    <s v="225N BTS PB Kabina LRG"/>
    <n v="24"/>
    <n v="0"/>
    <n v="24"/>
    <x v="4"/>
    <s v="4TBD"/>
    <s v="LARGE"/>
    <s v="384"/>
    <s v="4.0 UN"/>
    <s v="STANDARD"/>
    <s v="N"/>
    <s v="Y"/>
    <s v="Y"/>
    <s v="N"/>
    <s v="N"/>
    <s v="N"/>
    <s v="N"/>
    <s v="N"/>
    <s v="B048"/>
    <d v="2016-12-21T00:00:00"/>
    <s v="30"/>
    <s v="TAN"/>
    <s v="OR"/>
    <d v="2016-12-16T00:00:00"/>
    <s v="ID"/>
    <s v="US"/>
    <s v="ZR"/>
    <d v="2016-12-16T00:00:00"/>
  </r>
  <r>
    <x v="1"/>
    <x v="4"/>
    <x v="3000"/>
    <x v="44"/>
    <s v="Standard order"/>
    <x v="2874"/>
    <x v="984"/>
    <s v="251N"/>
    <s v="BTS 251N"/>
    <s v="5002503"/>
    <s v="251N BTS PB Kabina LRG"/>
    <n v="12"/>
    <n v="0"/>
    <n v="12"/>
    <x v="4"/>
    <s v="5HBR"/>
    <s v="LARGE"/>
    <s v="384"/>
    <s v="4.0 UN"/>
    <s v="STANDARD"/>
    <s v="N"/>
    <s v="Y"/>
    <s v="Y"/>
    <s v="N"/>
    <s v="N"/>
    <s v="N"/>
    <s v="N"/>
    <s v="N"/>
    <s v="MB13"/>
    <d v="2016-12-21T00:00:00"/>
    <s v="10"/>
    <s v="TAN"/>
    <s v="OR"/>
    <d v="2016-12-16T00:00:00"/>
    <s v="ID"/>
    <s v="US"/>
    <s v="ZR"/>
    <d v="2016-12-16T00:00:00"/>
  </r>
  <r>
    <x v="1"/>
    <x v="0"/>
    <x v="3001"/>
    <x v="42"/>
    <s v="Standard order"/>
    <x v="2875"/>
    <x v="2442"/>
    <s v="1399"/>
    <s v="BTS 1399"/>
    <s v="5002347"/>
    <s v="1399 BTS T20 Kabina P200"/>
    <n v="344"/>
    <n v="0"/>
    <n v="344"/>
    <x v="0"/>
    <s v="EG74"/>
    <s v="PRO 200"/>
    <s v="380"/>
    <s v="4.0 UN"/>
    <s v="STANDARD"/>
    <s v="N"/>
    <s v="N"/>
    <s v="Y"/>
    <s v="T20"/>
    <s v="N"/>
    <s v="N"/>
    <s v="N"/>
    <s v="N"/>
    <s v="B007"/>
    <d v="2016-12-21T00:00:00"/>
    <s v="10"/>
    <s v="TAN"/>
    <s v="OR"/>
    <d v="2016-12-16T00:00:00"/>
    <s v="MI"/>
    <s v="US"/>
    <s v="ZR"/>
    <d v="2016-12-16T00:00:00"/>
  </r>
  <r>
    <x v="1"/>
    <x v="2"/>
    <x v="3002"/>
    <x v="22"/>
    <s v="Standard order"/>
    <x v="2876"/>
    <x v="874"/>
    <s v="628N"/>
    <s v="BTS 62RR8N"/>
    <s v="5002683"/>
    <s v="628N BTS T20 PB SYSTIVA P100"/>
    <n v="32"/>
    <n v="0"/>
    <n v="32"/>
    <x v="2"/>
    <s v="BL73"/>
    <s v="PRO 100"/>
    <s v="322"/>
    <s v="4.0 UN"/>
    <s v="STANDARD"/>
    <s v="N"/>
    <s v="N"/>
    <s v="N"/>
    <s v="T20"/>
    <s v="Y"/>
    <s v="N"/>
    <s v="Y"/>
    <s v="N"/>
    <s v="B018"/>
    <d v="2016-12-21T00:00:00"/>
    <s v="10"/>
    <s v="TAN"/>
    <s v="OR"/>
    <d v="2016-12-15T00:00:00"/>
    <s v="CO"/>
    <s v="US"/>
    <s v="ZR"/>
    <d v="2016-12-16T00:00:00"/>
  </r>
  <r>
    <x v="1"/>
    <x v="7"/>
    <x v="3003"/>
    <x v="37"/>
    <s v="Standard order"/>
    <x v="2877"/>
    <x v="2443"/>
    <s v="8500"/>
    <s v="BTS 8500"/>
    <s v="5002856"/>
    <s v="8500 BTS T35 PB SYSTIVA RP"/>
    <n v="52"/>
    <n v="0"/>
    <n v="52"/>
    <x v="7"/>
    <s v="FTND"/>
    <s v="RP"/>
    <s v="333"/>
    <s v="4.0 UN"/>
    <s v="STANDARD"/>
    <s v="N"/>
    <s v="Y"/>
    <s v="N"/>
    <s v="T35"/>
    <s v="Y"/>
    <s v="N"/>
    <s v="Y"/>
    <s v="N"/>
    <s v="B033"/>
    <d v="2016-12-21T00:00:00"/>
    <s v="10"/>
    <s v="TAN"/>
    <s v="OR"/>
    <d v="2016-12-15T00:00:00"/>
    <s v="ND"/>
    <s v="US"/>
    <s v="ZR"/>
    <d v="2016-12-16T00:00:00"/>
  </r>
  <r>
    <x v="1"/>
    <x v="7"/>
    <x v="3004"/>
    <x v="37"/>
    <s v="Standard order"/>
    <x v="2878"/>
    <x v="2444"/>
    <s v="8500"/>
    <s v="BTS 8500"/>
    <s v="5002856"/>
    <s v="8500 BTS T35 PB SYSTIVA RP"/>
    <n v="24"/>
    <n v="0"/>
    <n v="24"/>
    <x v="7"/>
    <s v="FTND"/>
    <s v="RP"/>
    <s v="333"/>
    <s v="4.0 UN"/>
    <s v="STANDARD"/>
    <s v="N"/>
    <s v="Y"/>
    <s v="N"/>
    <s v="T35"/>
    <s v="Y"/>
    <s v="N"/>
    <s v="Y"/>
    <s v="N"/>
    <s v="B033"/>
    <d v="2016-12-21T00:00:00"/>
    <s v="10"/>
    <s v="TAN"/>
    <s v="OR"/>
    <d v="2016-12-15T00:00:00"/>
    <s v="ND"/>
    <s v="US"/>
    <s v="ZR"/>
    <d v="2016-12-16T00:00:00"/>
  </r>
  <r>
    <x v="1"/>
    <x v="0"/>
    <x v="3005"/>
    <x v="43"/>
    <s v="Standard order"/>
    <x v="2879"/>
    <x v="2445"/>
    <s v="149N"/>
    <s v="BTS 149N"/>
    <s v="5002366"/>
    <s v="149N BTS T20 Kabina MP"/>
    <n v="12"/>
    <n v="0"/>
    <n v="12"/>
    <x v="0"/>
    <s v="EEND"/>
    <s v="MP"/>
    <s v="380"/>
    <s v="4.0 UN"/>
    <s v="STANDARD"/>
    <s v="N"/>
    <s v="N"/>
    <s v="Y"/>
    <s v="T20"/>
    <s v="N"/>
    <s v="N"/>
    <s v="N"/>
    <s v="N"/>
    <s v="B006"/>
    <d v="2016-12-21T00:00:00"/>
    <s v="10"/>
    <s v="TAN"/>
    <s v="OR"/>
    <d v="2016-12-15T00:00:00"/>
    <s v="MI"/>
    <s v="US"/>
    <s v="ZR"/>
    <d v="2016-12-16T00:00:00"/>
  </r>
  <r>
    <x v="1"/>
    <x v="0"/>
    <x v="3006"/>
    <x v="43"/>
    <s v="Standard order"/>
    <x v="2880"/>
    <x v="1197"/>
    <s v="1399"/>
    <s v="BTS 1399"/>
    <s v="5002347"/>
    <s v="1399 BTS T20 Kabina P200"/>
    <n v="48"/>
    <n v="0"/>
    <n v="48"/>
    <x v="0"/>
    <s v="EG74"/>
    <s v="PRO 200"/>
    <s v="380"/>
    <s v="4.0 UN"/>
    <s v="STANDARD"/>
    <s v="N"/>
    <s v="N"/>
    <s v="Y"/>
    <s v="T20"/>
    <s v="N"/>
    <s v="N"/>
    <s v="N"/>
    <s v="N"/>
    <s v="B006"/>
    <d v="2016-12-21T00:00:00"/>
    <s v="20"/>
    <s v="TAN"/>
    <s v="OR"/>
    <d v="2016-12-15T00:00:00"/>
    <s v="MI"/>
    <s v="US"/>
    <s v="ZR"/>
    <d v="2016-12-16T00:00:00"/>
  </r>
  <r>
    <x v="1"/>
    <x v="0"/>
    <x v="3006"/>
    <x v="43"/>
    <s v="Standard order"/>
    <x v="2880"/>
    <x v="1197"/>
    <s v="133N"/>
    <s v="BTS 133N"/>
    <s v="5002328"/>
    <s v="133N BTS T20 Kabina P200"/>
    <n v="40"/>
    <n v="0"/>
    <n v="40"/>
    <x v="0"/>
    <s v="DW73"/>
    <s v="PRO 200"/>
    <s v="380"/>
    <s v="4.0 UN"/>
    <s v="STANDARD"/>
    <s v="N"/>
    <s v="N"/>
    <s v="Y"/>
    <s v="T20"/>
    <s v="N"/>
    <s v="N"/>
    <s v="N"/>
    <s v="N"/>
    <s v="B006"/>
    <d v="2016-12-21T00:00:00"/>
    <s v="10"/>
    <s v="TAN"/>
    <s v="OR"/>
    <d v="2016-12-15T00:00:00"/>
    <s v="MI"/>
    <s v="US"/>
    <s v="ZR"/>
    <d v="2016-12-16T00:00:00"/>
  </r>
  <r>
    <x v="1"/>
    <x v="0"/>
    <x v="3007"/>
    <x v="45"/>
    <s v="Standard order"/>
    <x v="2881"/>
    <x v="2446"/>
    <s v="149N"/>
    <s v="BTS 149N"/>
    <s v="5002368"/>
    <s v="149N BTS T20 Kabina RP"/>
    <n v="24"/>
    <n v="0"/>
    <n v="24"/>
    <x v="0"/>
    <s v="EEND"/>
    <s v="RP"/>
    <s v="380"/>
    <s v="4.0 UN"/>
    <s v="STANDARD"/>
    <s v="N"/>
    <s v="N"/>
    <s v="Y"/>
    <s v="T20"/>
    <s v="N"/>
    <s v="N"/>
    <s v="N"/>
    <s v="N"/>
    <s v="B003"/>
    <d v="2016-12-21T00:00:00"/>
    <s v="10"/>
    <s v="TAN"/>
    <s v="OR"/>
    <d v="2016-12-15T00:00:00"/>
    <s v="MI"/>
    <s v="US"/>
    <s v="ZR"/>
    <d v="2016-12-16T00:00:00"/>
  </r>
  <r>
    <x v="1"/>
    <x v="0"/>
    <x v="3007"/>
    <x v="45"/>
    <s v="Standard order"/>
    <x v="2881"/>
    <x v="2446"/>
    <s v="122N"/>
    <s v="BTS 12RR2N"/>
    <s v="5002317"/>
    <s v="122N BTS T20 SYSTIVA RP"/>
    <n v="12"/>
    <n v="0"/>
    <n v="12"/>
    <x v="0"/>
    <s v="4TBG"/>
    <s v="RP"/>
    <s v="326"/>
    <s v="4.0 UN"/>
    <s v="STANDARD"/>
    <s v="N"/>
    <s v="N"/>
    <s v="N"/>
    <s v="T20"/>
    <s v="Y"/>
    <s v="N"/>
    <s v="Y"/>
    <s v="N"/>
    <s v="B003"/>
    <d v="2016-12-21T00:00:00"/>
    <s v="20"/>
    <s v="TAN"/>
    <s v="OR"/>
    <d v="2016-12-15T00:00:00"/>
    <s v="MI"/>
    <s v="US"/>
    <s v="ZR"/>
    <d v="2016-12-16T00:00:00"/>
  </r>
  <r>
    <x v="1"/>
    <x v="5"/>
    <x v="3008"/>
    <x v="21"/>
    <s v="Standard order"/>
    <x v="2882"/>
    <x v="2447"/>
    <s v="398N"/>
    <s v="BTS 39RR8N"/>
    <s v="5002572"/>
    <s v="398N BTS T20 PB SYSTIVA RP"/>
    <n v="32"/>
    <n v="0"/>
    <n v="32"/>
    <x v="5"/>
    <s v="2771"/>
    <s v="RP"/>
    <s v="322"/>
    <s v="4.0 UN"/>
    <s v="STANDARD"/>
    <s v="N"/>
    <s v="Y"/>
    <s v="N"/>
    <s v="T20"/>
    <s v="Y"/>
    <s v="N"/>
    <s v="N"/>
    <s v="N"/>
    <s v="B013"/>
    <d v="2016-12-21T00:00:00"/>
    <s v="10"/>
    <s v="TAN"/>
    <s v="OR"/>
    <d v="2016-12-15T00:00:00"/>
    <s v="MT"/>
    <s v="US"/>
    <s v="ZR"/>
    <d v="2016-12-16T00:00:00"/>
  </r>
  <r>
    <x v="1"/>
    <x v="5"/>
    <x v="3009"/>
    <x v="21"/>
    <s v="Standard order"/>
    <x v="2883"/>
    <x v="2448"/>
    <s v="336N"/>
    <s v="BTS 336N"/>
    <s v="5002400"/>
    <s v="336N BTS T20 PB SYSTIVA RP"/>
    <n v="72"/>
    <n v="0"/>
    <n v="72"/>
    <x v="5"/>
    <s v="EEMG"/>
    <s v="RP"/>
    <s v="322"/>
    <s v="4.0 UN"/>
    <s v="STANDARD"/>
    <s v="N"/>
    <s v="N"/>
    <s v="N"/>
    <s v="T20"/>
    <s v="Y"/>
    <s v="N"/>
    <s v="N"/>
    <s v="N"/>
    <s v="B013"/>
    <d v="2016-12-21T00:00:00"/>
    <s v="10"/>
    <s v="TAN"/>
    <s v="OR"/>
    <d v="2016-12-15T00:00:00"/>
    <s v="MT"/>
    <s v="US"/>
    <s v="ZR"/>
    <d v="2016-12-16T00:00:00"/>
  </r>
  <r>
    <x v="1"/>
    <x v="5"/>
    <x v="3009"/>
    <x v="21"/>
    <s v="Standard order"/>
    <x v="2883"/>
    <x v="2448"/>
    <s v="353N"/>
    <s v="BTS 353N"/>
    <s v="5002524"/>
    <s v="353N BTS T20 PB SYSTIVA RP"/>
    <n v="8"/>
    <n v="0"/>
    <n v="8"/>
    <x v="5"/>
    <s v="EENZ"/>
    <s v="RP"/>
    <s v="322"/>
    <s v="4.0 UN"/>
    <s v="STANDARD"/>
    <s v="N"/>
    <s v="Y"/>
    <s v="N"/>
    <s v="T20"/>
    <s v="Y"/>
    <s v="N"/>
    <s v="N"/>
    <s v="N"/>
    <s v="B013"/>
    <d v="2016-12-21T00:00:00"/>
    <s v="20"/>
    <s v="TAN"/>
    <s v="OR"/>
    <d v="2016-12-15T00:00:00"/>
    <s v="MT"/>
    <s v="US"/>
    <s v="ZR"/>
    <d v="2016-12-16T00:00:00"/>
  </r>
  <r>
    <x v="1"/>
    <x v="7"/>
    <x v="3010"/>
    <x v="37"/>
    <s v="Standard order"/>
    <x v="2884"/>
    <x v="2449"/>
    <s v="8500"/>
    <s v="BTS 8500"/>
    <s v="5002856"/>
    <s v="8500 BTS T35 PB SYSTIVA RP"/>
    <n v="16"/>
    <n v="0"/>
    <n v="16"/>
    <x v="7"/>
    <s v="FTND"/>
    <s v="RP"/>
    <s v="333"/>
    <s v="4.0 UN"/>
    <s v="STANDARD"/>
    <s v="N"/>
    <s v="Y"/>
    <s v="N"/>
    <s v="T35"/>
    <s v="Y"/>
    <s v="N"/>
    <s v="Y"/>
    <s v="N"/>
    <s v="B033"/>
    <d v="2016-12-21T00:00:00"/>
    <s v="10"/>
    <s v="TAN"/>
    <s v="OR"/>
    <d v="2016-12-15T00:00:00"/>
    <s v="ND"/>
    <s v="US"/>
    <s v="ZR"/>
    <d v="2016-12-16T00:00:00"/>
  </r>
  <r>
    <x v="1"/>
    <x v="4"/>
    <x v="3011"/>
    <x v="53"/>
    <s v="Standard order"/>
    <x v="2885"/>
    <x v="434"/>
    <s v="225N"/>
    <s v="BTS 22RR5N"/>
    <s v="5002111"/>
    <s v="225N BTS PB LRG"/>
    <n v="36"/>
    <n v="0"/>
    <n v="36"/>
    <x v="4"/>
    <s v="4TBD"/>
    <s v="LARGE"/>
    <s v="307"/>
    <s v="4.0 UN"/>
    <s v="STANDARD"/>
    <s v="N"/>
    <s v="Y"/>
    <s v="N"/>
    <s v="N"/>
    <s v="N"/>
    <s v="N"/>
    <s v="N"/>
    <s v="N"/>
    <s v="B051"/>
    <d v="2016-12-21T00:00:00"/>
    <s v="10"/>
    <s v="TAN"/>
    <s v="OR"/>
    <d v="2016-12-16T00:00:00"/>
    <s v="ID"/>
    <s v="US"/>
    <s v="ZR"/>
    <d v="2016-12-16T00:00:00"/>
  </r>
  <r>
    <x v="1"/>
    <x v="4"/>
    <x v="3011"/>
    <x v="53"/>
    <s v="Standard order"/>
    <x v="2885"/>
    <x v="434"/>
    <s v="251N"/>
    <s v="BTS 251N"/>
    <s v="5002194"/>
    <s v="251N BTS PB LRG"/>
    <n v="16"/>
    <n v="0"/>
    <n v="16"/>
    <x v="4"/>
    <s v="5HBR"/>
    <s v="LARGE"/>
    <s v="307"/>
    <s v="4.0 UN"/>
    <s v="STANDARD"/>
    <s v="N"/>
    <s v="Y"/>
    <s v="N"/>
    <s v="N"/>
    <s v="N"/>
    <s v="N"/>
    <s v="N"/>
    <s v="N"/>
    <s v="B051"/>
    <d v="2016-12-21T00:00:00"/>
    <s v="20"/>
    <s v="TAN"/>
    <s v="OR"/>
    <d v="2016-12-16T00:00:00"/>
    <s v="ID"/>
    <s v="US"/>
    <s v="ZR"/>
    <d v="2016-12-16T00:00:00"/>
  </r>
  <r>
    <x v="1"/>
    <x v="6"/>
    <x v="3012"/>
    <x v="51"/>
    <s v="Standard order"/>
    <x v="2886"/>
    <x v="2450"/>
    <s v="444N"/>
    <s v="BTS 444N"/>
    <s v="5002228"/>
    <s v="444N BTS T20 PB SYSTIVA P50"/>
    <n v="24"/>
    <n v="0"/>
    <n v="24"/>
    <x v="6"/>
    <s v="DVND"/>
    <s v="PRO 50"/>
    <s v="322"/>
    <s v="4.0 UN"/>
    <s v="STANDARD"/>
    <s v="N"/>
    <s v="N"/>
    <s v="N"/>
    <s v="T20"/>
    <s v="Y"/>
    <s v="N"/>
    <s v="Y"/>
    <s v="N"/>
    <s v="B011"/>
    <d v="2016-12-21T00:00:00"/>
    <s v="10"/>
    <s v="TAN"/>
    <s v="OR"/>
    <d v="2016-12-15T00:00:00"/>
    <s v="MT"/>
    <s v="US"/>
    <s v="ZR"/>
    <d v="2016-12-16T00:00:00"/>
  </r>
  <r>
    <x v="1"/>
    <x v="6"/>
    <x v="3012"/>
    <x v="51"/>
    <s v="Standard order"/>
    <x v="2886"/>
    <x v="2450"/>
    <s v="437N"/>
    <s v="BTS 437N"/>
    <s v="5002210"/>
    <s v="437N BTS T20 PB SYSTIVA P50"/>
    <n v="12"/>
    <n v="0"/>
    <n v="12"/>
    <x v="6"/>
    <s v="EE73"/>
    <s v="PRO 50"/>
    <s v="322"/>
    <s v="4.0 UN"/>
    <s v="STANDARD"/>
    <s v="N"/>
    <s v="N"/>
    <s v="N"/>
    <s v="T20"/>
    <s v="Y"/>
    <s v="N"/>
    <s v="Y"/>
    <s v="N"/>
    <s v="B011"/>
    <d v="2016-12-21T00:00:00"/>
    <s v="20"/>
    <s v="TAN"/>
    <s v="OR"/>
    <d v="2016-12-15T00:00:00"/>
    <s v="MT"/>
    <s v="US"/>
    <s v="ZR"/>
    <d v="2016-12-16T00:00:00"/>
  </r>
  <r>
    <x v="1"/>
    <x v="0"/>
    <x v="3013"/>
    <x v="56"/>
    <s v="Standard order"/>
    <x v="2887"/>
    <x v="2451"/>
    <s v="1399"/>
    <s v="BTS 1399"/>
    <s v="5002338"/>
    <s v="1399 BTS CM Vibrance RP"/>
    <n v="8"/>
    <n v="0"/>
    <n v="8"/>
    <x v="0"/>
    <s v="EG74"/>
    <s v="RP"/>
    <s v="366"/>
    <s v="4.0 UN"/>
    <s v="STANDARD"/>
    <s v="Y"/>
    <s v="N"/>
    <s v="N"/>
    <s v="N"/>
    <s v="N"/>
    <s v="N"/>
    <s v="N"/>
    <s v="Y"/>
    <s v="B010"/>
    <d v="2016-12-21T00:00:00"/>
    <s v="10"/>
    <s v="TAN"/>
    <s v="OR"/>
    <d v="2016-12-16T00:00:00"/>
    <s v="ON"/>
    <s v="CA"/>
    <s v="ZR"/>
    <d v="2016-12-16T00:00:00"/>
  </r>
  <r>
    <x v="1"/>
    <x v="0"/>
    <x v="3014"/>
    <x v="43"/>
    <s v="Standard order"/>
    <x v="2888"/>
    <x v="2452"/>
    <s v="149N"/>
    <s v="BTS 149N"/>
    <s v="5002368"/>
    <s v="149N BTS T20 Kabina RP"/>
    <n v="60"/>
    <n v="0"/>
    <n v="60"/>
    <x v="0"/>
    <s v="EEND"/>
    <s v="RP"/>
    <s v="380"/>
    <s v="4.0 UN"/>
    <s v="STANDARD"/>
    <s v="N"/>
    <s v="N"/>
    <s v="Y"/>
    <s v="T20"/>
    <s v="N"/>
    <s v="N"/>
    <s v="N"/>
    <s v="N"/>
    <s v="B006"/>
    <d v="2016-12-21T00:00:00"/>
    <s v="10"/>
    <s v="TAN"/>
    <s v="OR"/>
    <d v="2016-12-16T00:00:00"/>
    <s v="MI"/>
    <s v="US"/>
    <s v="ZR"/>
    <d v="2016-12-16T00:00:00"/>
  </r>
  <r>
    <x v="1"/>
    <x v="0"/>
    <x v="3014"/>
    <x v="43"/>
    <s v="Standard order"/>
    <x v="2888"/>
    <x v="2452"/>
    <s v="1399"/>
    <s v="BTS 1399"/>
    <s v="5002348"/>
    <s v="1399 BTS T20 Kabina RP"/>
    <n v="48"/>
    <n v="0"/>
    <n v="48"/>
    <x v="0"/>
    <s v="EG74"/>
    <s v="RP"/>
    <s v="380"/>
    <s v="4.0 UN"/>
    <s v="STANDARD"/>
    <s v="N"/>
    <s v="N"/>
    <s v="Y"/>
    <s v="T20"/>
    <s v="N"/>
    <s v="N"/>
    <s v="N"/>
    <s v="N"/>
    <s v="B006"/>
    <d v="2016-12-21T00:00:00"/>
    <s v="20"/>
    <s v="TAN"/>
    <s v="OR"/>
    <d v="2016-12-16T00:00:00"/>
    <s v="MI"/>
    <s v="US"/>
    <s v="ZR"/>
    <d v="2016-12-16T00:00:00"/>
  </r>
  <r>
    <x v="1"/>
    <x v="5"/>
    <x v="3015"/>
    <x v="9"/>
    <s v="Standard order"/>
    <x v="2889"/>
    <x v="892"/>
    <s v="336N"/>
    <s v="BTS 336N"/>
    <s v="5002400"/>
    <s v="336N BTS T20 PB SYSTIVA RP"/>
    <n v="200"/>
    <n v="0"/>
    <n v="200"/>
    <x v="5"/>
    <s v="EEMG"/>
    <s v="RP"/>
    <s v="322"/>
    <s v="4.0 UN"/>
    <s v="STANDARD"/>
    <s v="N"/>
    <s v="N"/>
    <s v="N"/>
    <s v="T20"/>
    <s v="Y"/>
    <s v="N"/>
    <s v="N"/>
    <s v="N"/>
    <s v="B016"/>
    <d v="2016-12-21T00:00:00"/>
    <s v="10"/>
    <s v="TAN"/>
    <s v="OR"/>
    <d v="2016-12-16T00:00:00"/>
    <s v="WY"/>
    <s v="US"/>
    <s v="ZR"/>
    <d v="2016-12-17T00:00:00"/>
  </r>
  <r>
    <x v="1"/>
    <x v="5"/>
    <x v="3015"/>
    <x v="9"/>
    <s v="Standard order"/>
    <x v="2889"/>
    <x v="892"/>
    <s v="353N"/>
    <s v="BTS 353N"/>
    <s v="5002524"/>
    <s v="353N BTS T20 PB SYSTIVA RP"/>
    <n v="24"/>
    <n v="0"/>
    <n v="24"/>
    <x v="5"/>
    <s v="EENZ"/>
    <s v="RP"/>
    <s v="322"/>
    <s v="4.0 UN"/>
    <s v="STANDARD"/>
    <s v="N"/>
    <s v="Y"/>
    <s v="N"/>
    <s v="T20"/>
    <s v="Y"/>
    <s v="N"/>
    <s v="N"/>
    <s v="N"/>
    <s v="B016"/>
    <d v="2016-12-21T00:00:00"/>
    <s v="20"/>
    <s v="TAN"/>
    <s v="OR"/>
    <d v="2016-12-16T00:00:00"/>
    <s v="WY"/>
    <s v="US"/>
    <s v="ZR"/>
    <d v="2016-12-17T00:00:00"/>
  </r>
  <r>
    <x v="1"/>
    <x v="5"/>
    <x v="3016"/>
    <x v="9"/>
    <s v="Standard order"/>
    <x v="2890"/>
    <x v="2453"/>
    <s v="3650"/>
    <s v="BTS 36RR50"/>
    <s v="5002548"/>
    <s v="3650 BTS T20 PB SYSTIVA RP"/>
    <n v="12"/>
    <n v="0"/>
    <n v="12"/>
    <x v="5"/>
    <s v="4DAY"/>
    <s v="RP"/>
    <s v="322"/>
    <s v="4.0 UN"/>
    <s v="STANDARD"/>
    <s v="N"/>
    <s v="Y"/>
    <s v="N"/>
    <s v="T20"/>
    <s v="Y"/>
    <s v="N"/>
    <s v="N"/>
    <s v="N"/>
    <s v="B016"/>
    <d v="2016-12-21T00:00:00"/>
    <s v="10"/>
    <s v="TAN"/>
    <s v="OR"/>
    <d v="2016-12-16T00:00:00"/>
    <s v="WY"/>
    <s v="US"/>
    <s v="ZR"/>
    <d v="2016-12-17T00:00:00"/>
  </r>
  <r>
    <x v="1"/>
    <x v="2"/>
    <x v="3017"/>
    <x v="22"/>
    <s v="Standard order"/>
    <x v="2891"/>
    <x v="882"/>
    <s v="628N"/>
    <s v="BTS 62RR8N"/>
    <s v="5002683"/>
    <s v="628N BTS T20 PB SYSTIVA P100"/>
    <n v="28"/>
    <n v="0"/>
    <n v="28"/>
    <x v="2"/>
    <s v="BL73"/>
    <s v="PRO 100"/>
    <s v="322"/>
    <s v="4.0 UN"/>
    <s v="STANDARD"/>
    <s v="N"/>
    <s v="N"/>
    <s v="N"/>
    <s v="T20"/>
    <s v="Y"/>
    <s v="N"/>
    <s v="Y"/>
    <s v="N"/>
    <s v="B018"/>
    <d v="2016-12-21T00:00:00"/>
    <s v="10"/>
    <s v="TAN"/>
    <s v="OR"/>
    <d v="2016-12-16T00:00:00"/>
    <s v="CO"/>
    <s v="US"/>
    <s v="ZR"/>
    <d v="2016-12-17T00:00:00"/>
  </r>
  <r>
    <x v="1"/>
    <x v="2"/>
    <x v="3017"/>
    <x v="22"/>
    <s v="Standard order"/>
    <x v="2891"/>
    <x v="882"/>
    <s v="64SN"/>
    <s v="BTS 64SN"/>
    <s v="5002420"/>
    <s v="64SN BTS T20 PB SYSTIVA P100"/>
    <n v="40"/>
    <n v="0"/>
    <n v="40"/>
    <x v="2"/>
    <s v="DVNB"/>
    <s v="PRO 100"/>
    <s v="322"/>
    <s v="4.0 UN"/>
    <s v="STANDARD"/>
    <s v="N"/>
    <s v="N"/>
    <s v="N"/>
    <s v="T20"/>
    <s v="Y"/>
    <s v="N"/>
    <s v="Y"/>
    <s v="N"/>
    <s v="B018"/>
    <d v="2016-12-21T00:00:00"/>
    <s v="20"/>
    <s v="TAN"/>
    <s v="OR"/>
    <d v="2016-12-16T00:00:00"/>
    <s v="CO"/>
    <s v="US"/>
    <s v="ZR"/>
    <d v="2016-12-17T00:00:00"/>
  </r>
  <r>
    <x v="1"/>
    <x v="0"/>
    <x v="3018"/>
    <x v="43"/>
    <s v="Standard order"/>
    <x v="2892"/>
    <x v="763"/>
    <s v="122N"/>
    <s v="BTS 12RR2N"/>
    <s v="5002317"/>
    <s v="122N BTS T20 SYSTIVA RP"/>
    <n v="28"/>
    <n v="0"/>
    <n v="28"/>
    <x v="0"/>
    <s v="4TBG"/>
    <s v="RP"/>
    <s v="326"/>
    <s v="4.0 UN"/>
    <s v="STANDARD"/>
    <s v="N"/>
    <s v="N"/>
    <s v="N"/>
    <s v="T20"/>
    <s v="Y"/>
    <s v="N"/>
    <s v="Y"/>
    <s v="N"/>
    <s v="B006"/>
    <d v="2016-12-21T00:00:00"/>
    <s v="10"/>
    <s v="TAN"/>
    <s v="OR"/>
    <d v="2016-12-16T00:00:00"/>
    <s v="MI"/>
    <s v="US"/>
    <s v="ZR"/>
    <d v="2016-12-17T00:00:00"/>
  </r>
  <r>
    <x v="1"/>
    <x v="0"/>
    <x v="3019"/>
    <x v="43"/>
    <s v="Standard order"/>
    <x v="2893"/>
    <x v="894"/>
    <s v="1399"/>
    <s v="BTS 1399"/>
    <s v="5002348"/>
    <s v="1399 BTS T20 Kabina RP"/>
    <n v="108"/>
    <n v="0"/>
    <n v="108"/>
    <x v="0"/>
    <s v="EG74"/>
    <s v="RP"/>
    <s v="380"/>
    <s v="4.0 UN"/>
    <s v="STANDARD"/>
    <s v="N"/>
    <s v="N"/>
    <s v="Y"/>
    <s v="T20"/>
    <s v="N"/>
    <s v="N"/>
    <s v="N"/>
    <s v="N"/>
    <s v="B006"/>
    <d v="2016-12-21T00:00:00"/>
    <s v="20"/>
    <s v="TAN"/>
    <s v="OR"/>
    <d v="2016-12-16T00:00:00"/>
    <s v="MI"/>
    <s v="US"/>
    <s v="ZR"/>
    <d v="2016-12-17T00:00:00"/>
  </r>
  <r>
    <x v="1"/>
    <x v="0"/>
    <x v="3019"/>
    <x v="43"/>
    <s v="Standard order"/>
    <x v="2893"/>
    <x v="894"/>
    <s v="133N"/>
    <s v="BTS 133N"/>
    <s v="5002329"/>
    <s v="133N BTS T20 Kabina RP"/>
    <n v="140"/>
    <n v="0"/>
    <n v="140"/>
    <x v="0"/>
    <s v="DW73"/>
    <s v="RP"/>
    <s v="380"/>
    <s v="4.0 UN"/>
    <s v="STANDARD"/>
    <s v="N"/>
    <s v="N"/>
    <s v="Y"/>
    <s v="T20"/>
    <s v="N"/>
    <s v="N"/>
    <s v="N"/>
    <s v="N"/>
    <s v="B006"/>
    <d v="2016-12-21T00:00:00"/>
    <s v="10"/>
    <s v="TAN"/>
    <s v="OR"/>
    <d v="2016-12-16T00:00:00"/>
    <s v="MI"/>
    <s v="US"/>
    <s v="ZR"/>
    <d v="2016-12-17T00:00:00"/>
  </r>
  <r>
    <x v="1"/>
    <x v="7"/>
    <x v="3020"/>
    <x v="37"/>
    <s v="Standard order"/>
    <x v="2894"/>
    <x v="2454"/>
    <s v="8500"/>
    <s v="BTS 8500"/>
    <s v="5002856"/>
    <s v="8500 BTS T35 PB SYSTIVA RP"/>
    <n v="48"/>
    <n v="0"/>
    <n v="48"/>
    <x v="7"/>
    <s v="FTND"/>
    <s v="RP"/>
    <s v="333"/>
    <s v="4.0 UN"/>
    <s v="STANDARD"/>
    <s v="N"/>
    <s v="Y"/>
    <s v="N"/>
    <s v="T35"/>
    <s v="Y"/>
    <s v="N"/>
    <s v="Y"/>
    <s v="N"/>
    <s v="B033"/>
    <d v="2016-12-21T00:00:00"/>
    <s v="10"/>
    <s v="TAN"/>
    <s v="OR"/>
    <d v="2016-12-16T00:00:00"/>
    <s v="ND"/>
    <s v="US"/>
    <s v="ZR"/>
    <d v="2016-12-17T00:00:00"/>
  </r>
  <r>
    <x v="1"/>
    <x v="5"/>
    <x v="3021"/>
    <x v="9"/>
    <s v="Standard order"/>
    <x v="2895"/>
    <x v="891"/>
    <s v="3650"/>
    <s v="BTS 36RR50"/>
    <s v="5002546"/>
    <s v="3650 BTS T20 PB SYSTIVA P200"/>
    <n v="28"/>
    <n v="0"/>
    <n v="28"/>
    <x v="5"/>
    <s v="4DAY"/>
    <s v="PRO 200"/>
    <s v="322"/>
    <s v="4.0 UN"/>
    <s v="STANDARD"/>
    <s v="N"/>
    <s v="Y"/>
    <s v="N"/>
    <s v="T20"/>
    <s v="Y"/>
    <s v="N"/>
    <s v="N"/>
    <s v="N"/>
    <s v="B016"/>
    <d v="2016-12-21T00:00:00"/>
    <s v="10"/>
    <s v="TAN"/>
    <s v="OR"/>
    <d v="2016-12-16T00:00:00"/>
    <s v="WY"/>
    <s v="US"/>
    <s v="ZR"/>
    <d v="2016-12-17T00:00:00"/>
  </r>
  <r>
    <x v="1"/>
    <x v="5"/>
    <x v="3022"/>
    <x v="9"/>
    <s v="Standard order"/>
    <x v="2896"/>
    <x v="880"/>
    <s v="336N"/>
    <s v="BTS 336N"/>
    <s v="5002400"/>
    <s v="336N BTS T20 PB SYSTIVA RP"/>
    <n v="44"/>
    <n v="0"/>
    <n v="44"/>
    <x v="5"/>
    <s v="EEMG"/>
    <s v="RP"/>
    <s v="322"/>
    <s v="4.0 UN"/>
    <s v="STANDARD"/>
    <s v="N"/>
    <s v="N"/>
    <s v="N"/>
    <s v="T20"/>
    <s v="Y"/>
    <s v="N"/>
    <s v="N"/>
    <s v="N"/>
    <s v="B016"/>
    <d v="2016-12-21T00:00:00"/>
    <s v="10"/>
    <s v="TAN"/>
    <s v="OR"/>
    <d v="2016-12-16T00:00:00"/>
    <s v="WY"/>
    <s v="US"/>
    <s v="ZR"/>
    <d v="2016-12-17T00:00:00"/>
  </r>
  <r>
    <x v="1"/>
    <x v="2"/>
    <x v="3023"/>
    <x v="24"/>
    <s v="Standard order"/>
    <x v="2897"/>
    <x v="897"/>
    <s v="6027"/>
    <s v="BTS 60RR27"/>
    <s v="5002647"/>
    <s v="6027 BTS T20 PB SYSTIVA P50 WSS"/>
    <n v="20"/>
    <n v="0"/>
    <n v="20"/>
    <x v="2"/>
    <s v="APMC"/>
    <s v="PRO 50"/>
    <s v="322"/>
    <s v="4.0 UN"/>
    <s v="STANDARD"/>
    <s v="N"/>
    <s v="N"/>
    <s v="N"/>
    <s v="T20"/>
    <s v="Y"/>
    <s v="N"/>
    <s v="Y"/>
    <s v="N"/>
    <s v="B022"/>
    <d v="2016-12-21T00:00:00"/>
    <s v="10"/>
    <s v="TAN"/>
    <s v="OR"/>
    <d v="2016-12-17T00:00:00"/>
    <s v="CO"/>
    <s v="US"/>
    <s v="ZR"/>
    <d v="2016-12-17T00:00:00"/>
  </r>
  <r>
    <x v="1"/>
    <x v="7"/>
    <x v="3024"/>
    <x v="37"/>
    <s v="Standard order"/>
    <x v="2898"/>
    <x v="2455"/>
    <s v="8500"/>
    <s v="BTS 8500"/>
    <s v="5002844"/>
    <s v="8500 BTS T20 SYSTIVA MP"/>
    <n v="72"/>
    <n v="0"/>
    <n v="72"/>
    <x v="7"/>
    <s v="FTND"/>
    <s v="MP"/>
    <s v="326"/>
    <s v="4.0 UN"/>
    <s v="STANDARD"/>
    <s v="N"/>
    <s v="N"/>
    <s v="N"/>
    <s v="T20"/>
    <s v="Y"/>
    <s v="N"/>
    <s v="Y"/>
    <s v="N"/>
    <s v="B033"/>
    <d v="2016-12-21T00:00:00"/>
    <s v="10"/>
    <s v="TAN"/>
    <s v="OR"/>
    <d v="2016-12-16T00:00:00"/>
    <s v="MN"/>
    <s v="US"/>
    <s v="ZR"/>
    <d v="2016-12-17T00:00:00"/>
  </r>
  <r>
    <x v="1"/>
    <x v="7"/>
    <x v="3025"/>
    <x v="37"/>
    <s v="Standard order"/>
    <x v="2899"/>
    <x v="2456"/>
    <s v="8500"/>
    <s v="BTS 8500"/>
    <s v="5002844"/>
    <s v="8500 BTS T20 SYSTIVA MP"/>
    <n v="8"/>
    <n v="0"/>
    <n v="8"/>
    <x v="7"/>
    <s v="FTND"/>
    <s v="MP"/>
    <s v="326"/>
    <s v="4.0 UN"/>
    <s v="STANDARD"/>
    <s v="N"/>
    <s v="N"/>
    <s v="N"/>
    <s v="T20"/>
    <s v="Y"/>
    <s v="N"/>
    <s v="Y"/>
    <s v="N"/>
    <s v="B033"/>
    <d v="2016-12-21T00:00:00"/>
    <s v="10"/>
    <s v="TAN"/>
    <s v="OR"/>
    <d v="2016-12-16T00:00:00"/>
    <s v="MN"/>
    <s v="US"/>
    <s v="ZR"/>
    <d v="2016-12-17T00:00:00"/>
  </r>
  <r>
    <x v="1"/>
    <x v="7"/>
    <x v="3025"/>
    <x v="37"/>
    <s v="Standard order"/>
    <x v="2899"/>
    <x v="2456"/>
    <s v="8524"/>
    <s v="BTS 8524"/>
    <s v="5002884"/>
    <s v="8524 BTS T20 SYSTIVA MP"/>
    <n v="44"/>
    <n v="0"/>
    <n v="44"/>
    <x v="7"/>
    <s v="FWND"/>
    <s v="MP"/>
    <s v="326"/>
    <s v="4.0 UN"/>
    <s v="STANDARD"/>
    <s v="N"/>
    <s v="N"/>
    <s v="N"/>
    <s v="T20"/>
    <s v="Y"/>
    <s v="N"/>
    <s v="Y"/>
    <s v="N"/>
    <s v="B033"/>
    <d v="2016-12-21T00:00:00"/>
    <s v="20"/>
    <s v="TAN"/>
    <s v="OR"/>
    <d v="2016-12-16T00:00:00"/>
    <s v="MN"/>
    <s v="US"/>
    <s v="ZR"/>
    <d v="2016-12-17T00:00:00"/>
  </r>
  <r>
    <x v="1"/>
    <x v="5"/>
    <x v="3026"/>
    <x v="9"/>
    <s v="Standard order"/>
    <x v="2900"/>
    <x v="893"/>
    <s v="353N"/>
    <s v="BTS 353N"/>
    <s v="5002524"/>
    <s v="353N BTS T20 PB SYSTIVA RP"/>
    <n v="20"/>
    <n v="0"/>
    <n v="20"/>
    <x v="5"/>
    <s v="EENZ"/>
    <s v="RP"/>
    <s v="322"/>
    <s v="4.0 UN"/>
    <s v="STANDARD"/>
    <s v="N"/>
    <s v="Y"/>
    <s v="N"/>
    <s v="T20"/>
    <s v="Y"/>
    <s v="N"/>
    <s v="N"/>
    <s v="N"/>
    <s v="B016"/>
    <d v="2016-12-21T00:00:00"/>
    <s v="10"/>
    <s v="TAN"/>
    <s v="OR"/>
    <d v="2016-12-16T00:00:00"/>
    <s v="WY"/>
    <s v="US"/>
    <s v="ZR"/>
    <d v="2016-12-17T00:00:00"/>
  </r>
  <r>
    <x v="1"/>
    <x v="5"/>
    <x v="3026"/>
    <x v="9"/>
    <s v="Standard order"/>
    <x v="2900"/>
    <x v="893"/>
    <s v="398N"/>
    <s v="BTS 39RR8N"/>
    <s v="5002572"/>
    <s v="398N BTS T20 PB SYSTIVA RP"/>
    <n v="20"/>
    <n v="0"/>
    <n v="20"/>
    <x v="5"/>
    <s v="2771"/>
    <s v="RP"/>
    <s v="322"/>
    <s v="4.0 UN"/>
    <s v="STANDARD"/>
    <s v="N"/>
    <s v="Y"/>
    <s v="N"/>
    <s v="T20"/>
    <s v="Y"/>
    <s v="N"/>
    <s v="N"/>
    <s v="N"/>
    <s v="B016"/>
    <d v="2016-12-21T00:00:00"/>
    <s v="20"/>
    <s v="TAN"/>
    <s v="OR"/>
    <d v="2016-12-16T00:00:00"/>
    <s v="WY"/>
    <s v="US"/>
    <s v="ZR"/>
    <d v="2016-12-17T00:00:00"/>
  </r>
  <r>
    <x v="1"/>
    <x v="5"/>
    <x v="3026"/>
    <x v="9"/>
    <s v="Standard order"/>
    <x v="2900"/>
    <x v="893"/>
    <s v="3650"/>
    <s v="BTS 36RR50"/>
    <s v="5002548"/>
    <s v="3650 BTS T20 PB SYSTIVA RP"/>
    <n v="40"/>
    <n v="0"/>
    <n v="40"/>
    <x v="5"/>
    <s v="4DAY"/>
    <s v="RP"/>
    <s v="322"/>
    <s v="4.0 UN"/>
    <s v="STANDARD"/>
    <s v="N"/>
    <s v="Y"/>
    <s v="N"/>
    <s v="T20"/>
    <s v="Y"/>
    <s v="N"/>
    <s v="N"/>
    <s v="N"/>
    <s v="B016"/>
    <d v="2016-12-21T00:00:00"/>
    <s v="30"/>
    <s v="TAN"/>
    <s v="OR"/>
    <d v="2016-12-16T00:00:00"/>
    <s v="WY"/>
    <s v="US"/>
    <s v="ZR"/>
    <d v="2016-12-17T00:00:00"/>
  </r>
  <r>
    <x v="1"/>
    <x v="5"/>
    <x v="3027"/>
    <x v="9"/>
    <s v="Standard order"/>
    <x v="2901"/>
    <x v="2457"/>
    <s v="336N"/>
    <s v="BTS 336N"/>
    <s v="5002400"/>
    <s v="336N BTS T20 PB SYSTIVA RP"/>
    <n v="12"/>
    <n v="0"/>
    <n v="12"/>
    <x v="5"/>
    <s v="EEMG"/>
    <s v="RP"/>
    <s v="322"/>
    <s v="4.0 UN"/>
    <s v="STANDARD"/>
    <s v="N"/>
    <s v="N"/>
    <s v="N"/>
    <s v="T20"/>
    <s v="Y"/>
    <s v="N"/>
    <s v="N"/>
    <s v="N"/>
    <s v="B016"/>
    <d v="2016-12-21T00:00:00"/>
    <s v="10"/>
    <s v="TAN"/>
    <s v="OR"/>
    <d v="2016-12-16T00:00:00"/>
    <s v="WY"/>
    <s v="US"/>
    <s v="ZR"/>
    <d v="2016-12-17T00:00:00"/>
  </r>
  <r>
    <x v="1"/>
    <x v="5"/>
    <x v="3027"/>
    <x v="9"/>
    <s v="Standard order"/>
    <x v="2901"/>
    <x v="2457"/>
    <s v="3650"/>
    <s v="BTS 36RR50"/>
    <s v="5002548"/>
    <s v="3650 BTS T20 PB SYSTIVA RP"/>
    <n v="20"/>
    <n v="0"/>
    <n v="20"/>
    <x v="5"/>
    <s v="4DAY"/>
    <s v="RP"/>
    <s v="322"/>
    <s v="4.0 UN"/>
    <s v="STANDARD"/>
    <s v="N"/>
    <s v="Y"/>
    <s v="N"/>
    <s v="T20"/>
    <s v="Y"/>
    <s v="N"/>
    <s v="N"/>
    <s v="N"/>
    <s v="B016"/>
    <d v="2016-12-21T00:00:00"/>
    <s v="20"/>
    <s v="TAN"/>
    <s v="OR"/>
    <d v="2016-12-16T00:00:00"/>
    <s v="WY"/>
    <s v="US"/>
    <s v="ZR"/>
    <d v="2016-12-17T00:00:00"/>
  </r>
  <r>
    <x v="1"/>
    <x v="5"/>
    <x v="3028"/>
    <x v="9"/>
    <s v="Standard order"/>
    <x v="2902"/>
    <x v="14"/>
    <s v="336N"/>
    <s v="BTS 336N"/>
    <s v="5002199"/>
    <s v="336N BTS T20 PB SYSTIVA P200"/>
    <n v="28"/>
    <n v="0"/>
    <n v="28"/>
    <x v="5"/>
    <s v="EEMG"/>
    <s v="PRO 200"/>
    <s v="322"/>
    <s v="4.0 UN"/>
    <s v="STANDARD"/>
    <s v="N"/>
    <s v="N"/>
    <s v="N"/>
    <s v="T20"/>
    <s v="Y"/>
    <s v="N"/>
    <s v="N"/>
    <s v="N"/>
    <s v="B016"/>
    <d v="2016-12-21T00:00:00"/>
    <s v="10"/>
    <s v="TAN"/>
    <s v="OR"/>
    <d v="2016-12-16T00:00:00"/>
    <s v="WY"/>
    <s v="US"/>
    <s v="ZR"/>
    <d v="2016-12-17T00:00:00"/>
  </r>
  <r>
    <x v="1"/>
    <x v="5"/>
    <x v="3028"/>
    <x v="9"/>
    <s v="Standard order"/>
    <x v="2902"/>
    <x v="14"/>
    <s v="353N"/>
    <s v="BTS 353N"/>
    <s v="5002522"/>
    <s v="353N BTS T20 PB SYSTIVA P200"/>
    <n v="16"/>
    <n v="0"/>
    <n v="16"/>
    <x v="5"/>
    <s v="EENZ"/>
    <s v="PRO 200"/>
    <s v="322"/>
    <s v="4.0 UN"/>
    <s v="STANDARD"/>
    <s v="N"/>
    <s v="Y"/>
    <s v="N"/>
    <s v="T20"/>
    <s v="Y"/>
    <s v="N"/>
    <s v="N"/>
    <s v="N"/>
    <s v="B016"/>
    <d v="2016-12-21T00:00:00"/>
    <s v="20"/>
    <s v="TAN"/>
    <s v="OR"/>
    <d v="2016-12-16T00:00:00"/>
    <s v="WY"/>
    <s v="US"/>
    <s v="ZR"/>
    <d v="2016-12-17T00:00:00"/>
  </r>
  <r>
    <x v="1"/>
    <x v="0"/>
    <x v="3029"/>
    <x v="43"/>
    <s v="Standard order"/>
    <x v="2903"/>
    <x v="1004"/>
    <s v="122N"/>
    <s v="BTS 12RR2N"/>
    <s v="5002311"/>
    <s v="122N BTS T20 Kabina RP"/>
    <n v="20"/>
    <n v="0"/>
    <n v="20"/>
    <x v="0"/>
    <s v="4TBG"/>
    <s v="RP"/>
    <s v="380"/>
    <s v="4.0 UN"/>
    <s v="STANDARD"/>
    <s v="N"/>
    <s v="N"/>
    <s v="Y"/>
    <s v="T20"/>
    <s v="N"/>
    <s v="N"/>
    <s v="N"/>
    <s v="N"/>
    <s v="B006"/>
    <d v="2016-12-21T00:00:00"/>
    <s v="10"/>
    <s v="TAN"/>
    <s v="OR"/>
    <d v="2016-12-16T00:00:00"/>
    <s v="MI"/>
    <s v="US"/>
    <s v="ZR"/>
    <d v="2016-12-17T00:00:00"/>
  </r>
  <r>
    <x v="1"/>
    <x v="0"/>
    <x v="3029"/>
    <x v="43"/>
    <s v="Standard order"/>
    <x v="2903"/>
    <x v="1004"/>
    <s v="1399"/>
    <s v="BTS 1399"/>
    <s v="5002348"/>
    <s v="1399 BTS T20 Kabina RP"/>
    <n v="20"/>
    <n v="0"/>
    <n v="20"/>
    <x v="0"/>
    <s v="EG74"/>
    <s v="RP"/>
    <s v="380"/>
    <s v="4.0 UN"/>
    <s v="STANDARD"/>
    <s v="N"/>
    <s v="N"/>
    <s v="Y"/>
    <s v="T20"/>
    <s v="N"/>
    <s v="N"/>
    <s v="N"/>
    <s v="N"/>
    <s v="B006"/>
    <d v="2016-12-21T00:00:00"/>
    <s v="20"/>
    <s v="TAN"/>
    <s v="OR"/>
    <d v="2016-12-16T00:00:00"/>
    <s v="MI"/>
    <s v="US"/>
    <s v="ZR"/>
    <d v="2016-12-17T00:00:00"/>
  </r>
  <r>
    <x v="1"/>
    <x v="0"/>
    <x v="3030"/>
    <x v="45"/>
    <s v="Standard order"/>
    <x v="2904"/>
    <x v="2458"/>
    <s v="1399"/>
    <s v="BTS 1399"/>
    <s v="5002348"/>
    <s v="1399 BTS T20 Kabina RP"/>
    <n v="16"/>
    <n v="0"/>
    <n v="16"/>
    <x v="0"/>
    <s v="EG74"/>
    <s v="RP"/>
    <s v="380"/>
    <s v="4.0 UN"/>
    <s v="STANDARD"/>
    <s v="N"/>
    <s v="N"/>
    <s v="Y"/>
    <s v="T20"/>
    <s v="N"/>
    <s v="N"/>
    <s v="N"/>
    <s v="N"/>
    <s v="B003"/>
    <d v="2016-12-21T00:00:00"/>
    <s v="10"/>
    <s v="TAN"/>
    <s v="OR"/>
    <d v="2016-12-16T00:00:00"/>
    <s v="MI"/>
    <s v="US"/>
    <s v="ZR"/>
    <d v="2016-12-17T00:00:00"/>
  </r>
  <r>
    <x v="1"/>
    <x v="0"/>
    <x v="3030"/>
    <x v="45"/>
    <s v="Standard order"/>
    <x v="2904"/>
    <x v="2458"/>
    <s v="122N"/>
    <s v="BTS 12RR2N"/>
    <s v="5002311"/>
    <s v="122N BTS T20 Kabina RP"/>
    <n v="20"/>
    <n v="0"/>
    <n v="20"/>
    <x v="0"/>
    <s v="4TBG"/>
    <s v="RP"/>
    <s v="380"/>
    <s v="4.0 UN"/>
    <s v="STANDARD"/>
    <s v="N"/>
    <s v="N"/>
    <s v="Y"/>
    <s v="T20"/>
    <s v="N"/>
    <s v="N"/>
    <s v="N"/>
    <s v="N"/>
    <s v="B003"/>
    <d v="2016-12-21T00:00:00"/>
    <s v="20"/>
    <s v="TAN"/>
    <s v="OR"/>
    <d v="2016-12-16T00:00:00"/>
    <s v="MI"/>
    <s v="US"/>
    <s v="ZR"/>
    <d v="2016-12-17T00:00:00"/>
  </r>
  <r>
    <x v="1"/>
    <x v="7"/>
    <x v="3031"/>
    <x v="37"/>
    <s v="Standard order"/>
    <x v="2905"/>
    <x v="2459"/>
    <s v="8500"/>
    <s v="BTS 8500"/>
    <s v="5002843"/>
    <s v="8500 BTS T20 PB SYSTIVA MP"/>
    <n v="64"/>
    <n v="0"/>
    <n v="64"/>
    <x v="7"/>
    <s v="FTND"/>
    <s v="MP"/>
    <s v="322"/>
    <s v="4.0 UN"/>
    <s v="STANDARD"/>
    <s v="N"/>
    <s v="N"/>
    <s v="N"/>
    <s v="T20"/>
    <s v="Y"/>
    <s v="N"/>
    <s v="Y"/>
    <s v="N"/>
    <s v="B033"/>
    <d v="2016-12-21T00:00:00"/>
    <s v="10"/>
    <s v="TAN"/>
    <s v="OR"/>
    <d v="2016-12-18T00:00:00"/>
    <s v="ND"/>
    <s v="US"/>
    <s v="ZR"/>
    <d v="2016-12-18T00:00:00"/>
  </r>
  <r>
    <x v="1"/>
    <x v="7"/>
    <x v="3031"/>
    <x v="37"/>
    <s v="Standard order"/>
    <x v="2905"/>
    <x v="2459"/>
    <s v="8052"/>
    <s v="BTS 80RR52"/>
    <s v="5002722"/>
    <s v="8052 BTS T20 PB SYSTIVA MP"/>
    <n v="64"/>
    <n v="0"/>
    <n v="64"/>
    <x v="7"/>
    <s v="AP82"/>
    <s v="MP"/>
    <s v="322"/>
    <s v="4.0 UN"/>
    <s v="STANDARD"/>
    <s v="N"/>
    <s v="N"/>
    <s v="N"/>
    <s v="T20"/>
    <s v="Y"/>
    <s v="N"/>
    <s v="Y"/>
    <s v="N"/>
    <s v="B033"/>
    <d v="2016-12-21T00:00:00"/>
    <s v="20"/>
    <s v="TAN"/>
    <s v="OR"/>
    <d v="2016-12-18T00:00:00"/>
    <s v="ND"/>
    <s v="US"/>
    <s v="ZR"/>
    <d v="2016-12-18T00:00:00"/>
  </r>
  <r>
    <x v="1"/>
    <x v="0"/>
    <x v="3032"/>
    <x v="54"/>
    <s v="Standard order"/>
    <x v="2906"/>
    <x v="2460"/>
    <s v="122N"/>
    <s v="BTS 12RR2N"/>
    <s v="5002311"/>
    <s v="122N BTS T20 Kabina RP"/>
    <n v="12"/>
    <n v="0"/>
    <n v="12"/>
    <x v="0"/>
    <s v="4TBG"/>
    <s v="RP"/>
    <s v="380"/>
    <s v="4.0 UN"/>
    <s v="STANDARD"/>
    <s v="N"/>
    <s v="N"/>
    <s v="Y"/>
    <s v="T20"/>
    <s v="N"/>
    <s v="N"/>
    <s v="N"/>
    <s v="N"/>
    <s v="B002"/>
    <d v="2016-12-21T00:00:00"/>
    <s v="10"/>
    <s v="TAN"/>
    <s v="OR"/>
    <d v="2016-12-18T00:00:00"/>
    <s v="MI"/>
    <s v="US"/>
    <s v="ZR"/>
    <d v="2016-12-18T00:00:00"/>
  </r>
  <r>
    <x v="1"/>
    <x v="0"/>
    <x v="3033"/>
    <x v="43"/>
    <s v="Standard order"/>
    <x v="2907"/>
    <x v="2461"/>
    <s v="1399"/>
    <s v="BTS 1399"/>
    <s v="5002348"/>
    <s v="1399 BTS T20 Kabina RP"/>
    <n v="24"/>
    <n v="0"/>
    <n v="24"/>
    <x v="0"/>
    <s v="EG74"/>
    <s v="RP"/>
    <s v="380"/>
    <s v="4.0 UN"/>
    <s v="STANDARD"/>
    <s v="N"/>
    <s v="N"/>
    <s v="Y"/>
    <s v="T20"/>
    <s v="N"/>
    <s v="N"/>
    <s v="N"/>
    <s v="N"/>
    <s v="B006"/>
    <d v="2016-12-22T00:00:00"/>
    <s v="10"/>
    <s v="TAN"/>
    <s v="OR"/>
    <d v="2016-12-19T00:00:00"/>
    <s v="MI"/>
    <s v="US"/>
    <s v="ZR"/>
    <d v="2016-12-19T00:00:00"/>
  </r>
  <r>
    <x v="1"/>
    <x v="0"/>
    <x v="3033"/>
    <x v="43"/>
    <s v="Standard order"/>
    <x v="2907"/>
    <x v="2461"/>
    <s v="149N"/>
    <s v="BTS 149N"/>
    <s v="5002368"/>
    <s v="149N BTS T20 Kabina RP"/>
    <n v="20"/>
    <n v="0"/>
    <n v="20"/>
    <x v="0"/>
    <s v="EEND"/>
    <s v="RP"/>
    <s v="380"/>
    <s v="4.0 UN"/>
    <s v="STANDARD"/>
    <s v="N"/>
    <s v="N"/>
    <s v="Y"/>
    <s v="T20"/>
    <s v="N"/>
    <s v="N"/>
    <s v="N"/>
    <s v="N"/>
    <s v="B006"/>
    <d v="2016-12-22T00:00:00"/>
    <s v="20"/>
    <s v="TAN"/>
    <s v="OR"/>
    <d v="2016-12-19T00:00:00"/>
    <s v="MI"/>
    <s v="US"/>
    <s v="ZR"/>
    <d v="2016-12-19T00:00:00"/>
  </r>
  <r>
    <x v="1"/>
    <x v="0"/>
    <x v="3034"/>
    <x v="29"/>
    <s v="Standard order"/>
    <x v="2908"/>
    <x v="2462"/>
    <s v="122N"/>
    <s v="BTS 12RR2N"/>
    <s v="5002316"/>
    <s v="122N BTS T20 SYSTIVA P200"/>
    <n v="160"/>
    <n v="0"/>
    <n v="160"/>
    <x v="0"/>
    <s v="4TBG"/>
    <s v="PRO 200"/>
    <s v="326"/>
    <s v="4.0 UN"/>
    <s v="STANDARD"/>
    <s v="N"/>
    <s v="N"/>
    <s v="N"/>
    <s v="T20"/>
    <s v="Y"/>
    <s v="N"/>
    <s v="Y"/>
    <s v="N"/>
    <s v="B005"/>
    <d v="2016-12-22T00:00:00"/>
    <s v="10"/>
    <s v="TAN"/>
    <s v="OR"/>
    <d v="2016-12-19T00:00:00"/>
    <s v="MI"/>
    <s v="US"/>
    <s v="ZR"/>
    <d v="2016-12-19T00:00:00"/>
  </r>
  <r>
    <x v="1"/>
    <x v="0"/>
    <x v="3035"/>
    <x v="42"/>
    <s v="Standard order"/>
    <x v="2909"/>
    <x v="2463"/>
    <s v="1399"/>
    <s v="BTS 1399"/>
    <s v="5002348"/>
    <s v="1399 BTS T20 Kabina RP"/>
    <n v="68"/>
    <n v="0"/>
    <n v="68"/>
    <x v="0"/>
    <s v="EG74"/>
    <s v="RP"/>
    <s v="380"/>
    <s v="4.0 UN"/>
    <s v="STANDARD"/>
    <s v="N"/>
    <s v="N"/>
    <s v="Y"/>
    <s v="T20"/>
    <s v="N"/>
    <s v="N"/>
    <s v="N"/>
    <s v="N"/>
    <s v="B007"/>
    <d v="2016-12-22T00:00:00"/>
    <s v="10"/>
    <s v="TAN"/>
    <s v="OR"/>
    <d v="2016-12-19T00:00:00"/>
    <s v="MI"/>
    <s v="US"/>
    <s v="ZR"/>
    <d v="2016-12-19T00:00:00"/>
  </r>
  <r>
    <x v="1"/>
    <x v="0"/>
    <x v="3036"/>
    <x v="29"/>
    <s v="Standard order"/>
    <x v="2910"/>
    <x v="1029"/>
    <s v="122N"/>
    <s v="BTS 12RR2N"/>
    <s v="5002311"/>
    <s v="122N BTS T20 Kabina RP"/>
    <n v="76"/>
    <n v="0"/>
    <n v="76"/>
    <x v="0"/>
    <s v="4TBG"/>
    <s v="RP"/>
    <s v="380"/>
    <s v="4.0 UN"/>
    <s v="STANDARD"/>
    <s v="N"/>
    <s v="N"/>
    <s v="Y"/>
    <s v="T20"/>
    <s v="N"/>
    <s v="N"/>
    <s v="N"/>
    <s v="N"/>
    <s v="B005"/>
    <d v="2016-12-22T00:00:00"/>
    <s v="10"/>
    <s v="TAN"/>
    <s v="OR"/>
    <d v="2016-12-19T00:00:00"/>
    <s v="MI"/>
    <s v="US"/>
    <s v="ZR"/>
    <d v="2016-12-19T00:00:00"/>
  </r>
  <r>
    <x v="1"/>
    <x v="4"/>
    <x v="3037"/>
    <x v="50"/>
    <s v="Standard order"/>
    <x v="2911"/>
    <x v="2464"/>
    <s v="225N"/>
    <s v="BTS 22RR5N"/>
    <s v="5002111"/>
    <s v="225N BTS PB LRG"/>
    <n v="36"/>
    <n v="0"/>
    <n v="36"/>
    <x v="4"/>
    <s v="4TBD"/>
    <s v="LARGE"/>
    <s v="307"/>
    <s v="4.0 UN"/>
    <s v="STANDARD"/>
    <s v="N"/>
    <s v="Y"/>
    <s v="N"/>
    <s v="N"/>
    <s v="N"/>
    <s v="N"/>
    <s v="N"/>
    <s v="N"/>
    <s v="B047"/>
    <d v="2016-12-22T00:00:00"/>
    <s v="10"/>
    <s v="TAN"/>
    <s v="OR"/>
    <d v="2016-12-19T00:00:00"/>
    <s v="ID"/>
    <s v="US"/>
    <s v="ZR"/>
    <d v="2016-12-19T00:00:00"/>
  </r>
  <r>
    <x v="1"/>
    <x v="7"/>
    <x v="3038"/>
    <x v="33"/>
    <s v="Standard order"/>
    <x v="2912"/>
    <x v="2465"/>
    <s v="8337"/>
    <s v="BTS 8337"/>
    <s v="5002795"/>
    <s v="8337 BTS T35 PB SYSTIVA RP"/>
    <n v="32"/>
    <n v="0"/>
    <n v="32"/>
    <x v="7"/>
    <s v="DHMC"/>
    <s v="RP"/>
    <s v="333"/>
    <s v="4.0 UN"/>
    <s v="STANDARD"/>
    <s v="N"/>
    <s v="Y"/>
    <s v="N"/>
    <s v="T35"/>
    <s v="Y"/>
    <s v="N"/>
    <s v="Y"/>
    <s v="N"/>
    <s v="B026"/>
    <d v="2016-12-22T00:00:00"/>
    <s v="10"/>
    <s v="TAN"/>
    <s v="OR"/>
    <d v="2016-12-19T00:00:00"/>
    <s v="MN"/>
    <s v="US"/>
    <s v="ZR"/>
    <d v="2016-12-19T00:00:00"/>
  </r>
  <r>
    <x v="1"/>
    <x v="4"/>
    <x v="3039"/>
    <x v="52"/>
    <s v="Standard order"/>
    <x v="2913"/>
    <x v="2466"/>
    <s v="251N"/>
    <s v="BTS 251N"/>
    <s v="5002503"/>
    <s v="251N BTS PB Kabina LRG"/>
    <n v="20"/>
    <n v="0"/>
    <n v="20"/>
    <x v="4"/>
    <s v="5HBR"/>
    <s v="LARGE"/>
    <s v="384"/>
    <s v="4.0 UN"/>
    <s v="STANDARD"/>
    <s v="N"/>
    <s v="Y"/>
    <s v="Y"/>
    <s v="N"/>
    <s v="N"/>
    <s v="N"/>
    <s v="N"/>
    <s v="N"/>
    <s v="B048"/>
    <d v="2016-12-22T00:00:00"/>
    <s v="10"/>
    <s v="TAN"/>
    <s v="OR"/>
    <d v="2016-12-19T00:00:00"/>
    <s v="ID"/>
    <s v="US"/>
    <s v="ZR"/>
    <d v="2016-12-19T00:00:00"/>
  </r>
  <r>
    <x v="1"/>
    <x v="4"/>
    <x v="3039"/>
    <x v="52"/>
    <s v="Standard order"/>
    <x v="2913"/>
    <x v="2466"/>
    <s v="225N"/>
    <s v="BTS 22RR5N"/>
    <s v="5002106"/>
    <s v="225N BTS PB Kabina LRG"/>
    <n v="56"/>
    <n v="0"/>
    <n v="56"/>
    <x v="4"/>
    <s v="4TBD"/>
    <s v="LARGE"/>
    <s v="384"/>
    <s v="4.0 UN"/>
    <s v="STANDARD"/>
    <s v="N"/>
    <s v="Y"/>
    <s v="Y"/>
    <s v="N"/>
    <s v="N"/>
    <s v="N"/>
    <s v="N"/>
    <s v="N"/>
    <s v="B048"/>
    <d v="2016-12-22T00:00:00"/>
    <s v="20"/>
    <s v="TAN"/>
    <s v="OR"/>
    <d v="2016-12-19T00:00:00"/>
    <s v="ID"/>
    <s v="US"/>
    <s v="ZR"/>
    <d v="2016-12-19T00:00:00"/>
  </r>
  <r>
    <x v="1"/>
    <x v="4"/>
    <x v="3040"/>
    <x v="46"/>
    <s v="Standard order"/>
    <x v="2914"/>
    <x v="2467"/>
    <s v="2570"/>
    <s v="BTS 2570"/>
    <s v="5002555"/>
    <s v="2570 BTS PB XL"/>
    <n v="36"/>
    <n v="0"/>
    <n v="36"/>
    <x v="4"/>
    <s v="EZNS"/>
    <s v="X-LARGE"/>
    <s v="307"/>
    <s v="4.0 UN"/>
    <s v="STANDARD"/>
    <s v="N"/>
    <s v="Y"/>
    <s v="N"/>
    <s v="N"/>
    <s v="N"/>
    <s v="N"/>
    <s v="N"/>
    <s v="N"/>
    <s v="B049"/>
    <d v="2016-12-22T00:00:00"/>
    <s v="10"/>
    <s v="TAN"/>
    <s v="OR"/>
    <d v="2016-12-19T00:00:00"/>
    <s v="ID"/>
    <s v="US"/>
    <s v="ZR"/>
    <d v="2016-12-19T00:00:00"/>
  </r>
  <r>
    <x v="1"/>
    <x v="4"/>
    <x v="3040"/>
    <x v="46"/>
    <s v="Standard order"/>
    <x v="2914"/>
    <x v="2467"/>
    <s v="6027"/>
    <s v="BTS 60RR27"/>
    <s v="5002625"/>
    <s v="6027 BTS PB XL IDH"/>
    <n v="32"/>
    <n v="0"/>
    <n v="32"/>
    <x v="4"/>
    <s v="APMC"/>
    <s v="X-LARGE"/>
    <s v="307"/>
    <s v="4.0 UN"/>
    <s v="STANDARD"/>
    <s v="N"/>
    <s v="Y"/>
    <s v="N"/>
    <s v="N"/>
    <s v="N"/>
    <s v="N"/>
    <s v="N"/>
    <s v="N"/>
    <s v="B049"/>
    <d v="2016-12-22T00:00:00"/>
    <s v="20"/>
    <s v="TAN"/>
    <s v="OR"/>
    <d v="2016-12-19T00:00:00"/>
    <s v="ID"/>
    <s v="US"/>
    <s v="ZR"/>
    <d v="2016-12-19T00:00:00"/>
  </r>
  <r>
    <x v="1"/>
    <x v="4"/>
    <x v="3041"/>
    <x v="53"/>
    <s v="Standard order"/>
    <x v="2915"/>
    <x v="2468"/>
    <s v="225N"/>
    <s v="BTS 22RR5N"/>
    <s v="5002119"/>
    <s v="225N BTS PB XL"/>
    <n v="28"/>
    <n v="0"/>
    <n v="28"/>
    <x v="4"/>
    <s v="4TBD"/>
    <s v="X-LARGE"/>
    <s v="307"/>
    <s v="4.0 UN"/>
    <s v="STANDARD"/>
    <s v="N"/>
    <s v="Y"/>
    <s v="N"/>
    <s v="N"/>
    <s v="N"/>
    <s v="N"/>
    <s v="N"/>
    <s v="N"/>
    <s v="B051"/>
    <d v="2016-12-22T00:00:00"/>
    <s v="10"/>
    <s v="TAN"/>
    <s v="OR"/>
    <d v="2016-12-19T00:00:00"/>
    <s v="ID"/>
    <s v="US"/>
    <s v="ZR"/>
    <d v="2016-12-19T00:00:00"/>
  </r>
  <r>
    <x v="1"/>
    <x v="4"/>
    <x v="3041"/>
    <x v="53"/>
    <s v="Standard order"/>
    <x v="2915"/>
    <x v="2468"/>
    <s v="251N"/>
    <s v="BTS 251N"/>
    <s v="5002196"/>
    <s v="251N BTS PB XL"/>
    <n v="28"/>
    <n v="0"/>
    <n v="28"/>
    <x v="4"/>
    <s v="5HBR"/>
    <s v="X-LARGE"/>
    <s v="307"/>
    <s v="4.0 UN"/>
    <s v="STANDARD"/>
    <s v="N"/>
    <s v="Y"/>
    <s v="N"/>
    <s v="N"/>
    <s v="N"/>
    <s v="N"/>
    <s v="N"/>
    <s v="N"/>
    <s v="B051"/>
    <d v="2016-12-22T00:00:00"/>
    <s v="20"/>
    <s v="TAN"/>
    <s v="OR"/>
    <d v="2016-12-19T00:00:00"/>
    <s v="ID"/>
    <s v="US"/>
    <s v="ZR"/>
    <d v="2016-12-19T00:00:00"/>
  </r>
  <r>
    <x v="1"/>
    <x v="4"/>
    <x v="3042"/>
    <x v="53"/>
    <s v="Standard order"/>
    <x v="2916"/>
    <x v="223"/>
    <s v="2720"/>
    <s v="BTS 27RR20"/>
    <s v="5002142"/>
    <s v="2720 BTS PB XL"/>
    <n v="28"/>
    <n v="0"/>
    <n v="28"/>
    <x v="4"/>
    <s v="4GAY"/>
    <s v="X-LARGE"/>
    <s v="307"/>
    <s v="4.0 UN"/>
    <s v="STANDARD"/>
    <s v="N"/>
    <s v="Y"/>
    <s v="N"/>
    <s v="N"/>
    <s v="N"/>
    <s v="N"/>
    <s v="N"/>
    <s v="N"/>
    <s v="B051"/>
    <d v="2016-12-22T00:00:00"/>
    <s v="10"/>
    <s v="TAN"/>
    <s v="OR"/>
    <d v="2016-12-19T00:00:00"/>
    <s v="ID"/>
    <s v="US"/>
    <s v="ZR"/>
    <d v="2016-12-19T00:00:00"/>
  </r>
  <r>
    <x v="1"/>
    <x v="0"/>
    <x v="3043"/>
    <x v="29"/>
    <s v="Standard order"/>
    <x v="2917"/>
    <x v="632"/>
    <s v="1399"/>
    <s v="BTS 1399"/>
    <s v="5002348"/>
    <s v="1399 BTS T20 Kabina RP"/>
    <n v="16"/>
    <n v="0"/>
    <n v="16"/>
    <x v="0"/>
    <s v="EG74"/>
    <s v="RP"/>
    <s v="380"/>
    <s v="4.0 UN"/>
    <s v="STANDARD"/>
    <s v="N"/>
    <s v="N"/>
    <s v="Y"/>
    <s v="T20"/>
    <s v="N"/>
    <s v="N"/>
    <s v="N"/>
    <s v="N"/>
    <s v="B005"/>
    <d v="2016-12-22T00:00:00"/>
    <s v="10"/>
    <s v="TAN"/>
    <s v="OR"/>
    <d v="2016-12-18T00:00:00"/>
    <s v="MI"/>
    <s v="US"/>
    <s v="ZR"/>
    <d v="2016-12-19T00:00:00"/>
  </r>
  <r>
    <x v="1"/>
    <x v="0"/>
    <x v="3044"/>
    <x v="43"/>
    <s v="Standard order"/>
    <x v="2918"/>
    <x v="2469"/>
    <s v="1399"/>
    <s v="BTS 1399"/>
    <s v="5002348"/>
    <s v="1399 BTS T20 Kabina RP"/>
    <n v="36"/>
    <n v="0"/>
    <n v="36"/>
    <x v="0"/>
    <s v="EG74"/>
    <s v="RP"/>
    <s v="380"/>
    <s v="4.0 UN"/>
    <s v="STANDARD"/>
    <s v="N"/>
    <s v="N"/>
    <s v="Y"/>
    <s v="T20"/>
    <s v="N"/>
    <s v="N"/>
    <s v="N"/>
    <s v="N"/>
    <s v="B006"/>
    <d v="2016-12-22T00:00:00"/>
    <s v="10"/>
    <s v="TAN"/>
    <s v="OR"/>
    <d v="2016-12-19T00:00:00"/>
    <s v="MI"/>
    <s v="US"/>
    <s v="ZR"/>
    <d v="2016-12-19T00:00:00"/>
  </r>
  <r>
    <x v="1"/>
    <x v="0"/>
    <x v="3044"/>
    <x v="43"/>
    <s v="Standard order"/>
    <x v="2918"/>
    <x v="2469"/>
    <s v="122N"/>
    <s v="BTS 12RR2N"/>
    <s v="5002311"/>
    <s v="122N BTS T20 Kabina RP"/>
    <n v="24"/>
    <n v="0"/>
    <n v="24"/>
    <x v="0"/>
    <s v="4TBG"/>
    <s v="RP"/>
    <s v="380"/>
    <s v="4.0 UN"/>
    <s v="STANDARD"/>
    <s v="N"/>
    <s v="N"/>
    <s v="Y"/>
    <s v="T20"/>
    <s v="N"/>
    <s v="N"/>
    <s v="N"/>
    <s v="N"/>
    <s v="B006"/>
    <d v="2016-12-22T00:00:00"/>
    <s v="20"/>
    <s v="TAN"/>
    <s v="OR"/>
    <d v="2016-12-19T00:00:00"/>
    <s v="MI"/>
    <s v="US"/>
    <s v="ZR"/>
    <d v="2016-12-19T00:00:00"/>
  </r>
  <r>
    <x v="1"/>
    <x v="0"/>
    <x v="3044"/>
    <x v="43"/>
    <s v="Standard order"/>
    <x v="2918"/>
    <x v="2469"/>
    <s v="149N"/>
    <s v="BTS 149N"/>
    <s v="5002368"/>
    <s v="149N BTS T20 Kabina RP"/>
    <n v="24"/>
    <n v="0"/>
    <n v="24"/>
    <x v="0"/>
    <s v="EEND"/>
    <s v="RP"/>
    <s v="380"/>
    <s v="4.0 UN"/>
    <s v="STANDARD"/>
    <s v="N"/>
    <s v="N"/>
    <s v="Y"/>
    <s v="T20"/>
    <s v="N"/>
    <s v="N"/>
    <s v="N"/>
    <s v="N"/>
    <s v="B006"/>
    <d v="2016-12-22T00:00:00"/>
    <s v="30"/>
    <s v="TAN"/>
    <s v="OR"/>
    <d v="2016-12-19T00:00:00"/>
    <s v="MI"/>
    <s v="US"/>
    <s v="ZR"/>
    <d v="2016-12-19T00:00:00"/>
  </r>
  <r>
    <x v="1"/>
    <x v="4"/>
    <x v="3045"/>
    <x v="52"/>
    <s v="Standard order"/>
    <x v="2919"/>
    <x v="2470"/>
    <s v="225N"/>
    <s v="BTS 22RR5N"/>
    <s v="5002106"/>
    <s v="225N BTS PB Kabina LRG"/>
    <n v="16"/>
    <n v="0"/>
    <n v="16"/>
    <x v="4"/>
    <s v="4TBD"/>
    <s v="LARGE"/>
    <s v="384"/>
    <s v="4.0 UN"/>
    <s v="STANDARD"/>
    <s v="N"/>
    <s v="Y"/>
    <s v="Y"/>
    <s v="N"/>
    <s v="N"/>
    <s v="N"/>
    <s v="N"/>
    <s v="N"/>
    <s v="B048"/>
    <d v="2016-12-22T00:00:00"/>
    <s v="10"/>
    <s v="TAN"/>
    <s v="OR"/>
    <d v="2016-12-19T00:00:00"/>
    <s v="ID"/>
    <s v="US"/>
    <s v="ZR"/>
    <d v="2016-12-19T00:00:00"/>
  </r>
  <r>
    <x v="1"/>
    <x v="4"/>
    <x v="3045"/>
    <x v="52"/>
    <s v="Standard order"/>
    <x v="2919"/>
    <x v="2470"/>
    <s v="251N"/>
    <s v="BTS 251N"/>
    <s v="5002503"/>
    <s v="251N BTS PB Kabina LRG"/>
    <n v="20"/>
    <n v="0"/>
    <n v="20"/>
    <x v="4"/>
    <s v="5HBR"/>
    <s v="LARGE"/>
    <s v="384"/>
    <s v="4.0 UN"/>
    <s v="STANDARD"/>
    <s v="N"/>
    <s v="Y"/>
    <s v="Y"/>
    <s v="N"/>
    <s v="N"/>
    <s v="N"/>
    <s v="N"/>
    <s v="N"/>
    <s v="B048"/>
    <d v="2016-12-22T00:00:00"/>
    <s v="20"/>
    <s v="TAN"/>
    <s v="OR"/>
    <d v="2016-12-19T00:00:00"/>
    <s v="ID"/>
    <s v="US"/>
    <s v="ZR"/>
    <d v="2016-12-19T00:00:00"/>
  </r>
  <r>
    <x v="1"/>
    <x v="4"/>
    <x v="3046"/>
    <x v="52"/>
    <s v="Standard order"/>
    <x v="2920"/>
    <x v="2471"/>
    <s v="225N"/>
    <s v="BTS 22RR5N"/>
    <s v="5002106"/>
    <s v="225N BTS PB Kabina LRG"/>
    <n v="24"/>
    <n v="0"/>
    <n v="24"/>
    <x v="4"/>
    <s v="4TBD"/>
    <s v="LARGE"/>
    <s v="384"/>
    <s v="4.0 UN"/>
    <s v="STANDARD"/>
    <s v="N"/>
    <s v="Y"/>
    <s v="Y"/>
    <s v="N"/>
    <s v="N"/>
    <s v="N"/>
    <s v="N"/>
    <s v="N"/>
    <s v="B048"/>
    <d v="2016-12-22T00:00:00"/>
    <s v="10"/>
    <s v="TAN"/>
    <s v="OR"/>
    <d v="2016-12-19T00:00:00"/>
    <s v="ID"/>
    <s v="US"/>
    <s v="ZR"/>
    <d v="2016-12-19T00:00:00"/>
  </r>
  <r>
    <x v="1"/>
    <x v="4"/>
    <x v="3046"/>
    <x v="52"/>
    <s v="Standard order"/>
    <x v="2920"/>
    <x v="2471"/>
    <s v="251N"/>
    <s v="BTS 251N"/>
    <s v="5002503"/>
    <s v="251N BTS PB Kabina LRG"/>
    <n v="16"/>
    <n v="0"/>
    <n v="16"/>
    <x v="4"/>
    <s v="5HBR"/>
    <s v="LARGE"/>
    <s v="384"/>
    <s v="4.0 UN"/>
    <s v="STANDARD"/>
    <s v="N"/>
    <s v="Y"/>
    <s v="Y"/>
    <s v="N"/>
    <s v="N"/>
    <s v="N"/>
    <s v="N"/>
    <s v="N"/>
    <s v="B048"/>
    <d v="2016-12-22T00:00:00"/>
    <s v="20"/>
    <s v="TAN"/>
    <s v="OR"/>
    <d v="2016-12-19T00:00:00"/>
    <s v="ID"/>
    <s v="US"/>
    <s v="ZR"/>
    <d v="2016-12-19T00:00:00"/>
  </r>
  <r>
    <x v="1"/>
    <x v="4"/>
    <x v="3046"/>
    <x v="52"/>
    <s v="Standard order"/>
    <x v="2920"/>
    <x v="2471"/>
    <s v="2570"/>
    <s v="BTS 2570"/>
    <s v="5002914"/>
    <s v="2570 BTS PB Kabina LRG"/>
    <n v="12"/>
    <n v="0"/>
    <n v="12"/>
    <x v="4"/>
    <s v="EZNS"/>
    <s v="LARGE"/>
    <s v="384"/>
    <s v="4.0 UN"/>
    <s v="STANDARD"/>
    <s v="N"/>
    <s v="Y"/>
    <s v="Y"/>
    <s v="N"/>
    <s v="N"/>
    <s v="N"/>
    <s v="N"/>
    <s v="N"/>
    <s v="B048"/>
    <d v="2016-12-22T00:00:00"/>
    <s v="30"/>
    <s v="TAN"/>
    <s v="OR"/>
    <d v="2016-12-19T00:00:00"/>
    <s v="ID"/>
    <s v="US"/>
    <s v="ZR"/>
    <d v="2016-12-19T00:00:00"/>
  </r>
  <r>
    <x v="1"/>
    <x v="4"/>
    <x v="3047"/>
    <x v="52"/>
    <s v="Standard order"/>
    <x v="2921"/>
    <x v="2472"/>
    <s v="225N"/>
    <s v="BTS 22RR5N"/>
    <s v="5002120"/>
    <s v="225N BTS PB XL+"/>
    <n v="40"/>
    <n v="0"/>
    <n v="40"/>
    <x v="4"/>
    <s v="4TBD"/>
    <s v="XL-PLUS"/>
    <s v="307"/>
    <s v="4.0 UN"/>
    <s v="STANDARD"/>
    <s v="N"/>
    <s v="Y"/>
    <s v="N"/>
    <s v="N"/>
    <s v="N"/>
    <s v="N"/>
    <s v="N"/>
    <s v="N"/>
    <s v="B048"/>
    <d v="2016-12-22T00:00:00"/>
    <s v="10"/>
    <s v="TAN"/>
    <s v="OR"/>
    <d v="2016-12-19T00:00:00"/>
    <s v="ID"/>
    <s v="US"/>
    <s v="ZR"/>
    <d v="2016-12-19T00:00:00"/>
  </r>
  <r>
    <x v="1"/>
    <x v="4"/>
    <x v="3047"/>
    <x v="52"/>
    <s v="Standard order"/>
    <x v="2921"/>
    <x v="2472"/>
    <s v="251N"/>
    <s v="BTS 251N"/>
    <s v="5002198"/>
    <s v="251N BTS PB XL+"/>
    <n v="4"/>
    <n v="0"/>
    <n v="4"/>
    <x v="4"/>
    <s v="5HBR"/>
    <s v="XL-PLUS"/>
    <s v="307"/>
    <s v="4.0 UN"/>
    <s v="STANDARD"/>
    <s v="N"/>
    <s v="Y"/>
    <s v="N"/>
    <s v="N"/>
    <s v="N"/>
    <s v="N"/>
    <s v="N"/>
    <s v="N"/>
    <s v="B048"/>
    <d v="2016-12-22T00:00:00"/>
    <s v="20"/>
    <s v="TAN"/>
    <s v="OR"/>
    <d v="2016-12-19T00:00:00"/>
    <s v="ID"/>
    <s v="US"/>
    <s v="ZR"/>
    <d v="2016-12-19T00:00:00"/>
  </r>
  <r>
    <x v="1"/>
    <x v="4"/>
    <x v="3048"/>
    <x v="44"/>
    <s v="Standard order"/>
    <x v="2922"/>
    <x v="2473"/>
    <s v="2570"/>
    <s v="BTS 2570"/>
    <s v="5002914"/>
    <s v="2570 BTS PB Kabina LRG"/>
    <n v="24"/>
    <n v="0"/>
    <n v="24"/>
    <x v="4"/>
    <s v="EZNS"/>
    <s v="LARGE"/>
    <s v="384"/>
    <s v="4.0 UN"/>
    <s v="STANDARD"/>
    <s v="N"/>
    <s v="Y"/>
    <s v="Y"/>
    <s v="N"/>
    <s v="N"/>
    <s v="N"/>
    <s v="N"/>
    <s v="N"/>
    <s v="MB13"/>
    <d v="2016-12-22T00:00:00"/>
    <s v="10"/>
    <s v="TAN"/>
    <s v="OR"/>
    <d v="2016-12-19T00:00:00"/>
    <s v="ID"/>
    <s v="US"/>
    <s v="ZR"/>
    <d v="2016-12-19T00:00:00"/>
  </r>
  <r>
    <x v="1"/>
    <x v="4"/>
    <x v="3048"/>
    <x v="44"/>
    <s v="Standard order"/>
    <x v="2922"/>
    <x v="2473"/>
    <s v="225N"/>
    <s v="BTS 22RR5N"/>
    <s v="5002106"/>
    <s v="225N BTS PB Kabina LRG"/>
    <n v="12"/>
    <n v="0"/>
    <n v="12"/>
    <x v="4"/>
    <s v="4TBD"/>
    <s v="LARGE"/>
    <s v="384"/>
    <s v="4.0 UN"/>
    <s v="STANDARD"/>
    <s v="N"/>
    <s v="Y"/>
    <s v="Y"/>
    <s v="N"/>
    <s v="N"/>
    <s v="N"/>
    <s v="N"/>
    <s v="N"/>
    <s v="MB13"/>
    <d v="2016-12-22T00:00:00"/>
    <s v="20"/>
    <s v="TAN"/>
    <s v="OR"/>
    <d v="2016-12-19T00:00:00"/>
    <s v="ID"/>
    <s v="US"/>
    <s v="ZR"/>
    <d v="2016-12-19T00:00:00"/>
  </r>
  <r>
    <x v="1"/>
    <x v="4"/>
    <x v="3048"/>
    <x v="44"/>
    <s v="Standard order"/>
    <x v="2922"/>
    <x v="2473"/>
    <s v="251N"/>
    <s v="BTS 251N"/>
    <s v="5002503"/>
    <s v="251N BTS PB Kabina LRG"/>
    <n v="8"/>
    <n v="0"/>
    <n v="8"/>
    <x v="4"/>
    <s v="5HBR"/>
    <s v="LARGE"/>
    <s v="384"/>
    <s v="4.0 UN"/>
    <s v="STANDARD"/>
    <s v="N"/>
    <s v="Y"/>
    <s v="Y"/>
    <s v="N"/>
    <s v="N"/>
    <s v="N"/>
    <s v="N"/>
    <s v="N"/>
    <s v="MB13"/>
    <d v="2016-12-22T00:00:00"/>
    <s v="30"/>
    <s v="TAN"/>
    <s v="OR"/>
    <d v="2016-12-19T00:00:00"/>
    <s v="ID"/>
    <s v="US"/>
    <s v="ZR"/>
    <d v="2016-12-19T00:00:00"/>
  </r>
  <r>
    <x v="1"/>
    <x v="7"/>
    <x v="3049"/>
    <x v="33"/>
    <s v="Standard order"/>
    <x v="2923"/>
    <x v="2474"/>
    <s v="8337"/>
    <s v="BTS 8337"/>
    <s v="5002795"/>
    <s v="8337 BTS T35 PB SYSTIVA RP"/>
    <n v="24"/>
    <n v="0"/>
    <n v="24"/>
    <x v="7"/>
    <s v="DHMC"/>
    <s v="RP"/>
    <s v="333"/>
    <s v="4.0 UN"/>
    <s v="STANDARD"/>
    <s v="N"/>
    <s v="Y"/>
    <s v="N"/>
    <s v="T35"/>
    <s v="Y"/>
    <s v="N"/>
    <s v="Y"/>
    <s v="N"/>
    <s v="B026"/>
    <d v="2016-12-22T00:00:00"/>
    <s v="10"/>
    <s v="TAN"/>
    <s v="OR"/>
    <d v="2016-12-19T00:00:00"/>
    <s v="MN"/>
    <s v="US"/>
    <s v="ZR"/>
    <d v="2016-12-19T00:00:00"/>
  </r>
  <r>
    <x v="1"/>
    <x v="0"/>
    <x v="3050"/>
    <x v="55"/>
    <s v="Standard order"/>
    <x v="2924"/>
    <x v="357"/>
    <s v="1399"/>
    <s v="BTS 1399"/>
    <s v="5002346"/>
    <s v="1399 BTS T20 Kabina MP"/>
    <n v="200"/>
    <n v="0"/>
    <n v="200"/>
    <x v="0"/>
    <s v="EG74"/>
    <s v="MP"/>
    <s v="380"/>
    <s v="4.0 UN"/>
    <s v="STANDARD"/>
    <s v="N"/>
    <s v="N"/>
    <s v="Y"/>
    <s v="T20"/>
    <s v="N"/>
    <s v="N"/>
    <s v="N"/>
    <s v="N"/>
    <s v="B009"/>
    <d v="2016-12-22T00:00:00"/>
    <s v="10"/>
    <s v="TAN"/>
    <s v="OR"/>
    <d v="2016-12-19T00:00:00"/>
    <s v="MI"/>
    <s v="US"/>
    <s v="ZR"/>
    <d v="2016-12-19T00:00:00"/>
  </r>
  <r>
    <x v="1"/>
    <x v="4"/>
    <x v="3051"/>
    <x v="44"/>
    <s v="Standard order"/>
    <x v="2925"/>
    <x v="2475"/>
    <s v="2570"/>
    <s v="BTS 2570"/>
    <s v="5002555"/>
    <s v="2570 BTS PB XL"/>
    <n v="16"/>
    <n v="0"/>
    <n v="16"/>
    <x v="4"/>
    <s v="EZNS"/>
    <s v="X-LARGE"/>
    <s v="307"/>
    <s v="4.0 UN"/>
    <s v="STANDARD"/>
    <s v="N"/>
    <s v="Y"/>
    <s v="N"/>
    <s v="N"/>
    <s v="N"/>
    <s v="N"/>
    <s v="N"/>
    <s v="N"/>
    <s v="MB13"/>
    <d v="2016-12-22T00:00:00"/>
    <s v="10"/>
    <s v="TAN"/>
    <s v="OR"/>
    <d v="2016-12-19T00:00:00"/>
    <s v="ID"/>
    <s v="US"/>
    <s v="ZR"/>
    <d v="2016-12-19T00:00:00"/>
  </r>
  <r>
    <x v="1"/>
    <x v="5"/>
    <x v="3052"/>
    <x v="12"/>
    <s v="Standard order"/>
    <x v="2926"/>
    <x v="2476"/>
    <s v="336N"/>
    <s v="BTS 336N"/>
    <s v="5002199"/>
    <s v="336N BTS T20 PB SYSTIVA P200"/>
    <n v="12"/>
    <n v="0"/>
    <n v="12"/>
    <x v="5"/>
    <s v="EEMG"/>
    <s v="PRO 200"/>
    <s v="322"/>
    <s v="4.0 UN"/>
    <s v="STANDARD"/>
    <s v="N"/>
    <s v="N"/>
    <s v="N"/>
    <s v="T20"/>
    <s v="Y"/>
    <s v="N"/>
    <s v="N"/>
    <s v="N"/>
    <s v="B014"/>
    <d v="2016-12-22T00:00:00"/>
    <s v="10"/>
    <s v="TAN"/>
    <s v="OR"/>
    <d v="2016-12-19T00:00:00"/>
    <s v="MT"/>
    <s v="US"/>
    <s v="ZR"/>
    <d v="2016-12-19T00:00:00"/>
  </r>
  <r>
    <x v="1"/>
    <x v="2"/>
    <x v="3053"/>
    <x v="3"/>
    <s v="Standard order"/>
    <x v="2927"/>
    <x v="944"/>
    <s v="6027"/>
    <s v="BTS 60RR27"/>
    <s v="5002645"/>
    <s v="6027 BTS T20 PB SYSTIVA P100 WSS"/>
    <n v="60"/>
    <n v="0"/>
    <n v="60"/>
    <x v="2"/>
    <s v="APMC"/>
    <s v="PRO 100"/>
    <s v="322"/>
    <s v="4.0 UN"/>
    <s v="STANDARD"/>
    <s v="N"/>
    <s v="N"/>
    <s v="N"/>
    <s v="T20"/>
    <s v="Y"/>
    <s v="N"/>
    <s v="Y"/>
    <s v="N"/>
    <s v="B024"/>
    <d v="2016-12-22T00:00:00"/>
    <s v="10"/>
    <s v="TAN"/>
    <s v="OR"/>
    <d v="2016-12-19T00:00:00"/>
    <s v="NE"/>
    <s v="US"/>
    <s v="ZR"/>
    <d v="2016-12-19T00:00:00"/>
  </r>
  <r>
    <x v="1"/>
    <x v="2"/>
    <x v="3053"/>
    <x v="3"/>
    <s v="Standard order"/>
    <x v="2927"/>
    <x v="944"/>
    <s v="64SN"/>
    <s v="BTS 64SN"/>
    <s v="5002420"/>
    <s v="64SN BTS T20 PB SYSTIVA P100"/>
    <n v="24"/>
    <n v="0"/>
    <n v="24"/>
    <x v="2"/>
    <s v="DVNB"/>
    <s v="PRO 100"/>
    <s v="322"/>
    <s v="4.0 UN"/>
    <s v="STANDARD"/>
    <s v="N"/>
    <s v="N"/>
    <s v="N"/>
    <s v="T20"/>
    <s v="Y"/>
    <s v="N"/>
    <s v="Y"/>
    <s v="N"/>
    <s v="B024"/>
    <d v="2016-12-22T00:00:00"/>
    <s v="20"/>
    <s v="TAN"/>
    <s v="OR"/>
    <d v="2016-12-19T00:00:00"/>
    <s v="NE"/>
    <s v="US"/>
    <s v="ZR"/>
    <d v="2016-12-19T00:00:00"/>
  </r>
  <r>
    <x v="1"/>
    <x v="0"/>
    <x v="3054"/>
    <x v="55"/>
    <s v="Standard order"/>
    <x v="2928"/>
    <x v="2477"/>
    <s v="1399"/>
    <s v="BTS 1399"/>
    <s v="5002348"/>
    <s v="1399 BTS T20 Kabina RP"/>
    <n v="36"/>
    <n v="0"/>
    <n v="36"/>
    <x v="0"/>
    <s v="EG74"/>
    <s v="RP"/>
    <s v="380"/>
    <s v="4.0 UN"/>
    <s v="STANDARD"/>
    <s v="N"/>
    <s v="N"/>
    <s v="Y"/>
    <s v="T20"/>
    <s v="N"/>
    <s v="N"/>
    <s v="N"/>
    <s v="N"/>
    <s v="B009"/>
    <d v="2016-12-22T00:00:00"/>
    <s v="10"/>
    <s v="TAN"/>
    <s v="OR"/>
    <d v="2016-12-19T00:00:00"/>
    <s v="MI"/>
    <s v="US"/>
    <s v="ZR"/>
    <d v="2016-12-19T00:00:00"/>
  </r>
  <r>
    <x v="1"/>
    <x v="0"/>
    <x v="3055"/>
    <x v="55"/>
    <s v="Standard order"/>
    <x v="2929"/>
    <x v="933"/>
    <s v="122N"/>
    <s v="BTS 12RR2N"/>
    <s v="5002309"/>
    <s v="122N BTS T20 Kabina MP"/>
    <n v="36"/>
    <n v="0"/>
    <n v="36"/>
    <x v="0"/>
    <s v="4TBG"/>
    <s v="MP"/>
    <s v="380"/>
    <s v="4.0 UN"/>
    <s v="STANDARD"/>
    <s v="N"/>
    <s v="N"/>
    <s v="Y"/>
    <s v="T20"/>
    <s v="N"/>
    <s v="N"/>
    <s v="N"/>
    <s v="N"/>
    <s v="B009"/>
    <d v="2016-12-22T00:00:00"/>
    <s v="10"/>
    <s v="TAN"/>
    <s v="OR"/>
    <d v="2016-12-19T00:00:00"/>
    <s v="MI"/>
    <s v="US"/>
    <s v="ZR"/>
    <d v="2016-12-19T00:00:00"/>
  </r>
  <r>
    <x v="1"/>
    <x v="0"/>
    <x v="3055"/>
    <x v="55"/>
    <s v="Standard order"/>
    <x v="2929"/>
    <x v="933"/>
    <s v="1399"/>
    <s v="BTS 1399"/>
    <s v="5002346"/>
    <s v="1399 BTS T20 Kabina MP"/>
    <n v="32"/>
    <n v="0"/>
    <n v="32"/>
    <x v="0"/>
    <s v="EG74"/>
    <s v="MP"/>
    <s v="380"/>
    <s v="4.0 UN"/>
    <s v="STANDARD"/>
    <s v="N"/>
    <s v="N"/>
    <s v="Y"/>
    <s v="T20"/>
    <s v="N"/>
    <s v="N"/>
    <s v="N"/>
    <s v="N"/>
    <s v="B009"/>
    <d v="2016-12-22T00:00:00"/>
    <s v="20"/>
    <s v="TAN"/>
    <s v="OR"/>
    <d v="2016-12-19T00:00:00"/>
    <s v="MI"/>
    <s v="US"/>
    <s v="ZR"/>
    <d v="2016-12-19T00:00:00"/>
  </r>
  <r>
    <x v="1"/>
    <x v="4"/>
    <x v="3056"/>
    <x v="46"/>
    <s v="Standard order"/>
    <x v="2930"/>
    <x v="1153"/>
    <s v="6027"/>
    <s v="BTS 60RR27"/>
    <s v="5002625"/>
    <s v="6027 BTS PB XL IDH"/>
    <n v="24"/>
    <n v="0"/>
    <n v="24"/>
    <x v="4"/>
    <s v="APMC"/>
    <s v="X-LARGE"/>
    <s v="307"/>
    <s v="4.0 UN"/>
    <s v="STANDARD"/>
    <s v="N"/>
    <s v="Y"/>
    <s v="N"/>
    <s v="N"/>
    <s v="N"/>
    <s v="N"/>
    <s v="N"/>
    <s v="N"/>
    <s v="B049"/>
    <d v="2016-12-22T00:00:00"/>
    <s v="10"/>
    <s v="TAN"/>
    <s v="OR"/>
    <d v="2016-12-19T00:00:00"/>
    <s v="ID"/>
    <s v="US"/>
    <s v="ZR"/>
    <d v="2016-12-19T00:00:00"/>
  </r>
  <r>
    <x v="1"/>
    <x v="4"/>
    <x v="3056"/>
    <x v="46"/>
    <s v="Standard order"/>
    <x v="2930"/>
    <x v="1153"/>
    <s v="2559"/>
    <s v="BTS 2559"/>
    <s v="5002563"/>
    <s v="2559 BTS PB XL"/>
    <n v="24"/>
    <n v="0"/>
    <n v="24"/>
    <x v="4"/>
    <s v="FGNE"/>
    <s v="X-LARGE"/>
    <s v="307"/>
    <s v="4.0 UN"/>
    <s v="STANDARD"/>
    <s v="N"/>
    <s v="Y"/>
    <s v="N"/>
    <s v="N"/>
    <s v="N"/>
    <s v="N"/>
    <s v="N"/>
    <s v="N"/>
    <s v="B049"/>
    <d v="2016-12-22T00:00:00"/>
    <s v="20"/>
    <s v="TAN"/>
    <s v="OR"/>
    <d v="2016-12-19T00:00:00"/>
    <s v="ID"/>
    <s v="US"/>
    <s v="ZR"/>
    <d v="2016-12-19T00:00:00"/>
  </r>
  <r>
    <x v="1"/>
    <x v="4"/>
    <x v="3056"/>
    <x v="46"/>
    <s v="Standard order"/>
    <x v="2930"/>
    <x v="1153"/>
    <s v="2523"/>
    <s v="BTS 2523"/>
    <s v="5002529"/>
    <s v="2523 BTS PB XL"/>
    <n v="28"/>
    <n v="0"/>
    <n v="28"/>
    <x v="4"/>
    <s v="EZPC"/>
    <s v="X-LARGE"/>
    <s v="307"/>
    <s v="4.0 UN"/>
    <s v="STANDARD"/>
    <s v="N"/>
    <s v="Y"/>
    <s v="N"/>
    <s v="N"/>
    <s v="N"/>
    <s v="N"/>
    <s v="N"/>
    <s v="N"/>
    <s v="B049"/>
    <d v="2016-12-22T00:00:00"/>
    <s v="30"/>
    <s v="TAN"/>
    <s v="OR"/>
    <d v="2016-12-19T00:00:00"/>
    <s v="ID"/>
    <s v="US"/>
    <s v="ZR"/>
    <d v="2016-12-19T00:00:00"/>
  </r>
  <r>
    <x v="1"/>
    <x v="5"/>
    <x v="3057"/>
    <x v="12"/>
    <s v="Standard order"/>
    <x v="2931"/>
    <x v="931"/>
    <s v="336N"/>
    <s v="BTS 336N"/>
    <s v="5002199"/>
    <s v="336N BTS T20 PB SYSTIVA P200"/>
    <n v="80"/>
    <n v="0"/>
    <n v="80"/>
    <x v="5"/>
    <s v="EEMG"/>
    <s v="PRO 200"/>
    <s v="322"/>
    <s v="4.0 UN"/>
    <s v="STANDARD"/>
    <s v="N"/>
    <s v="N"/>
    <s v="N"/>
    <s v="T20"/>
    <s v="Y"/>
    <s v="N"/>
    <s v="N"/>
    <s v="N"/>
    <s v="B014"/>
    <d v="2016-12-22T00:00:00"/>
    <s v="10"/>
    <s v="TAN"/>
    <s v="OR"/>
    <d v="2016-12-19T00:00:00"/>
    <s v="MT"/>
    <s v="US"/>
    <s v="ZR"/>
    <d v="2016-12-19T00:00:00"/>
  </r>
  <r>
    <x v="1"/>
    <x v="4"/>
    <x v="3058"/>
    <x v="53"/>
    <s v="Standard order"/>
    <x v="2932"/>
    <x v="135"/>
    <s v="225N"/>
    <s v="BTS 22RR5N"/>
    <s v="5002119"/>
    <s v="225N BTS PB XL"/>
    <n v="76"/>
    <n v="0"/>
    <n v="76"/>
    <x v="4"/>
    <s v="4TBD"/>
    <s v="X-LARGE"/>
    <s v="307"/>
    <s v="4.0 UN"/>
    <s v="STANDARD"/>
    <s v="N"/>
    <s v="Y"/>
    <s v="N"/>
    <s v="N"/>
    <s v="N"/>
    <s v="N"/>
    <s v="N"/>
    <s v="N"/>
    <s v="B051"/>
    <d v="2016-12-22T00:00:00"/>
    <s v="10"/>
    <s v="TAN"/>
    <s v="OR"/>
    <d v="2016-12-19T00:00:00"/>
    <s v="ID"/>
    <s v="US"/>
    <s v="ZR"/>
    <d v="2016-12-19T00:00:00"/>
  </r>
  <r>
    <x v="1"/>
    <x v="4"/>
    <x v="3058"/>
    <x v="53"/>
    <s v="Standard order"/>
    <x v="2932"/>
    <x v="135"/>
    <s v="251N"/>
    <s v="BTS 251N"/>
    <s v="5002196"/>
    <s v="251N BTS PB XL"/>
    <n v="32"/>
    <n v="0"/>
    <n v="32"/>
    <x v="4"/>
    <s v="5HBR"/>
    <s v="X-LARGE"/>
    <s v="307"/>
    <s v="4.0 UN"/>
    <s v="STANDARD"/>
    <s v="N"/>
    <s v="Y"/>
    <s v="N"/>
    <s v="N"/>
    <s v="N"/>
    <s v="N"/>
    <s v="N"/>
    <s v="N"/>
    <s v="B051"/>
    <d v="2016-12-22T00:00:00"/>
    <s v="20"/>
    <s v="TAN"/>
    <s v="OR"/>
    <d v="2016-12-19T00:00:00"/>
    <s v="ID"/>
    <s v="US"/>
    <s v="ZR"/>
    <d v="2016-12-19T00:00:00"/>
  </r>
  <r>
    <x v="1"/>
    <x v="0"/>
    <x v="3059"/>
    <x v="55"/>
    <s v="Standard order"/>
    <x v="2933"/>
    <x v="2478"/>
    <s v="1399"/>
    <s v="BTS 1399"/>
    <s v="5002346"/>
    <s v="1399 BTS T20 Kabina MP"/>
    <n v="136"/>
    <n v="0"/>
    <n v="136"/>
    <x v="0"/>
    <s v="EG74"/>
    <s v="MP"/>
    <s v="380"/>
    <s v="4.0 UN"/>
    <s v="STANDARD"/>
    <s v="N"/>
    <s v="N"/>
    <s v="Y"/>
    <s v="T20"/>
    <s v="N"/>
    <s v="N"/>
    <s v="N"/>
    <s v="N"/>
    <s v="B009"/>
    <d v="2016-12-22T00:00:00"/>
    <s v="10"/>
    <s v="TAN"/>
    <s v="OR"/>
    <d v="2016-12-19T00:00:00"/>
    <s v="MI"/>
    <s v="US"/>
    <s v="ZR"/>
    <d v="2016-12-19T00:00:00"/>
  </r>
  <r>
    <x v="1"/>
    <x v="0"/>
    <x v="3060"/>
    <x v="43"/>
    <s v="Standard order"/>
    <x v="2934"/>
    <x v="2479"/>
    <s v="1399"/>
    <s v="BTS 1399"/>
    <s v="5002348"/>
    <s v="1399 BTS T20 Kabina RP"/>
    <n v="72"/>
    <n v="0"/>
    <n v="72"/>
    <x v="0"/>
    <s v="EG74"/>
    <s v="RP"/>
    <s v="380"/>
    <s v="4.0 UN"/>
    <s v="STANDARD"/>
    <s v="N"/>
    <s v="N"/>
    <s v="Y"/>
    <s v="T20"/>
    <s v="N"/>
    <s v="N"/>
    <s v="N"/>
    <s v="N"/>
    <s v="B006"/>
    <d v="2016-12-22T00:00:00"/>
    <s v="10"/>
    <s v="TAN"/>
    <s v="OR"/>
    <d v="2016-12-19T00:00:00"/>
    <s v="MI"/>
    <s v="US"/>
    <s v="ZR"/>
    <d v="2016-12-19T00:00:00"/>
  </r>
  <r>
    <x v="1"/>
    <x v="0"/>
    <x v="3060"/>
    <x v="43"/>
    <s v="Standard order"/>
    <x v="2934"/>
    <x v="2479"/>
    <s v="149N"/>
    <s v="BTS 149N"/>
    <s v="5002368"/>
    <s v="149N BTS T20 Kabina RP"/>
    <n v="48"/>
    <n v="0"/>
    <n v="48"/>
    <x v="0"/>
    <s v="EEND"/>
    <s v="RP"/>
    <s v="380"/>
    <s v="4.0 UN"/>
    <s v="STANDARD"/>
    <s v="N"/>
    <s v="N"/>
    <s v="Y"/>
    <s v="T20"/>
    <s v="N"/>
    <s v="N"/>
    <s v="N"/>
    <s v="N"/>
    <s v="B006"/>
    <d v="2016-12-22T00:00:00"/>
    <s v="20"/>
    <s v="TAN"/>
    <s v="OR"/>
    <d v="2016-12-19T00:00:00"/>
    <s v="MI"/>
    <s v="US"/>
    <s v="ZR"/>
    <d v="2016-12-19T00:00:00"/>
  </r>
  <r>
    <x v="1"/>
    <x v="4"/>
    <x v="3061"/>
    <x v="52"/>
    <s v="Standard order"/>
    <x v="2935"/>
    <x v="2480"/>
    <s v="225N"/>
    <s v="BTS 22RR5N"/>
    <s v="5002106"/>
    <s v="225N BTS PB Kabina LRG"/>
    <n v="36"/>
    <n v="0"/>
    <n v="36"/>
    <x v="4"/>
    <s v="4TBD"/>
    <s v="LARGE"/>
    <s v="384"/>
    <s v="4.0 UN"/>
    <s v="STANDARD"/>
    <s v="N"/>
    <s v="Y"/>
    <s v="Y"/>
    <s v="N"/>
    <s v="N"/>
    <s v="N"/>
    <s v="N"/>
    <s v="N"/>
    <s v="B048"/>
    <d v="2016-12-22T00:00:00"/>
    <s v="10"/>
    <s v="TAN"/>
    <s v="OR"/>
    <d v="2016-12-19T00:00:00"/>
    <s v="ID"/>
    <s v="US"/>
    <s v="ZR"/>
    <d v="2016-12-19T00:00:00"/>
  </r>
  <r>
    <x v="1"/>
    <x v="4"/>
    <x v="3062"/>
    <x v="52"/>
    <s v="Standard order"/>
    <x v="2936"/>
    <x v="2481"/>
    <s v="225N"/>
    <s v="BTS 22RR5N"/>
    <s v="5002106"/>
    <s v="225N BTS PB Kabina LRG"/>
    <n v="32"/>
    <n v="0"/>
    <n v="32"/>
    <x v="4"/>
    <s v="4TBD"/>
    <s v="LARGE"/>
    <s v="384"/>
    <s v="4.0 UN"/>
    <s v="STANDARD"/>
    <s v="N"/>
    <s v="Y"/>
    <s v="Y"/>
    <s v="N"/>
    <s v="N"/>
    <s v="N"/>
    <s v="N"/>
    <s v="N"/>
    <s v="B048"/>
    <d v="2016-12-22T00:00:00"/>
    <s v="10"/>
    <s v="TAN"/>
    <s v="OR"/>
    <d v="2016-12-19T00:00:00"/>
    <s v="ID"/>
    <s v="US"/>
    <s v="ZR"/>
    <d v="2016-12-19T00:00:00"/>
  </r>
  <r>
    <x v="1"/>
    <x v="0"/>
    <x v="3063"/>
    <x v="55"/>
    <s v="Standard order"/>
    <x v="2937"/>
    <x v="778"/>
    <s v="149N"/>
    <s v="BTS 149N"/>
    <s v="5002368"/>
    <s v="149N BTS T20 Kabina RP"/>
    <n v="40"/>
    <n v="0"/>
    <n v="40"/>
    <x v="0"/>
    <s v="EEND"/>
    <s v="RP"/>
    <s v="380"/>
    <s v="4.0 UN"/>
    <s v="STANDARD"/>
    <s v="N"/>
    <s v="N"/>
    <s v="Y"/>
    <s v="T20"/>
    <s v="N"/>
    <s v="N"/>
    <s v="N"/>
    <s v="N"/>
    <s v="B009"/>
    <d v="2016-12-22T00:00:00"/>
    <s v="10"/>
    <s v="TAN"/>
    <s v="OR"/>
    <d v="2016-12-19T00:00:00"/>
    <s v="MI"/>
    <s v="US"/>
    <s v="ZR"/>
    <d v="2016-12-19T00:00:00"/>
  </r>
  <r>
    <x v="1"/>
    <x v="0"/>
    <x v="3063"/>
    <x v="55"/>
    <s v="Standard order"/>
    <x v="2937"/>
    <x v="778"/>
    <s v="133N"/>
    <s v="BTS 133N"/>
    <s v="5002329"/>
    <s v="133N BTS T20 Kabina RP"/>
    <n v="40"/>
    <n v="0"/>
    <n v="40"/>
    <x v="0"/>
    <s v="DW73"/>
    <s v="RP"/>
    <s v="380"/>
    <s v="4.0 UN"/>
    <s v="STANDARD"/>
    <s v="N"/>
    <s v="N"/>
    <s v="Y"/>
    <s v="T20"/>
    <s v="N"/>
    <s v="N"/>
    <s v="N"/>
    <s v="N"/>
    <s v="B009"/>
    <d v="2016-12-22T00:00:00"/>
    <s v="20"/>
    <s v="TAN"/>
    <s v="OR"/>
    <d v="2016-12-19T00:00:00"/>
    <s v="MI"/>
    <s v="US"/>
    <s v="ZR"/>
    <d v="2016-12-19T00:00:00"/>
  </r>
  <r>
    <x v="1"/>
    <x v="0"/>
    <x v="3064"/>
    <x v="42"/>
    <s v="Standard order"/>
    <x v="2938"/>
    <x v="2482"/>
    <s v="1399"/>
    <s v="BTS 1399"/>
    <s v="5002348"/>
    <s v="1399 BTS T20 Kabina RP"/>
    <n v="24"/>
    <n v="0"/>
    <n v="24"/>
    <x v="0"/>
    <s v="EG74"/>
    <s v="RP"/>
    <s v="380"/>
    <s v="4.0 UN"/>
    <s v="STANDARD"/>
    <s v="N"/>
    <s v="N"/>
    <s v="Y"/>
    <s v="T20"/>
    <s v="N"/>
    <s v="N"/>
    <s v="N"/>
    <s v="N"/>
    <s v="B007"/>
    <d v="2016-12-22T00:00:00"/>
    <s v="10"/>
    <s v="TAN"/>
    <s v="OR"/>
    <d v="2016-12-19T00:00:00"/>
    <s v="MI"/>
    <s v="US"/>
    <s v="ZR"/>
    <d v="2016-12-19T00:00:00"/>
  </r>
  <r>
    <x v="1"/>
    <x v="0"/>
    <x v="3064"/>
    <x v="42"/>
    <s v="Standard order"/>
    <x v="2938"/>
    <x v="2482"/>
    <s v="122N"/>
    <s v="BTS 12RR2N"/>
    <s v="5002311"/>
    <s v="122N BTS T20 Kabina RP"/>
    <n v="24"/>
    <n v="0"/>
    <n v="24"/>
    <x v="0"/>
    <s v="4TBG"/>
    <s v="RP"/>
    <s v="380"/>
    <s v="4.0 UN"/>
    <s v="STANDARD"/>
    <s v="N"/>
    <s v="N"/>
    <s v="Y"/>
    <s v="T20"/>
    <s v="N"/>
    <s v="N"/>
    <s v="N"/>
    <s v="N"/>
    <s v="B007"/>
    <d v="2016-12-22T00:00:00"/>
    <s v="20"/>
    <s v="TAN"/>
    <s v="OR"/>
    <d v="2016-12-19T00:00:00"/>
    <s v="MI"/>
    <s v="US"/>
    <s v="ZR"/>
    <d v="2016-12-19T00:00:00"/>
  </r>
  <r>
    <x v="1"/>
    <x v="2"/>
    <x v="3065"/>
    <x v="6"/>
    <s v="Standard order"/>
    <x v="2700"/>
    <x v="2344"/>
    <s v="64SN"/>
    <s v="BTS 64SN"/>
    <s v="5002420"/>
    <s v="64SN BTS T20 PB SYSTIVA P100"/>
    <n v="28"/>
    <n v="0"/>
    <n v="28"/>
    <x v="2"/>
    <s v="DVNB"/>
    <s v="PRO 100"/>
    <s v="322"/>
    <s v="4.0 UN"/>
    <s v="STANDARD"/>
    <s v="N"/>
    <s v="N"/>
    <s v="N"/>
    <s v="T20"/>
    <s v="Y"/>
    <s v="N"/>
    <s v="Y"/>
    <s v="N"/>
    <s v="B025"/>
    <d v="2016-12-22T00:00:00"/>
    <s v="10"/>
    <s v="TAN"/>
    <s v="OR"/>
    <d v="2016-12-19T00:00:00"/>
    <s v="NE"/>
    <s v="US"/>
    <s v="ZR"/>
    <d v="2016-12-19T00:00:00"/>
  </r>
  <r>
    <x v="1"/>
    <x v="4"/>
    <x v="3066"/>
    <x v="50"/>
    <s v="Standard order"/>
    <x v="2939"/>
    <x v="2483"/>
    <s v="225N"/>
    <s v="BTS 22RR5N"/>
    <s v="5002111"/>
    <s v="225N BTS PB LRG"/>
    <n v="12"/>
    <n v="0"/>
    <n v="12"/>
    <x v="4"/>
    <s v="4TBD"/>
    <s v="LARGE"/>
    <s v="307"/>
    <s v="4.0 UN"/>
    <s v="STANDARD"/>
    <s v="N"/>
    <s v="Y"/>
    <s v="N"/>
    <s v="N"/>
    <s v="N"/>
    <s v="N"/>
    <s v="N"/>
    <s v="N"/>
    <s v="B047"/>
    <d v="2016-12-22T00:00:00"/>
    <s v="10"/>
    <s v="TAN"/>
    <s v="OR"/>
    <d v="2016-12-19T00:00:00"/>
    <s v="ID"/>
    <s v="US"/>
    <s v="ZR"/>
    <d v="2016-12-19T00:00:00"/>
  </r>
  <r>
    <x v="1"/>
    <x v="5"/>
    <x v="3067"/>
    <x v="12"/>
    <s v="Standard order"/>
    <x v="2940"/>
    <x v="914"/>
    <s v="336N"/>
    <s v="BTS 336N"/>
    <s v="5002199"/>
    <s v="336N BTS T20 PB SYSTIVA P200"/>
    <n v="172"/>
    <n v="0"/>
    <n v="172"/>
    <x v="5"/>
    <s v="EEMG"/>
    <s v="PRO 200"/>
    <s v="322"/>
    <s v="4.0 UN"/>
    <s v="STANDARD"/>
    <s v="N"/>
    <s v="N"/>
    <s v="N"/>
    <s v="T20"/>
    <s v="Y"/>
    <s v="N"/>
    <s v="N"/>
    <s v="N"/>
    <s v="B014"/>
    <d v="2016-12-22T00:00:00"/>
    <s v="10"/>
    <s v="TAN"/>
    <s v="OR"/>
    <d v="2016-12-19T00:00:00"/>
    <s v="MT"/>
    <s v="US"/>
    <s v="ZR"/>
    <d v="2016-12-19T00:00:00"/>
  </r>
  <r>
    <x v="1"/>
    <x v="5"/>
    <x v="3067"/>
    <x v="12"/>
    <s v="Standard order"/>
    <x v="2940"/>
    <x v="914"/>
    <s v="353N"/>
    <s v="BTS 353N"/>
    <s v="5002522"/>
    <s v="353N BTS T20 PB SYSTIVA P200"/>
    <n v="24"/>
    <n v="0"/>
    <n v="24"/>
    <x v="5"/>
    <s v="EENZ"/>
    <s v="PRO 200"/>
    <s v="322"/>
    <s v="4.0 UN"/>
    <s v="STANDARD"/>
    <s v="N"/>
    <s v="Y"/>
    <s v="N"/>
    <s v="T20"/>
    <s v="Y"/>
    <s v="N"/>
    <s v="N"/>
    <s v="N"/>
    <s v="B014"/>
    <d v="2016-12-22T00:00:00"/>
    <s v="20"/>
    <s v="TAN"/>
    <s v="OR"/>
    <d v="2016-12-19T00:00:00"/>
    <s v="MT"/>
    <s v="US"/>
    <s v="ZR"/>
    <d v="2016-12-19T00:00:00"/>
  </r>
  <r>
    <x v="1"/>
    <x v="2"/>
    <x v="3068"/>
    <x v="6"/>
    <s v="Standard order"/>
    <x v="2941"/>
    <x v="919"/>
    <s v="6027"/>
    <s v="BTS 60RR27"/>
    <s v="5002645"/>
    <s v="6027 BTS T20 PB SYSTIVA P100 WSS"/>
    <n v="36"/>
    <n v="0"/>
    <n v="36"/>
    <x v="2"/>
    <s v="APMC"/>
    <s v="PRO 100"/>
    <s v="322"/>
    <s v="4.0 UN"/>
    <s v="STANDARD"/>
    <s v="N"/>
    <s v="N"/>
    <s v="N"/>
    <s v="T20"/>
    <s v="Y"/>
    <s v="N"/>
    <s v="Y"/>
    <s v="N"/>
    <s v="B025"/>
    <d v="2016-12-22T00:00:00"/>
    <s v="10"/>
    <s v="TAN"/>
    <s v="OR"/>
    <d v="2016-12-19T00:00:00"/>
    <s v="NE"/>
    <s v="US"/>
    <s v="ZR"/>
    <d v="2016-12-19T00:00:00"/>
  </r>
  <r>
    <x v="1"/>
    <x v="5"/>
    <x v="3069"/>
    <x v="12"/>
    <s v="Standard order"/>
    <x v="2942"/>
    <x v="2484"/>
    <s v="336N"/>
    <s v="BTS 336N"/>
    <s v="5002199"/>
    <s v="336N BTS T20 PB SYSTIVA P200"/>
    <n v="104"/>
    <n v="0"/>
    <n v="104"/>
    <x v="5"/>
    <s v="EEMG"/>
    <s v="PRO 200"/>
    <s v="322"/>
    <s v="4.0 UN"/>
    <s v="STANDARD"/>
    <s v="N"/>
    <s v="N"/>
    <s v="N"/>
    <s v="T20"/>
    <s v="Y"/>
    <s v="N"/>
    <s v="N"/>
    <s v="N"/>
    <s v="B014"/>
    <d v="2016-12-22T00:00:00"/>
    <s v="10"/>
    <s v="TAN"/>
    <s v="OR"/>
    <d v="2016-12-19T00:00:00"/>
    <s v="MT"/>
    <s v="US"/>
    <s v="ZR"/>
    <d v="2016-12-19T00:00:00"/>
  </r>
  <r>
    <x v="1"/>
    <x v="4"/>
    <x v="3070"/>
    <x v="53"/>
    <s v="Standard order"/>
    <x v="2943"/>
    <x v="643"/>
    <s v="251N"/>
    <s v="BTS 251N"/>
    <s v="5002194"/>
    <s v="251N BTS PB LRG"/>
    <n v="20"/>
    <n v="0"/>
    <n v="20"/>
    <x v="4"/>
    <s v="5HBR"/>
    <s v="LARGE"/>
    <s v="307"/>
    <s v="4.0 UN"/>
    <s v="STANDARD"/>
    <s v="N"/>
    <s v="Y"/>
    <s v="N"/>
    <s v="N"/>
    <s v="N"/>
    <s v="N"/>
    <s v="N"/>
    <s v="N"/>
    <s v="B051"/>
    <d v="2016-12-22T00:00:00"/>
    <s v="10"/>
    <s v="TAN"/>
    <s v="OR"/>
    <d v="2016-12-19T00:00:00"/>
    <s v="ID"/>
    <s v="US"/>
    <s v="ZR"/>
    <d v="2016-12-19T00:00:00"/>
  </r>
  <r>
    <x v="1"/>
    <x v="4"/>
    <x v="3071"/>
    <x v="53"/>
    <s v="Standard order"/>
    <x v="2944"/>
    <x v="641"/>
    <s v="251N"/>
    <s v="BTS 251N"/>
    <s v="5002194"/>
    <s v="251N BTS PB LRG"/>
    <n v="24"/>
    <n v="0"/>
    <n v="24"/>
    <x v="4"/>
    <s v="5HBR"/>
    <s v="LARGE"/>
    <s v="307"/>
    <s v="4.0 UN"/>
    <s v="STANDARD"/>
    <s v="N"/>
    <s v="Y"/>
    <s v="N"/>
    <s v="N"/>
    <s v="N"/>
    <s v="N"/>
    <s v="N"/>
    <s v="N"/>
    <s v="B051"/>
    <d v="2016-12-22T00:00:00"/>
    <s v="10"/>
    <s v="TAN"/>
    <s v="OR"/>
    <d v="2016-12-19T00:00:00"/>
    <s v="ID"/>
    <s v="US"/>
    <s v="ZR"/>
    <d v="2016-12-19T00:00:00"/>
  </r>
  <r>
    <x v="1"/>
    <x v="0"/>
    <x v="3072"/>
    <x v="55"/>
    <s v="Standard order"/>
    <x v="2945"/>
    <x v="297"/>
    <s v="1399"/>
    <s v="BTS 1399"/>
    <s v="5002347"/>
    <s v="1399 BTS T20 Kabina P200"/>
    <n v="16"/>
    <n v="0"/>
    <n v="16"/>
    <x v="0"/>
    <s v="EG74"/>
    <s v="PRO 200"/>
    <s v="380"/>
    <s v="4.0 UN"/>
    <s v="STANDARD"/>
    <s v="N"/>
    <s v="N"/>
    <s v="Y"/>
    <s v="T20"/>
    <s v="N"/>
    <s v="N"/>
    <s v="N"/>
    <s v="N"/>
    <s v="B009"/>
    <d v="2016-12-22T00:00:00"/>
    <s v="10"/>
    <s v="TAN"/>
    <s v="OR"/>
    <d v="2016-12-19T00:00:00"/>
    <s v="MI"/>
    <s v="US"/>
    <s v="ZR"/>
    <d v="2016-12-19T00:00:00"/>
  </r>
  <r>
    <x v="1"/>
    <x v="0"/>
    <x v="3073"/>
    <x v="55"/>
    <s v="Standard order"/>
    <x v="2946"/>
    <x v="2485"/>
    <s v="122N"/>
    <s v="BTS 12RR2N"/>
    <s v="5002311"/>
    <s v="122N BTS T20 Kabina RP"/>
    <n v="100"/>
    <n v="0"/>
    <n v="100"/>
    <x v="0"/>
    <s v="4TBG"/>
    <s v="RP"/>
    <s v="380"/>
    <s v="4.0 UN"/>
    <s v="STANDARD"/>
    <s v="N"/>
    <s v="N"/>
    <s v="Y"/>
    <s v="T20"/>
    <s v="N"/>
    <s v="N"/>
    <s v="N"/>
    <s v="N"/>
    <s v="B009"/>
    <d v="2016-12-22T00:00:00"/>
    <s v="10"/>
    <s v="TAN"/>
    <s v="OR"/>
    <d v="2016-12-19T00:00:00"/>
    <s v="MI"/>
    <s v="US"/>
    <s v="ZR"/>
    <d v="2016-12-19T00:00:00"/>
  </r>
  <r>
    <x v="1"/>
    <x v="2"/>
    <x v="3074"/>
    <x v="3"/>
    <s v="Standard order"/>
    <x v="2947"/>
    <x v="2486"/>
    <s v="6027"/>
    <s v="BTS 60RR27"/>
    <s v="5002645"/>
    <s v="6027 BTS T20 PB SYSTIVA P100 WSS"/>
    <n v="144"/>
    <n v="0"/>
    <n v="144"/>
    <x v="2"/>
    <s v="APMC"/>
    <s v="PRO 100"/>
    <s v="322"/>
    <s v="4.0 UN"/>
    <s v="STANDARD"/>
    <s v="N"/>
    <s v="N"/>
    <s v="N"/>
    <s v="T20"/>
    <s v="Y"/>
    <s v="N"/>
    <s v="Y"/>
    <s v="N"/>
    <s v="B024"/>
    <d v="2016-12-22T00:00:00"/>
    <s v="10"/>
    <s v="TAN"/>
    <s v="OR"/>
    <d v="2016-12-19T00:00:00"/>
    <s v="NE"/>
    <s v="US"/>
    <s v="ZR"/>
    <d v="2016-12-19T00:00:00"/>
  </r>
  <r>
    <x v="1"/>
    <x v="0"/>
    <x v="3075"/>
    <x v="42"/>
    <s v="Standard order"/>
    <x v="2948"/>
    <x v="956"/>
    <s v="1399"/>
    <s v="BTS 1399"/>
    <s v="5002346"/>
    <s v="1399 BTS T20 Kabina MP"/>
    <n v="4"/>
    <n v="0"/>
    <n v="4"/>
    <x v="0"/>
    <s v="EG74"/>
    <s v="MP"/>
    <s v="380"/>
    <s v="4.0 UN"/>
    <s v="STANDARD"/>
    <s v="N"/>
    <s v="N"/>
    <s v="Y"/>
    <s v="T20"/>
    <s v="N"/>
    <s v="N"/>
    <s v="N"/>
    <s v="N"/>
    <s v="B007"/>
    <d v="2016-12-22T00:00:00"/>
    <s v="10"/>
    <s v="TAN"/>
    <s v="OR"/>
    <d v="2016-12-19T00:00:00"/>
    <s v="MI"/>
    <s v="US"/>
    <s v="ZR"/>
    <d v="2016-12-19T00:00:00"/>
  </r>
  <r>
    <x v="1"/>
    <x v="4"/>
    <x v="3076"/>
    <x v="50"/>
    <s v="Standard order"/>
    <x v="2949"/>
    <x v="2487"/>
    <s v="2720"/>
    <s v="BTS 27RR20"/>
    <s v="5002134"/>
    <s v="2720 BTS PB LRG"/>
    <n v="32"/>
    <n v="0"/>
    <n v="32"/>
    <x v="4"/>
    <s v="4GAY"/>
    <s v="LARGE"/>
    <s v="307"/>
    <s v="4.0 UN"/>
    <s v="STANDARD"/>
    <s v="N"/>
    <s v="Y"/>
    <s v="N"/>
    <s v="N"/>
    <s v="N"/>
    <s v="N"/>
    <s v="N"/>
    <s v="N"/>
    <s v="B047"/>
    <d v="2016-12-22T00:00:00"/>
    <s v="10"/>
    <s v="TAN"/>
    <s v="OR"/>
    <d v="2016-12-19T00:00:00"/>
    <s v="ID"/>
    <s v="US"/>
    <s v="ZR"/>
    <d v="2016-12-19T00:00:00"/>
  </r>
  <r>
    <x v="1"/>
    <x v="4"/>
    <x v="3076"/>
    <x v="50"/>
    <s v="Standard order"/>
    <x v="2949"/>
    <x v="2487"/>
    <s v="2570"/>
    <s v="BTS 2570"/>
    <s v="5002553"/>
    <s v="2570 BTS PB LRG"/>
    <n v="12"/>
    <n v="0"/>
    <n v="12"/>
    <x v="4"/>
    <s v="EZNS"/>
    <s v="LARGE"/>
    <s v="307"/>
    <s v="4.0 UN"/>
    <s v="STANDARD"/>
    <s v="N"/>
    <s v="Y"/>
    <s v="N"/>
    <s v="N"/>
    <s v="N"/>
    <s v="N"/>
    <s v="N"/>
    <s v="N"/>
    <s v="B047"/>
    <d v="2016-12-22T00:00:00"/>
    <s v="20"/>
    <s v="TAN"/>
    <s v="OR"/>
    <d v="2016-12-19T00:00:00"/>
    <s v="ID"/>
    <s v="US"/>
    <s v="ZR"/>
    <d v="2016-12-19T00:00:00"/>
  </r>
  <r>
    <x v="1"/>
    <x v="4"/>
    <x v="3077"/>
    <x v="50"/>
    <s v="Standard order"/>
    <x v="2950"/>
    <x v="81"/>
    <s v="225N"/>
    <s v="BTS 22RR5N"/>
    <s v="5002111"/>
    <s v="225N BTS PB LRG"/>
    <n v="8"/>
    <n v="0"/>
    <n v="8"/>
    <x v="4"/>
    <s v="4TBD"/>
    <s v="LARGE"/>
    <s v="307"/>
    <s v="4.0 UN"/>
    <s v="STANDARD"/>
    <s v="N"/>
    <s v="Y"/>
    <s v="N"/>
    <s v="N"/>
    <s v="N"/>
    <s v="N"/>
    <s v="N"/>
    <s v="N"/>
    <s v="B047"/>
    <d v="2016-12-22T00:00:00"/>
    <s v="10"/>
    <s v="TAN"/>
    <s v="OR"/>
    <d v="2016-12-19T00:00:00"/>
    <s v="ID"/>
    <s v="US"/>
    <s v="ZR"/>
    <d v="2016-12-19T00:00:00"/>
  </r>
  <r>
    <x v="1"/>
    <x v="4"/>
    <x v="3078"/>
    <x v="50"/>
    <s v="Standard order"/>
    <x v="2951"/>
    <x v="2488"/>
    <s v="2720"/>
    <s v="BTS 27RR20"/>
    <s v="5002142"/>
    <s v="2720 BTS PB XL"/>
    <n v="20"/>
    <n v="0"/>
    <n v="20"/>
    <x v="4"/>
    <s v="4GAY"/>
    <s v="X-LARGE"/>
    <s v="307"/>
    <s v="4.0 UN"/>
    <s v="STANDARD"/>
    <s v="N"/>
    <s v="Y"/>
    <s v="N"/>
    <s v="N"/>
    <s v="N"/>
    <s v="N"/>
    <s v="N"/>
    <s v="N"/>
    <s v="B047"/>
    <d v="2016-12-22T00:00:00"/>
    <s v="10"/>
    <s v="TAN"/>
    <s v="OR"/>
    <d v="2016-12-19T00:00:00"/>
    <s v="ID"/>
    <s v="US"/>
    <s v="ZR"/>
    <d v="2016-12-19T00:00:00"/>
  </r>
  <r>
    <x v="1"/>
    <x v="4"/>
    <x v="3078"/>
    <x v="50"/>
    <s v="Standard order"/>
    <x v="2951"/>
    <x v="2488"/>
    <s v="2523"/>
    <s v="BTS 2523"/>
    <s v="5002529"/>
    <s v="2523 BTS PB XL"/>
    <n v="12"/>
    <n v="0"/>
    <n v="12"/>
    <x v="4"/>
    <s v="EZPC"/>
    <s v="X-LARGE"/>
    <s v="307"/>
    <s v="4.0 UN"/>
    <s v="STANDARD"/>
    <s v="N"/>
    <s v="Y"/>
    <s v="N"/>
    <s v="N"/>
    <s v="N"/>
    <s v="N"/>
    <s v="N"/>
    <s v="N"/>
    <s v="B047"/>
    <d v="2016-12-22T00:00:00"/>
    <s v="20"/>
    <s v="TAN"/>
    <s v="OR"/>
    <d v="2016-12-19T00:00:00"/>
    <s v="ID"/>
    <s v="US"/>
    <s v="ZR"/>
    <d v="2016-12-19T00:00:00"/>
  </r>
  <r>
    <x v="1"/>
    <x v="4"/>
    <x v="3079"/>
    <x v="50"/>
    <s v="Standard order"/>
    <x v="2952"/>
    <x v="106"/>
    <s v="2720"/>
    <s v="BTS 27RR20"/>
    <s v="5002134"/>
    <s v="2720 BTS PB LRG"/>
    <n v="40"/>
    <n v="0"/>
    <n v="40"/>
    <x v="4"/>
    <s v="4GAY"/>
    <s v="LARGE"/>
    <s v="307"/>
    <s v="4.0 UN"/>
    <s v="STANDARD"/>
    <s v="N"/>
    <s v="Y"/>
    <s v="N"/>
    <s v="N"/>
    <s v="N"/>
    <s v="N"/>
    <s v="N"/>
    <s v="N"/>
    <s v="B047"/>
    <d v="2016-12-22T00:00:00"/>
    <s v="10"/>
    <s v="TAN"/>
    <s v="OR"/>
    <d v="2016-12-19T00:00:00"/>
    <s v="ID"/>
    <s v="US"/>
    <s v="ZR"/>
    <d v="2016-12-19T00:00:00"/>
  </r>
  <r>
    <x v="1"/>
    <x v="4"/>
    <x v="3079"/>
    <x v="50"/>
    <s v="Standard order"/>
    <x v="2952"/>
    <x v="106"/>
    <s v="2559"/>
    <s v="BTS 2559"/>
    <s v="5002561"/>
    <s v="2559 BTS PB LRG"/>
    <n v="72"/>
    <n v="0"/>
    <n v="72"/>
    <x v="4"/>
    <s v="FGNE"/>
    <s v="LARGE"/>
    <s v="307"/>
    <s v="4.0 UN"/>
    <s v="STANDARD"/>
    <s v="N"/>
    <s v="Y"/>
    <s v="N"/>
    <s v="N"/>
    <s v="N"/>
    <s v="N"/>
    <s v="N"/>
    <s v="N"/>
    <s v="B047"/>
    <d v="2016-12-22T00:00:00"/>
    <s v="20"/>
    <s v="TAN"/>
    <s v="OR"/>
    <d v="2016-12-19T00:00:00"/>
    <s v="ID"/>
    <s v="US"/>
    <s v="ZR"/>
    <d v="2016-12-19T00:00:00"/>
  </r>
  <r>
    <x v="1"/>
    <x v="0"/>
    <x v="3080"/>
    <x v="55"/>
    <s v="Standard order"/>
    <x v="2953"/>
    <x v="971"/>
    <s v="1399"/>
    <s v="BTS 1399"/>
    <s v="5002348"/>
    <s v="1399 BTS T20 Kabina RP"/>
    <n v="12"/>
    <n v="0"/>
    <n v="12"/>
    <x v="0"/>
    <s v="EG74"/>
    <s v="RP"/>
    <s v="380"/>
    <s v="4.0 UN"/>
    <s v="STANDARD"/>
    <s v="N"/>
    <s v="N"/>
    <s v="Y"/>
    <s v="T20"/>
    <s v="N"/>
    <s v="N"/>
    <s v="N"/>
    <s v="N"/>
    <s v="B009"/>
    <d v="2016-12-22T00:00:00"/>
    <s v="10"/>
    <s v="TAN"/>
    <s v="OR"/>
    <d v="2016-12-19T00:00:00"/>
    <s v="MI"/>
    <s v="US"/>
    <s v="ZR"/>
    <d v="2016-12-19T00:00:00"/>
  </r>
  <r>
    <x v="1"/>
    <x v="4"/>
    <x v="3081"/>
    <x v="47"/>
    <s v="Standard order"/>
    <x v="2954"/>
    <x v="149"/>
    <s v="2720"/>
    <s v="BTS 27RR20"/>
    <s v="5002134"/>
    <s v="2720 BTS PB LRG"/>
    <n v="36"/>
    <n v="0"/>
    <n v="36"/>
    <x v="4"/>
    <s v="4GAY"/>
    <s v="LARGE"/>
    <s v="307"/>
    <s v="4.0 UN"/>
    <s v="STANDARD"/>
    <s v="N"/>
    <s v="Y"/>
    <s v="N"/>
    <s v="N"/>
    <s v="N"/>
    <s v="N"/>
    <s v="N"/>
    <s v="N"/>
    <s v="B050"/>
    <d v="2016-12-22T00:00:00"/>
    <s v="10"/>
    <s v="TAN"/>
    <s v="OR"/>
    <d v="2016-12-19T00:00:00"/>
    <s v="ID"/>
    <s v="US"/>
    <s v="ZR"/>
    <d v="2016-12-19T00:00:00"/>
  </r>
  <r>
    <x v="1"/>
    <x v="4"/>
    <x v="3081"/>
    <x v="47"/>
    <s v="Standard order"/>
    <x v="2954"/>
    <x v="149"/>
    <s v="2523"/>
    <s v="BTS 2523"/>
    <s v="5002527"/>
    <s v="2523 BTS PB LRG"/>
    <n v="16"/>
    <n v="0"/>
    <n v="16"/>
    <x v="4"/>
    <s v="EZPC"/>
    <s v="LARGE"/>
    <s v="307"/>
    <s v="4.0 UN"/>
    <s v="STANDARD"/>
    <s v="N"/>
    <s v="Y"/>
    <s v="N"/>
    <s v="N"/>
    <s v="N"/>
    <s v="N"/>
    <s v="N"/>
    <s v="N"/>
    <s v="B050"/>
    <d v="2016-12-22T00:00:00"/>
    <s v="20"/>
    <s v="TAN"/>
    <s v="OR"/>
    <d v="2016-12-19T00:00:00"/>
    <s v="ID"/>
    <s v="US"/>
    <s v="ZR"/>
    <d v="2016-12-19T00:00:00"/>
  </r>
  <r>
    <x v="1"/>
    <x v="2"/>
    <x v="3082"/>
    <x v="3"/>
    <s v="Standard order"/>
    <x v="2955"/>
    <x v="909"/>
    <s v="64SN"/>
    <s v="BTS 64SN"/>
    <s v="5002421"/>
    <s v="64SN BTS T20 PB SYSTIVA P200"/>
    <n v="64"/>
    <n v="0"/>
    <n v="64"/>
    <x v="2"/>
    <s v="DVNB"/>
    <s v="PRO 200"/>
    <s v="322"/>
    <s v="4.0 UN"/>
    <s v="STANDARD"/>
    <s v="N"/>
    <s v="N"/>
    <s v="N"/>
    <s v="T20"/>
    <s v="Y"/>
    <s v="N"/>
    <s v="Y"/>
    <s v="N"/>
    <s v="B024"/>
    <d v="2016-12-22T00:00:00"/>
    <s v="10"/>
    <s v="TAN"/>
    <s v="OR"/>
    <d v="2016-12-19T00:00:00"/>
    <s v="NE"/>
    <s v="US"/>
    <s v="ZR"/>
    <d v="2016-12-19T00:00:00"/>
  </r>
  <r>
    <x v="1"/>
    <x v="2"/>
    <x v="3082"/>
    <x v="3"/>
    <s v="Standard order"/>
    <x v="2955"/>
    <x v="909"/>
    <s v="6027"/>
    <s v="BTS 60RR27"/>
    <s v="5002646"/>
    <s v="6027 BTS T20 PB SYSTIVA P200 WSS"/>
    <n v="196"/>
    <n v="0"/>
    <n v="196"/>
    <x v="2"/>
    <s v="APMC"/>
    <s v="PRO 200"/>
    <s v="322"/>
    <s v="4.0 UN"/>
    <s v="STANDARD"/>
    <s v="N"/>
    <s v="N"/>
    <s v="N"/>
    <s v="T20"/>
    <s v="Y"/>
    <s v="N"/>
    <s v="Y"/>
    <s v="N"/>
    <s v="B024"/>
    <d v="2016-12-22T00:00:00"/>
    <s v="20"/>
    <s v="TAN"/>
    <s v="OR"/>
    <d v="2016-12-19T00:00:00"/>
    <s v="NE"/>
    <s v="US"/>
    <s v="ZR"/>
    <d v="2016-12-19T00:00:00"/>
  </r>
  <r>
    <x v="1"/>
    <x v="4"/>
    <x v="3083"/>
    <x v="50"/>
    <s v="Standard order"/>
    <x v="2956"/>
    <x v="594"/>
    <s v="2720"/>
    <s v="BTS 27RR20"/>
    <s v="5002142"/>
    <s v="2720 BTS PB XL"/>
    <n v="72"/>
    <n v="0"/>
    <n v="72"/>
    <x v="4"/>
    <s v="4GAY"/>
    <s v="X-LARGE"/>
    <s v="307"/>
    <s v="4.0 UN"/>
    <s v="STANDARD"/>
    <s v="N"/>
    <s v="Y"/>
    <s v="N"/>
    <s v="N"/>
    <s v="N"/>
    <s v="N"/>
    <s v="N"/>
    <s v="N"/>
    <s v="B047"/>
    <d v="2016-12-22T00:00:00"/>
    <s v="10"/>
    <s v="TAN"/>
    <s v="OR"/>
    <d v="2016-12-19T00:00:00"/>
    <s v="ID"/>
    <s v="US"/>
    <s v="ZR"/>
    <d v="2016-12-19T00:00:00"/>
  </r>
  <r>
    <x v="1"/>
    <x v="4"/>
    <x v="3084"/>
    <x v="50"/>
    <s v="Standard order"/>
    <x v="2957"/>
    <x v="2489"/>
    <s v="225N"/>
    <s v="BTS 22RR5N"/>
    <s v="5002111"/>
    <s v="225N BTS PB LRG"/>
    <n v="12"/>
    <n v="0"/>
    <n v="12"/>
    <x v="4"/>
    <s v="4TBD"/>
    <s v="LARGE"/>
    <s v="307"/>
    <s v="4.0 UN"/>
    <s v="STANDARD"/>
    <s v="N"/>
    <s v="Y"/>
    <s v="N"/>
    <s v="N"/>
    <s v="N"/>
    <s v="N"/>
    <s v="N"/>
    <s v="N"/>
    <s v="B047"/>
    <d v="2016-12-22T00:00:00"/>
    <s v="10"/>
    <s v="TAN"/>
    <s v="OR"/>
    <d v="2016-12-19T00:00:00"/>
    <s v="ID"/>
    <s v="US"/>
    <s v="ZR"/>
    <d v="2016-12-19T00:00:00"/>
  </r>
  <r>
    <x v="1"/>
    <x v="4"/>
    <x v="3085"/>
    <x v="53"/>
    <s v="Standard order"/>
    <x v="2958"/>
    <x v="2490"/>
    <s v="251N"/>
    <s v="BTS 251N"/>
    <s v="5002196"/>
    <s v="251N BTS PB XL"/>
    <n v="48"/>
    <n v="0"/>
    <n v="48"/>
    <x v="4"/>
    <s v="5HBR"/>
    <s v="X-LARGE"/>
    <s v="307"/>
    <s v="4.0 UN"/>
    <s v="STANDARD"/>
    <s v="N"/>
    <s v="Y"/>
    <s v="N"/>
    <s v="N"/>
    <s v="N"/>
    <s v="N"/>
    <s v="N"/>
    <s v="N"/>
    <s v="B051"/>
    <d v="2016-12-22T00:00:00"/>
    <s v="10"/>
    <s v="TAN"/>
    <s v="OR"/>
    <d v="2016-12-19T00:00:00"/>
    <s v="ID"/>
    <s v="US"/>
    <s v="ZR"/>
    <d v="2016-12-19T00:00:00"/>
  </r>
  <r>
    <x v="1"/>
    <x v="0"/>
    <x v="3086"/>
    <x v="55"/>
    <s v="Standard order"/>
    <x v="2959"/>
    <x v="1175"/>
    <s v="122N"/>
    <s v="BTS 12RR2N"/>
    <s v="5002303"/>
    <s v="122N BTS T20 PB Kabina RP"/>
    <n v="40"/>
    <n v="0"/>
    <n v="40"/>
    <x v="0"/>
    <s v="4TBG"/>
    <s v="RP"/>
    <s v="382"/>
    <s v="4.0 UN"/>
    <s v="STANDARD"/>
    <s v="N"/>
    <s v="Y"/>
    <s v="Y"/>
    <s v="T20"/>
    <s v="N"/>
    <s v="N"/>
    <s v="N"/>
    <s v="N"/>
    <s v="B009"/>
    <d v="2016-12-22T00:00:00"/>
    <s v="10"/>
    <s v="TAN"/>
    <s v="OR"/>
    <d v="2016-12-19T00:00:00"/>
    <s v="MI"/>
    <s v="US"/>
    <s v="ZR"/>
    <d v="2016-12-19T00:00:00"/>
  </r>
  <r>
    <x v="1"/>
    <x v="2"/>
    <x v="3087"/>
    <x v="3"/>
    <s v="Standard order"/>
    <x v="2960"/>
    <x v="932"/>
    <s v="630N"/>
    <s v="BTS 630N"/>
    <s v="5002402"/>
    <s v="630N BTS T20 PB SYSTIVA P100"/>
    <n v="100"/>
    <n v="0"/>
    <n v="100"/>
    <x v="2"/>
    <s v="DW73"/>
    <s v="PRO 100"/>
    <s v="322"/>
    <s v="4.0 UN"/>
    <s v="STANDARD"/>
    <s v="N"/>
    <s v="N"/>
    <s v="N"/>
    <s v="T20"/>
    <s v="Y"/>
    <s v="N"/>
    <s v="Y"/>
    <s v="N"/>
    <s v="B024"/>
    <d v="2016-12-22T00:00:00"/>
    <s v="10"/>
    <s v="TAN"/>
    <s v="OR"/>
    <d v="2016-12-19T00:00:00"/>
    <s v="NE"/>
    <s v="US"/>
    <s v="ZR"/>
    <d v="2016-12-19T00:00:00"/>
  </r>
  <r>
    <x v="1"/>
    <x v="2"/>
    <x v="3087"/>
    <x v="3"/>
    <s v="Standard order"/>
    <x v="2960"/>
    <x v="932"/>
    <s v="64SN"/>
    <s v="BTS 64SN"/>
    <s v="5002420"/>
    <s v="64SN BTS T20 PB SYSTIVA P100"/>
    <n v="72"/>
    <n v="0"/>
    <n v="72"/>
    <x v="2"/>
    <s v="DVNB"/>
    <s v="PRO 100"/>
    <s v="322"/>
    <s v="4.0 UN"/>
    <s v="STANDARD"/>
    <s v="N"/>
    <s v="N"/>
    <s v="N"/>
    <s v="T20"/>
    <s v="Y"/>
    <s v="N"/>
    <s v="Y"/>
    <s v="N"/>
    <s v="B024"/>
    <d v="2016-12-22T00:00:00"/>
    <s v="20"/>
    <s v="TAN"/>
    <s v="OR"/>
    <d v="2016-12-19T00:00:00"/>
    <s v="NE"/>
    <s v="US"/>
    <s v="ZR"/>
    <d v="2016-12-19T00:00:00"/>
  </r>
  <r>
    <x v="1"/>
    <x v="2"/>
    <x v="3087"/>
    <x v="3"/>
    <s v="Standard order"/>
    <x v="2960"/>
    <x v="932"/>
    <s v="628N"/>
    <s v="BTS 62RR8N"/>
    <s v="5002683"/>
    <s v="628N BTS T20 PB SYSTIVA P100"/>
    <n v="68"/>
    <n v="0"/>
    <n v="68"/>
    <x v="2"/>
    <s v="BL73"/>
    <s v="PRO 100"/>
    <s v="322"/>
    <s v="4.0 UN"/>
    <s v="STANDARD"/>
    <s v="N"/>
    <s v="N"/>
    <s v="N"/>
    <s v="T20"/>
    <s v="Y"/>
    <s v="N"/>
    <s v="Y"/>
    <s v="N"/>
    <s v="B024"/>
    <d v="2016-12-22T00:00:00"/>
    <s v="30"/>
    <s v="TAN"/>
    <s v="OR"/>
    <d v="2016-12-19T00:00:00"/>
    <s v="NE"/>
    <s v="US"/>
    <s v="ZR"/>
    <d v="2016-12-19T00:00:00"/>
  </r>
  <r>
    <x v="1"/>
    <x v="0"/>
    <x v="3088"/>
    <x v="43"/>
    <s v="Standard order"/>
    <x v="2961"/>
    <x v="2491"/>
    <s v="1399"/>
    <s v="BTS 1399"/>
    <s v="5002348"/>
    <s v="1399 BTS T20 Kabina RP"/>
    <n v="40"/>
    <n v="0"/>
    <n v="40"/>
    <x v="0"/>
    <s v="EG74"/>
    <s v="RP"/>
    <s v="380"/>
    <s v="4.0 UN"/>
    <s v="STANDARD"/>
    <s v="N"/>
    <s v="N"/>
    <s v="Y"/>
    <s v="T20"/>
    <s v="N"/>
    <s v="N"/>
    <s v="N"/>
    <s v="N"/>
    <s v="B006"/>
    <d v="2016-12-22T00:00:00"/>
    <s v="10"/>
    <s v="TAN"/>
    <s v="OR"/>
    <d v="2016-12-19T00:00:00"/>
    <s v="MI"/>
    <s v="US"/>
    <s v="ZR"/>
    <d v="2016-12-19T00:00:00"/>
  </r>
  <r>
    <x v="1"/>
    <x v="0"/>
    <x v="3089"/>
    <x v="43"/>
    <s v="Standard order"/>
    <x v="2962"/>
    <x v="2492"/>
    <s v="133N"/>
    <s v="BTS 133N"/>
    <s v="5002329"/>
    <s v="133N BTS T20 Kabina RP"/>
    <n v="36"/>
    <n v="0"/>
    <n v="36"/>
    <x v="0"/>
    <s v="DW73"/>
    <s v="RP"/>
    <s v="380"/>
    <s v="4.0 UN"/>
    <s v="STANDARD"/>
    <s v="N"/>
    <s v="N"/>
    <s v="Y"/>
    <s v="T20"/>
    <s v="N"/>
    <s v="N"/>
    <s v="N"/>
    <s v="N"/>
    <s v="B006"/>
    <d v="2016-12-22T00:00:00"/>
    <s v="30"/>
    <s v="TAN"/>
    <s v="OR"/>
    <d v="2016-12-18T00:00:00"/>
    <s v="MI"/>
    <s v="US"/>
    <s v="ZR"/>
    <d v="2016-12-19T00:00:00"/>
  </r>
  <r>
    <x v="1"/>
    <x v="0"/>
    <x v="3089"/>
    <x v="43"/>
    <s v="Standard order"/>
    <x v="2962"/>
    <x v="2492"/>
    <s v="149N"/>
    <s v="BTS 149N"/>
    <s v="5002368"/>
    <s v="149N BTS T20 Kabina RP"/>
    <n v="12"/>
    <n v="0"/>
    <n v="12"/>
    <x v="0"/>
    <s v="EEND"/>
    <s v="RP"/>
    <s v="380"/>
    <s v="4.0 UN"/>
    <s v="STANDARD"/>
    <s v="N"/>
    <s v="N"/>
    <s v="Y"/>
    <s v="T20"/>
    <s v="N"/>
    <s v="N"/>
    <s v="N"/>
    <s v="N"/>
    <s v="B006"/>
    <d v="2016-12-22T00:00:00"/>
    <s v="10"/>
    <s v="TAN"/>
    <s v="OR"/>
    <d v="2016-12-18T00:00:00"/>
    <s v="MI"/>
    <s v="US"/>
    <s v="ZR"/>
    <d v="2016-12-19T00:00:00"/>
  </r>
  <r>
    <x v="1"/>
    <x v="0"/>
    <x v="3089"/>
    <x v="43"/>
    <s v="Standard order"/>
    <x v="2962"/>
    <x v="2492"/>
    <s v="133N"/>
    <s v="BTS 133N"/>
    <s v="5002329"/>
    <s v="133N BTS T20 Kabina RP"/>
    <n v="44"/>
    <n v="0"/>
    <n v="44"/>
    <x v="0"/>
    <s v="DW73"/>
    <s v="RP"/>
    <s v="380"/>
    <s v="4.0 UN"/>
    <s v="STANDARD"/>
    <s v="N"/>
    <s v="N"/>
    <s v="Y"/>
    <s v="T20"/>
    <s v="N"/>
    <s v="N"/>
    <s v="N"/>
    <s v="N"/>
    <s v="B006"/>
    <d v="2016-12-22T00:00:00"/>
    <s v="20"/>
    <s v="TAN"/>
    <s v="OR"/>
    <d v="2016-12-18T00:00:00"/>
    <s v="MI"/>
    <s v="US"/>
    <s v="ZR"/>
    <d v="2016-12-19T00:00:00"/>
  </r>
  <r>
    <x v="1"/>
    <x v="0"/>
    <x v="3090"/>
    <x v="43"/>
    <s v="Standard order"/>
    <x v="2934"/>
    <x v="2479"/>
    <s v="1399"/>
    <s v="BTS 1399"/>
    <s v="5002348"/>
    <s v="1399 BTS T20 Kabina RP"/>
    <n v="72"/>
    <n v="0"/>
    <n v="72"/>
    <x v="0"/>
    <s v="EG74"/>
    <s v="RP"/>
    <s v="380"/>
    <s v="4.0 UN"/>
    <s v="STANDARD"/>
    <s v="N"/>
    <s v="N"/>
    <s v="Y"/>
    <s v="T20"/>
    <s v="N"/>
    <s v="N"/>
    <s v="N"/>
    <s v="N"/>
    <s v="B006"/>
    <d v="2016-12-22T00:00:00"/>
    <s v="10"/>
    <s v="TAN"/>
    <s v="OR"/>
    <d v="2016-12-19T00:00:00"/>
    <s v="MI"/>
    <s v="US"/>
    <s v="ZR"/>
    <d v="2016-12-19T00:00:00"/>
  </r>
  <r>
    <x v="1"/>
    <x v="0"/>
    <x v="3090"/>
    <x v="43"/>
    <s v="Standard order"/>
    <x v="2934"/>
    <x v="2479"/>
    <s v="149N"/>
    <s v="BTS 149N"/>
    <s v="5002368"/>
    <s v="149N BTS T20 Kabina RP"/>
    <n v="48"/>
    <n v="0"/>
    <n v="48"/>
    <x v="0"/>
    <s v="EEND"/>
    <s v="RP"/>
    <s v="380"/>
    <s v="4.0 UN"/>
    <s v="STANDARD"/>
    <s v="N"/>
    <s v="N"/>
    <s v="Y"/>
    <s v="T20"/>
    <s v="N"/>
    <s v="N"/>
    <s v="N"/>
    <s v="N"/>
    <s v="B006"/>
    <d v="2016-12-22T00:00:00"/>
    <s v="20"/>
    <s v="TAN"/>
    <s v="OR"/>
    <d v="2016-12-19T00:00:00"/>
    <s v="MI"/>
    <s v="US"/>
    <s v="ZR"/>
    <d v="2016-12-19T00:00:00"/>
  </r>
  <r>
    <x v="1"/>
    <x v="7"/>
    <x v="3091"/>
    <x v="37"/>
    <s v="Standard order"/>
    <x v="2963"/>
    <x v="2493"/>
    <s v="8524"/>
    <s v="BTS 8524"/>
    <s v="5002900"/>
    <s v="8524 BTS T35 SYSTIVA RP"/>
    <n v="96"/>
    <n v="0"/>
    <n v="96"/>
    <x v="7"/>
    <s v="FWND"/>
    <s v="RP"/>
    <s v="334"/>
    <s v="4.0 UN"/>
    <s v="STANDARD"/>
    <s v="N"/>
    <s v="N"/>
    <s v="N"/>
    <s v="T35"/>
    <s v="Y"/>
    <s v="N"/>
    <s v="Y"/>
    <s v="N"/>
    <s v="B033"/>
    <d v="2016-12-22T00:00:00"/>
    <s v="10"/>
    <s v="TAN"/>
    <s v="OR"/>
    <d v="2016-12-19T00:00:00"/>
    <s v="MN"/>
    <s v="US"/>
    <s v="ZR"/>
    <d v="2016-12-19T00:00:00"/>
  </r>
  <r>
    <x v="1"/>
    <x v="4"/>
    <x v="3092"/>
    <x v="44"/>
    <s v="Standard order"/>
    <x v="2964"/>
    <x v="2494"/>
    <s v="225N"/>
    <s v="BTS 22RR5N"/>
    <s v="5002119"/>
    <s v="225N BTS PB XL"/>
    <n v="48"/>
    <n v="0"/>
    <n v="48"/>
    <x v="4"/>
    <s v="4TBD"/>
    <s v="X-LARGE"/>
    <s v="307"/>
    <s v="4.0 UN"/>
    <s v="STANDARD"/>
    <s v="N"/>
    <s v="Y"/>
    <s v="N"/>
    <s v="N"/>
    <s v="N"/>
    <s v="N"/>
    <s v="N"/>
    <s v="N"/>
    <s v="MB13"/>
    <d v="2016-12-22T00:00:00"/>
    <s v="10"/>
    <s v="TAN"/>
    <s v="OR"/>
    <d v="2016-12-19T00:00:00"/>
    <s v="ID"/>
    <s v="US"/>
    <s v="ZR"/>
    <d v="2016-12-19T00:00:00"/>
  </r>
  <r>
    <x v="1"/>
    <x v="4"/>
    <x v="3092"/>
    <x v="44"/>
    <s v="Standard order"/>
    <x v="2964"/>
    <x v="2494"/>
    <s v="251N"/>
    <s v="BTS 251N"/>
    <s v="5002196"/>
    <s v="251N BTS PB XL"/>
    <n v="20"/>
    <n v="0"/>
    <n v="20"/>
    <x v="4"/>
    <s v="5HBR"/>
    <s v="X-LARGE"/>
    <s v="307"/>
    <s v="4.0 UN"/>
    <s v="STANDARD"/>
    <s v="N"/>
    <s v="Y"/>
    <s v="N"/>
    <s v="N"/>
    <s v="N"/>
    <s v="N"/>
    <s v="N"/>
    <s v="N"/>
    <s v="MB13"/>
    <d v="2016-12-22T00:00:00"/>
    <s v="20"/>
    <s v="TAN"/>
    <s v="OR"/>
    <d v="2016-12-19T00:00:00"/>
    <s v="ID"/>
    <s v="US"/>
    <s v="ZR"/>
    <d v="2016-12-19T00:00:00"/>
  </r>
  <r>
    <x v="1"/>
    <x v="4"/>
    <x v="3092"/>
    <x v="44"/>
    <s v="Standard order"/>
    <x v="2964"/>
    <x v="2494"/>
    <s v="2570"/>
    <s v="BTS 2570"/>
    <s v="5002555"/>
    <s v="2570 BTS PB XL"/>
    <n v="8"/>
    <n v="0"/>
    <n v="8"/>
    <x v="4"/>
    <s v="EZNS"/>
    <s v="X-LARGE"/>
    <s v="307"/>
    <s v="4.0 UN"/>
    <s v="STANDARD"/>
    <s v="N"/>
    <s v="Y"/>
    <s v="N"/>
    <s v="N"/>
    <s v="N"/>
    <s v="N"/>
    <s v="N"/>
    <s v="N"/>
    <s v="MB13"/>
    <d v="2016-12-22T00:00:00"/>
    <s v="30"/>
    <s v="TAN"/>
    <s v="OR"/>
    <d v="2016-12-19T00:00:00"/>
    <s v="ID"/>
    <s v="US"/>
    <s v="ZR"/>
    <d v="2016-12-19T00:00:00"/>
  </r>
  <r>
    <x v="1"/>
    <x v="4"/>
    <x v="3092"/>
    <x v="44"/>
    <s v="Standard order"/>
    <x v="2964"/>
    <x v="2494"/>
    <s v="2559"/>
    <s v="BTS 2559"/>
    <s v="5002563"/>
    <s v="2559 BTS PB XL"/>
    <n v="8"/>
    <n v="0"/>
    <n v="8"/>
    <x v="4"/>
    <s v="FGNE"/>
    <s v="X-LARGE"/>
    <s v="307"/>
    <s v="4.0 UN"/>
    <s v="STANDARD"/>
    <s v="N"/>
    <s v="Y"/>
    <s v="N"/>
    <s v="N"/>
    <s v="N"/>
    <s v="N"/>
    <s v="N"/>
    <s v="N"/>
    <s v="MB13"/>
    <d v="2016-12-22T00:00:00"/>
    <s v="40"/>
    <s v="TAN"/>
    <s v="OR"/>
    <d v="2016-12-19T00:00:00"/>
    <s v="ID"/>
    <s v="US"/>
    <s v="ZR"/>
    <d v="2016-12-19T00:00:00"/>
  </r>
  <r>
    <x v="1"/>
    <x v="4"/>
    <x v="3092"/>
    <x v="44"/>
    <s v="Standard order"/>
    <x v="2964"/>
    <x v="2494"/>
    <s v="2523"/>
    <s v="BTS 2523"/>
    <s v="5002529"/>
    <s v="2523 BTS PB XL"/>
    <n v="8"/>
    <n v="0"/>
    <n v="8"/>
    <x v="4"/>
    <s v="EZPC"/>
    <s v="X-LARGE"/>
    <s v="307"/>
    <s v="4.0 UN"/>
    <s v="STANDARD"/>
    <s v="N"/>
    <s v="Y"/>
    <s v="N"/>
    <s v="N"/>
    <s v="N"/>
    <s v="N"/>
    <s v="N"/>
    <s v="N"/>
    <s v="MB13"/>
    <d v="2016-12-22T00:00:00"/>
    <s v="50"/>
    <s v="TAN"/>
    <s v="OR"/>
    <d v="2016-12-19T00:00:00"/>
    <s v="ID"/>
    <s v="US"/>
    <s v="ZR"/>
    <d v="2016-12-19T00:00:00"/>
  </r>
  <r>
    <x v="1"/>
    <x v="7"/>
    <x v="3093"/>
    <x v="37"/>
    <s v="Standard order"/>
    <x v="2965"/>
    <x v="2495"/>
    <s v="8337"/>
    <s v="BTS 8337"/>
    <s v="5002795"/>
    <s v="8337 BTS T35 PB SYSTIVA RP"/>
    <n v="48"/>
    <n v="0"/>
    <n v="48"/>
    <x v="7"/>
    <s v="DHMC"/>
    <s v="RP"/>
    <s v="333"/>
    <s v="4.0 UN"/>
    <s v="STANDARD"/>
    <s v="N"/>
    <s v="Y"/>
    <s v="N"/>
    <s v="T35"/>
    <s v="Y"/>
    <s v="N"/>
    <s v="Y"/>
    <s v="N"/>
    <s v="B033"/>
    <d v="2016-12-22T00:00:00"/>
    <s v="10"/>
    <s v="TAN"/>
    <s v="OR"/>
    <d v="2016-12-19T00:00:00"/>
    <s v="ND"/>
    <s v="US"/>
    <s v="ZR"/>
    <d v="2016-12-19T00:00:00"/>
  </r>
  <r>
    <x v="1"/>
    <x v="4"/>
    <x v="3094"/>
    <x v="53"/>
    <s v="Standard order"/>
    <x v="2966"/>
    <x v="2496"/>
    <s v="225N"/>
    <s v="BTS 22RR5N"/>
    <s v="5002119"/>
    <s v="225N BTS PB XL"/>
    <n v="236"/>
    <n v="0"/>
    <n v="236"/>
    <x v="4"/>
    <s v="4TBD"/>
    <s v="X-LARGE"/>
    <s v="307"/>
    <s v="4.0 UN"/>
    <s v="STANDARD"/>
    <s v="N"/>
    <s v="Y"/>
    <s v="N"/>
    <s v="N"/>
    <s v="N"/>
    <s v="N"/>
    <s v="N"/>
    <s v="N"/>
    <s v="B051"/>
    <d v="2016-12-22T00:00:00"/>
    <s v="10"/>
    <s v="TAN"/>
    <s v="OR"/>
    <d v="2016-12-19T00:00:00"/>
    <s v="ID"/>
    <s v="US"/>
    <s v="ZR"/>
    <d v="2016-12-19T00:00:00"/>
  </r>
  <r>
    <x v="1"/>
    <x v="4"/>
    <x v="3094"/>
    <x v="53"/>
    <s v="Standard order"/>
    <x v="2966"/>
    <x v="2496"/>
    <s v="2720"/>
    <s v="BTS 27RR20"/>
    <s v="5002142"/>
    <s v="2720 BTS PB XL"/>
    <n v="96"/>
    <n v="0"/>
    <n v="96"/>
    <x v="4"/>
    <s v="4GAY"/>
    <s v="X-LARGE"/>
    <s v="307"/>
    <s v="4.0 UN"/>
    <s v="STANDARD"/>
    <s v="N"/>
    <s v="Y"/>
    <s v="N"/>
    <s v="N"/>
    <s v="N"/>
    <s v="N"/>
    <s v="N"/>
    <s v="N"/>
    <s v="B051"/>
    <d v="2016-12-22T00:00:00"/>
    <s v="20"/>
    <s v="TAN"/>
    <s v="OR"/>
    <d v="2016-12-19T00:00:00"/>
    <s v="ID"/>
    <s v="US"/>
    <s v="ZR"/>
    <d v="2016-12-19T00:00:00"/>
  </r>
  <r>
    <x v="1"/>
    <x v="2"/>
    <x v="3095"/>
    <x v="6"/>
    <s v="Standard order"/>
    <x v="2967"/>
    <x v="943"/>
    <s v="64SN"/>
    <s v="BTS 64SN"/>
    <s v="5002421"/>
    <s v="64SN BTS T20 PB SYSTIVA P200"/>
    <n v="88"/>
    <n v="0"/>
    <n v="88"/>
    <x v="2"/>
    <s v="DVNB"/>
    <s v="PRO 200"/>
    <s v="322"/>
    <s v="4.0 UN"/>
    <s v="STANDARD"/>
    <s v="N"/>
    <s v="N"/>
    <s v="N"/>
    <s v="T20"/>
    <s v="Y"/>
    <s v="N"/>
    <s v="Y"/>
    <s v="N"/>
    <s v="B025"/>
    <d v="2016-12-22T00:00:00"/>
    <s v="10"/>
    <s v="TAN"/>
    <s v="OR"/>
    <d v="2016-12-19T00:00:00"/>
    <s v="NE"/>
    <s v="US"/>
    <s v="ZR"/>
    <d v="2016-12-19T00:00:00"/>
  </r>
  <r>
    <x v="1"/>
    <x v="2"/>
    <x v="3096"/>
    <x v="6"/>
    <s v="Standard order"/>
    <x v="2968"/>
    <x v="953"/>
    <s v="64SN"/>
    <s v="BTS 64SN"/>
    <s v="5002421"/>
    <s v="64SN BTS T20 PB SYSTIVA P200"/>
    <n v="20"/>
    <n v="0"/>
    <n v="20"/>
    <x v="2"/>
    <s v="DVNB"/>
    <s v="PRO 200"/>
    <s v="322"/>
    <s v="4.0 UN"/>
    <s v="STANDARD"/>
    <s v="N"/>
    <s v="N"/>
    <s v="N"/>
    <s v="T20"/>
    <s v="Y"/>
    <s v="N"/>
    <s v="Y"/>
    <s v="N"/>
    <s v="B025"/>
    <d v="2016-12-22T00:00:00"/>
    <s v="10"/>
    <s v="TAN"/>
    <s v="OR"/>
    <d v="2016-12-19T00:00:00"/>
    <s v="NE"/>
    <s v="US"/>
    <s v="ZR"/>
    <d v="2016-12-19T00:00:00"/>
  </r>
  <r>
    <x v="1"/>
    <x v="0"/>
    <x v="3097"/>
    <x v="55"/>
    <s v="Standard order"/>
    <x v="2969"/>
    <x v="320"/>
    <s v="1399"/>
    <s v="BTS 1399"/>
    <s v="5002347"/>
    <s v="1399 BTS T20 Kabina P200"/>
    <n v="36"/>
    <n v="0"/>
    <n v="36"/>
    <x v="0"/>
    <s v="EG74"/>
    <s v="PRO 200"/>
    <s v="380"/>
    <s v="4.0 UN"/>
    <s v="STANDARD"/>
    <s v="N"/>
    <s v="N"/>
    <s v="Y"/>
    <s v="T20"/>
    <s v="N"/>
    <s v="N"/>
    <s v="N"/>
    <s v="N"/>
    <s v="B009"/>
    <d v="2016-12-22T00:00:00"/>
    <s v="10"/>
    <s v="TAN"/>
    <s v="OR"/>
    <d v="2016-12-19T00:00:00"/>
    <s v="MI"/>
    <s v="US"/>
    <s v="ZR"/>
    <d v="2016-12-19T00:00:00"/>
  </r>
  <r>
    <x v="1"/>
    <x v="0"/>
    <x v="3097"/>
    <x v="55"/>
    <s v="Standard order"/>
    <x v="2969"/>
    <x v="320"/>
    <s v="149N"/>
    <s v="BTS 149N"/>
    <s v="5002367"/>
    <s v="149N BTS T20 Kabina P200"/>
    <n v="72"/>
    <n v="0"/>
    <n v="72"/>
    <x v="0"/>
    <s v="EEND"/>
    <s v="PRO 200"/>
    <s v="380"/>
    <s v="4.0 UN"/>
    <s v="STANDARD"/>
    <s v="N"/>
    <s v="N"/>
    <s v="Y"/>
    <s v="T20"/>
    <s v="N"/>
    <s v="N"/>
    <s v="N"/>
    <s v="N"/>
    <s v="B009"/>
    <d v="2016-12-22T00:00:00"/>
    <s v="20"/>
    <s v="TAN"/>
    <s v="OR"/>
    <d v="2016-12-19T00:00:00"/>
    <s v="MI"/>
    <s v="US"/>
    <s v="ZR"/>
    <d v="2016-12-19T00:00:00"/>
  </r>
  <r>
    <x v="1"/>
    <x v="2"/>
    <x v="3098"/>
    <x v="25"/>
    <s v="Standard order"/>
    <x v="2970"/>
    <x v="2497"/>
    <s v="6027"/>
    <s v="BTS 60RR27"/>
    <s v="5002647"/>
    <s v="6027 BTS T20 PB SYSTIVA P50 WSS"/>
    <n v="28"/>
    <n v="0"/>
    <n v="28"/>
    <x v="2"/>
    <s v="APMC"/>
    <s v="PRO 50"/>
    <s v="322"/>
    <s v="4.0 UN"/>
    <s v="STANDARD"/>
    <s v="N"/>
    <s v="N"/>
    <s v="N"/>
    <s v="T20"/>
    <s v="Y"/>
    <s v="N"/>
    <s v="Y"/>
    <s v="N"/>
    <s v="B021"/>
    <d v="2016-12-22T00:00:00"/>
    <s v="10"/>
    <s v="TAN"/>
    <s v="OR"/>
    <d v="2016-12-19T00:00:00"/>
    <s v="CO"/>
    <s v="US"/>
    <s v="ZR"/>
    <d v="2016-12-19T00:00:00"/>
  </r>
  <r>
    <x v="1"/>
    <x v="4"/>
    <x v="3099"/>
    <x v="44"/>
    <s v="Standard order"/>
    <x v="2971"/>
    <x v="683"/>
    <s v="225N"/>
    <s v="BTS 22RR5N"/>
    <s v="5002111"/>
    <s v="225N BTS PB LRG"/>
    <n v="36"/>
    <n v="0"/>
    <n v="36"/>
    <x v="4"/>
    <s v="4TBD"/>
    <s v="LARGE"/>
    <s v="307"/>
    <s v="4.0 UN"/>
    <s v="STANDARD"/>
    <s v="N"/>
    <s v="Y"/>
    <s v="N"/>
    <s v="N"/>
    <s v="N"/>
    <s v="N"/>
    <s v="N"/>
    <s v="N"/>
    <s v="MB13"/>
    <d v="2016-12-22T00:00:00"/>
    <s v="10"/>
    <s v="TAN"/>
    <s v="OR"/>
    <d v="2016-12-19T00:00:00"/>
    <s v="OR"/>
    <s v="US"/>
    <s v="ZR"/>
    <d v="2016-12-19T00:00:00"/>
  </r>
  <r>
    <x v="1"/>
    <x v="4"/>
    <x v="3100"/>
    <x v="52"/>
    <s v="Standard order"/>
    <x v="2972"/>
    <x v="2498"/>
    <s v="225N"/>
    <s v="BTS 22RR5N"/>
    <s v="5002109"/>
    <s v="225N BTS PB Kabina XL"/>
    <n v="12"/>
    <n v="0"/>
    <n v="12"/>
    <x v="4"/>
    <s v="4TBD"/>
    <s v="X-LARGE"/>
    <s v="384"/>
    <s v="4.0 UN"/>
    <s v="STANDARD"/>
    <s v="N"/>
    <s v="Y"/>
    <s v="Y"/>
    <s v="N"/>
    <s v="N"/>
    <s v="N"/>
    <s v="N"/>
    <s v="N"/>
    <s v="B048"/>
    <d v="2016-12-22T00:00:00"/>
    <s v="10"/>
    <s v="TAN"/>
    <s v="OR"/>
    <d v="2016-12-19T00:00:00"/>
    <s v="ID"/>
    <s v="US"/>
    <s v="ZR"/>
    <d v="2016-12-19T00:00:00"/>
  </r>
  <r>
    <x v="1"/>
    <x v="4"/>
    <x v="3100"/>
    <x v="52"/>
    <s v="Standard order"/>
    <x v="2972"/>
    <x v="2498"/>
    <s v="251N"/>
    <s v="BTS 251N"/>
    <s v="5002505"/>
    <s v="251N BTS PB Kabina XL"/>
    <n v="12"/>
    <n v="0"/>
    <n v="12"/>
    <x v="4"/>
    <s v="5HBR"/>
    <s v="X-LARGE"/>
    <s v="384"/>
    <s v="4.0 UN"/>
    <s v="STANDARD"/>
    <s v="N"/>
    <s v="Y"/>
    <s v="Y"/>
    <s v="N"/>
    <s v="N"/>
    <s v="N"/>
    <s v="N"/>
    <s v="N"/>
    <s v="B048"/>
    <d v="2016-12-22T00:00:00"/>
    <s v="20"/>
    <s v="TAN"/>
    <s v="OR"/>
    <d v="2016-12-19T00:00:00"/>
    <s v="ID"/>
    <s v="US"/>
    <s v="ZR"/>
    <d v="2016-12-19T00:00:00"/>
  </r>
  <r>
    <x v="1"/>
    <x v="4"/>
    <x v="3101"/>
    <x v="53"/>
    <s v="Standard order"/>
    <x v="2973"/>
    <x v="842"/>
    <s v="225N"/>
    <s v="BTS 22RR5N"/>
    <s v="5002119"/>
    <s v="225N BTS PB XL"/>
    <n v="52"/>
    <n v="0"/>
    <n v="52"/>
    <x v="4"/>
    <s v="4TBD"/>
    <s v="X-LARGE"/>
    <s v="307"/>
    <s v="4.0 UN"/>
    <s v="STANDARD"/>
    <s v="N"/>
    <s v="Y"/>
    <s v="N"/>
    <s v="N"/>
    <s v="N"/>
    <s v="N"/>
    <s v="N"/>
    <s v="N"/>
    <s v="B051"/>
    <d v="2016-12-22T00:00:00"/>
    <s v="10"/>
    <s v="TAN"/>
    <s v="OR"/>
    <d v="2016-12-19T00:00:00"/>
    <s v="ID"/>
    <s v="US"/>
    <s v="ZR"/>
    <d v="2016-12-19T00:00:00"/>
  </r>
  <r>
    <x v="1"/>
    <x v="4"/>
    <x v="3101"/>
    <x v="53"/>
    <s v="Standard order"/>
    <x v="2973"/>
    <x v="842"/>
    <s v="251N"/>
    <s v="BTS 251N"/>
    <s v="5002196"/>
    <s v="251N BTS PB XL"/>
    <n v="52"/>
    <n v="0"/>
    <n v="52"/>
    <x v="4"/>
    <s v="5HBR"/>
    <s v="X-LARGE"/>
    <s v="307"/>
    <s v="4.0 UN"/>
    <s v="STANDARD"/>
    <s v="N"/>
    <s v="Y"/>
    <s v="N"/>
    <s v="N"/>
    <s v="N"/>
    <s v="N"/>
    <s v="N"/>
    <s v="N"/>
    <s v="B051"/>
    <d v="2016-12-22T00:00:00"/>
    <s v="20"/>
    <s v="TAN"/>
    <s v="OR"/>
    <d v="2016-12-19T00:00:00"/>
    <s v="ID"/>
    <s v="US"/>
    <s v="ZR"/>
    <d v="2016-12-19T00:00:00"/>
  </r>
  <r>
    <x v="1"/>
    <x v="2"/>
    <x v="3102"/>
    <x v="5"/>
    <s v="Standard order"/>
    <x v="2974"/>
    <x v="2499"/>
    <s v="628N"/>
    <s v="BTS 62RR8N"/>
    <s v="5002685"/>
    <s v="628N BTS T20 PB SYSTIVA P50"/>
    <n v="24"/>
    <n v="0"/>
    <n v="24"/>
    <x v="2"/>
    <s v="BL73"/>
    <s v="PRO 50"/>
    <s v="322"/>
    <s v="4.0 UN"/>
    <s v="STANDARD"/>
    <s v="N"/>
    <s v="N"/>
    <s v="N"/>
    <s v="T20"/>
    <s v="Y"/>
    <s v="N"/>
    <s v="Y"/>
    <s v="N"/>
    <s v="B020"/>
    <d v="2016-12-23T00:00:00"/>
    <s v="10"/>
    <s v="TAN"/>
    <s v="OR"/>
    <d v="2016-12-19T00:00:00"/>
    <s v="CO"/>
    <s v="US"/>
    <s v="ZR"/>
    <d v="2016-12-20T00:00:00"/>
  </r>
  <r>
    <x v="1"/>
    <x v="2"/>
    <x v="3102"/>
    <x v="5"/>
    <s v="Standard order"/>
    <x v="2974"/>
    <x v="2499"/>
    <s v="64SN"/>
    <s v="BTS 64SN"/>
    <s v="5002422"/>
    <s v="64SN BTS T20 PB SYSTIVA P50"/>
    <n v="12"/>
    <n v="0"/>
    <n v="12"/>
    <x v="2"/>
    <s v="DVNB"/>
    <s v="PRO 50"/>
    <s v="322"/>
    <s v="4.0 UN"/>
    <s v="STANDARD"/>
    <s v="N"/>
    <s v="N"/>
    <s v="N"/>
    <s v="T20"/>
    <s v="Y"/>
    <s v="N"/>
    <s v="Y"/>
    <s v="N"/>
    <s v="B020"/>
    <d v="2016-12-23T00:00:00"/>
    <s v="20"/>
    <s v="TAN"/>
    <s v="OR"/>
    <d v="2016-12-19T00:00:00"/>
    <s v="CO"/>
    <s v="US"/>
    <s v="ZR"/>
    <d v="2016-12-20T00:00:00"/>
  </r>
  <r>
    <x v="1"/>
    <x v="5"/>
    <x v="3103"/>
    <x v="21"/>
    <s v="Standard order"/>
    <x v="2975"/>
    <x v="2500"/>
    <s v="336N"/>
    <s v="BTS 336N"/>
    <s v="5002400"/>
    <s v="336N BTS T20 PB SYSTIVA RP"/>
    <n v="24"/>
    <n v="0"/>
    <n v="24"/>
    <x v="5"/>
    <s v="EEMG"/>
    <s v="RP"/>
    <s v="322"/>
    <s v="4.0 UN"/>
    <s v="STANDARD"/>
    <s v="N"/>
    <s v="N"/>
    <s v="N"/>
    <s v="T20"/>
    <s v="Y"/>
    <s v="N"/>
    <s v="N"/>
    <s v="N"/>
    <s v="B013"/>
    <d v="2016-12-23T00:00:00"/>
    <s v="10"/>
    <s v="TAN"/>
    <s v="OR"/>
    <d v="2016-12-19T00:00:00"/>
    <s v="MT"/>
    <s v="US"/>
    <s v="ZR"/>
    <d v="2016-12-20T00:00:00"/>
  </r>
  <r>
    <x v="1"/>
    <x v="5"/>
    <x v="3104"/>
    <x v="21"/>
    <s v="Standard order"/>
    <x v="2976"/>
    <x v="2501"/>
    <s v="336N"/>
    <s v="BTS 336N"/>
    <s v="5002400"/>
    <s v="336N BTS T20 PB SYSTIVA RP"/>
    <n v="12"/>
    <n v="0"/>
    <n v="12"/>
    <x v="5"/>
    <s v="EEMG"/>
    <s v="RP"/>
    <s v="322"/>
    <s v="4.0 UN"/>
    <s v="STANDARD"/>
    <s v="N"/>
    <s v="N"/>
    <s v="N"/>
    <s v="T20"/>
    <s v="Y"/>
    <s v="N"/>
    <s v="N"/>
    <s v="N"/>
    <s v="B013"/>
    <d v="2016-12-23T00:00:00"/>
    <s v="10"/>
    <s v="TAN"/>
    <s v="OR"/>
    <d v="2016-12-19T00:00:00"/>
    <s v="MT"/>
    <s v="US"/>
    <s v="ZR"/>
    <d v="2016-12-20T00:00:00"/>
  </r>
  <r>
    <x v="1"/>
    <x v="5"/>
    <x v="3104"/>
    <x v="21"/>
    <s v="Standard order"/>
    <x v="2976"/>
    <x v="2501"/>
    <s v="353N"/>
    <s v="BTS 353N"/>
    <s v="5002524"/>
    <s v="353N BTS T20 PB SYSTIVA RP"/>
    <n v="12"/>
    <n v="0"/>
    <n v="12"/>
    <x v="5"/>
    <s v="EENZ"/>
    <s v="RP"/>
    <s v="322"/>
    <s v="4.0 UN"/>
    <s v="STANDARD"/>
    <s v="N"/>
    <s v="Y"/>
    <s v="N"/>
    <s v="T20"/>
    <s v="Y"/>
    <s v="N"/>
    <s v="N"/>
    <s v="N"/>
    <s v="B013"/>
    <d v="2016-12-23T00:00:00"/>
    <s v="20"/>
    <s v="TAN"/>
    <s v="OR"/>
    <d v="2016-12-19T00:00:00"/>
    <s v="MT"/>
    <s v="US"/>
    <s v="ZR"/>
    <d v="2016-12-20T00:00:00"/>
  </r>
  <r>
    <x v="1"/>
    <x v="0"/>
    <x v="3105"/>
    <x v="42"/>
    <s v="Standard order"/>
    <x v="2977"/>
    <x v="831"/>
    <s v="122N"/>
    <s v="BTS 12RR2N"/>
    <s v="5002309"/>
    <s v="122N BTS T20 Kabina MP"/>
    <n v="32"/>
    <n v="0"/>
    <n v="32"/>
    <x v="0"/>
    <s v="4TBG"/>
    <s v="MP"/>
    <s v="380"/>
    <s v="4.0 UN"/>
    <s v="STANDARD"/>
    <s v="N"/>
    <s v="N"/>
    <s v="Y"/>
    <s v="T20"/>
    <s v="N"/>
    <s v="N"/>
    <s v="N"/>
    <s v="N"/>
    <s v="B007"/>
    <d v="2016-12-23T00:00:00"/>
    <s v="10"/>
    <s v="TAN"/>
    <s v="OR"/>
    <d v="2016-12-20T00:00:00"/>
    <s v="MI"/>
    <s v="US"/>
    <s v="ZR"/>
    <d v="2016-12-20T00:00:00"/>
  </r>
  <r>
    <x v="1"/>
    <x v="0"/>
    <x v="3105"/>
    <x v="42"/>
    <s v="Standard order"/>
    <x v="2977"/>
    <x v="831"/>
    <s v="1399"/>
    <s v="BTS 1399"/>
    <s v="5002346"/>
    <s v="1399 BTS T20 Kabina MP"/>
    <n v="32"/>
    <n v="0"/>
    <n v="32"/>
    <x v="0"/>
    <s v="EG74"/>
    <s v="MP"/>
    <s v="380"/>
    <s v="4.0 UN"/>
    <s v="STANDARD"/>
    <s v="N"/>
    <s v="N"/>
    <s v="Y"/>
    <s v="T20"/>
    <s v="N"/>
    <s v="N"/>
    <s v="N"/>
    <s v="N"/>
    <s v="B007"/>
    <d v="2016-12-23T00:00:00"/>
    <s v="20"/>
    <s v="TAN"/>
    <s v="OR"/>
    <d v="2016-12-20T00:00:00"/>
    <s v="MI"/>
    <s v="US"/>
    <s v="ZR"/>
    <d v="2016-12-20T00:00:00"/>
  </r>
  <r>
    <x v="1"/>
    <x v="2"/>
    <x v="3106"/>
    <x v="25"/>
    <s v="Standard order"/>
    <x v="2978"/>
    <x v="972"/>
    <s v="6027"/>
    <s v="BTS 60RR27"/>
    <s v="5002645"/>
    <s v="6027 BTS T20 PB SYSTIVA P100 WSS"/>
    <n v="28"/>
    <n v="0"/>
    <n v="28"/>
    <x v="2"/>
    <s v="APMC"/>
    <s v="PRO 100"/>
    <s v="322"/>
    <s v="4.0 UN"/>
    <s v="STANDARD"/>
    <s v="N"/>
    <s v="N"/>
    <s v="N"/>
    <s v="T20"/>
    <s v="Y"/>
    <s v="N"/>
    <s v="Y"/>
    <s v="N"/>
    <s v="B021"/>
    <d v="2016-12-23T00:00:00"/>
    <s v="10"/>
    <s v="TAN"/>
    <s v="OR"/>
    <d v="2016-12-20T00:00:00"/>
    <s v="CO"/>
    <s v="US"/>
    <s v="ZR"/>
    <d v="2016-12-20T00:00:00"/>
  </r>
  <r>
    <x v="1"/>
    <x v="0"/>
    <x v="3107"/>
    <x v="45"/>
    <s v="Standard order"/>
    <x v="2979"/>
    <x v="982"/>
    <s v="1399"/>
    <s v="BTS 1399"/>
    <s v="5002347"/>
    <s v="1399 BTS T20 Kabina P200"/>
    <n v="16"/>
    <n v="0"/>
    <n v="16"/>
    <x v="0"/>
    <s v="EG74"/>
    <s v="PRO 200"/>
    <s v="380"/>
    <s v="4.0 UN"/>
    <s v="STANDARD"/>
    <s v="N"/>
    <s v="N"/>
    <s v="Y"/>
    <s v="T20"/>
    <s v="N"/>
    <s v="N"/>
    <s v="N"/>
    <s v="N"/>
    <s v="B003"/>
    <d v="2016-12-23T00:00:00"/>
    <s v="10"/>
    <s v="TAN"/>
    <s v="OR"/>
    <d v="2016-12-20T00:00:00"/>
    <s v="MI"/>
    <s v="US"/>
    <s v="ZR"/>
    <d v="2016-12-20T00:00:00"/>
  </r>
  <r>
    <x v="1"/>
    <x v="4"/>
    <x v="3108"/>
    <x v="44"/>
    <s v="Standard order"/>
    <x v="2980"/>
    <x v="104"/>
    <s v="251N"/>
    <s v="BTS 251N"/>
    <s v="5002505"/>
    <s v="251N BTS PB Kabina XL"/>
    <n v="64"/>
    <n v="0"/>
    <n v="64"/>
    <x v="4"/>
    <s v="5HBR"/>
    <s v="X-LARGE"/>
    <s v="384"/>
    <s v="4.0 UN"/>
    <s v="STANDARD"/>
    <s v="N"/>
    <s v="Y"/>
    <s v="Y"/>
    <s v="N"/>
    <s v="N"/>
    <s v="N"/>
    <s v="N"/>
    <s v="N"/>
    <s v="MB13"/>
    <d v="2016-12-23T00:00:00"/>
    <s v="10"/>
    <s v="TAN"/>
    <s v="OR"/>
    <d v="2016-12-20T00:00:00"/>
    <s v="ID"/>
    <s v="US"/>
    <s v="ZR"/>
    <d v="2016-12-20T00:00:00"/>
  </r>
  <r>
    <x v="1"/>
    <x v="4"/>
    <x v="3108"/>
    <x v="44"/>
    <s v="Standard order"/>
    <x v="2980"/>
    <x v="104"/>
    <s v="2570"/>
    <s v="BTS 2570"/>
    <s v="5003285"/>
    <s v="2570 BTS PB Kabina XL"/>
    <n v="84"/>
    <n v="0"/>
    <n v="84"/>
    <x v="4"/>
    <s v="EZNS"/>
    <s v="X-LARGE"/>
    <s v="384"/>
    <s v="4.0 UN"/>
    <s v="STANDARD"/>
    <s v="N"/>
    <s v="Y"/>
    <s v="Y"/>
    <s v="N"/>
    <s v="N"/>
    <s v="N"/>
    <s v="N"/>
    <s v="N"/>
    <s v="MB13"/>
    <d v="2016-12-23T00:00:00"/>
    <s v="20"/>
    <s v="TAN"/>
    <s v="OR"/>
    <d v="2016-12-20T00:00:00"/>
    <s v="ID"/>
    <s v="US"/>
    <s v="ZR"/>
    <d v="2016-12-20T00:00:00"/>
  </r>
  <r>
    <x v="1"/>
    <x v="4"/>
    <x v="3109"/>
    <x v="52"/>
    <s v="Standard order"/>
    <x v="2981"/>
    <x v="2502"/>
    <s v="2570"/>
    <s v="BTS 2570"/>
    <s v="5003285"/>
    <s v="2570 BTS PB Kabina XL"/>
    <n v="40"/>
    <n v="0"/>
    <n v="40"/>
    <x v="4"/>
    <s v="EZNS"/>
    <s v="X-LARGE"/>
    <s v="384"/>
    <s v="4.0 UN"/>
    <s v="STANDARD"/>
    <s v="N"/>
    <s v="Y"/>
    <s v="Y"/>
    <s v="N"/>
    <s v="N"/>
    <s v="N"/>
    <s v="N"/>
    <s v="N"/>
    <s v="B048"/>
    <d v="2016-12-23T00:00:00"/>
    <s v="10"/>
    <s v="TAN"/>
    <s v="OR"/>
    <d v="2016-12-20T00:00:00"/>
    <s v="ID"/>
    <s v="US"/>
    <s v="ZR"/>
    <d v="2016-12-20T00:00:00"/>
  </r>
  <r>
    <x v="1"/>
    <x v="2"/>
    <x v="3110"/>
    <x v="6"/>
    <s v="Standard order"/>
    <x v="2982"/>
    <x v="1003"/>
    <s v="64SN"/>
    <s v="BTS 64SN"/>
    <s v="5002422"/>
    <s v="64SN BTS T20 PB SYSTIVA P50"/>
    <n v="20"/>
    <n v="0"/>
    <n v="20"/>
    <x v="2"/>
    <s v="DVNB"/>
    <s v="PRO 50"/>
    <s v="322"/>
    <s v="4.0 UN"/>
    <s v="STANDARD"/>
    <s v="N"/>
    <s v="N"/>
    <s v="N"/>
    <s v="T20"/>
    <s v="Y"/>
    <s v="N"/>
    <s v="Y"/>
    <s v="N"/>
    <s v="B025"/>
    <d v="2016-12-23T00:00:00"/>
    <s v="10"/>
    <s v="TAN"/>
    <s v="OR"/>
    <d v="2016-12-20T00:00:00"/>
    <s v="NE"/>
    <s v="US"/>
    <s v="ZR"/>
    <d v="2016-12-20T00:00:00"/>
  </r>
  <r>
    <x v="1"/>
    <x v="2"/>
    <x v="3111"/>
    <x v="3"/>
    <s v="Standard order"/>
    <x v="2983"/>
    <x v="988"/>
    <s v="6027"/>
    <s v="BTS 60RR27"/>
    <s v="5002645"/>
    <s v="6027 BTS T20 PB SYSTIVA P100 WSS"/>
    <n v="24"/>
    <n v="0"/>
    <n v="24"/>
    <x v="2"/>
    <s v="APMC"/>
    <s v="PRO 100"/>
    <s v="322"/>
    <s v="4.0 UN"/>
    <s v="STANDARD"/>
    <s v="N"/>
    <s v="N"/>
    <s v="N"/>
    <s v="T20"/>
    <s v="Y"/>
    <s v="N"/>
    <s v="Y"/>
    <s v="N"/>
    <s v="B024"/>
    <d v="2016-12-23T00:00:00"/>
    <s v="10"/>
    <s v="TAN"/>
    <s v="OR"/>
    <d v="2016-12-20T00:00:00"/>
    <s v="NE"/>
    <s v="US"/>
    <s v="ZR"/>
    <d v="2016-12-20T00:00:00"/>
  </r>
  <r>
    <x v="1"/>
    <x v="2"/>
    <x v="3112"/>
    <x v="24"/>
    <s v="Standard order"/>
    <x v="2984"/>
    <x v="989"/>
    <s v="6027"/>
    <s v="BTS 60RR27"/>
    <s v="5002647"/>
    <s v="6027 BTS T20 PB SYSTIVA P50 WSS"/>
    <n v="56"/>
    <n v="0"/>
    <n v="56"/>
    <x v="2"/>
    <s v="APMC"/>
    <s v="PRO 50"/>
    <s v="322"/>
    <s v="4.0 UN"/>
    <s v="STANDARD"/>
    <s v="N"/>
    <s v="N"/>
    <s v="N"/>
    <s v="T20"/>
    <s v="Y"/>
    <s v="N"/>
    <s v="Y"/>
    <s v="N"/>
    <s v="B022"/>
    <d v="2016-12-23T00:00:00"/>
    <s v="10"/>
    <s v="TAN"/>
    <s v="OR"/>
    <d v="2016-12-20T00:00:00"/>
    <s v="CO"/>
    <s v="US"/>
    <s v="ZR"/>
    <d v="2016-12-20T00:00:00"/>
  </r>
  <r>
    <x v="1"/>
    <x v="4"/>
    <x v="3113"/>
    <x v="52"/>
    <s v="Standard order"/>
    <x v="2985"/>
    <x v="2503"/>
    <s v="251N"/>
    <s v="BTS 251N"/>
    <s v="5002198"/>
    <s v="251N BTS PB XL+"/>
    <n v="48"/>
    <n v="0"/>
    <n v="48"/>
    <x v="4"/>
    <s v="5HBR"/>
    <s v="XL-PLUS"/>
    <s v="307"/>
    <s v="4.0 UN"/>
    <s v="STANDARD"/>
    <s v="N"/>
    <s v="Y"/>
    <s v="N"/>
    <s v="N"/>
    <s v="N"/>
    <s v="N"/>
    <s v="N"/>
    <s v="N"/>
    <s v="B048"/>
    <d v="2016-12-23T00:00:00"/>
    <s v="10"/>
    <s v="TAN"/>
    <s v="OR"/>
    <d v="2016-12-20T00:00:00"/>
    <s v="ID"/>
    <s v="US"/>
    <s v="ZR"/>
    <d v="2016-12-20T00:00:00"/>
  </r>
  <r>
    <x v="1"/>
    <x v="4"/>
    <x v="3113"/>
    <x v="52"/>
    <s v="Standard order"/>
    <x v="2985"/>
    <x v="2503"/>
    <s v="225N"/>
    <s v="BTS 22RR5N"/>
    <s v="5002120"/>
    <s v="225N BTS PB XL+"/>
    <n v="12"/>
    <n v="0"/>
    <n v="12"/>
    <x v="4"/>
    <s v="4TBD"/>
    <s v="XL-PLUS"/>
    <s v="307"/>
    <s v="4.0 UN"/>
    <s v="STANDARD"/>
    <s v="N"/>
    <s v="Y"/>
    <s v="N"/>
    <s v="N"/>
    <s v="N"/>
    <s v="N"/>
    <s v="N"/>
    <s v="N"/>
    <s v="B048"/>
    <d v="2016-12-23T00:00:00"/>
    <s v="20"/>
    <s v="TAN"/>
    <s v="OR"/>
    <d v="2016-12-20T00:00:00"/>
    <s v="ID"/>
    <s v="US"/>
    <s v="ZR"/>
    <d v="2016-12-20T00:00:00"/>
  </r>
  <r>
    <x v="1"/>
    <x v="0"/>
    <x v="3114"/>
    <x v="45"/>
    <s v="Standard order"/>
    <x v="2986"/>
    <x v="2504"/>
    <s v="1399"/>
    <s v="BTS 1399"/>
    <s v="5002348"/>
    <s v="1399 BTS T20 Kabina RP"/>
    <n v="12"/>
    <n v="0"/>
    <n v="12"/>
    <x v="0"/>
    <s v="EG74"/>
    <s v="RP"/>
    <s v="380"/>
    <s v="4.0 UN"/>
    <s v="STANDARD"/>
    <s v="N"/>
    <s v="N"/>
    <s v="Y"/>
    <s v="T20"/>
    <s v="N"/>
    <s v="N"/>
    <s v="N"/>
    <s v="N"/>
    <s v="B003"/>
    <d v="2016-12-23T00:00:00"/>
    <s v="10"/>
    <s v="TAN"/>
    <s v="OR"/>
    <d v="2016-12-20T00:00:00"/>
    <s v="MI"/>
    <s v="US"/>
    <s v="ZR"/>
    <d v="2016-12-20T00:00:00"/>
  </r>
  <r>
    <x v="1"/>
    <x v="0"/>
    <x v="3114"/>
    <x v="45"/>
    <s v="Standard order"/>
    <x v="2986"/>
    <x v="2504"/>
    <s v="122N"/>
    <s v="BTS 12RR2N"/>
    <s v="5002311"/>
    <s v="122N BTS T20 Kabina RP"/>
    <n v="12"/>
    <n v="0"/>
    <n v="12"/>
    <x v="0"/>
    <s v="4TBG"/>
    <s v="RP"/>
    <s v="380"/>
    <s v="4.0 UN"/>
    <s v="STANDARD"/>
    <s v="N"/>
    <s v="N"/>
    <s v="Y"/>
    <s v="T20"/>
    <s v="N"/>
    <s v="N"/>
    <s v="N"/>
    <s v="N"/>
    <s v="B003"/>
    <d v="2016-12-23T00:00:00"/>
    <s v="20"/>
    <s v="TAN"/>
    <s v="OR"/>
    <d v="2016-12-20T00:00:00"/>
    <s v="MI"/>
    <s v="US"/>
    <s v="ZR"/>
    <d v="2016-12-20T00:00:00"/>
  </r>
  <r>
    <x v="1"/>
    <x v="0"/>
    <x v="3115"/>
    <x v="43"/>
    <s v="Standard order"/>
    <x v="2987"/>
    <x v="2505"/>
    <s v="1399"/>
    <s v="BTS 1399"/>
    <s v="5002348"/>
    <s v="1399 BTS T20 Kabina RP"/>
    <n v="24"/>
    <n v="0"/>
    <n v="24"/>
    <x v="0"/>
    <s v="EG74"/>
    <s v="RP"/>
    <s v="380"/>
    <s v="4.0 UN"/>
    <s v="STANDARD"/>
    <s v="N"/>
    <s v="N"/>
    <s v="Y"/>
    <s v="T20"/>
    <s v="N"/>
    <s v="N"/>
    <s v="N"/>
    <s v="N"/>
    <s v="B006"/>
    <d v="2016-12-23T00:00:00"/>
    <s v="10"/>
    <s v="TAN"/>
    <s v="OR"/>
    <d v="2016-12-20T00:00:00"/>
    <s v="MI"/>
    <s v="US"/>
    <s v="ZR"/>
    <d v="2016-12-20T00:00:00"/>
  </r>
  <r>
    <x v="1"/>
    <x v="7"/>
    <x v="3116"/>
    <x v="37"/>
    <s v="Standard order"/>
    <x v="2988"/>
    <x v="2506"/>
    <s v="8500"/>
    <s v="BTS 8500"/>
    <s v="5002856"/>
    <s v="8500 BTS T35 PB SYSTIVA RP"/>
    <n v="32"/>
    <n v="0"/>
    <n v="32"/>
    <x v="7"/>
    <s v="FTND"/>
    <s v="RP"/>
    <s v="333"/>
    <s v="4.0 UN"/>
    <s v="STANDARD"/>
    <s v="N"/>
    <s v="Y"/>
    <s v="N"/>
    <s v="T35"/>
    <s v="Y"/>
    <s v="N"/>
    <s v="Y"/>
    <s v="N"/>
    <s v="B033"/>
    <d v="2016-12-23T00:00:00"/>
    <s v="10"/>
    <s v="TAN"/>
    <s v="OR"/>
    <d v="2016-12-20T00:00:00"/>
    <s v="ND"/>
    <s v="US"/>
    <s v="ZR"/>
    <d v="2016-12-20T00:00:00"/>
  </r>
  <r>
    <x v="1"/>
    <x v="2"/>
    <x v="3117"/>
    <x v="6"/>
    <s v="Standard order"/>
    <x v="2989"/>
    <x v="959"/>
    <s v="628N"/>
    <s v="BTS 62RR8N"/>
    <s v="5002683"/>
    <s v="628N BTS T20 PB SYSTIVA P100"/>
    <n v="8"/>
    <n v="0"/>
    <n v="8"/>
    <x v="2"/>
    <s v="BL73"/>
    <s v="PRO 100"/>
    <s v="322"/>
    <s v="4.0 UN"/>
    <s v="STANDARD"/>
    <s v="N"/>
    <s v="N"/>
    <s v="N"/>
    <s v="T20"/>
    <s v="Y"/>
    <s v="N"/>
    <s v="Y"/>
    <s v="N"/>
    <s v="B025"/>
    <d v="2016-12-23T00:00:00"/>
    <s v="10"/>
    <s v="TAN"/>
    <s v="OR"/>
    <d v="2016-12-20T00:00:00"/>
    <s v="NE"/>
    <s v="US"/>
    <s v="ZR"/>
    <d v="2016-12-20T00:00:00"/>
  </r>
  <r>
    <x v="1"/>
    <x v="2"/>
    <x v="3117"/>
    <x v="6"/>
    <s v="Standard order"/>
    <x v="2989"/>
    <x v="959"/>
    <s v="64SN"/>
    <s v="BTS 64SN"/>
    <s v="5002420"/>
    <s v="64SN BTS T20 PB SYSTIVA P100"/>
    <n v="20"/>
    <n v="0"/>
    <n v="20"/>
    <x v="2"/>
    <s v="DVNB"/>
    <s v="PRO 100"/>
    <s v="322"/>
    <s v="4.0 UN"/>
    <s v="STANDARD"/>
    <s v="N"/>
    <s v="N"/>
    <s v="N"/>
    <s v="T20"/>
    <s v="Y"/>
    <s v="N"/>
    <s v="Y"/>
    <s v="N"/>
    <s v="B025"/>
    <d v="2016-12-23T00:00:00"/>
    <s v="20"/>
    <s v="TAN"/>
    <s v="OR"/>
    <d v="2016-12-20T00:00:00"/>
    <s v="NE"/>
    <s v="US"/>
    <s v="ZR"/>
    <d v="2016-12-20T00:00:00"/>
  </r>
  <r>
    <x v="1"/>
    <x v="0"/>
    <x v="3118"/>
    <x v="49"/>
    <s v="Standard order"/>
    <x v="2990"/>
    <x v="1001"/>
    <s v="133N"/>
    <s v="BTS 133N"/>
    <s v="5002329"/>
    <s v="133N BTS T20 Kabina RP"/>
    <n v="12"/>
    <n v="0"/>
    <n v="12"/>
    <x v="0"/>
    <s v="DW73"/>
    <s v="RP"/>
    <s v="380"/>
    <s v="4.0 UN"/>
    <s v="STANDARD"/>
    <s v="N"/>
    <s v="N"/>
    <s v="Y"/>
    <s v="T20"/>
    <s v="N"/>
    <s v="N"/>
    <s v="N"/>
    <s v="N"/>
    <s v="B004"/>
    <d v="2016-12-23T00:00:00"/>
    <s v="10"/>
    <s v="TAN"/>
    <s v="OR"/>
    <d v="2016-12-20T00:00:00"/>
    <s v="MI"/>
    <s v="US"/>
    <s v="ZR"/>
    <d v="2016-12-20T00:00:00"/>
  </r>
  <r>
    <x v="1"/>
    <x v="0"/>
    <x v="3118"/>
    <x v="49"/>
    <s v="Standard order"/>
    <x v="2990"/>
    <x v="1001"/>
    <s v="1399"/>
    <s v="BTS 1399"/>
    <s v="5002348"/>
    <s v="1399 BTS T20 Kabina RP"/>
    <n v="12"/>
    <n v="0"/>
    <n v="12"/>
    <x v="0"/>
    <s v="EG74"/>
    <s v="RP"/>
    <s v="380"/>
    <s v="4.0 UN"/>
    <s v="STANDARD"/>
    <s v="N"/>
    <s v="N"/>
    <s v="Y"/>
    <s v="T20"/>
    <s v="N"/>
    <s v="N"/>
    <s v="N"/>
    <s v="N"/>
    <s v="B004"/>
    <d v="2016-12-23T00:00:00"/>
    <s v="20"/>
    <s v="TAN"/>
    <s v="OR"/>
    <d v="2016-12-20T00:00:00"/>
    <s v="MI"/>
    <s v="US"/>
    <s v="ZR"/>
    <d v="2016-12-20T00:00:00"/>
  </r>
  <r>
    <x v="1"/>
    <x v="0"/>
    <x v="3119"/>
    <x v="49"/>
    <s v="Standard order"/>
    <x v="2991"/>
    <x v="2507"/>
    <s v="1399"/>
    <s v="BTS 1399"/>
    <s v="5002348"/>
    <s v="1399 BTS T20 Kabina RP"/>
    <n v="16"/>
    <n v="0"/>
    <n v="16"/>
    <x v="0"/>
    <s v="EG74"/>
    <s v="RP"/>
    <s v="380"/>
    <s v="4.0 UN"/>
    <s v="STANDARD"/>
    <s v="N"/>
    <s v="N"/>
    <s v="Y"/>
    <s v="T20"/>
    <s v="N"/>
    <s v="N"/>
    <s v="N"/>
    <s v="N"/>
    <s v="B004"/>
    <d v="2016-12-23T00:00:00"/>
    <s v="10"/>
    <s v="TAN"/>
    <s v="OR"/>
    <d v="2016-12-20T00:00:00"/>
    <s v="MI"/>
    <s v="US"/>
    <s v="ZR"/>
    <d v="2016-12-20T00:00:00"/>
  </r>
  <r>
    <x v="1"/>
    <x v="2"/>
    <x v="3120"/>
    <x v="3"/>
    <s v="Standard order"/>
    <x v="2992"/>
    <x v="980"/>
    <s v="6027"/>
    <s v="BTS 60RR27"/>
    <s v="5002645"/>
    <s v="6027 BTS T20 PB SYSTIVA P100 WSS"/>
    <n v="64"/>
    <n v="0"/>
    <n v="64"/>
    <x v="2"/>
    <s v="APMC"/>
    <s v="PRO 100"/>
    <s v="322"/>
    <s v="4.0 UN"/>
    <s v="STANDARD"/>
    <s v="N"/>
    <s v="N"/>
    <s v="N"/>
    <s v="T20"/>
    <s v="Y"/>
    <s v="N"/>
    <s v="Y"/>
    <s v="N"/>
    <s v="B024"/>
    <d v="2016-12-23T00:00:00"/>
    <s v="10"/>
    <s v="TAN"/>
    <s v="OR"/>
    <d v="2016-12-20T00:00:00"/>
    <s v="NE"/>
    <s v="US"/>
    <s v="ZR"/>
    <d v="2016-12-20T00:00:00"/>
  </r>
  <r>
    <x v="1"/>
    <x v="2"/>
    <x v="3120"/>
    <x v="3"/>
    <s v="Standard order"/>
    <x v="2992"/>
    <x v="980"/>
    <s v="64SN"/>
    <s v="BTS 64SN"/>
    <s v="5002420"/>
    <s v="64SN BTS T20 PB SYSTIVA P100"/>
    <n v="32"/>
    <n v="0"/>
    <n v="32"/>
    <x v="2"/>
    <s v="DVNB"/>
    <s v="PRO 100"/>
    <s v="322"/>
    <s v="4.0 UN"/>
    <s v="STANDARD"/>
    <s v="N"/>
    <s v="N"/>
    <s v="N"/>
    <s v="T20"/>
    <s v="Y"/>
    <s v="N"/>
    <s v="Y"/>
    <s v="N"/>
    <s v="B024"/>
    <d v="2016-12-23T00:00:00"/>
    <s v="20"/>
    <s v="TAN"/>
    <s v="OR"/>
    <d v="2016-12-20T00:00:00"/>
    <s v="NE"/>
    <s v="US"/>
    <s v="ZR"/>
    <d v="2016-12-20T00:00:00"/>
  </r>
  <r>
    <x v="1"/>
    <x v="0"/>
    <x v="3121"/>
    <x v="45"/>
    <s v="Standard order"/>
    <x v="2993"/>
    <x v="2508"/>
    <s v="1399"/>
    <s v="BTS 1399"/>
    <s v="5002348"/>
    <s v="1399 BTS T20 Kabina RP"/>
    <n v="40"/>
    <n v="0"/>
    <n v="40"/>
    <x v="0"/>
    <s v="EG74"/>
    <s v="RP"/>
    <s v="380"/>
    <s v="4.0 UN"/>
    <s v="STANDARD"/>
    <s v="N"/>
    <s v="N"/>
    <s v="Y"/>
    <s v="T20"/>
    <s v="N"/>
    <s v="N"/>
    <s v="N"/>
    <s v="N"/>
    <s v="B003"/>
    <d v="2016-12-23T00:00:00"/>
    <s v="10"/>
    <s v="TAN"/>
    <s v="OR"/>
    <d v="2016-12-19T00:00:00"/>
    <s v="MI"/>
    <s v="US"/>
    <s v="ZR"/>
    <d v="2016-12-20T00:00:00"/>
  </r>
  <r>
    <x v="1"/>
    <x v="2"/>
    <x v="3122"/>
    <x v="3"/>
    <s v="Standard order"/>
    <x v="2994"/>
    <x v="999"/>
    <s v="64SN"/>
    <s v="BTS 64SN"/>
    <s v="5002420"/>
    <s v="64SN BTS T20 PB SYSTIVA P100"/>
    <n v="128"/>
    <n v="0"/>
    <n v="128"/>
    <x v="2"/>
    <s v="DVNB"/>
    <s v="PRO 100"/>
    <s v="322"/>
    <s v="4.0 UN"/>
    <s v="STANDARD"/>
    <s v="N"/>
    <s v="N"/>
    <s v="N"/>
    <s v="T20"/>
    <s v="Y"/>
    <s v="N"/>
    <s v="Y"/>
    <s v="N"/>
    <s v="B024"/>
    <d v="2016-12-23T00:00:00"/>
    <s v="10"/>
    <s v="TAN"/>
    <s v="OR"/>
    <d v="2016-12-20T00:00:00"/>
    <s v="NE"/>
    <s v="US"/>
    <s v="ZR"/>
    <d v="2016-12-20T00:00:00"/>
  </r>
  <r>
    <x v="1"/>
    <x v="2"/>
    <x v="3122"/>
    <x v="3"/>
    <s v="Standard order"/>
    <x v="2994"/>
    <x v="999"/>
    <s v="630N"/>
    <s v="BTS 630N"/>
    <s v="5002402"/>
    <s v="630N BTS T20 PB SYSTIVA P100"/>
    <n v="192"/>
    <n v="0"/>
    <n v="192"/>
    <x v="2"/>
    <s v="DW73"/>
    <s v="PRO 100"/>
    <s v="322"/>
    <s v="4.0 UN"/>
    <s v="STANDARD"/>
    <s v="N"/>
    <s v="N"/>
    <s v="N"/>
    <s v="T20"/>
    <s v="Y"/>
    <s v="N"/>
    <s v="Y"/>
    <s v="N"/>
    <s v="B024"/>
    <d v="2016-12-23T00:00:00"/>
    <s v="20"/>
    <s v="TAN"/>
    <s v="OR"/>
    <d v="2016-12-20T00:00:00"/>
    <s v="NE"/>
    <s v="US"/>
    <s v="ZR"/>
    <d v="2016-12-20T00:00:00"/>
  </r>
  <r>
    <x v="1"/>
    <x v="2"/>
    <x v="3122"/>
    <x v="3"/>
    <s v="Standard order"/>
    <x v="2994"/>
    <x v="999"/>
    <s v="6027"/>
    <s v="BTS 60RR27"/>
    <s v="5002645"/>
    <s v="6027 BTS T20 PB SYSTIVA P100 WSS"/>
    <n v="128"/>
    <n v="0"/>
    <n v="128"/>
    <x v="2"/>
    <s v="APMC"/>
    <s v="PRO 100"/>
    <s v="322"/>
    <s v="4.0 UN"/>
    <s v="STANDARD"/>
    <s v="N"/>
    <s v="N"/>
    <s v="N"/>
    <s v="T20"/>
    <s v="Y"/>
    <s v="N"/>
    <s v="Y"/>
    <s v="N"/>
    <s v="B024"/>
    <d v="2016-12-23T00:00:00"/>
    <s v="30"/>
    <s v="TAN"/>
    <s v="OR"/>
    <d v="2016-12-20T00:00:00"/>
    <s v="NE"/>
    <s v="US"/>
    <s v="ZR"/>
    <d v="2016-12-20T00:00:00"/>
  </r>
  <r>
    <x v="1"/>
    <x v="2"/>
    <x v="3122"/>
    <x v="3"/>
    <s v="Standard order"/>
    <x v="2994"/>
    <x v="999"/>
    <s v="6543"/>
    <s v="BTS 6543"/>
    <s v="5002438"/>
    <s v="6543 BTS T20 PB SYSTIVA P100"/>
    <n v="96"/>
    <n v="0"/>
    <n v="96"/>
    <x v="2"/>
    <s v="FXND"/>
    <s v="PRO 100"/>
    <s v="322"/>
    <s v="4.0 UN"/>
    <s v="STANDARD"/>
    <s v="N"/>
    <s v="N"/>
    <s v="N"/>
    <s v="T20"/>
    <s v="Y"/>
    <s v="N"/>
    <s v="Y"/>
    <s v="N"/>
    <s v="B024"/>
    <d v="2016-12-23T00:00:00"/>
    <s v="40"/>
    <s v="TAN"/>
    <s v="OR"/>
    <d v="2016-12-20T00:00:00"/>
    <s v="NE"/>
    <s v="US"/>
    <s v="ZR"/>
    <d v="2016-12-20T00:00:00"/>
  </r>
  <r>
    <x v="1"/>
    <x v="0"/>
    <x v="3123"/>
    <x v="42"/>
    <s v="Standard order"/>
    <x v="2995"/>
    <x v="2509"/>
    <s v="133N"/>
    <s v="BTS 133N"/>
    <s v="5002329"/>
    <s v="133N BTS T20 Kabina RP"/>
    <n v="28"/>
    <n v="0"/>
    <n v="28"/>
    <x v="0"/>
    <s v="DW73"/>
    <s v="RP"/>
    <s v="380"/>
    <s v="4.0 UN"/>
    <s v="STANDARD"/>
    <s v="N"/>
    <s v="N"/>
    <s v="Y"/>
    <s v="T20"/>
    <s v="N"/>
    <s v="N"/>
    <s v="N"/>
    <s v="N"/>
    <s v="B007"/>
    <d v="2016-12-23T00:00:00"/>
    <s v="10"/>
    <s v="TAN"/>
    <s v="OR"/>
    <d v="2016-12-20T00:00:00"/>
    <s v="MI"/>
    <s v="US"/>
    <s v="ZR"/>
    <d v="2016-12-20T00:00:00"/>
  </r>
  <r>
    <x v="1"/>
    <x v="0"/>
    <x v="3123"/>
    <x v="42"/>
    <s v="Standard order"/>
    <x v="2995"/>
    <x v="2509"/>
    <s v="1399"/>
    <s v="BTS 1399"/>
    <s v="5002348"/>
    <s v="1399 BTS T20 Kabina RP"/>
    <n v="24"/>
    <n v="0"/>
    <n v="24"/>
    <x v="0"/>
    <s v="EG74"/>
    <s v="RP"/>
    <s v="380"/>
    <s v="4.0 UN"/>
    <s v="STANDARD"/>
    <s v="N"/>
    <s v="N"/>
    <s v="Y"/>
    <s v="T20"/>
    <s v="N"/>
    <s v="N"/>
    <s v="N"/>
    <s v="N"/>
    <s v="B007"/>
    <d v="2016-12-23T00:00:00"/>
    <s v="20"/>
    <s v="TAN"/>
    <s v="OR"/>
    <d v="2016-12-20T00:00:00"/>
    <s v="MI"/>
    <s v="US"/>
    <s v="ZR"/>
    <d v="2016-12-20T00:00:00"/>
  </r>
  <r>
    <x v="1"/>
    <x v="2"/>
    <x v="3124"/>
    <x v="5"/>
    <s v="Standard order"/>
    <x v="2996"/>
    <x v="963"/>
    <s v="64SN"/>
    <s v="BTS 64SN"/>
    <s v="5002420"/>
    <s v="64SN BTS T20 PB SYSTIVA P100"/>
    <n v="40"/>
    <n v="0"/>
    <n v="40"/>
    <x v="2"/>
    <s v="DVNB"/>
    <s v="PRO 100"/>
    <s v="322"/>
    <s v="4.0 UN"/>
    <s v="STANDARD"/>
    <s v="N"/>
    <s v="N"/>
    <s v="N"/>
    <s v="T20"/>
    <s v="Y"/>
    <s v="N"/>
    <s v="Y"/>
    <s v="N"/>
    <s v="B020"/>
    <d v="2016-12-23T00:00:00"/>
    <s v="10"/>
    <s v="TAN"/>
    <s v="OR"/>
    <d v="2016-12-20T00:00:00"/>
    <s v="CO"/>
    <s v="US"/>
    <s v="ZR"/>
    <d v="2016-12-20T00:00:00"/>
  </r>
  <r>
    <x v="1"/>
    <x v="0"/>
    <x v="3125"/>
    <x v="55"/>
    <s v="Standard order"/>
    <x v="2997"/>
    <x v="910"/>
    <s v="1399"/>
    <s v="BTS 1399"/>
    <s v="5002347"/>
    <s v="1399 BTS T20 Kabina P200"/>
    <n v="12"/>
    <n v="0"/>
    <n v="12"/>
    <x v="0"/>
    <s v="EG74"/>
    <s v="PRO 200"/>
    <s v="380"/>
    <s v="4.0 UN"/>
    <s v="STANDARD"/>
    <s v="N"/>
    <s v="N"/>
    <s v="Y"/>
    <s v="T20"/>
    <s v="N"/>
    <s v="N"/>
    <s v="N"/>
    <s v="N"/>
    <s v="B009"/>
    <d v="2016-12-23T00:00:00"/>
    <s v="10"/>
    <s v="TAN"/>
    <s v="OR"/>
    <d v="2016-12-20T00:00:00"/>
    <s v="MI"/>
    <s v="US"/>
    <s v="ZR"/>
    <d v="2016-12-20T00:00:00"/>
  </r>
  <r>
    <x v="1"/>
    <x v="4"/>
    <x v="3126"/>
    <x v="53"/>
    <s v="Standard order"/>
    <x v="2998"/>
    <x v="2510"/>
    <s v="2523"/>
    <s v="BTS 2523"/>
    <s v="5002527"/>
    <s v="2523 BTS PB LRG"/>
    <n v="28"/>
    <n v="0"/>
    <n v="28"/>
    <x v="4"/>
    <s v="EZPC"/>
    <s v="LARGE"/>
    <s v="307"/>
    <s v="4.0 UN"/>
    <s v="STANDARD"/>
    <s v="N"/>
    <s v="Y"/>
    <s v="N"/>
    <s v="N"/>
    <s v="N"/>
    <s v="N"/>
    <s v="N"/>
    <s v="N"/>
    <s v="B051"/>
    <d v="2016-12-23T00:00:00"/>
    <s v="10"/>
    <s v="TAN"/>
    <s v="OR"/>
    <d v="2016-12-20T00:00:00"/>
    <s v="ID"/>
    <s v="US"/>
    <s v="ZR"/>
    <d v="2016-12-20T00:00:00"/>
  </r>
  <r>
    <x v="1"/>
    <x v="4"/>
    <x v="3126"/>
    <x v="53"/>
    <s v="Standard order"/>
    <x v="2998"/>
    <x v="2510"/>
    <s v="2570"/>
    <s v="BTS 2570"/>
    <s v="5002553"/>
    <s v="2570 BTS PB LRG"/>
    <n v="24"/>
    <n v="0"/>
    <n v="24"/>
    <x v="4"/>
    <s v="EZNS"/>
    <s v="LARGE"/>
    <s v="307"/>
    <s v="4.0 UN"/>
    <s v="STANDARD"/>
    <s v="N"/>
    <s v="Y"/>
    <s v="N"/>
    <s v="N"/>
    <s v="N"/>
    <s v="N"/>
    <s v="N"/>
    <s v="N"/>
    <s v="B051"/>
    <d v="2016-12-23T00:00:00"/>
    <s v="20"/>
    <s v="TAN"/>
    <s v="OR"/>
    <d v="2016-12-20T00:00:00"/>
    <s v="ID"/>
    <s v="US"/>
    <s v="ZR"/>
    <d v="2016-12-20T00:00:00"/>
  </r>
  <r>
    <x v="1"/>
    <x v="7"/>
    <x v="3127"/>
    <x v="28"/>
    <s v="Standard order"/>
    <x v="2999"/>
    <x v="2511"/>
    <s v="8500"/>
    <s v="BTS 8500"/>
    <s v="5002856"/>
    <s v="8500 BTS T35 PB SYSTIVA RP"/>
    <n v="152"/>
    <n v="0"/>
    <n v="152"/>
    <x v="7"/>
    <s v="FTND"/>
    <s v="RP"/>
    <s v="333"/>
    <s v="4.0 UN"/>
    <s v="STANDARD"/>
    <s v="N"/>
    <s v="Y"/>
    <s v="N"/>
    <s v="T35"/>
    <s v="Y"/>
    <s v="N"/>
    <s v="Y"/>
    <s v="N"/>
    <s v="B056"/>
    <d v="2016-12-23T00:00:00"/>
    <s v="10"/>
    <s v="TAN"/>
    <s v="OR"/>
    <d v="2016-12-20T00:00:00"/>
    <s v="ND"/>
    <s v="US"/>
    <s v="ZR"/>
    <d v="2016-12-20T00:00:00"/>
  </r>
  <r>
    <x v="1"/>
    <x v="7"/>
    <x v="3127"/>
    <x v="28"/>
    <s v="Standard order"/>
    <x v="2999"/>
    <x v="2511"/>
    <s v="8052"/>
    <s v="BTS 80RR52"/>
    <s v="5002735"/>
    <s v="8052 BTS T35 PB SYSTIVA RP"/>
    <n v="148"/>
    <n v="0"/>
    <n v="148"/>
    <x v="7"/>
    <s v="AP82"/>
    <s v="RP"/>
    <s v="333"/>
    <s v="4.0 UN"/>
    <s v="STANDARD"/>
    <s v="N"/>
    <s v="Y"/>
    <s v="N"/>
    <s v="T35"/>
    <s v="Y"/>
    <s v="N"/>
    <s v="Y"/>
    <s v="N"/>
    <s v="B056"/>
    <d v="2016-12-23T00:00:00"/>
    <s v="20"/>
    <s v="TAN"/>
    <s v="OR"/>
    <d v="2016-12-20T00:00:00"/>
    <s v="ND"/>
    <s v="US"/>
    <s v="ZR"/>
    <d v="2016-12-20T00:00:00"/>
  </r>
  <r>
    <x v="1"/>
    <x v="7"/>
    <x v="3128"/>
    <x v="28"/>
    <s v="Standard order"/>
    <x v="3000"/>
    <x v="2512"/>
    <s v="8512"/>
    <s v="BTS 8512"/>
    <s v="5002875"/>
    <s v="8512 BTS T35 PB SYSTIVA P200"/>
    <n v="32"/>
    <n v="0"/>
    <n v="32"/>
    <x v="7"/>
    <s v="FX73"/>
    <s v="PRO 200"/>
    <s v="333"/>
    <s v="4.0 UN"/>
    <s v="STANDARD"/>
    <s v="N"/>
    <s v="Y"/>
    <s v="N"/>
    <s v="T35"/>
    <s v="Y"/>
    <s v="N"/>
    <s v="Y"/>
    <s v="N"/>
    <s v="B056"/>
    <d v="2016-12-23T00:00:00"/>
    <s v="10"/>
    <s v="TAN"/>
    <s v="OR"/>
    <d v="2016-12-20T00:00:00"/>
    <s v="ND"/>
    <s v="US"/>
    <s v="ZR"/>
    <d v="2016-12-20T00:00:00"/>
  </r>
  <r>
    <x v="1"/>
    <x v="2"/>
    <x v="3129"/>
    <x v="5"/>
    <s v="Standard order"/>
    <x v="3001"/>
    <x v="2513"/>
    <s v="628N"/>
    <s v="BTS 62RR8N"/>
    <s v="5002685"/>
    <s v="628N BTS T20 PB SYSTIVA P50"/>
    <n v="8"/>
    <n v="0"/>
    <n v="8"/>
    <x v="2"/>
    <s v="BL73"/>
    <s v="PRO 50"/>
    <s v="322"/>
    <s v="4.0 UN"/>
    <s v="STANDARD"/>
    <s v="N"/>
    <s v="N"/>
    <s v="N"/>
    <s v="T20"/>
    <s v="Y"/>
    <s v="N"/>
    <s v="Y"/>
    <s v="N"/>
    <s v="B020"/>
    <d v="2016-12-23T00:00:00"/>
    <s v="10"/>
    <s v="TAN"/>
    <s v="OR"/>
    <d v="2016-12-19T00:00:00"/>
    <s v="CO"/>
    <s v="US"/>
    <s v="ZR"/>
    <d v="2016-12-20T00:00:00"/>
  </r>
  <r>
    <x v="1"/>
    <x v="2"/>
    <x v="3129"/>
    <x v="5"/>
    <s v="Standard order"/>
    <x v="3001"/>
    <x v="2513"/>
    <s v="64SN"/>
    <s v="BTS 64SN"/>
    <s v="5002422"/>
    <s v="64SN BTS T20 PB SYSTIVA P50"/>
    <n v="8"/>
    <n v="0"/>
    <n v="8"/>
    <x v="2"/>
    <s v="DVNB"/>
    <s v="PRO 50"/>
    <s v="322"/>
    <s v="4.0 UN"/>
    <s v="STANDARD"/>
    <s v="N"/>
    <s v="N"/>
    <s v="N"/>
    <s v="T20"/>
    <s v="Y"/>
    <s v="N"/>
    <s v="Y"/>
    <s v="N"/>
    <s v="B020"/>
    <d v="2016-12-23T00:00:00"/>
    <s v="20"/>
    <s v="TAN"/>
    <s v="OR"/>
    <d v="2016-12-19T00:00:00"/>
    <s v="CO"/>
    <s v="US"/>
    <s v="ZR"/>
    <d v="2016-12-20T00:00:00"/>
  </r>
  <r>
    <x v="1"/>
    <x v="4"/>
    <x v="3130"/>
    <x v="47"/>
    <s v="Standard order"/>
    <x v="3002"/>
    <x v="954"/>
    <s v="251N"/>
    <s v="BTS 251N"/>
    <s v="5002194"/>
    <s v="251N BTS PB LRG"/>
    <n v="28"/>
    <n v="0"/>
    <n v="28"/>
    <x v="4"/>
    <s v="5HBR"/>
    <s v="LARGE"/>
    <s v="307"/>
    <s v="4.0 UN"/>
    <s v="STANDARD"/>
    <s v="N"/>
    <s v="Y"/>
    <s v="N"/>
    <s v="N"/>
    <s v="N"/>
    <s v="N"/>
    <s v="N"/>
    <s v="N"/>
    <s v="B050"/>
    <d v="2016-12-23T00:00:00"/>
    <s v="10"/>
    <s v="TAN"/>
    <s v="OR"/>
    <d v="2016-12-19T00:00:00"/>
    <s v="ID"/>
    <s v="US"/>
    <s v="ZR"/>
    <d v="2016-12-20T00:00:00"/>
  </r>
  <r>
    <x v="1"/>
    <x v="2"/>
    <x v="3131"/>
    <x v="6"/>
    <s v="Standard order"/>
    <x v="3003"/>
    <x v="957"/>
    <s v="6027"/>
    <s v="BTS 60RR27"/>
    <s v="5002645"/>
    <s v="6027 BTS T20 PB SYSTIVA P100 WSS"/>
    <n v="20"/>
    <n v="0"/>
    <n v="20"/>
    <x v="2"/>
    <s v="APMC"/>
    <s v="PRO 100"/>
    <s v="322"/>
    <s v="4.0 UN"/>
    <s v="STANDARD"/>
    <s v="N"/>
    <s v="N"/>
    <s v="N"/>
    <s v="T20"/>
    <s v="Y"/>
    <s v="N"/>
    <s v="Y"/>
    <s v="N"/>
    <s v="B025"/>
    <d v="2016-12-23T00:00:00"/>
    <s v="20"/>
    <s v="TAN"/>
    <s v="OR"/>
    <d v="2016-12-19T00:00:00"/>
    <s v="NE"/>
    <s v="US"/>
    <s v="ZR"/>
    <d v="2016-12-20T00:00:00"/>
  </r>
  <r>
    <x v="1"/>
    <x v="2"/>
    <x v="3131"/>
    <x v="6"/>
    <s v="Standard order"/>
    <x v="3003"/>
    <x v="957"/>
    <s v="64SN"/>
    <s v="BTS 64SN"/>
    <s v="5002420"/>
    <s v="64SN BTS T20 PB SYSTIVA P100"/>
    <n v="28"/>
    <n v="0"/>
    <n v="28"/>
    <x v="2"/>
    <s v="DVNB"/>
    <s v="PRO 100"/>
    <s v="322"/>
    <s v="4.0 UN"/>
    <s v="STANDARD"/>
    <s v="N"/>
    <s v="N"/>
    <s v="N"/>
    <s v="T20"/>
    <s v="Y"/>
    <s v="N"/>
    <s v="Y"/>
    <s v="N"/>
    <s v="B025"/>
    <d v="2016-12-23T00:00:00"/>
    <s v="40"/>
    <s v="TAN"/>
    <s v="OR"/>
    <d v="2016-12-19T00:00:00"/>
    <s v="NE"/>
    <s v="US"/>
    <s v="ZR"/>
    <d v="2016-12-20T00:00:00"/>
  </r>
  <r>
    <x v="1"/>
    <x v="0"/>
    <x v="3132"/>
    <x v="45"/>
    <s v="Standard order"/>
    <x v="3004"/>
    <x v="2514"/>
    <s v="122N"/>
    <s v="BTS 12RR2N"/>
    <s v="5002317"/>
    <s v="122N BTS T20 SYSTIVA RP"/>
    <n v="8"/>
    <n v="0"/>
    <n v="8"/>
    <x v="0"/>
    <s v="4TBG"/>
    <s v="RP"/>
    <s v="326"/>
    <s v="4.0 UN"/>
    <s v="STANDARD"/>
    <s v="N"/>
    <s v="N"/>
    <s v="N"/>
    <s v="T20"/>
    <s v="Y"/>
    <s v="N"/>
    <s v="Y"/>
    <s v="N"/>
    <s v="B003"/>
    <d v="2016-12-23T00:00:00"/>
    <s v="10"/>
    <s v="TAN"/>
    <s v="OR"/>
    <d v="2016-12-19T00:00:00"/>
    <s v="MI"/>
    <s v="US"/>
    <s v="ZR"/>
    <d v="2016-12-20T00:00:00"/>
  </r>
  <r>
    <x v="1"/>
    <x v="0"/>
    <x v="3132"/>
    <x v="45"/>
    <s v="Standard order"/>
    <x v="3004"/>
    <x v="2514"/>
    <s v="1399"/>
    <s v="BTS 1399"/>
    <s v="5002348"/>
    <s v="1399 BTS T20 Kabina RP"/>
    <n v="4"/>
    <n v="0"/>
    <n v="4"/>
    <x v="0"/>
    <s v="EG74"/>
    <s v="RP"/>
    <s v="380"/>
    <s v="4.0 UN"/>
    <s v="STANDARD"/>
    <s v="N"/>
    <s v="N"/>
    <s v="Y"/>
    <s v="T20"/>
    <s v="N"/>
    <s v="N"/>
    <s v="N"/>
    <s v="N"/>
    <s v="B003"/>
    <d v="2016-12-23T00:00:00"/>
    <s v="20"/>
    <s v="TAN"/>
    <s v="OR"/>
    <d v="2016-12-19T00:00:00"/>
    <s v="MI"/>
    <s v="US"/>
    <s v="ZR"/>
    <d v="2016-12-20T00:00:00"/>
  </r>
  <r>
    <x v="1"/>
    <x v="5"/>
    <x v="3133"/>
    <x v="21"/>
    <s v="Standard order"/>
    <x v="3005"/>
    <x v="2515"/>
    <s v="398N"/>
    <s v="BTS 39RR8N"/>
    <s v="5002572"/>
    <s v="398N BTS T20 PB SYSTIVA RP"/>
    <n v="24"/>
    <n v="0"/>
    <n v="24"/>
    <x v="5"/>
    <s v="2771"/>
    <s v="RP"/>
    <s v="322"/>
    <s v="4.0 UN"/>
    <s v="STANDARD"/>
    <s v="N"/>
    <s v="Y"/>
    <s v="N"/>
    <s v="T20"/>
    <s v="Y"/>
    <s v="N"/>
    <s v="N"/>
    <s v="N"/>
    <s v="B013"/>
    <d v="2016-12-23T00:00:00"/>
    <s v="10"/>
    <s v="TAN"/>
    <s v="OR"/>
    <d v="2016-12-19T00:00:00"/>
    <s v="MT"/>
    <s v="US"/>
    <s v="ZR"/>
    <d v="2016-12-20T00:00:00"/>
  </r>
  <r>
    <x v="1"/>
    <x v="5"/>
    <x v="3133"/>
    <x v="21"/>
    <s v="Standard order"/>
    <x v="3005"/>
    <x v="2515"/>
    <s v="336N"/>
    <s v="BTS 336N"/>
    <s v="5002400"/>
    <s v="336N BTS T20 PB SYSTIVA RP"/>
    <n v="20"/>
    <n v="0"/>
    <n v="20"/>
    <x v="5"/>
    <s v="EEMG"/>
    <s v="RP"/>
    <s v="322"/>
    <s v="4.0 UN"/>
    <s v="STANDARD"/>
    <s v="N"/>
    <s v="N"/>
    <s v="N"/>
    <s v="T20"/>
    <s v="Y"/>
    <s v="N"/>
    <s v="N"/>
    <s v="N"/>
    <s v="B013"/>
    <d v="2016-12-23T00:00:00"/>
    <s v="20"/>
    <s v="TAN"/>
    <s v="OR"/>
    <d v="2016-12-19T00:00:00"/>
    <s v="MT"/>
    <s v="US"/>
    <s v="ZR"/>
    <d v="2016-12-20T00:00:00"/>
  </r>
  <r>
    <x v="1"/>
    <x v="5"/>
    <x v="3134"/>
    <x v="21"/>
    <s v="Standard order"/>
    <x v="3006"/>
    <x v="2516"/>
    <s v="336N"/>
    <s v="BTS 336N"/>
    <s v="5002400"/>
    <s v="336N BTS T20 PB SYSTIVA RP"/>
    <n v="24"/>
    <n v="0"/>
    <n v="24"/>
    <x v="5"/>
    <s v="EEMG"/>
    <s v="RP"/>
    <s v="322"/>
    <s v="4.0 UN"/>
    <s v="STANDARD"/>
    <s v="N"/>
    <s v="N"/>
    <s v="N"/>
    <s v="T20"/>
    <s v="Y"/>
    <s v="N"/>
    <s v="N"/>
    <s v="N"/>
    <s v="B013"/>
    <d v="2016-12-23T00:00:00"/>
    <s v="10"/>
    <s v="TAN"/>
    <s v="OR"/>
    <d v="2016-12-19T00:00:00"/>
    <s v="MT"/>
    <s v="US"/>
    <s v="ZR"/>
    <d v="2016-12-20T00:00:00"/>
  </r>
  <r>
    <x v="1"/>
    <x v="2"/>
    <x v="3135"/>
    <x v="5"/>
    <s v="Standard order"/>
    <x v="3007"/>
    <x v="2517"/>
    <s v="64SN"/>
    <s v="BTS 64SN"/>
    <s v="5002420"/>
    <s v="64SN BTS T20 PB SYSTIVA P100"/>
    <n v="28"/>
    <n v="0"/>
    <n v="28"/>
    <x v="2"/>
    <s v="DVNB"/>
    <s v="PRO 100"/>
    <s v="322"/>
    <s v="4.0 UN"/>
    <s v="STANDARD"/>
    <s v="N"/>
    <s v="N"/>
    <s v="N"/>
    <s v="T20"/>
    <s v="Y"/>
    <s v="N"/>
    <s v="Y"/>
    <s v="N"/>
    <s v="B020"/>
    <d v="2016-12-23T00:00:00"/>
    <s v="10"/>
    <s v="TAN"/>
    <s v="OR"/>
    <d v="2016-12-20T00:00:00"/>
    <s v="CO"/>
    <s v="US"/>
    <s v="ZR"/>
    <d v="2016-12-20T00:00:00"/>
  </r>
  <r>
    <x v="1"/>
    <x v="0"/>
    <x v="3136"/>
    <x v="45"/>
    <s v="Standard order"/>
    <x v="3008"/>
    <x v="883"/>
    <s v="1399"/>
    <s v="BTS 1399"/>
    <s v="5002356"/>
    <s v="1399 BTS T20 PB Kabina RP"/>
    <n v="44"/>
    <n v="0"/>
    <n v="44"/>
    <x v="0"/>
    <s v="EG74"/>
    <s v="RP"/>
    <s v="382"/>
    <s v="4.0 UN"/>
    <s v="STANDARD"/>
    <s v="N"/>
    <s v="Y"/>
    <s v="Y"/>
    <s v="T20"/>
    <s v="N"/>
    <s v="N"/>
    <s v="N"/>
    <s v="N"/>
    <s v="B003"/>
    <d v="2016-12-23T00:00:00"/>
    <s v="10"/>
    <s v="TAN"/>
    <s v="OR"/>
    <d v="2016-12-20T00:00:00"/>
    <s v="MI"/>
    <s v="US"/>
    <s v="ZR"/>
    <d v="2016-12-20T00:00:00"/>
  </r>
  <r>
    <x v="1"/>
    <x v="0"/>
    <x v="3136"/>
    <x v="45"/>
    <s v="Standard order"/>
    <x v="3008"/>
    <x v="883"/>
    <s v="149N"/>
    <s v="BTS 149N"/>
    <s v="5002376"/>
    <s v="149N BTS T20 PB Kabina RP"/>
    <n v="8"/>
    <n v="0"/>
    <n v="8"/>
    <x v="0"/>
    <s v="EEND"/>
    <s v="RP"/>
    <s v="382"/>
    <s v="4.0 UN"/>
    <s v="STANDARD"/>
    <s v="N"/>
    <s v="Y"/>
    <s v="Y"/>
    <s v="T20"/>
    <s v="N"/>
    <s v="N"/>
    <s v="N"/>
    <s v="N"/>
    <s v="B003"/>
    <d v="2016-12-23T00:00:00"/>
    <s v="20"/>
    <s v="TAN"/>
    <s v="OR"/>
    <d v="2016-12-20T00:00:00"/>
    <s v="MI"/>
    <s v="US"/>
    <s v="ZR"/>
    <d v="2016-12-20T00:00:00"/>
  </r>
  <r>
    <x v="1"/>
    <x v="2"/>
    <x v="3137"/>
    <x v="25"/>
    <s v="Standard order"/>
    <x v="3009"/>
    <x v="2518"/>
    <s v="628N"/>
    <s v="BTS 62RR8N"/>
    <s v="5002683"/>
    <s v="628N BTS T20 PB SYSTIVA P100"/>
    <n v="96"/>
    <n v="0"/>
    <n v="96"/>
    <x v="2"/>
    <s v="BL73"/>
    <s v="PRO 100"/>
    <s v="322"/>
    <s v="4.0 UN"/>
    <s v="STANDARD"/>
    <s v="N"/>
    <s v="N"/>
    <s v="N"/>
    <s v="T20"/>
    <s v="Y"/>
    <s v="N"/>
    <s v="Y"/>
    <s v="N"/>
    <s v="B021"/>
    <d v="2016-12-23T00:00:00"/>
    <s v="10"/>
    <s v="TAN"/>
    <s v="OR"/>
    <d v="2016-12-20T00:00:00"/>
    <s v="CO"/>
    <s v="US"/>
    <s v="ZR"/>
    <d v="2016-12-20T00:00:00"/>
  </r>
  <r>
    <x v="1"/>
    <x v="2"/>
    <x v="3138"/>
    <x v="25"/>
    <s v="Standard order"/>
    <x v="3010"/>
    <x v="2519"/>
    <s v="64SN"/>
    <s v="BTS 64SN"/>
    <s v="5002420"/>
    <s v="64SN BTS T20 PB SYSTIVA P100"/>
    <n v="56"/>
    <n v="0"/>
    <n v="56"/>
    <x v="2"/>
    <s v="DVNB"/>
    <s v="PRO 100"/>
    <s v="322"/>
    <s v="4.0 UN"/>
    <s v="STANDARD"/>
    <s v="N"/>
    <s v="N"/>
    <s v="N"/>
    <s v="T20"/>
    <s v="Y"/>
    <s v="N"/>
    <s v="Y"/>
    <s v="N"/>
    <s v="B021"/>
    <d v="2016-12-23T00:00:00"/>
    <s v="10"/>
    <s v="TAN"/>
    <s v="OR"/>
    <d v="2016-12-20T00:00:00"/>
    <s v="CO"/>
    <s v="US"/>
    <s v="ZR"/>
    <d v="2016-12-20T00:00:00"/>
  </r>
  <r>
    <x v="1"/>
    <x v="2"/>
    <x v="3138"/>
    <x v="25"/>
    <s v="Standard order"/>
    <x v="3010"/>
    <x v="2519"/>
    <s v="626N"/>
    <s v="BTS 62RR6N"/>
    <s v="5002665"/>
    <s v="626N BTS T20 PB SYSTIVA P100"/>
    <n v="28"/>
    <n v="0"/>
    <n v="28"/>
    <x v="2"/>
    <s v="DA73"/>
    <s v="PRO 100"/>
    <s v="322"/>
    <s v="4.0 UN"/>
    <s v="STANDARD"/>
    <s v="N"/>
    <s v="N"/>
    <s v="N"/>
    <s v="T20"/>
    <s v="Y"/>
    <s v="N"/>
    <s v="Y"/>
    <s v="N"/>
    <s v="B021"/>
    <d v="2016-12-23T00:00:00"/>
    <s v="20"/>
    <s v="TAN"/>
    <s v="OR"/>
    <d v="2016-12-20T00:00:00"/>
    <s v="CO"/>
    <s v="US"/>
    <s v="ZR"/>
    <d v="2016-12-20T00:00:00"/>
  </r>
  <r>
    <x v="1"/>
    <x v="0"/>
    <x v="3139"/>
    <x v="45"/>
    <s v="Standard order"/>
    <x v="3011"/>
    <x v="2520"/>
    <s v="1399"/>
    <s v="BTS 1399"/>
    <s v="5002348"/>
    <s v="1399 BTS T20 Kabina RP"/>
    <n v="16"/>
    <n v="0"/>
    <n v="16"/>
    <x v="0"/>
    <s v="EG74"/>
    <s v="RP"/>
    <s v="380"/>
    <s v="4.0 UN"/>
    <s v="STANDARD"/>
    <s v="N"/>
    <s v="N"/>
    <s v="Y"/>
    <s v="T20"/>
    <s v="N"/>
    <s v="N"/>
    <s v="N"/>
    <s v="N"/>
    <s v="B003"/>
    <d v="2016-12-23T00:00:00"/>
    <s v="10"/>
    <s v="TAN"/>
    <s v="OR"/>
    <d v="2016-12-20T00:00:00"/>
    <s v="MI"/>
    <s v="US"/>
    <s v="ZR"/>
    <d v="2016-12-20T00:00:00"/>
  </r>
  <r>
    <x v="1"/>
    <x v="4"/>
    <x v="3140"/>
    <x v="53"/>
    <s v="Standard order"/>
    <x v="3012"/>
    <x v="71"/>
    <s v="2523"/>
    <s v="BTS 2523"/>
    <s v="5002529"/>
    <s v="2523 BTS PB XL"/>
    <n v="8"/>
    <n v="0"/>
    <n v="8"/>
    <x v="4"/>
    <s v="EZPC"/>
    <s v="X-LARGE"/>
    <s v="307"/>
    <s v="4.0 UN"/>
    <s v="STANDARD"/>
    <s v="N"/>
    <s v="Y"/>
    <s v="N"/>
    <s v="N"/>
    <s v="N"/>
    <s v="N"/>
    <s v="N"/>
    <s v="N"/>
    <s v="B051"/>
    <d v="2016-12-23T00:00:00"/>
    <s v="10"/>
    <s v="TAN"/>
    <s v="OR"/>
    <d v="2016-12-20T00:00:00"/>
    <s v="ID"/>
    <s v="US"/>
    <s v="ZR"/>
    <d v="2016-12-20T00:00:00"/>
  </r>
  <r>
    <x v="1"/>
    <x v="4"/>
    <x v="3141"/>
    <x v="46"/>
    <s v="Standard order"/>
    <x v="3013"/>
    <x v="2521"/>
    <s v="6027"/>
    <s v="BTS 60RR27"/>
    <s v="5002617"/>
    <s v="6027 BTS PB LRG IDH"/>
    <n v="48"/>
    <n v="0"/>
    <n v="48"/>
    <x v="4"/>
    <s v="APMC"/>
    <s v="LARGE"/>
    <s v="307"/>
    <s v="4.0 UN"/>
    <s v="STANDARD"/>
    <s v="N"/>
    <s v="Y"/>
    <s v="N"/>
    <s v="N"/>
    <s v="N"/>
    <s v="N"/>
    <s v="N"/>
    <s v="N"/>
    <s v="B049"/>
    <d v="2016-12-26T00:00:00"/>
    <s v="10"/>
    <s v="TAN"/>
    <s v="OR"/>
    <d v="2016-12-20T00:00:00"/>
    <s v="ID"/>
    <s v="US"/>
    <s v="ZR"/>
    <d v="2016-12-21T00:00:00"/>
  </r>
  <r>
    <x v="1"/>
    <x v="4"/>
    <x v="3141"/>
    <x v="46"/>
    <s v="Standard order"/>
    <x v="3013"/>
    <x v="2521"/>
    <s v="2523"/>
    <s v="BTS 2523"/>
    <s v="5002527"/>
    <s v="2523 BTS PB LRG"/>
    <n v="56"/>
    <n v="0"/>
    <n v="56"/>
    <x v="4"/>
    <s v="EZPC"/>
    <s v="LARGE"/>
    <s v="307"/>
    <s v="4.0 UN"/>
    <s v="STANDARD"/>
    <s v="N"/>
    <s v="Y"/>
    <s v="N"/>
    <s v="N"/>
    <s v="N"/>
    <s v="N"/>
    <s v="N"/>
    <s v="N"/>
    <s v="B049"/>
    <d v="2016-12-26T00:00:00"/>
    <s v="20"/>
    <s v="TAN"/>
    <s v="OR"/>
    <d v="2016-12-20T00:00:00"/>
    <s v="ID"/>
    <s v="US"/>
    <s v="ZR"/>
    <d v="2016-12-21T00:00:00"/>
  </r>
  <r>
    <x v="1"/>
    <x v="0"/>
    <x v="3142"/>
    <x v="45"/>
    <s v="Standard order"/>
    <x v="3014"/>
    <x v="1124"/>
    <s v="122N"/>
    <s v="BTS 12RR2N"/>
    <s v="5002311"/>
    <s v="122N BTS T20 Kabina RP"/>
    <n v="28"/>
    <n v="0"/>
    <n v="28"/>
    <x v="0"/>
    <s v="4TBG"/>
    <s v="RP"/>
    <s v="380"/>
    <s v="4.0 UN"/>
    <s v="STANDARD"/>
    <s v="N"/>
    <s v="N"/>
    <s v="Y"/>
    <s v="T20"/>
    <s v="N"/>
    <s v="N"/>
    <s v="N"/>
    <s v="N"/>
    <s v="B003"/>
    <d v="2016-12-26T00:00:00"/>
    <s v="10"/>
    <s v="TAN"/>
    <s v="OR"/>
    <d v="2016-12-21T00:00:00"/>
    <s v="MI"/>
    <s v="US"/>
    <s v="ZR"/>
    <d v="2016-12-21T00:00:00"/>
  </r>
  <r>
    <x v="1"/>
    <x v="0"/>
    <x v="3142"/>
    <x v="45"/>
    <s v="Standard order"/>
    <x v="3014"/>
    <x v="1124"/>
    <s v="149N"/>
    <s v="BTS 149N"/>
    <s v="5002368"/>
    <s v="149N BTS T20 Kabina RP"/>
    <n v="24"/>
    <n v="0"/>
    <n v="24"/>
    <x v="0"/>
    <s v="EEND"/>
    <s v="RP"/>
    <s v="380"/>
    <s v="4.0 UN"/>
    <s v="STANDARD"/>
    <s v="N"/>
    <s v="N"/>
    <s v="Y"/>
    <s v="T20"/>
    <s v="N"/>
    <s v="N"/>
    <s v="N"/>
    <s v="N"/>
    <s v="B003"/>
    <d v="2016-12-26T00:00:00"/>
    <s v="20"/>
    <s v="TAN"/>
    <s v="OR"/>
    <d v="2016-12-21T00:00:00"/>
    <s v="MI"/>
    <s v="US"/>
    <s v="ZR"/>
    <d v="2016-12-21T00:00:00"/>
  </r>
  <r>
    <x v="1"/>
    <x v="4"/>
    <x v="3143"/>
    <x v="50"/>
    <s v="Standard order"/>
    <x v="3015"/>
    <x v="69"/>
    <s v="2570"/>
    <s v="BTS 2570"/>
    <s v="5002555"/>
    <s v="2570 BTS PB XL"/>
    <n v="44"/>
    <n v="0"/>
    <n v="44"/>
    <x v="4"/>
    <s v="EZNS"/>
    <s v="X-LARGE"/>
    <s v="307"/>
    <s v="4.0 UN"/>
    <s v="STANDARD"/>
    <s v="N"/>
    <s v="Y"/>
    <s v="N"/>
    <s v="N"/>
    <s v="N"/>
    <s v="N"/>
    <s v="N"/>
    <s v="N"/>
    <s v="B047"/>
    <d v="2016-12-26T00:00:00"/>
    <s v="10"/>
    <s v="TAN"/>
    <s v="OR"/>
    <d v="2016-12-21T00:00:00"/>
    <s v="ID"/>
    <s v="US"/>
    <s v="ZR"/>
    <d v="2016-12-21T00:00:00"/>
  </r>
  <r>
    <x v="1"/>
    <x v="2"/>
    <x v="3144"/>
    <x v="25"/>
    <s v="Standard order"/>
    <x v="3016"/>
    <x v="2522"/>
    <s v="628N"/>
    <s v="BTS 62RR8N"/>
    <s v="5002683"/>
    <s v="628N BTS T20 PB SYSTIVA P100"/>
    <n v="40"/>
    <n v="0"/>
    <n v="40"/>
    <x v="2"/>
    <s v="BL73"/>
    <s v="PRO 100"/>
    <s v="322"/>
    <s v="4.0 UN"/>
    <s v="STANDARD"/>
    <s v="N"/>
    <s v="N"/>
    <s v="N"/>
    <s v="T20"/>
    <s v="Y"/>
    <s v="N"/>
    <s v="Y"/>
    <s v="N"/>
    <s v="B021"/>
    <d v="2016-12-26T00:00:00"/>
    <s v="10"/>
    <s v="TAN"/>
    <s v="OR"/>
    <d v="2016-12-21T00:00:00"/>
    <s v="CO"/>
    <s v="US"/>
    <s v="ZR"/>
    <d v="2016-12-21T00:00:00"/>
  </r>
  <r>
    <x v="1"/>
    <x v="2"/>
    <x v="3144"/>
    <x v="25"/>
    <s v="Standard order"/>
    <x v="3016"/>
    <x v="2522"/>
    <s v="64SN"/>
    <s v="BTS 64SN"/>
    <s v="5002420"/>
    <s v="64SN BTS T20 PB SYSTIVA P100"/>
    <n v="36"/>
    <n v="0"/>
    <n v="36"/>
    <x v="2"/>
    <s v="DVNB"/>
    <s v="PRO 100"/>
    <s v="322"/>
    <s v="4.0 UN"/>
    <s v="STANDARD"/>
    <s v="N"/>
    <s v="N"/>
    <s v="N"/>
    <s v="T20"/>
    <s v="Y"/>
    <s v="N"/>
    <s v="Y"/>
    <s v="N"/>
    <s v="B021"/>
    <d v="2016-12-26T00:00:00"/>
    <s v="20"/>
    <s v="TAN"/>
    <s v="OR"/>
    <d v="2016-12-21T00:00:00"/>
    <s v="CO"/>
    <s v="US"/>
    <s v="ZR"/>
    <d v="2016-12-21T00:00:00"/>
  </r>
  <r>
    <x v="1"/>
    <x v="0"/>
    <x v="3145"/>
    <x v="29"/>
    <s v="Standard order"/>
    <x v="3017"/>
    <x v="1103"/>
    <s v="122N"/>
    <s v="BTS 12RR2N"/>
    <s v="5002310"/>
    <s v="122N BTS T20 Kabina P200"/>
    <n v="56"/>
    <n v="0"/>
    <n v="56"/>
    <x v="0"/>
    <s v="4TBG"/>
    <s v="PRO 200"/>
    <s v="380"/>
    <s v="4.0 UN"/>
    <s v="STANDARD"/>
    <s v="N"/>
    <s v="N"/>
    <s v="Y"/>
    <s v="T20"/>
    <s v="N"/>
    <s v="N"/>
    <s v="N"/>
    <s v="N"/>
    <s v="B005"/>
    <d v="2016-12-26T00:00:00"/>
    <s v="10"/>
    <s v="TAN"/>
    <s v="OR"/>
    <d v="2016-12-21T00:00:00"/>
    <s v="MI"/>
    <s v="US"/>
    <s v="ZR"/>
    <d v="2016-12-21T00:00:00"/>
  </r>
  <r>
    <x v="1"/>
    <x v="0"/>
    <x v="3145"/>
    <x v="29"/>
    <s v="Standard order"/>
    <x v="3017"/>
    <x v="1103"/>
    <s v="149N"/>
    <s v="BTS 149N"/>
    <s v="5002367"/>
    <s v="149N BTS T20 Kabina P200"/>
    <n v="56"/>
    <n v="0"/>
    <n v="56"/>
    <x v="0"/>
    <s v="EEND"/>
    <s v="PRO 200"/>
    <s v="380"/>
    <s v="4.0 UN"/>
    <s v="STANDARD"/>
    <s v="N"/>
    <s v="N"/>
    <s v="Y"/>
    <s v="T20"/>
    <s v="N"/>
    <s v="N"/>
    <s v="N"/>
    <s v="N"/>
    <s v="B005"/>
    <d v="2016-12-26T00:00:00"/>
    <s v="20"/>
    <s v="TAN"/>
    <s v="OR"/>
    <d v="2016-12-21T00:00:00"/>
    <s v="MI"/>
    <s v="US"/>
    <s v="ZR"/>
    <d v="2016-12-21T00:00:00"/>
  </r>
  <r>
    <x v="1"/>
    <x v="4"/>
    <x v="3146"/>
    <x v="44"/>
    <s v="Standard order"/>
    <x v="3018"/>
    <x v="2523"/>
    <s v="2570"/>
    <s v="BTS 2570"/>
    <s v="5003285"/>
    <s v="2570 BTS PB Kabina XL"/>
    <n v="12"/>
    <n v="0"/>
    <n v="12"/>
    <x v="4"/>
    <s v="EZNS"/>
    <s v="X-LARGE"/>
    <s v="384"/>
    <s v="4.0 UN"/>
    <s v="STANDARD"/>
    <s v="N"/>
    <s v="Y"/>
    <s v="Y"/>
    <s v="N"/>
    <s v="N"/>
    <s v="N"/>
    <s v="N"/>
    <s v="N"/>
    <s v="MB13"/>
    <d v="2016-12-26T00:00:00"/>
    <s v="10"/>
    <s v="TAN"/>
    <s v="OR"/>
    <d v="2016-12-21T00:00:00"/>
    <s v="OR"/>
    <s v="US"/>
    <s v="ZR"/>
    <d v="2016-12-21T00:00:00"/>
  </r>
  <r>
    <x v="1"/>
    <x v="0"/>
    <x v="3147"/>
    <x v="54"/>
    <s v="Standard order"/>
    <x v="3019"/>
    <x v="1087"/>
    <s v="149N"/>
    <s v="BTS 149N"/>
    <s v="5002368"/>
    <s v="149N BTS T20 Kabina RP"/>
    <n v="12"/>
    <n v="0"/>
    <n v="12"/>
    <x v="0"/>
    <s v="EEND"/>
    <s v="RP"/>
    <s v="380"/>
    <s v="4.0 UN"/>
    <s v="STANDARD"/>
    <s v="N"/>
    <s v="N"/>
    <s v="Y"/>
    <s v="T20"/>
    <s v="N"/>
    <s v="N"/>
    <s v="N"/>
    <s v="N"/>
    <s v="B002"/>
    <d v="2016-12-26T00:00:00"/>
    <s v="10"/>
    <s v="TAN"/>
    <s v="OR"/>
    <d v="2016-12-21T00:00:00"/>
    <s v="MI"/>
    <s v="US"/>
    <s v="ZR"/>
    <d v="2016-12-21T00:00:00"/>
  </r>
  <r>
    <x v="1"/>
    <x v="4"/>
    <x v="3148"/>
    <x v="53"/>
    <s v="Standard order"/>
    <x v="3020"/>
    <x v="2524"/>
    <s v="2559"/>
    <s v="BTS 2559"/>
    <s v="5002559"/>
    <s v="2559 BTS PB MED"/>
    <n v="52"/>
    <n v="0"/>
    <n v="52"/>
    <x v="4"/>
    <s v="FGNE"/>
    <s v="MEDIUM"/>
    <s v="307"/>
    <s v="4.0 UN"/>
    <s v="STANDARD"/>
    <s v="N"/>
    <s v="Y"/>
    <s v="N"/>
    <s v="N"/>
    <s v="N"/>
    <s v="N"/>
    <s v="N"/>
    <s v="N"/>
    <s v="B051"/>
    <d v="2016-12-26T00:00:00"/>
    <s v="10"/>
    <s v="TAN"/>
    <s v="OR"/>
    <d v="2016-12-21T00:00:00"/>
    <s v="ID"/>
    <s v="US"/>
    <s v="ZR"/>
    <d v="2016-12-21T00:00:00"/>
  </r>
  <r>
    <x v="1"/>
    <x v="4"/>
    <x v="3148"/>
    <x v="53"/>
    <s v="Standard order"/>
    <x v="3020"/>
    <x v="2524"/>
    <s v="2720"/>
    <s v="BTS 27RR20"/>
    <s v="5002135"/>
    <s v="2720 BTS PB MED"/>
    <n v="48"/>
    <n v="0"/>
    <n v="48"/>
    <x v="4"/>
    <s v="4GAY"/>
    <s v="MEDIUM"/>
    <s v="307"/>
    <s v="4.0 UN"/>
    <s v="STANDARD"/>
    <s v="N"/>
    <s v="Y"/>
    <s v="N"/>
    <s v="N"/>
    <s v="N"/>
    <s v="N"/>
    <s v="N"/>
    <s v="N"/>
    <s v="B051"/>
    <d v="2016-12-26T00:00:00"/>
    <s v="20"/>
    <s v="TAN"/>
    <s v="OR"/>
    <d v="2016-12-21T00:00:00"/>
    <s v="ID"/>
    <s v="US"/>
    <s v="ZR"/>
    <d v="2016-12-21T00:00:00"/>
  </r>
  <r>
    <x v="1"/>
    <x v="0"/>
    <x v="3149"/>
    <x v="43"/>
    <s v="Standard order"/>
    <x v="3021"/>
    <x v="2525"/>
    <s v="122N"/>
    <s v="BTS 12RR2N"/>
    <s v="5002317"/>
    <s v="122N BTS T20 SYSTIVA RP"/>
    <n v="20"/>
    <n v="0"/>
    <n v="20"/>
    <x v="0"/>
    <s v="4TBG"/>
    <s v="RP"/>
    <s v="326"/>
    <s v="4.0 UN"/>
    <s v="STANDARD"/>
    <s v="N"/>
    <s v="N"/>
    <s v="N"/>
    <s v="T20"/>
    <s v="Y"/>
    <s v="N"/>
    <s v="Y"/>
    <s v="N"/>
    <s v="B006"/>
    <d v="2016-12-26T00:00:00"/>
    <s v="10"/>
    <s v="TAN"/>
    <s v="OR"/>
    <d v="2016-12-21T00:00:00"/>
    <s v="MI"/>
    <s v="US"/>
    <s v="ZR"/>
    <d v="2016-12-21T00:00:00"/>
  </r>
  <r>
    <x v="1"/>
    <x v="4"/>
    <x v="3150"/>
    <x v="44"/>
    <s v="Standard order"/>
    <x v="3022"/>
    <x v="2526"/>
    <s v="2570"/>
    <s v="BTS 2570"/>
    <s v="5003285"/>
    <s v="2570 BTS PB Kabina XL"/>
    <n v="32"/>
    <n v="0"/>
    <n v="32"/>
    <x v="4"/>
    <s v="EZNS"/>
    <s v="X-LARGE"/>
    <s v="384"/>
    <s v="4.0 UN"/>
    <s v="STANDARD"/>
    <s v="N"/>
    <s v="Y"/>
    <s v="Y"/>
    <s v="N"/>
    <s v="N"/>
    <s v="N"/>
    <s v="N"/>
    <s v="N"/>
    <s v="MB13"/>
    <d v="2016-12-26T00:00:00"/>
    <s v="10"/>
    <s v="TAN"/>
    <s v="OR"/>
    <d v="2016-12-21T00:00:00"/>
    <s v="ID"/>
    <s v="US"/>
    <s v="ZR"/>
    <d v="2016-12-21T00:00:00"/>
  </r>
  <r>
    <x v="1"/>
    <x v="2"/>
    <x v="3151"/>
    <x v="25"/>
    <s v="Standard order"/>
    <x v="3023"/>
    <x v="1017"/>
    <s v="630N"/>
    <s v="BTS 630N"/>
    <s v="5002402"/>
    <s v="630N BTS T20 PB SYSTIVA P100"/>
    <n v="24"/>
    <n v="0"/>
    <n v="24"/>
    <x v="2"/>
    <s v="DW73"/>
    <s v="PRO 100"/>
    <s v="322"/>
    <s v="4.0 UN"/>
    <s v="STANDARD"/>
    <s v="N"/>
    <s v="N"/>
    <s v="N"/>
    <s v="T20"/>
    <s v="Y"/>
    <s v="N"/>
    <s v="Y"/>
    <s v="N"/>
    <s v="B021"/>
    <d v="2016-12-26T00:00:00"/>
    <s v="10"/>
    <s v="TAN"/>
    <s v="OR"/>
    <d v="2016-12-21T00:00:00"/>
    <s v="CO"/>
    <s v="US"/>
    <s v="ZR"/>
    <d v="2016-12-21T00:00:00"/>
  </r>
  <r>
    <x v="1"/>
    <x v="2"/>
    <x v="3151"/>
    <x v="25"/>
    <s v="Standard order"/>
    <x v="3023"/>
    <x v="1017"/>
    <s v="6027"/>
    <s v="BTS 60RR27"/>
    <s v="5002645"/>
    <s v="6027 BTS T20 PB SYSTIVA P100 WSS"/>
    <n v="20"/>
    <n v="0"/>
    <n v="20"/>
    <x v="2"/>
    <s v="APMC"/>
    <s v="PRO 100"/>
    <s v="322"/>
    <s v="4.0 UN"/>
    <s v="STANDARD"/>
    <s v="N"/>
    <s v="N"/>
    <s v="N"/>
    <s v="T20"/>
    <s v="Y"/>
    <s v="N"/>
    <s v="Y"/>
    <s v="N"/>
    <s v="B021"/>
    <d v="2016-12-26T00:00:00"/>
    <s v="20"/>
    <s v="TAN"/>
    <s v="OR"/>
    <d v="2016-12-21T00:00:00"/>
    <s v="CO"/>
    <s v="US"/>
    <s v="ZR"/>
    <d v="2016-12-21T00:00:00"/>
  </r>
  <r>
    <x v="1"/>
    <x v="2"/>
    <x v="3152"/>
    <x v="22"/>
    <s v="Standard order"/>
    <x v="3024"/>
    <x v="1043"/>
    <s v="6027"/>
    <s v="BTS 60RR27"/>
    <s v="5002647"/>
    <s v="6027 BTS T20 PB SYSTIVA P50 WSS"/>
    <n v="12"/>
    <n v="0"/>
    <n v="12"/>
    <x v="2"/>
    <s v="APMC"/>
    <s v="PRO 50"/>
    <s v="322"/>
    <s v="4.0 UN"/>
    <s v="STANDARD"/>
    <s v="N"/>
    <s v="N"/>
    <s v="N"/>
    <s v="T20"/>
    <s v="Y"/>
    <s v="N"/>
    <s v="Y"/>
    <s v="N"/>
    <s v="B018"/>
    <d v="2016-12-26T00:00:00"/>
    <s v="10"/>
    <s v="TAN"/>
    <s v="OR"/>
    <d v="2016-12-21T00:00:00"/>
    <s v="CO"/>
    <s v="US"/>
    <s v="ZR"/>
    <d v="2016-12-21T00:00:00"/>
  </r>
  <r>
    <x v="1"/>
    <x v="2"/>
    <x v="3152"/>
    <x v="22"/>
    <s v="Standard order"/>
    <x v="3024"/>
    <x v="1043"/>
    <s v="6543"/>
    <s v="BTS 6543"/>
    <s v="5002440"/>
    <s v="6543 BTS T20 PB SYSTIVA P50"/>
    <n v="20"/>
    <n v="0"/>
    <n v="20"/>
    <x v="2"/>
    <s v="FXND"/>
    <s v="PRO 50"/>
    <s v="322"/>
    <s v="4.0 UN"/>
    <s v="STANDARD"/>
    <s v="N"/>
    <s v="N"/>
    <s v="N"/>
    <s v="T20"/>
    <s v="Y"/>
    <s v="N"/>
    <s v="Y"/>
    <s v="N"/>
    <s v="B018"/>
    <d v="2016-12-26T00:00:00"/>
    <s v="20"/>
    <s v="TAN"/>
    <s v="OR"/>
    <d v="2016-12-21T00:00:00"/>
    <s v="CO"/>
    <s v="US"/>
    <s v="ZR"/>
    <d v="2016-12-21T00:00:00"/>
  </r>
  <r>
    <x v="1"/>
    <x v="9"/>
    <x v="3153"/>
    <x v="35"/>
    <s v="Replant Order"/>
    <x v="1392"/>
    <x v="1387"/>
    <s v="A241"/>
    <s v="BTS AR241"/>
    <s v="5003280"/>
    <s v="AR241 RP BetaShield"/>
    <n v="4"/>
    <n v="4"/>
    <n v="0"/>
    <x v="9"/>
    <s v="4D15"/>
    <s v="RP"/>
    <s v="308"/>
    <s v="4.0 UN"/>
    <s v="STANDARD"/>
    <s v="N"/>
    <s v="Y"/>
    <s v="N"/>
    <s v="T20"/>
    <s v="N"/>
    <s v="N"/>
    <s v="N"/>
    <s v="N"/>
    <s v=""/>
    <d v="2016-12-21T00:00:00"/>
    <s v="10"/>
    <s v="TAN"/>
    <s v="ZRPU"/>
    <d v="2017-01-09T00:00:00"/>
    <s v="AZ"/>
    <s v="US"/>
    <s v="ZR"/>
    <d v="2016-12-21T00:00:00"/>
  </r>
  <r>
    <x v="1"/>
    <x v="9"/>
    <x v="3153"/>
    <x v="35"/>
    <s v="Replant Order"/>
    <x v="1392"/>
    <x v="1387"/>
    <s v="A346"/>
    <s v="BTS AN346"/>
    <s v="5002172"/>
    <s v="AN346 P200 BetaShield"/>
    <n v="4"/>
    <n v="4"/>
    <n v="0"/>
    <x v="9"/>
    <s v="BK71"/>
    <s v="PRO 200"/>
    <s v="308"/>
    <s v="4.0 UN"/>
    <s v="STANDARD"/>
    <s v="N"/>
    <s v="Y"/>
    <s v="N"/>
    <s v="T20"/>
    <s v="N"/>
    <s v="N"/>
    <s v="N"/>
    <s v="N"/>
    <s v=""/>
    <d v="2016-12-21T00:00:00"/>
    <s v="20"/>
    <s v="TAN"/>
    <s v="ZRPU"/>
    <d v="2017-01-09T00:00:00"/>
    <s v="AZ"/>
    <s v="US"/>
    <s v="ZR"/>
    <d v="2016-12-21T00:00:00"/>
  </r>
  <r>
    <x v="1"/>
    <x v="0"/>
    <x v="3154"/>
    <x v="54"/>
    <s v="Standard order"/>
    <x v="3025"/>
    <x v="2527"/>
    <s v="149N"/>
    <s v="BTS 149N"/>
    <s v="5002368"/>
    <s v="149N BTS T20 Kabina RP"/>
    <n v="16"/>
    <n v="0"/>
    <n v="16"/>
    <x v="0"/>
    <s v="EEND"/>
    <s v="RP"/>
    <s v="380"/>
    <s v="4.0 UN"/>
    <s v="STANDARD"/>
    <s v="N"/>
    <s v="N"/>
    <s v="Y"/>
    <s v="T20"/>
    <s v="N"/>
    <s v="N"/>
    <s v="N"/>
    <s v="N"/>
    <s v="B002"/>
    <d v="2016-12-26T00:00:00"/>
    <s v="10"/>
    <s v="TAN"/>
    <s v="OR"/>
    <d v="2016-12-21T00:00:00"/>
    <s v="MI"/>
    <s v="US"/>
    <s v="ZR"/>
    <d v="2016-12-21T00:00:00"/>
  </r>
  <r>
    <x v="1"/>
    <x v="0"/>
    <x v="3154"/>
    <x v="54"/>
    <s v="Standard order"/>
    <x v="3025"/>
    <x v="2527"/>
    <s v="122N"/>
    <s v="BTS 12RR2N"/>
    <s v="5002311"/>
    <s v="122N BTS T20 Kabina RP"/>
    <n v="16"/>
    <n v="0"/>
    <n v="16"/>
    <x v="0"/>
    <s v="4TBG"/>
    <s v="RP"/>
    <s v="380"/>
    <s v="4.0 UN"/>
    <s v="STANDARD"/>
    <s v="N"/>
    <s v="N"/>
    <s v="Y"/>
    <s v="T20"/>
    <s v="N"/>
    <s v="N"/>
    <s v="N"/>
    <s v="N"/>
    <s v="B002"/>
    <d v="2016-12-26T00:00:00"/>
    <s v="20"/>
    <s v="TAN"/>
    <s v="OR"/>
    <d v="2016-12-21T00:00:00"/>
    <s v="MI"/>
    <s v="US"/>
    <s v="ZR"/>
    <d v="2016-12-21T00:00:00"/>
  </r>
  <r>
    <x v="1"/>
    <x v="0"/>
    <x v="3155"/>
    <x v="54"/>
    <s v="Standard order"/>
    <x v="3026"/>
    <x v="2528"/>
    <s v="149N"/>
    <s v="BTS 149N"/>
    <s v="5002368"/>
    <s v="149N BTS T20 Kabina RP"/>
    <n v="48"/>
    <n v="0"/>
    <n v="48"/>
    <x v="0"/>
    <s v="EEND"/>
    <s v="RP"/>
    <s v="380"/>
    <s v="4.0 UN"/>
    <s v="STANDARD"/>
    <s v="N"/>
    <s v="N"/>
    <s v="Y"/>
    <s v="T20"/>
    <s v="N"/>
    <s v="N"/>
    <s v="N"/>
    <s v="N"/>
    <s v="B002"/>
    <d v="2016-12-26T00:00:00"/>
    <s v="10"/>
    <s v="TAN"/>
    <s v="OR"/>
    <d v="2016-12-21T00:00:00"/>
    <s v="MI"/>
    <s v="US"/>
    <s v="ZR"/>
    <d v="2016-12-21T00:00:00"/>
  </r>
  <r>
    <x v="1"/>
    <x v="0"/>
    <x v="3156"/>
    <x v="54"/>
    <s v="Standard order"/>
    <x v="3027"/>
    <x v="2529"/>
    <s v="122N"/>
    <s v="BTS 12RR2N"/>
    <s v="5002311"/>
    <s v="122N BTS T20 Kabina RP"/>
    <n v="20"/>
    <n v="0"/>
    <n v="20"/>
    <x v="0"/>
    <s v="4TBG"/>
    <s v="RP"/>
    <s v="380"/>
    <s v="4.0 UN"/>
    <s v="STANDARD"/>
    <s v="N"/>
    <s v="N"/>
    <s v="Y"/>
    <s v="T20"/>
    <s v="N"/>
    <s v="N"/>
    <s v="N"/>
    <s v="N"/>
    <s v="B002"/>
    <d v="2016-12-26T00:00:00"/>
    <s v="10"/>
    <s v="TAN"/>
    <s v="OR"/>
    <d v="2016-12-21T00:00:00"/>
    <s v="MI"/>
    <s v="US"/>
    <s v="ZR"/>
    <d v="2016-12-21T00:00:00"/>
  </r>
  <r>
    <x v="1"/>
    <x v="0"/>
    <x v="3156"/>
    <x v="54"/>
    <s v="Standard order"/>
    <x v="3027"/>
    <x v="2529"/>
    <s v="149N"/>
    <s v="BTS 149N"/>
    <s v="5002368"/>
    <s v="149N BTS T20 Kabina RP"/>
    <n v="24"/>
    <n v="0"/>
    <n v="24"/>
    <x v="0"/>
    <s v="EEND"/>
    <s v="RP"/>
    <s v="380"/>
    <s v="4.0 UN"/>
    <s v="STANDARD"/>
    <s v="N"/>
    <s v="N"/>
    <s v="Y"/>
    <s v="T20"/>
    <s v="N"/>
    <s v="N"/>
    <s v="N"/>
    <s v="N"/>
    <s v="B002"/>
    <d v="2016-12-26T00:00:00"/>
    <s v="20"/>
    <s v="TAN"/>
    <s v="OR"/>
    <d v="2016-12-21T00:00:00"/>
    <s v="MI"/>
    <s v="US"/>
    <s v="ZR"/>
    <d v="2016-12-21T00:00:00"/>
  </r>
  <r>
    <x v="1"/>
    <x v="2"/>
    <x v="3157"/>
    <x v="22"/>
    <s v="Standard order"/>
    <x v="3028"/>
    <x v="2530"/>
    <s v="628N"/>
    <s v="BTS 62RR8N"/>
    <s v="5002683"/>
    <s v="628N BTS T20 PB SYSTIVA P100"/>
    <n v="24"/>
    <n v="0"/>
    <n v="24"/>
    <x v="2"/>
    <s v="BL73"/>
    <s v="PRO 100"/>
    <s v="322"/>
    <s v="4.0 UN"/>
    <s v="STANDARD"/>
    <s v="N"/>
    <s v="N"/>
    <s v="N"/>
    <s v="T20"/>
    <s v="Y"/>
    <s v="N"/>
    <s v="Y"/>
    <s v="N"/>
    <s v="B018"/>
    <d v="2016-12-26T00:00:00"/>
    <s v="10"/>
    <s v="TAN"/>
    <s v="OR"/>
    <d v="2016-12-21T00:00:00"/>
    <s v="CO"/>
    <s v="US"/>
    <s v="ZR"/>
    <d v="2016-12-21T00:00:00"/>
  </r>
  <r>
    <x v="1"/>
    <x v="2"/>
    <x v="3157"/>
    <x v="22"/>
    <s v="Standard order"/>
    <x v="3028"/>
    <x v="2530"/>
    <s v="64SN"/>
    <s v="BTS 64SN"/>
    <s v="5002420"/>
    <s v="64SN BTS T20 PB SYSTIVA P100"/>
    <n v="24"/>
    <n v="0"/>
    <n v="24"/>
    <x v="2"/>
    <s v="DVNB"/>
    <s v="PRO 100"/>
    <s v="322"/>
    <s v="4.0 UN"/>
    <s v="STANDARD"/>
    <s v="N"/>
    <s v="N"/>
    <s v="N"/>
    <s v="T20"/>
    <s v="Y"/>
    <s v="N"/>
    <s v="Y"/>
    <s v="N"/>
    <s v="B018"/>
    <d v="2016-12-26T00:00:00"/>
    <s v="20"/>
    <s v="TAN"/>
    <s v="OR"/>
    <d v="2016-12-21T00:00:00"/>
    <s v="CO"/>
    <s v="US"/>
    <s v="ZR"/>
    <d v="2016-12-21T00:00:00"/>
  </r>
  <r>
    <x v="1"/>
    <x v="0"/>
    <x v="3158"/>
    <x v="49"/>
    <s v="Standard order"/>
    <x v="3029"/>
    <x v="2531"/>
    <s v="122N"/>
    <s v="BTS 12RR2N"/>
    <s v="5002311"/>
    <s v="122N BTS T20 Kabina RP"/>
    <n v="24"/>
    <n v="0"/>
    <n v="24"/>
    <x v="0"/>
    <s v="4TBG"/>
    <s v="RP"/>
    <s v="380"/>
    <s v="4.0 UN"/>
    <s v="STANDARD"/>
    <s v="N"/>
    <s v="N"/>
    <s v="Y"/>
    <s v="T20"/>
    <s v="N"/>
    <s v="N"/>
    <s v="N"/>
    <s v="N"/>
    <s v="B004"/>
    <d v="2016-12-26T00:00:00"/>
    <s v="10"/>
    <s v="TAN"/>
    <s v="OR"/>
    <d v="2016-12-21T00:00:00"/>
    <s v="MI"/>
    <s v="US"/>
    <s v="ZR"/>
    <d v="2016-12-21T00:00:00"/>
  </r>
  <r>
    <x v="1"/>
    <x v="0"/>
    <x v="3159"/>
    <x v="54"/>
    <s v="Standard order"/>
    <x v="3030"/>
    <x v="2532"/>
    <s v="122N"/>
    <s v="BTS 12RR2N"/>
    <s v="5002311"/>
    <s v="122N BTS T20 Kabina RP"/>
    <n v="24"/>
    <n v="0"/>
    <n v="24"/>
    <x v="0"/>
    <s v="4TBG"/>
    <s v="RP"/>
    <s v="380"/>
    <s v="4.0 UN"/>
    <s v="STANDARD"/>
    <s v="N"/>
    <s v="N"/>
    <s v="Y"/>
    <s v="T20"/>
    <s v="N"/>
    <s v="N"/>
    <s v="N"/>
    <s v="N"/>
    <s v="B002"/>
    <d v="2016-12-26T00:00:00"/>
    <s v="10"/>
    <s v="TAN"/>
    <s v="OR"/>
    <d v="2016-12-21T00:00:00"/>
    <s v="MI"/>
    <s v="US"/>
    <s v="ZR"/>
    <d v="2016-12-21T00:00:00"/>
  </r>
  <r>
    <x v="1"/>
    <x v="0"/>
    <x v="3160"/>
    <x v="42"/>
    <s v="Standard order"/>
    <x v="3031"/>
    <x v="2533"/>
    <s v="122N"/>
    <s v="BTS 12RR2N"/>
    <s v="5002303"/>
    <s v="122N BTS T20 PB Kabina RP"/>
    <n v="52"/>
    <n v="0"/>
    <n v="52"/>
    <x v="0"/>
    <s v="4TBG"/>
    <s v="RP"/>
    <s v="382"/>
    <s v="4.0 UN"/>
    <s v="STANDARD"/>
    <s v="N"/>
    <s v="Y"/>
    <s v="Y"/>
    <s v="T20"/>
    <s v="N"/>
    <s v="N"/>
    <s v="N"/>
    <s v="N"/>
    <s v="B007"/>
    <d v="2016-12-26T00:00:00"/>
    <s v="10"/>
    <s v="TAN"/>
    <s v="OR"/>
    <d v="2016-12-21T00:00:00"/>
    <s v="MI"/>
    <s v="US"/>
    <s v="ZR"/>
    <d v="2016-12-21T00:00:00"/>
  </r>
  <r>
    <x v="1"/>
    <x v="7"/>
    <x v="3161"/>
    <x v="38"/>
    <s v="Standard order"/>
    <x v="3032"/>
    <x v="2534"/>
    <s v="8524"/>
    <s v="BTS 8524"/>
    <s v="5002896"/>
    <s v="8524 BTS T35 PB SYSTIVA RP"/>
    <n v="64"/>
    <n v="0"/>
    <n v="64"/>
    <x v="7"/>
    <s v="FWND"/>
    <s v="RP"/>
    <s v="333"/>
    <s v="4.0 UN"/>
    <s v="STANDARD"/>
    <s v="N"/>
    <s v="Y"/>
    <s v="N"/>
    <s v="T35"/>
    <s v="Y"/>
    <s v="N"/>
    <s v="Y"/>
    <s v="N"/>
    <s v="B031"/>
    <d v="2016-12-26T00:00:00"/>
    <s v="10"/>
    <s v="TAN"/>
    <s v="OR"/>
    <d v="2016-12-21T00:00:00"/>
    <s v="MN"/>
    <s v="US"/>
    <s v="ZR"/>
    <d v="2016-12-21T00:00:00"/>
  </r>
  <r>
    <x v="1"/>
    <x v="0"/>
    <x v="3162"/>
    <x v="29"/>
    <s v="Standard order"/>
    <x v="3033"/>
    <x v="2535"/>
    <s v="122N"/>
    <s v="BTS 12RR2N"/>
    <s v="5002311"/>
    <s v="122N BTS T20 Kabina RP"/>
    <n v="64"/>
    <n v="0"/>
    <n v="64"/>
    <x v="0"/>
    <s v="4TBG"/>
    <s v="RP"/>
    <s v="380"/>
    <s v="4.0 UN"/>
    <s v="STANDARD"/>
    <s v="N"/>
    <s v="N"/>
    <s v="Y"/>
    <s v="T20"/>
    <s v="N"/>
    <s v="N"/>
    <s v="N"/>
    <s v="N"/>
    <s v="B005"/>
    <d v="2016-12-26T00:00:00"/>
    <s v="10"/>
    <s v="TAN"/>
    <s v="OR"/>
    <d v="2016-12-21T00:00:00"/>
    <s v="MI"/>
    <s v="US"/>
    <s v="ZR"/>
    <d v="2016-12-21T00:00:00"/>
  </r>
  <r>
    <x v="1"/>
    <x v="0"/>
    <x v="3163"/>
    <x v="43"/>
    <s v="Standard order"/>
    <x v="3034"/>
    <x v="2536"/>
    <s v="133N"/>
    <s v="BTS 133N"/>
    <s v="5002329"/>
    <s v="133N BTS T20 Kabina RP"/>
    <n v="20"/>
    <n v="0"/>
    <n v="20"/>
    <x v="0"/>
    <s v="DW73"/>
    <s v="RP"/>
    <s v="380"/>
    <s v="4.0 UN"/>
    <s v="STANDARD"/>
    <s v="N"/>
    <s v="N"/>
    <s v="Y"/>
    <s v="T20"/>
    <s v="N"/>
    <s v="N"/>
    <s v="N"/>
    <s v="N"/>
    <s v="B006"/>
    <d v="2016-12-26T00:00:00"/>
    <s v="10"/>
    <s v="TAN"/>
    <s v="OR"/>
    <d v="2016-12-21T00:00:00"/>
    <s v="MI"/>
    <s v="US"/>
    <s v="ZR"/>
    <d v="2016-12-21T00:00:00"/>
  </r>
  <r>
    <x v="1"/>
    <x v="0"/>
    <x v="3163"/>
    <x v="43"/>
    <s v="Standard order"/>
    <x v="3034"/>
    <x v="2536"/>
    <s v="149N"/>
    <s v="BTS 149N"/>
    <s v="5002368"/>
    <s v="149N BTS T20 Kabina RP"/>
    <n v="8"/>
    <n v="0"/>
    <n v="8"/>
    <x v="0"/>
    <s v="EEND"/>
    <s v="RP"/>
    <s v="380"/>
    <s v="4.0 UN"/>
    <s v="STANDARD"/>
    <s v="N"/>
    <s v="N"/>
    <s v="Y"/>
    <s v="T20"/>
    <s v="N"/>
    <s v="N"/>
    <s v="N"/>
    <s v="N"/>
    <s v="B006"/>
    <d v="2016-12-26T00:00:00"/>
    <s v="20"/>
    <s v="TAN"/>
    <s v="OR"/>
    <d v="2016-12-21T00:00:00"/>
    <s v="MI"/>
    <s v="US"/>
    <s v="ZR"/>
    <d v="2016-12-21T00:00:00"/>
  </r>
  <r>
    <x v="1"/>
    <x v="0"/>
    <x v="3164"/>
    <x v="54"/>
    <s v="Standard order"/>
    <x v="3035"/>
    <x v="2537"/>
    <s v="122N"/>
    <s v="BTS 12RR2N"/>
    <s v="5002311"/>
    <s v="122N BTS T20 Kabina RP"/>
    <n v="52"/>
    <n v="0"/>
    <n v="52"/>
    <x v="0"/>
    <s v="4TBG"/>
    <s v="RP"/>
    <s v="380"/>
    <s v="4.0 UN"/>
    <s v="STANDARD"/>
    <s v="N"/>
    <s v="N"/>
    <s v="Y"/>
    <s v="T20"/>
    <s v="N"/>
    <s v="N"/>
    <s v="N"/>
    <s v="N"/>
    <s v="B002"/>
    <d v="2016-12-26T00:00:00"/>
    <s v="10"/>
    <s v="TAN"/>
    <s v="OR"/>
    <d v="2016-12-21T00:00:00"/>
    <s v="MI"/>
    <s v="US"/>
    <s v="ZR"/>
    <d v="2016-12-21T00:00:00"/>
  </r>
  <r>
    <x v="1"/>
    <x v="0"/>
    <x v="3164"/>
    <x v="54"/>
    <s v="Standard order"/>
    <x v="3035"/>
    <x v="2537"/>
    <s v="149N"/>
    <s v="BTS 149N"/>
    <s v="5002368"/>
    <s v="149N BTS T20 Kabina RP"/>
    <n v="12"/>
    <n v="0"/>
    <n v="12"/>
    <x v="0"/>
    <s v="EEND"/>
    <s v="RP"/>
    <s v="380"/>
    <s v="4.0 UN"/>
    <s v="STANDARD"/>
    <s v="N"/>
    <s v="N"/>
    <s v="Y"/>
    <s v="T20"/>
    <s v="N"/>
    <s v="N"/>
    <s v="N"/>
    <s v="N"/>
    <s v="B002"/>
    <d v="2016-12-26T00:00:00"/>
    <s v="20"/>
    <s v="TAN"/>
    <s v="OR"/>
    <d v="2016-12-21T00:00:00"/>
    <s v="MI"/>
    <s v="US"/>
    <s v="ZR"/>
    <d v="2016-12-21T00:00:00"/>
  </r>
  <r>
    <x v="1"/>
    <x v="2"/>
    <x v="3165"/>
    <x v="22"/>
    <s v="Standard order"/>
    <x v="3036"/>
    <x v="2538"/>
    <s v="628N"/>
    <s v="BTS 62RR8N"/>
    <s v="5002683"/>
    <s v="628N BTS T20 PB SYSTIVA P100"/>
    <n v="20"/>
    <n v="0"/>
    <n v="20"/>
    <x v="2"/>
    <s v="BL73"/>
    <s v="PRO 100"/>
    <s v="322"/>
    <s v="4.0 UN"/>
    <s v="STANDARD"/>
    <s v="N"/>
    <s v="N"/>
    <s v="N"/>
    <s v="T20"/>
    <s v="Y"/>
    <s v="N"/>
    <s v="Y"/>
    <s v="N"/>
    <s v="B018"/>
    <d v="2016-12-26T00:00:00"/>
    <s v="10"/>
    <s v="TAN"/>
    <s v="OR"/>
    <d v="2016-12-21T00:00:00"/>
    <s v="CO"/>
    <s v="US"/>
    <s v="ZR"/>
    <d v="2016-12-21T00:00:00"/>
  </r>
  <r>
    <x v="1"/>
    <x v="4"/>
    <x v="3166"/>
    <x v="50"/>
    <s v="Standard order"/>
    <x v="3037"/>
    <x v="2539"/>
    <s v="2523"/>
    <s v="BTS 2523"/>
    <s v="5002529"/>
    <s v="2523 BTS PB XL"/>
    <n v="28"/>
    <n v="0"/>
    <n v="28"/>
    <x v="4"/>
    <s v="EZPC"/>
    <s v="X-LARGE"/>
    <s v="307"/>
    <s v="4.0 UN"/>
    <s v="STANDARD"/>
    <s v="N"/>
    <s v="Y"/>
    <s v="N"/>
    <s v="N"/>
    <s v="N"/>
    <s v="N"/>
    <s v="N"/>
    <s v="N"/>
    <s v="B047"/>
    <d v="2016-12-26T00:00:00"/>
    <s v="10"/>
    <s v="TAN"/>
    <s v="OR"/>
    <d v="2016-12-21T00:00:00"/>
    <s v="ID"/>
    <s v="US"/>
    <s v="ZR"/>
    <d v="2016-12-21T00:00:00"/>
  </r>
  <r>
    <x v="1"/>
    <x v="4"/>
    <x v="3166"/>
    <x v="50"/>
    <s v="Standard order"/>
    <x v="3037"/>
    <x v="2539"/>
    <s v="2570"/>
    <s v="BTS 2570"/>
    <s v="5002555"/>
    <s v="2570 BTS PB XL"/>
    <n v="28"/>
    <n v="0"/>
    <n v="28"/>
    <x v="4"/>
    <s v="EZNS"/>
    <s v="X-LARGE"/>
    <s v="307"/>
    <s v="4.0 UN"/>
    <s v="STANDARD"/>
    <s v="N"/>
    <s v="Y"/>
    <s v="N"/>
    <s v="N"/>
    <s v="N"/>
    <s v="N"/>
    <s v="N"/>
    <s v="N"/>
    <s v="B047"/>
    <d v="2016-12-26T00:00:00"/>
    <s v="20"/>
    <s v="TAN"/>
    <s v="OR"/>
    <d v="2016-12-21T00:00:00"/>
    <s v="ID"/>
    <s v="US"/>
    <s v="ZR"/>
    <d v="2016-12-21T00:00:00"/>
  </r>
  <r>
    <x v="1"/>
    <x v="0"/>
    <x v="3167"/>
    <x v="30"/>
    <s v="Standard order"/>
    <x v="3038"/>
    <x v="2540"/>
    <s v="1399"/>
    <s v="BTS 1399"/>
    <s v="5002348"/>
    <s v="1399 BTS T20 Kabina RP"/>
    <n v="20"/>
    <n v="0"/>
    <n v="20"/>
    <x v="0"/>
    <s v="EG74"/>
    <s v="RP"/>
    <s v="380"/>
    <s v="4.0 UN"/>
    <s v="STANDARD"/>
    <s v="N"/>
    <s v="N"/>
    <s v="Y"/>
    <s v="T20"/>
    <s v="N"/>
    <s v="N"/>
    <s v="N"/>
    <s v="N"/>
    <s v="B001"/>
    <d v="2016-12-26T00:00:00"/>
    <s v="10"/>
    <s v="TAN"/>
    <s v="OR"/>
    <d v="2016-12-21T00:00:00"/>
    <s v="MI"/>
    <s v="US"/>
    <s v="ZR"/>
    <d v="2016-12-21T00:00:00"/>
  </r>
  <r>
    <x v="1"/>
    <x v="4"/>
    <x v="3168"/>
    <x v="44"/>
    <s v="Standard order"/>
    <x v="3039"/>
    <x v="2541"/>
    <s v="251N"/>
    <s v="BTS 251N"/>
    <s v="5002196"/>
    <s v="251N BTS PB XL"/>
    <n v="192"/>
    <n v="0"/>
    <n v="192"/>
    <x v="4"/>
    <s v="5HBR"/>
    <s v="X-LARGE"/>
    <s v="307"/>
    <s v="4.0 UN"/>
    <s v="STANDARD"/>
    <s v="N"/>
    <s v="Y"/>
    <s v="N"/>
    <s v="N"/>
    <s v="N"/>
    <s v="N"/>
    <s v="N"/>
    <s v="N"/>
    <s v="MB13"/>
    <d v="2016-12-26T00:00:00"/>
    <s v="10"/>
    <s v="TAN"/>
    <s v="OR"/>
    <d v="2016-12-21T00:00:00"/>
    <s v="ID"/>
    <s v="US"/>
    <s v="ZR"/>
    <d v="2016-12-21T00:00:00"/>
  </r>
  <r>
    <x v="1"/>
    <x v="4"/>
    <x v="3168"/>
    <x v="44"/>
    <s v="Standard order"/>
    <x v="3039"/>
    <x v="2541"/>
    <s v="2523"/>
    <s v="BTS 2523"/>
    <s v="5002529"/>
    <s v="2523 BTS PB XL"/>
    <n v="192"/>
    <n v="0"/>
    <n v="192"/>
    <x v="4"/>
    <s v="EZPC"/>
    <s v="X-LARGE"/>
    <s v="307"/>
    <s v="4.0 UN"/>
    <s v="STANDARD"/>
    <s v="N"/>
    <s v="Y"/>
    <s v="N"/>
    <s v="N"/>
    <s v="N"/>
    <s v="N"/>
    <s v="N"/>
    <s v="N"/>
    <s v="MB13"/>
    <d v="2016-12-26T00:00:00"/>
    <s v="20"/>
    <s v="TAN"/>
    <s v="OR"/>
    <d v="2016-12-21T00:00:00"/>
    <s v="ID"/>
    <s v="US"/>
    <s v="ZR"/>
    <d v="2016-12-21T00:00:00"/>
  </r>
  <r>
    <x v="1"/>
    <x v="4"/>
    <x v="3169"/>
    <x v="53"/>
    <s v="Standard order"/>
    <x v="3040"/>
    <x v="969"/>
    <s v="225N"/>
    <s v="BTS 22RR5N"/>
    <s v="5002119"/>
    <s v="225N BTS PB XL"/>
    <n v="144"/>
    <n v="0"/>
    <n v="144"/>
    <x v="4"/>
    <s v="4TBD"/>
    <s v="X-LARGE"/>
    <s v="307"/>
    <s v="4.0 UN"/>
    <s v="STANDARD"/>
    <s v="N"/>
    <s v="Y"/>
    <s v="N"/>
    <s v="N"/>
    <s v="N"/>
    <s v="N"/>
    <s v="N"/>
    <s v="N"/>
    <s v="B051"/>
    <d v="2016-12-26T00:00:00"/>
    <s v="10"/>
    <s v="TAN"/>
    <s v="OR"/>
    <d v="2016-12-21T00:00:00"/>
    <s v="ID"/>
    <s v="US"/>
    <s v="ZR"/>
    <d v="2016-12-21T00:00:00"/>
  </r>
  <r>
    <x v="1"/>
    <x v="4"/>
    <x v="3169"/>
    <x v="53"/>
    <s v="Standard order"/>
    <x v="3040"/>
    <x v="969"/>
    <s v="251N"/>
    <s v="BTS 251N"/>
    <s v="5002196"/>
    <s v="251N BTS PB XL"/>
    <n v="72"/>
    <n v="0"/>
    <n v="72"/>
    <x v="4"/>
    <s v="5HBR"/>
    <s v="X-LARGE"/>
    <s v="307"/>
    <s v="4.0 UN"/>
    <s v="STANDARD"/>
    <s v="N"/>
    <s v="Y"/>
    <s v="N"/>
    <s v="N"/>
    <s v="N"/>
    <s v="N"/>
    <s v="N"/>
    <s v="N"/>
    <s v="B051"/>
    <d v="2016-12-26T00:00:00"/>
    <s v="20"/>
    <s v="TAN"/>
    <s v="OR"/>
    <d v="2016-12-21T00:00:00"/>
    <s v="ID"/>
    <s v="US"/>
    <s v="ZR"/>
    <d v="2016-12-21T00:00:00"/>
  </r>
  <r>
    <x v="1"/>
    <x v="4"/>
    <x v="3169"/>
    <x v="53"/>
    <s v="Standard order"/>
    <x v="3040"/>
    <x v="969"/>
    <s v="2523"/>
    <s v="BTS 2523"/>
    <s v="5002529"/>
    <s v="2523 BTS PB XL"/>
    <n v="72"/>
    <n v="0"/>
    <n v="72"/>
    <x v="4"/>
    <s v="EZPC"/>
    <s v="X-LARGE"/>
    <s v="307"/>
    <s v="4.0 UN"/>
    <s v="STANDARD"/>
    <s v="N"/>
    <s v="Y"/>
    <s v="N"/>
    <s v="N"/>
    <s v="N"/>
    <s v="N"/>
    <s v="N"/>
    <s v="N"/>
    <s v="B051"/>
    <d v="2016-12-26T00:00:00"/>
    <s v="30"/>
    <s v="TAN"/>
    <s v="OR"/>
    <d v="2016-12-21T00:00:00"/>
    <s v="ID"/>
    <s v="US"/>
    <s v="ZR"/>
    <d v="2016-12-21T00:00:00"/>
  </r>
  <r>
    <x v="1"/>
    <x v="4"/>
    <x v="3169"/>
    <x v="53"/>
    <s v="Standard order"/>
    <x v="3040"/>
    <x v="969"/>
    <s v="2570"/>
    <s v="BTS 2570"/>
    <s v="5002555"/>
    <s v="2570 BTS PB XL"/>
    <n v="72"/>
    <n v="0"/>
    <n v="72"/>
    <x v="4"/>
    <s v="EZNS"/>
    <s v="X-LARGE"/>
    <s v="307"/>
    <s v="4.0 UN"/>
    <s v="STANDARD"/>
    <s v="N"/>
    <s v="Y"/>
    <s v="N"/>
    <s v="N"/>
    <s v="N"/>
    <s v="N"/>
    <s v="N"/>
    <s v="N"/>
    <s v="B051"/>
    <d v="2016-12-26T00:00:00"/>
    <s v="40"/>
    <s v="TAN"/>
    <s v="OR"/>
    <d v="2016-12-21T00:00:00"/>
    <s v="ID"/>
    <s v="US"/>
    <s v="ZR"/>
    <d v="2016-12-21T00:00:00"/>
  </r>
  <r>
    <x v="1"/>
    <x v="2"/>
    <x v="3170"/>
    <x v="22"/>
    <s v="Standard order"/>
    <x v="3041"/>
    <x v="1038"/>
    <s v="6027"/>
    <s v="BTS 60RR27"/>
    <s v="5002645"/>
    <s v="6027 BTS T20 PB SYSTIVA P100 WSS"/>
    <n v="8"/>
    <n v="0"/>
    <n v="8"/>
    <x v="2"/>
    <s v="APMC"/>
    <s v="PRO 100"/>
    <s v="322"/>
    <s v="4.0 UN"/>
    <s v="STANDARD"/>
    <s v="N"/>
    <s v="N"/>
    <s v="N"/>
    <s v="T20"/>
    <s v="Y"/>
    <s v="N"/>
    <s v="Y"/>
    <s v="N"/>
    <s v="B018"/>
    <d v="2016-12-26T00:00:00"/>
    <s v="10"/>
    <s v="TAN"/>
    <s v="OR"/>
    <d v="2016-12-21T00:00:00"/>
    <s v="CO"/>
    <s v="US"/>
    <s v="ZR"/>
    <d v="2016-12-21T00:00:00"/>
  </r>
  <r>
    <x v="1"/>
    <x v="2"/>
    <x v="3171"/>
    <x v="22"/>
    <s v="Standard order"/>
    <x v="3042"/>
    <x v="1039"/>
    <s v="628N"/>
    <s v="BTS 62RR8N"/>
    <s v="5002683"/>
    <s v="628N BTS T20 PB SYSTIVA P100"/>
    <n v="28"/>
    <n v="0"/>
    <n v="28"/>
    <x v="2"/>
    <s v="BL73"/>
    <s v="PRO 100"/>
    <s v="322"/>
    <s v="4.0 UN"/>
    <s v="STANDARD"/>
    <s v="N"/>
    <s v="N"/>
    <s v="N"/>
    <s v="T20"/>
    <s v="Y"/>
    <s v="N"/>
    <s v="Y"/>
    <s v="N"/>
    <s v="B018"/>
    <d v="2016-12-26T00:00:00"/>
    <s v="10"/>
    <s v="TAN"/>
    <s v="OR"/>
    <d v="2016-12-21T00:00:00"/>
    <s v="CO"/>
    <s v="US"/>
    <s v="ZR"/>
    <d v="2016-12-21T00:00:00"/>
  </r>
  <r>
    <x v="1"/>
    <x v="2"/>
    <x v="3172"/>
    <x v="22"/>
    <s v="Standard order"/>
    <x v="3043"/>
    <x v="1046"/>
    <s v="628N"/>
    <s v="BTS 62RR8N"/>
    <s v="5002683"/>
    <s v="628N BTS T20 PB SYSTIVA P100"/>
    <n v="24"/>
    <n v="0"/>
    <n v="24"/>
    <x v="2"/>
    <s v="BL73"/>
    <s v="PRO 100"/>
    <s v="322"/>
    <s v="4.0 UN"/>
    <s v="STANDARD"/>
    <s v="N"/>
    <s v="N"/>
    <s v="N"/>
    <s v="T20"/>
    <s v="Y"/>
    <s v="N"/>
    <s v="Y"/>
    <s v="N"/>
    <s v="B018"/>
    <d v="2016-12-26T00:00:00"/>
    <s v="10"/>
    <s v="TAN"/>
    <s v="OR"/>
    <d v="2016-12-21T00:00:00"/>
    <s v="CO"/>
    <s v="US"/>
    <s v="ZR"/>
    <d v="2016-12-21T00:00:00"/>
  </r>
  <r>
    <x v="1"/>
    <x v="2"/>
    <x v="3172"/>
    <x v="22"/>
    <s v="Standard order"/>
    <x v="3043"/>
    <x v="1046"/>
    <s v="64SN"/>
    <s v="BTS 64SN"/>
    <s v="5002420"/>
    <s v="64SN BTS T20 PB SYSTIVA P100"/>
    <n v="28"/>
    <n v="0"/>
    <n v="28"/>
    <x v="2"/>
    <s v="DVNB"/>
    <s v="PRO 100"/>
    <s v="322"/>
    <s v="4.0 UN"/>
    <s v="STANDARD"/>
    <s v="N"/>
    <s v="N"/>
    <s v="N"/>
    <s v="T20"/>
    <s v="Y"/>
    <s v="N"/>
    <s v="Y"/>
    <s v="N"/>
    <s v="B018"/>
    <d v="2016-12-26T00:00:00"/>
    <s v="20"/>
    <s v="TAN"/>
    <s v="OR"/>
    <d v="2016-12-21T00:00:00"/>
    <s v="CO"/>
    <s v="US"/>
    <s v="ZR"/>
    <d v="2016-12-21T00:00:00"/>
  </r>
  <r>
    <x v="1"/>
    <x v="2"/>
    <x v="3173"/>
    <x v="25"/>
    <s v="Standard order"/>
    <x v="3044"/>
    <x v="2542"/>
    <s v="628N"/>
    <s v="BTS 62RR8N"/>
    <s v="5002685"/>
    <s v="628N BTS T20 PB SYSTIVA P50"/>
    <n v="36"/>
    <n v="0"/>
    <n v="36"/>
    <x v="2"/>
    <s v="BL73"/>
    <s v="PRO 50"/>
    <s v="322"/>
    <s v="4.0 UN"/>
    <s v="STANDARD"/>
    <s v="N"/>
    <s v="N"/>
    <s v="N"/>
    <s v="T20"/>
    <s v="Y"/>
    <s v="N"/>
    <s v="Y"/>
    <s v="N"/>
    <s v="B021"/>
    <d v="2016-12-26T00:00:00"/>
    <s v="10"/>
    <s v="TAN"/>
    <s v="OR"/>
    <d v="2016-12-21T00:00:00"/>
    <s v="CO"/>
    <s v="US"/>
    <s v="ZR"/>
    <d v="2016-12-21T00:00:00"/>
  </r>
  <r>
    <x v="1"/>
    <x v="0"/>
    <x v="3174"/>
    <x v="45"/>
    <s v="Standard order"/>
    <x v="3045"/>
    <x v="1273"/>
    <s v="149N"/>
    <s v="BTS 149N"/>
    <s v="5002366"/>
    <s v="149N BTS T20 Kabina MP"/>
    <n v="8"/>
    <n v="0"/>
    <n v="8"/>
    <x v="0"/>
    <s v="EEND"/>
    <s v="MP"/>
    <s v="380"/>
    <s v="4.0 UN"/>
    <s v="STANDARD"/>
    <s v="N"/>
    <s v="N"/>
    <s v="Y"/>
    <s v="T20"/>
    <s v="N"/>
    <s v="N"/>
    <s v="N"/>
    <s v="N"/>
    <s v="B003"/>
    <d v="2016-12-26T00:00:00"/>
    <s v="10"/>
    <s v="TAN"/>
    <s v="OR"/>
    <d v="2016-12-21T00:00:00"/>
    <s v="MI"/>
    <s v="US"/>
    <s v="ZR"/>
    <d v="2016-12-21T00:00:00"/>
  </r>
  <r>
    <x v="1"/>
    <x v="0"/>
    <x v="3175"/>
    <x v="30"/>
    <s v="Standard order"/>
    <x v="3046"/>
    <x v="2543"/>
    <s v="1399"/>
    <s v="BTS 1399"/>
    <s v="5002348"/>
    <s v="1399 BTS T20 Kabina RP"/>
    <n v="16"/>
    <n v="0"/>
    <n v="16"/>
    <x v="0"/>
    <s v="EG74"/>
    <s v="RP"/>
    <s v="380"/>
    <s v="4.0 UN"/>
    <s v="STANDARD"/>
    <s v="N"/>
    <s v="N"/>
    <s v="Y"/>
    <s v="T20"/>
    <s v="N"/>
    <s v="N"/>
    <s v="N"/>
    <s v="N"/>
    <s v="B001"/>
    <d v="2016-12-26T00:00:00"/>
    <s v="10"/>
    <s v="TAN"/>
    <s v="OR"/>
    <d v="2016-12-21T00:00:00"/>
    <s v="MI"/>
    <s v="US"/>
    <s v="ZR"/>
    <d v="2016-12-21T00:00:00"/>
  </r>
  <r>
    <x v="1"/>
    <x v="4"/>
    <x v="3176"/>
    <x v="44"/>
    <s v="Standard order"/>
    <x v="3047"/>
    <x v="2544"/>
    <s v="2570"/>
    <s v="BTS 2570"/>
    <s v="5002902"/>
    <s v="2570 BTS PB Kabina XL+"/>
    <n v="4"/>
    <n v="0"/>
    <n v="4"/>
    <x v="4"/>
    <s v="EZNS"/>
    <s v="XL-PLUS"/>
    <s v="384"/>
    <s v="4.0 UN"/>
    <s v="STANDARD"/>
    <s v="N"/>
    <s v="Y"/>
    <s v="Y"/>
    <s v="N"/>
    <s v="N"/>
    <s v="N"/>
    <s v="N"/>
    <s v="N"/>
    <s v="MB13"/>
    <d v="2016-12-26T00:00:00"/>
    <s v="10"/>
    <s v="TAN"/>
    <s v="OR"/>
    <d v="2016-12-21T00:00:00"/>
    <s v="ID"/>
    <s v="US"/>
    <s v="ZR"/>
    <d v="2016-12-21T00:00:00"/>
  </r>
  <r>
    <x v="1"/>
    <x v="0"/>
    <x v="3177"/>
    <x v="49"/>
    <s v="Standard order"/>
    <x v="3048"/>
    <x v="1008"/>
    <s v="1399"/>
    <s v="BTS 1399"/>
    <s v="5002346"/>
    <s v="1399 BTS T20 Kabina MP"/>
    <n v="16"/>
    <n v="0"/>
    <n v="16"/>
    <x v="0"/>
    <s v="EG74"/>
    <s v="MP"/>
    <s v="380"/>
    <s v="4.0 UN"/>
    <s v="STANDARD"/>
    <s v="N"/>
    <s v="N"/>
    <s v="Y"/>
    <s v="T20"/>
    <s v="N"/>
    <s v="N"/>
    <s v="N"/>
    <s v="N"/>
    <s v="B004"/>
    <d v="2016-12-26T00:00:00"/>
    <s v="10"/>
    <s v="TAN"/>
    <s v="OR"/>
    <d v="2016-12-21T00:00:00"/>
    <s v="MI"/>
    <s v="US"/>
    <s v="ZR"/>
    <d v="2016-12-21T00:00:00"/>
  </r>
  <r>
    <x v="1"/>
    <x v="4"/>
    <x v="3178"/>
    <x v="44"/>
    <s v="Standard order"/>
    <x v="3049"/>
    <x v="2545"/>
    <s v="251N"/>
    <s v="BTS 251N"/>
    <s v="5002505"/>
    <s v="251N BTS PB Kabina XL"/>
    <n v="108"/>
    <n v="0"/>
    <n v="108"/>
    <x v="4"/>
    <s v="5HBR"/>
    <s v="X-LARGE"/>
    <s v="384"/>
    <s v="4.0 UN"/>
    <s v="STANDARD"/>
    <s v="N"/>
    <s v="Y"/>
    <s v="Y"/>
    <s v="N"/>
    <s v="N"/>
    <s v="N"/>
    <s v="N"/>
    <s v="N"/>
    <s v="MB13"/>
    <d v="2016-12-26T00:00:00"/>
    <s v="10"/>
    <s v="TAN"/>
    <s v="OR"/>
    <d v="2016-12-21T00:00:00"/>
    <s v="ID"/>
    <s v="US"/>
    <s v="ZR"/>
    <d v="2016-12-21T00:00:00"/>
  </r>
  <r>
    <x v="1"/>
    <x v="0"/>
    <x v="3179"/>
    <x v="29"/>
    <s v="Standard order"/>
    <x v="3050"/>
    <x v="1179"/>
    <s v="122N"/>
    <s v="BTS 12RR2N"/>
    <s v="5002311"/>
    <s v="122N BTS T20 Kabina RP"/>
    <n v="60"/>
    <n v="0"/>
    <n v="60"/>
    <x v="0"/>
    <s v="4TBG"/>
    <s v="RP"/>
    <s v="380"/>
    <s v="4.0 UN"/>
    <s v="STANDARD"/>
    <s v="N"/>
    <s v="N"/>
    <s v="Y"/>
    <s v="T20"/>
    <s v="N"/>
    <s v="N"/>
    <s v="N"/>
    <s v="N"/>
    <s v="B005"/>
    <d v="2016-12-26T00:00:00"/>
    <s v="10"/>
    <s v="TAN"/>
    <s v="OR"/>
    <d v="2016-12-21T00:00:00"/>
    <s v="MI"/>
    <s v="US"/>
    <s v="ZR"/>
    <d v="2016-12-21T00:00:00"/>
  </r>
  <r>
    <x v="1"/>
    <x v="0"/>
    <x v="3179"/>
    <x v="29"/>
    <s v="Standard order"/>
    <x v="3050"/>
    <x v="1179"/>
    <s v="133N"/>
    <s v="BTS 133N"/>
    <s v="5002329"/>
    <s v="133N BTS T20 Kabina RP"/>
    <n v="12"/>
    <n v="0"/>
    <n v="12"/>
    <x v="0"/>
    <s v="DW73"/>
    <s v="RP"/>
    <s v="380"/>
    <s v="4.0 UN"/>
    <s v="STANDARD"/>
    <s v="N"/>
    <s v="N"/>
    <s v="Y"/>
    <s v="T20"/>
    <s v="N"/>
    <s v="N"/>
    <s v="N"/>
    <s v="N"/>
    <s v="B005"/>
    <d v="2016-12-26T00:00:00"/>
    <s v="20"/>
    <s v="TAN"/>
    <s v="OR"/>
    <d v="2016-12-21T00:00:00"/>
    <s v="MI"/>
    <s v="US"/>
    <s v="ZR"/>
    <d v="2016-12-21T00:00:00"/>
  </r>
  <r>
    <x v="1"/>
    <x v="0"/>
    <x v="3180"/>
    <x v="49"/>
    <s v="Standard order"/>
    <x v="3051"/>
    <x v="2546"/>
    <s v="1399"/>
    <s v="BTS 1399"/>
    <s v="5002348"/>
    <s v="1399 BTS T20 Kabina RP"/>
    <n v="24"/>
    <n v="0"/>
    <n v="24"/>
    <x v="0"/>
    <s v="EG74"/>
    <s v="RP"/>
    <s v="380"/>
    <s v="4.0 UN"/>
    <s v="STANDARD"/>
    <s v="N"/>
    <s v="N"/>
    <s v="Y"/>
    <s v="T20"/>
    <s v="N"/>
    <s v="N"/>
    <s v="N"/>
    <s v="N"/>
    <s v="B004"/>
    <d v="2016-12-26T00:00:00"/>
    <s v="10"/>
    <s v="TAN"/>
    <s v="OR"/>
    <d v="2016-12-21T00:00:00"/>
    <s v="MI"/>
    <s v="US"/>
    <s v="ZR"/>
    <d v="2016-12-21T00:00:00"/>
  </r>
  <r>
    <x v="1"/>
    <x v="0"/>
    <x v="3181"/>
    <x v="42"/>
    <s v="Standard order"/>
    <x v="3052"/>
    <x v="856"/>
    <s v="1399"/>
    <s v="BTS 1399"/>
    <s v="5002347"/>
    <s v="1399 BTS T20 Kabina P200"/>
    <n v="20"/>
    <n v="0"/>
    <n v="20"/>
    <x v="0"/>
    <s v="EG74"/>
    <s v="PRO 200"/>
    <s v="380"/>
    <s v="4.0 UN"/>
    <s v="STANDARD"/>
    <s v="N"/>
    <s v="N"/>
    <s v="Y"/>
    <s v="T20"/>
    <s v="N"/>
    <s v="N"/>
    <s v="N"/>
    <s v="N"/>
    <s v="B007"/>
    <d v="2016-12-26T00:00:00"/>
    <s v="10"/>
    <s v="TAN"/>
    <s v="OR"/>
    <d v="2016-12-21T00:00:00"/>
    <s v="MI"/>
    <s v="US"/>
    <s v="ZR"/>
    <d v="2016-12-21T00:00:00"/>
  </r>
  <r>
    <x v="1"/>
    <x v="0"/>
    <x v="3182"/>
    <x v="54"/>
    <s v="Standard order"/>
    <x v="3053"/>
    <x v="2547"/>
    <s v="122N"/>
    <s v="BTS 12RR2N"/>
    <s v="5002311"/>
    <s v="122N BTS T20 Kabina RP"/>
    <n v="12"/>
    <n v="0"/>
    <n v="12"/>
    <x v="0"/>
    <s v="4TBG"/>
    <s v="RP"/>
    <s v="380"/>
    <s v="4.0 UN"/>
    <s v="STANDARD"/>
    <s v="N"/>
    <s v="N"/>
    <s v="Y"/>
    <s v="T20"/>
    <s v="N"/>
    <s v="N"/>
    <s v="N"/>
    <s v="N"/>
    <s v="B002"/>
    <d v="2016-12-26T00:00:00"/>
    <s v="10"/>
    <s v="TAN"/>
    <s v="OR"/>
    <d v="2016-12-21T00:00:00"/>
    <s v="MI"/>
    <s v="US"/>
    <s v="ZR"/>
    <d v="2016-12-21T00:00:00"/>
  </r>
  <r>
    <x v="1"/>
    <x v="2"/>
    <x v="3183"/>
    <x v="3"/>
    <s v="Standard order"/>
    <x v="3054"/>
    <x v="1037"/>
    <s v="6027"/>
    <s v="BTS 60RR27"/>
    <s v="5002645"/>
    <s v="6027 BTS T20 PB SYSTIVA P100 WSS"/>
    <n v="20"/>
    <n v="0"/>
    <n v="20"/>
    <x v="2"/>
    <s v="APMC"/>
    <s v="PRO 100"/>
    <s v="322"/>
    <s v="4.0 UN"/>
    <s v="STANDARD"/>
    <s v="N"/>
    <s v="N"/>
    <s v="N"/>
    <s v="T20"/>
    <s v="Y"/>
    <s v="N"/>
    <s v="Y"/>
    <s v="N"/>
    <s v="B024"/>
    <d v="2016-12-26T00:00:00"/>
    <s v="10"/>
    <s v="TAN"/>
    <s v="OR"/>
    <d v="2016-12-21T00:00:00"/>
    <s v="NE"/>
    <s v="US"/>
    <s v="ZR"/>
    <d v="2016-12-21T00:00:00"/>
  </r>
  <r>
    <x v="1"/>
    <x v="2"/>
    <x v="3184"/>
    <x v="22"/>
    <s v="Standard order"/>
    <x v="3055"/>
    <x v="1025"/>
    <s v="64SN"/>
    <s v="BTS 64SN"/>
    <s v="5002420"/>
    <s v="64SN BTS T20 PB SYSTIVA P100"/>
    <n v="28"/>
    <n v="0"/>
    <n v="28"/>
    <x v="2"/>
    <s v="DVNB"/>
    <s v="PRO 100"/>
    <s v="322"/>
    <s v="4.0 UN"/>
    <s v="STANDARD"/>
    <s v="N"/>
    <s v="N"/>
    <s v="N"/>
    <s v="T20"/>
    <s v="Y"/>
    <s v="N"/>
    <s v="Y"/>
    <s v="N"/>
    <s v="B018"/>
    <d v="2016-12-26T00:00:00"/>
    <s v="10"/>
    <s v="TAN"/>
    <s v="OR"/>
    <d v="2016-12-21T00:00:00"/>
    <s v="CO"/>
    <s v="US"/>
    <s v="ZR"/>
    <d v="2016-12-21T00:00:00"/>
  </r>
  <r>
    <x v="1"/>
    <x v="2"/>
    <x v="3185"/>
    <x v="25"/>
    <s v="Standard order"/>
    <x v="3056"/>
    <x v="1040"/>
    <s v="6027"/>
    <s v="BTS 60RR27"/>
    <s v="5002645"/>
    <s v="6027 BTS T20 PB SYSTIVA P100 WSS"/>
    <n v="32"/>
    <n v="0"/>
    <n v="32"/>
    <x v="2"/>
    <s v="APMC"/>
    <s v="PRO 100"/>
    <s v="322"/>
    <s v="4.0 UN"/>
    <s v="STANDARD"/>
    <s v="N"/>
    <s v="N"/>
    <s v="N"/>
    <s v="T20"/>
    <s v="Y"/>
    <s v="N"/>
    <s v="Y"/>
    <s v="N"/>
    <s v="B021"/>
    <d v="2016-12-26T00:00:00"/>
    <s v="10"/>
    <s v="TAN"/>
    <s v="OR"/>
    <d v="2016-12-21T00:00:00"/>
    <s v="CO"/>
    <s v="US"/>
    <s v="ZR"/>
    <d v="2016-12-21T00:00:00"/>
  </r>
  <r>
    <x v="1"/>
    <x v="2"/>
    <x v="3186"/>
    <x v="22"/>
    <s v="Standard order"/>
    <x v="3057"/>
    <x v="1023"/>
    <s v="628N"/>
    <s v="BTS 62RR8N"/>
    <s v="5002683"/>
    <s v="628N BTS T20 PB SYSTIVA P100"/>
    <n v="16"/>
    <n v="0"/>
    <n v="16"/>
    <x v="2"/>
    <s v="BL73"/>
    <s v="PRO 100"/>
    <s v="322"/>
    <s v="4.0 UN"/>
    <s v="STANDARD"/>
    <s v="N"/>
    <s v="N"/>
    <s v="N"/>
    <s v="T20"/>
    <s v="Y"/>
    <s v="N"/>
    <s v="Y"/>
    <s v="N"/>
    <s v="B018"/>
    <d v="2016-12-26T00:00:00"/>
    <s v="30"/>
    <s v="TAN"/>
    <s v="OR"/>
    <d v="2016-12-21T00:00:00"/>
    <s v="CO"/>
    <s v="US"/>
    <s v="ZR"/>
    <d v="2016-12-21T00:00:00"/>
  </r>
  <r>
    <x v="1"/>
    <x v="2"/>
    <x v="3186"/>
    <x v="22"/>
    <s v="Standard order"/>
    <x v="3057"/>
    <x v="1023"/>
    <s v="630N"/>
    <s v="BTS 630N"/>
    <s v="5002402"/>
    <s v="630N BTS T20 PB SYSTIVA P100"/>
    <n v="16"/>
    <n v="0"/>
    <n v="16"/>
    <x v="2"/>
    <s v="DW73"/>
    <s v="PRO 100"/>
    <s v="322"/>
    <s v="4.0 UN"/>
    <s v="STANDARD"/>
    <s v="N"/>
    <s v="N"/>
    <s v="N"/>
    <s v="T20"/>
    <s v="Y"/>
    <s v="N"/>
    <s v="Y"/>
    <s v="N"/>
    <s v="B018"/>
    <d v="2016-12-26T00:00:00"/>
    <s v="20"/>
    <s v="TAN"/>
    <s v="OR"/>
    <d v="2016-12-21T00:00:00"/>
    <s v="CO"/>
    <s v="US"/>
    <s v="ZR"/>
    <d v="2016-12-21T00:00:00"/>
  </r>
  <r>
    <x v="1"/>
    <x v="0"/>
    <x v="3187"/>
    <x v="55"/>
    <s v="Standard order"/>
    <x v="3058"/>
    <x v="1091"/>
    <s v="122N"/>
    <s v="BTS 12RR2N"/>
    <s v="5002311"/>
    <s v="122N BTS T20 Kabina RP"/>
    <n v="24"/>
    <n v="0"/>
    <n v="24"/>
    <x v="0"/>
    <s v="4TBG"/>
    <s v="RP"/>
    <s v="380"/>
    <s v="4.0 UN"/>
    <s v="STANDARD"/>
    <s v="N"/>
    <s v="N"/>
    <s v="Y"/>
    <s v="T20"/>
    <s v="N"/>
    <s v="N"/>
    <s v="N"/>
    <s v="N"/>
    <s v="B009"/>
    <d v="2016-12-26T00:00:00"/>
    <s v="10"/>
    <s v="TAN"/>
    <s v="OR"/>
    <d v="2016-12-21T00:00:00"/>
    <s v="MI"/>
    <s v="US"/>
    <s v="ZR"/>
    <d v="2016-12-21T00:00:00"/>
  </r>
  <r>
    <x v="1"/>
    <x v="0"/>
    <x v="3187"/>
    <x v="55"/>
    <s v="Standard order"/>
    <x v="3058"/>
    <x v="1091"/>
    <s v="133N"/>
    <s v="BTS 133N"/>
    <s v="5002329"/>
    <s v="133N BTS T20 Kabina RP"/>
    <n v="24"/>
    <n v="0"/>
    <n v="24"/>
    <x v="0"/>
    <s v="DW73"/>
    <s v="RP"/>
    <s v="380"/>
    <s v="4.0 UN"/>
    <s v="STANDARD"/>
    <s v="N"/>
    <s v="N"/>
    <s v="Y"/>
    <s v="T20"/>
    <s v="N"/>
    <s v="N"/>
    <s v="N"/>
    <s v="N"/>
    <s v="B009"/>
    <d v="2016-12-26T00:00:00"/>
    <s v="20"/>
    <s v="TAN"/>
    <s v="OR"/>
    <d v="2016-12-21T00:00:00"/>
    <s v="MI"/>
    <s v="US"/>
    <s v="ZR"/>
    <d v="2016-12-21T00:00:00"/>
  </r>
  <r>
    <x v="1"/>
    <x v="0"/>
    <x v="3187"/>
    <x v="55"/>
    <s v="Standard order"/>
    <x v="3058"/>
    <x v="1091"/>
    <s v="149N"/>
    <s v="BTS 149N"/>
    <s v="5002368"/>
    <s v="149N BTS T20 Kabina RP"/>
    <n v="24"/>
    <n v="0"/>
    <n v="24"/>
    <x v="0"/>
    <s v="EEND"/>
    <s v="RP"/>
    <s v="380"/>
    <s v="4.0 UN"/>
    <s v="STANDARD"/>
    <s v="N"/>
    <s v="N"/>
    <s v="Y"/>
    <s v="T20"/>
    <s v="N"/>
    <s v="N"/>
    <s v="N"/>
    <s v="N"/>
    <s v="B009"/>
    <d v="2016-12-26T00:00:00"/>
    <s v="30"/>
    <s v="TAN"/>
    <s v="OR"/>
    <d v="2016-12-21T00:00:00"/>
    <s v="MI"/>
    <s v="US"/>
    <s v="ZR"/>
    <d v="2016-12-21T00:00:00"/>
  </r>
  <r>
    <x v="1"/>
    <x v="0"/>
    <x v="3188"/>
    <x v="55"/>
    <s v="Standard order"/>
    <x v="3059"/>
    <x v="2548"/>
    <s v="1399"/>
    <s v="BTS 1399"/>
    <s v="5002348"/>
    <s v="1399 BTS T20 Kabina RP"/>
    <n v="24"/>
    <n v="0"/>
    <n v="24"/>
    <x v="0"/>
    <s v="EG74"/>
    <s v="RP"/>
    <s v="380"/>
    <s v="4.0 UN"/>
    <s v="STANDARD"/>
    <s v="N"/>
    <s v="N"/>
    <s v="Y"/>
    <s v="T20"/>
    <s v="N"/>
    <s v="N"/>
    <s v="N"/>
    <s v="N"/>
    <s v="B009"/>
    <d v="2016-12-26T00:00:00"/>
    <s v="10"/>
    <s v="TAN"/>
    <s v="OR"/>
    <d v="2016-12-21T00:00:00"/>
    <s v="MI"/>
    <s v="US"/>
    <s v="ZR"/>
    <d v="2016-12-21T00:00:00"/>
  </r>
  <r>
    <x v="1"/>
    <x v="0"/>
    <x v="3189"/>
    <x v="29"/>
    <s v="Standard order"/>
    <x v="3060"/>
    <x v="2549"/>
    <s v="122N"/>
    <s v="BTS 12RR2N"/>
    <s v="5002311"/>
    <s v="122N BTS T20 Kabina RP"/>
    <n v="20"/>
    <n v="0"/>
    <n v="20"/>
    <x v="0"/>
    <s v="4TBG"/>
    <s v="RP"/>
    <s v="380"/>
    <s v="4.0 UN"/>
    <s v="STANDARD"/>
    <s v="N"/>
    <s v="N"/>
    <s v="Y"/>
    <s v="T20"/>
    <s v="N"/>
    <s v="N"/>
    <s v="N"/>
    <s v="N"/>
    <s v="B005"/>
    <d v="2016-12-26T00:00:00"/>
    <s v="10"/>
    <s v="TAN"/>
    <s v="OR"/>
    <d v="2016-12-21T00:00:00"/>
    <s v="MI"/>
    <s v="US"/>
    <s v="ZR"/>
    <d v="2016-12-21T00:00:00"/>
  </r>
  <r>
    <x v="1"/>
    <x v="0"/>
    <x v="3189"/>
    <x v="29"/>
    <s v="Standard order"/>
    <x v="3060"/>
    <x v="2549"/>
    <s v="149N"/>
    <s v="BTS 149N"/>
    <s v="5002368"/>
    <s v="149N BTS T20 Kabina RP"/>
    <n v="16"/>
    <n v="0"/>
    <n v="16"/>
    <x v="0"/>
    <s v="EEND"/>
    <s v="RP"/>
    <s v="380"/>
    <s v="4.0 UN"/>
    <s v="STANDARD"/>
    <s v="N"/>
    <s v="N"/>
    <s v="Y"/>
    <s v="T20"/>
    <s v="N"/>
    <s v="N"/>
    <s v="N"/>
    <s v="N"/>
    <s v="B005"/>
    <d v="2016-12-26T00:00:00"/>
    <s v="20"/>
    <s v="TAN"/>
    <s v="OR"/>
    <d v="2016-12-21T00:00:00"/>
    <s v="MI"/>
    <s v="US"/>
    <s v="ZR"/>
    <d v="2016-12-21T00:00:00"/>
  </r>
  <r>
    <x v="1"/>
    <x v="0"/>
    <x v="3190"/>
    <x v="57"/>
    <s v="Standard order"/>
    <x v="3061"/>
    <x v="2550"/>
    <s v="122N"/>
    <s v="BTS 12RR2N"/>
    <s v="5002311"/>
    <s v="122N BTS T20 Kabina RP"/>
    <n v="24"/>
    <n v="0"/>
    <n v="24"/>
    <x v="0"/>
    <s v="4TBG"/>
    <s v="RP"/>
    <s v="380"/>
    <s v="4.0 UN"/>
    <s v="STANDARD"/>
    <s v="N"/>
    <s v="N"/>
    <s v="Y"/>
    <s v="T20"/>
    <s v="N"/>
    <s v="N"/>
    <s v="N"/>
    <s v="N"/>
    <s v="B008"/>
    <d v="2016-12-26T00:00:00"/>
    <s v="10"/>
    <s v="TAN"/>
    <s v="OR"/>
    <d v="2016-12-21T00:00:00"/>
    <s v="MI"/>
    <s v="US"/>
    <s v="ZR"/>
    <d v="2016-12-21T00:00:00"/>
  </r>
  <r>
    <x v="1"/>
    <x v="0"/>
    <x v="3191"/>
    <x v="30"/>
    <s v="Standard order"/>
    <x v="3062"/>
    <x v="2551"/>
    <s v="1399"/>
    <s v="BTS 1399"/>
    <s v="5002348"/>
    <s v="1399 BTS T20 Kabina RP"/>
    <n v="8"/>
    <n v="0"/>
    <n v="8"/>
    <x v="0"/>
    <s v="EG74"/>
    <s v="RP"/>
    <s v="380"/>
    <s v="4.0 UN"/>
    <s v="STANDARD"/>
    <s v="N"/>
    <s v="N"/>
    <s v="Y"/>
    <s v="T20"/>
    <s v="N"/>
    <s v="N"/>
    <s v="N"/>
    <s v="N"/>
    <s v="B001"/>
    <d v="2016-12-26T00:00:00"/>
    <s v="10"/>
    <s v="TAN"/>
    <s v="OR"/>
    <d v="2016-12-21T00:00:00"/>
    <s v="MI"/>
    <s v="US"/>
    <s v="ZR"/>
    <d v="2016-12-21T00:00:00"/>
  </r>
  <r>
    <x v="1"/>
    <x v="2"/>
    <x v="3192"/>
    <x v="25"/>
    <s v="Standard order"/>
    <x v="3063"/>
    <x v="1015"/>
    <s v="628N"/>
    <s v="BTS 62RR8N"/>
    <s v="5002683"/>
    <s v="628N BTS T20 PB SYSTIVA P100"/>
    <n v="28"/>
    <n v="0"/>
    <n v="28"/>
    <x v="2"/>
    <s v="BL73"/>
    <s v="PRO 100"/>
    <s v="322"/>
    <s v="4.0 UN"/>
    <s v="STANDARD"/>
    <s v="N"/>
    <s v="N"/>
    <s v="N"/>
    <s v="T20"/>
    <s v="Y"/>
    <s v="N"/>
    <s v="Y"/>
    <s v="N"/>
    <s v="B021"/>
    <d v="2016-12-26T00:00:00"/>
    <s v="10"/>
    <s v="TAN"/>
    <s v="OR"/>
    <d v="2016-12-21T00:00:00"/>
    <s v="CO"/>
    <s v="US"/>
    <s v="ZR"/>
    <d v="2016-12-21T00:00:00"/>
  </r>
  <r>
    <x v="1"/>
    <x v="0"/>
    <x v="3193"/>
    <x v="49"/>
    <s v="Standard order"/>
    <x v="3064"/>
    <x v="2552"/>
    <s v="133N"/>
    <s v="BTS 133N"/>
    <s v="5002329"/>
    <s v="133N BTS T20 Kabina RP"/>
    <n v="44"/>
    <n v="0"/>
    <n v="44"/>
    <x v="0"/>
    <s v="DW73"/>
    <s v="RP"/>
    <s v="380"/>
    <s v="4.0 UN"/>
    <s v="STANDARD"/>
    <s v="N"/>
    <s v="N"/>
    <s v="Y"/>
    <s v="T20"/>
    <s v="N"/>
    <s v="N"/>
    <s v="N"/>
    <s v="N"/>
    <s v="B004"/>
    <d v="2016-12-26T00:00:00"/>
    <s v="10"/>
    <s v="TAN"/>
    <s v="OR"/>
    <d v="2016-12-21T00:00:00"/>
    <s v="MI"/>
    <s v="US"/>
    <s v="ZR"/>
    <d v="2016-12-21T00:00:00"/>
  </r>
  <r>
    <x v="1"/>
    <x v="2"/>
    <x v="3194"/>
    <x v="22"/>
    <s v="Standard order"/>
    <x v="3065"/>
    <x v="1051"/>
    <s v="6543"/>
    <s v="BTS 6543"/>
    <s v="5002440"/>
    <s v="6543 BTS T20 PB SYSTIVA P50"/>
    <n v="24"/>
    <n v="0"/>
    <n v="24"/>
    <x v="2"/>
    <s v="FXND"/>
    <s v="PRO 50"/>
    <s v="322"/>
    <s v="4.0 UN"/>
    <s v="STANDARD"/>
    <s v="N"/>
    <s v="N"/>
    <s v="N"/>
    <s v="T20"/>
    <s v="Y"/>
    <s v="N"/>
    <s v="Y"/>
    <s v="N"/>
    <s v="B018"/>
    <d v="2016-12-26T00:00:00"/>
    <s v="10"/>
    <s v="TAN"/>
    <s v="OR"/>
    <d v="2016-12-21T00:00:00"/>
    <s v="CO"/>
    <s v="US"/>
    <s v="ZR"/>
    <d v="2016-12-21T00:00:00"/>
  </r>
  <r>
    <x v="1"/>
    <x v="2"/>
    <x v="3194"/>
    <x v="22"/>
    <s v="Standard order"/>
    <x v="3065"/>
    <x v="1051"/>
    <s v="630N"/>
    <s v="BTS 630N"/>
    <s v="5002404"/>
    <s v="630N BTS T20 PB SYSTIVA P50"/>
    <n v="16"/>
    <n v="0"/>
    <n v="16"/>
    <x v="2"/>
    <s v="DW73"/>
    <s v="PRO 50"/>
    <s v="322"/>
    <s v="4.0 UN"/>
    <s v="STANDARD"/>
    <s v="N"/>
    <s v="N"/>
    <s v="N"/>
    <s v="T20"/>
    <s v="Y"/>
    <s v="N"/>
    <s v="Y"/>
    <s v="N"/>
    <s v="B018"/>
    <d v="2016-12-26T00:00:00"/>
    <s v="20"/>
    <s v="TAN"/>
    <s v="OR"/>
    <d v="2016-12-21T00:00:00"/>
    <s v="CO"/>
    <s v="US"/>
    <s v="ZR"/>
    <d v="2016-12-21T00:00:00"/>
  </r>
  <r>
    <x v="1"/>
    <x v="2"/>
    <x v="3194"/>
    <x v="22"/>
    <s v="Standard order"/>
    <x v="3065"/>
    <x v="1051"/>
    <s v="628N"/>
    <s v="BTS 62RR8N"/>
    <s v="5002685"/>
    <s v="628N BTS T20 PB SYSTIVA P50"/>
    <n v="12"/>
    <n v="0"/>
    <n v="12"/>
    <x v="2"/>
    <s v="BL73"/>
    <s v="PRO 50"/>
    <s v="322"/>
    <s v="4.0 UN"/>
    <s v="STANDARD"/>
    <s v="N"/>
    <s v="N"/>
    <s v="N"/>
    <s v="T20"/>
    <s v="Y"/>
    <s v="N"/>
    <s v="Y"/>
    <s v="N"/>
    <s v="B018"/>
    <d v="2016-12-26T00:00:00"/>
    <s v="30"/>
    <s v="TAN"/>
    <s v="OR"/>
    <d v="2016-12-21T00:00:00"/>
    <s v="CO"/>
    <s v="US"/>
    <s v="ZR"/>
    <d v="2016-12-21T00:00:00"/>
  </r>
  <r>
    <x v="1"/>
    <x v="4"/>
    <x v="3195"/>
    <x v="50"/>
    <s v="Standard order"/>
    <x v="3066"/>
    <x v="2553"/>
    <s v="251N"/>
    <s v="BTS 251N"/>
    <s v="5002509"/>
    <s v="251N BTS T20 PB MP"/>
    <n v="84"/>
    <n v="0"/>
    <n v="84"/>
    <x v="4"/>
    <s v="5HBR"/>
    <s v="MP"/>
    <s v="308"/>
    <s v="4.0 UN"/>
    <s v="STANDARD"/>
    <s v="N"/>
    <s v="Y"/>
    <s v="N"/>
    <s v="T20"/>
    <s v="N"/>
    <s v="N"/>
    <s v="N"/>
    <s v="N"/>
    <s v="B047"/>
    <d v="2016-12-26T00:00:00"/>
    <s v="10"/>
    <s v="TAN"/>
    <s v="OR"/>
    <d v="2016-12-20T00:00:00"/>
    <s v="ID"/>
    <s v="US"/>
    <s v="ZR"/>
    <d v="2016-12-21T00:00:00"/>
  </r>
  <r>
    <x v="1"/>
    <x v="4"/>
    <x v="3195"/>
    <x v="50"/>
    <s v="Standard order"/>
    <x v="3066"/>
    <x v="2553"/>
    <s v="225N"/>
    <s v="BTS 22RR5N"/>
    <s v="5002122"/>
    <s v="225N BTS T20 PB MP"/>
    <n v="84"/>
    <n v="0"/>
    <n v="84"/>
    <x v="4"/>
    <s v="4TBD"/>
    <s v="MP"/>
    <s v="308"/>
    <s v="4.0 UN"/>
    <s v="STANDARD"/>
    <s v="N"/>
    <s v="Y"/>
    <s v="N"/>
    <s v="T20"/>
    <s v="N"/>
    <s v="N"/>
    <s v="N"/>
    <s v="N"/>
    <s v="B047"/>
    <d v="2016-12-26T00:00:00"/>
    <s v="20"/>
    <s v="TAN"/>
    <s v="OR"/>
    <d v="2016-12-20T00:00:00"/>
    <s v="ID"/>
    <s v="US"/>
    <s v="ZR"/>
    <d v="2016-12-21T00:00:00"/>
  </r>
  <r>
    <x v="1"/>
    <x v="0"/>
    <x v="3196"/>
    <x v="55"/>
    <s v="Standard order"/>
    <x v="3067"/>
    <x v="1010"/>
    <s v="133N"/>
    <s v="BTS 133N"/>
    <s v="5002327"/>
    <s v="133N BTS T20 Kabina MP"/>
    <n v="56"/>
    <n v="0"/>
    <n v="56"/>
    <x v="0"/>
    <s v="DW73"/>
    <s v="MP"/>
    <s v="380"/>
    <s v="4.0 UN"/>
    <s v="STANDARD"/>
    <s v="N"/>
    <s v="N"/>
    <s v="Y"/>
    <s v="T20"/>
    <s v="N"/>
    <s v="N"/>
    <s v="N"/>
    <s v="N"/>
    <s v="B009"/>
    <d v="2016-12-26T00:00:00"/>
    <s v="10"/>
    <s v="TAN"/>
    <s v="OR"/>
    <d v="2016-12-21T00:00:00"/>
    <s v="MI"/>
    <s v="US"/>
    <s v="ZR"/>
    <d v="2016-12-21T00:00:00"/>
  </r>
  <r>
    <x v="1"/>
    <x v="2"/>
    <x v="3197"/>
    <x v="6"/>
    <s v="Standard order"/>
    <x v="3068"/>
    <x v="1056"/>
    <s v="64SN"/>
    <s v="BTS 64SN"/>
    <s v="5002422"/>
    <s v="64SN BTS T20 PB SYSTIVA P50"/>
    <n v="48"/>
    <n v="0"/>
    <n v="48"/>
    <x v="2"/>
    <s v="DVNB"/>
    <s v="PRO 50"/>
    <s v="322"/>
    <s v="4.0 UN"/>
    <s v="STANDARD"/>
    <s v="N"/>
    <s v="N"/>
    <s v="N"/>
    <s v="T20"/>
    <s v="Y"/>
    <s v="N"/>
    <s v="Y"/>
    <s v="N"/>
    <s v="B025"/>
    <d v="2016-12-26T00:00:00"/>
    <s v="10"/>
    <s v="TAN"/>
    <s v="OR"/>
    <d v="2016-12-20T00:00:00"/>
    <s v="NE"/>
    <s v="US"/>
    <s v="ZR"/>
    <d v="2016-12-21T00:00:00"/>
  </r>
  <r>
    <x v="1"/>
    <x v="4"/>
    <x v="3198"/>
    <x v="50"/>
    <s v="Standard order"/>
    <x v="3069"/>
    <x v="2554"/>
    <s v="2570"/>
    <s v="BTS 2570"/>
    <s v="5002636"/>
    <s v="2570 BTS T20 PB MP"/>
    <n v="40"/>
    <n v="0"/>
    <n v="40"/>
    <x v="4"/>
    <s v="EZNS"/>
    <s v="MP"/>
    <s v="308"/>
    <s v="4.0 UN"/>
    <s v="STANDARD"/>
    <s v="N"/>
    <s v="Y"/>
    <s v="N"/>
    <s v="T20"/>
    <s v="N"/>
    <s v="N"/>
    <s v="N"/>
    <s v="N"/>
    <s v="B047"/>
    <d v="2016-12-26T00:00:00"/>
    <s v="10"/>
    <s v="TAN"/>
    <s v="OR"/>
    <d v="2016-12-20T00:00:00"/>
    <s v="ID"/>
    <s v="US"/>
    <s v="ZR"/>
    <d v="2016-12-21T00:00:00"/>
  </r>
  <r>
    <x v="1"/>
    <x v="4"/>
    <x v="3199"/>
    <x v="50"/>
    <s v="Standard order"/>
    <x v="3070"/>
    <x v="2555"/>
    <s v="2559"/>
    <s v="BTS 2559"/>
    <s v="5002561"/>
    <s v="2559 BTS PB LRG"/>
    <n v="12"/>
    <n v="0"/>
    <n v="12"/>
    <x v="4"/>
    <s v="FGNE"/>
    <s v="LARGE"/>
    <s v="307"/>
    <s v="4.0 UN"/>
    <s v="STANDARD"/>
    <s v="N"/>
    <s v="Y"/>
    <s v="N"/>
    <s v="N"/>
    <s v="N"/>
    <s v="N"/>
    <s v="N"/>
    <s v="N"/>
    <s v="B047"/>
    <d v="2016-12-26T00:00:00"/>
    <s v="10"/>
    <s v="TAN"/>
    <s v="OR"/>
    <d v="2016-12-20T00:00:00"/>
    <s v="ID"/>
    <s v="US"/>
    <s v="ZR"/>
    <d v="2016-12-21T00:00:00"/>
  </r>
  <r>
    <x v="1"/>
    <x v="2"/>
    <x v="3200"/>
    <x v="6"/>
    <s v="Standard order"/>
    <x v="3071"/>
    <x v="1021"/>
    <s v="64SN"/>
    <s v="BTS 64SN"/>
    <s v="5002422"/>
    <s v="64SN BTS T20 PB SYSTIVA P50"/>
    <n v="48"/>
    <n v="0"/>
    <n v="48"/>
    <x v="2"/>
    <s v="DVNB"/>
    <s v="PRO 50"/>
    <s v="322"/>
    <s v="4.0 UN"/>
    <s v="STANDARD"/>
    <s v="N"/>
    <s v="N"/>
    <s v="N"/>
    <s v="T20"/>
    <s v="Y"/>
    <s v="N"/>
    <s v="Y"/>
    <s v="N"/>
    <s v="B025"/>
    <d v="2016-12-26T00:00:00"/>
    <s v="10"/>
    <s v="TAN"/>
    <s v="OR"/>
    <d v="2016-12-20T00:00:00"/>
    <s v="NE"/>
    <s v="US"/>
    <s v="ZR"/>
    <d v="2016-12-21T00:00:00"/>
  </r>
  <r>
    <x v="1"/>
    <x v="4"/>
    <x v="3201"/>
    <x v="44"/>
    <s v="Standard order"/>
    <x v="3072"/>
    <x v="2556"/>
    <s v="251N"/>
    <s v="BTS 251N"/>
    <s v="5002196"/>
    <s v="251N BTS PB XL"/>
    <n v="24"/>
    <n v="0"/>
    <n v="24"/>
    <x v="4"/>
    <s v="5HBR"/>
    <s v="X-LARGE"/>
    <s v="307"/>
    <s v="4.0 UN"/>
    <s v="STANDARD"/>
    <s v="N"/>
    <s v="Y"/>
    <s v="N"/>
    <s v="N"/>
    <s v="N"/>
    <s v="N"/>
    <s v="N"/>
    <s v="N"/>
    <s v="MB13"/>
    <d v="2016-12-26T00:00:00"/>
    <s v="10"/>
    <s v="TAN"/>
    <s v="OR"/>
    <d v="2016-12-20T00:00:00"/>
    <s v="OR"/>
    <s v="US"/>
    <s v="ZR"/>
    <d v="2016-12-21T00:00:00"/>
  </r>
  <r>
    <x v="1"/>
    <x v="0"/>
    <x v="3202"/>
    <x v="54"/>
    <s v="Standard order"/>
    <x v="3073"/>
    <x v="2557"/>
    <s v="122N"/>
    <s v="BTS 12RR2N"/>
    <s v="5002311"/>
    <s v="122N BTS T20 Kabina RP"/>
    <n v="16"/>
    <n v="0"/>
    <n v="16"/>
    <x v="0"/>
    <s v="4TBG"/>
    <s v="RP"/>
    <s v="380"/>
    <s v="4.0 UN"/>
    <s v="STANDARD"/>
    <s v="N"/>
    <s v="N"/>
    <s v="Y"/>
    <s v="T20"/>
    <s v="N"/>
    <s v="N"/>
    <s v="N"/>
    <s v="N"/>
    <s v="B002"/>
    <d v="2016-12-26T00:00:00"/>
    <s v="10"/>
    <s v="TAN"/>
    <s v="OR"/>
    <d v="2016-12-21T00:00:00"/>
    <s v="MI"/>
    <s v="US"/>
    <s v="ZR"/>
    <d v="2016-12-21T00:00:00"/>
  </r>
  <r>
    <x v="1"/>
    <x v="0"/>
    <x v="3202"/>
    <x v="54"/>
    <s v="Standard order"/>
    <x v="3073"/>
    <x v="2557"/>
    <s v="149N"/>
    <s v="BTS 149N"/>
    <s v="5002368"/>
    <s v="149N BTS T20 Kabina RP"/>
    <n v="16"/>
    <n v="0"/>
    <n v="16"/>
    <x v="0"/>
    <s v="EEND"/>
    <s v="RP"/>
    <s v="380"/>
    <s v="4.0 UN"/>
    <s v="STANDARD"/>
    <s v="N"/>
    <s v="N"/>
    <s v="Y"/>
    <s v="T20"/>
    <s v="N"/>
    <s v="N"/>
    <s v="N"/>
    <s v="N"/>
    <s v="B002"/>
    <d v="2016-12-26T00:00:00"/>
    <s v="20"/>
    <s v="TAN"/>
    <s v="OR"/>
    <d v="2016-12-21T00:00:00"/>
    <s v="MI"/>
    <s v="US"/>
    <s v="ZR"/>
    <d v="2016-12-21T00:00:00"/>
  </r>
  <r>
    <x v="1"/>
    <x v="0"/>
    <x v="3203"/>
    <x v="42"/>
    <s v="Standard order"/>
    <x v="3074"/>
    <x v="2558"/>
    <s v="1399"/>
    <s v="BTS 1399"/>
    <s v="5002347"/>
    <s v="1399 BTS T20 Kabina P200"/>
    <n v="40"/>
    <n v="0"/>
    <n v="40"/>
    <x v="0"/>
    <s v="EG74"/>
    <s v="PRO 200"/>
    <s v="380"/>
    <s v="4.0 UN"/>
    <s v="STANDARD"/>
    <s v="N"/>
    <s v="N"/>
    <s v="Y"/>
    <s v="T20"/>
    <s v="N"/>
    <s v="N"/>
    <s v="N"/>
    <s v="N"/>
    <s v="B007"/>
    <d v="2016-12-26T00:00:00"/>
    <s v="10"/>
    <s v="TAN"/>
    <s v="OR"/>
    <d v="2016-12-21T00:00:00"/>
    <s v="MI"/>
    <s v="US"/>
    <s v="ZR"/>
    <d v="2016-12-21T00:00:00"/>
  </r>
  <r>
    <x v="1"/>
    <x v="0"/>
    <x v="3204"/>
    <x v="42"/>
    <s v="Standard order"/>
    <x v="3075"/>
    <x v="922"/>
    <s v="149N"/>
    <s v="BTS 149N"/>
    <s v="5002368"/>
    <s v="149N BTS T20 Kabina RP"/>
    <n v="24"/>
    <n v="0"/>
    <n v="24"/>
    <x v="0"/>
    <s v="EEND"/>
    <s v="RP"/>
    <s v="380"/>
    <s v="4.0 UN"/>
    <s v="STANDARD"/>
    <s v="N"/>
    <s v="N"/>
    <s v="Y"/>
    <s v="T20"/>
    <s v="N"/>
    <s v="N"/>
    <s v="N"/>
    <s v="N"/>
    <s v="B007"/>
    <d v="2016-12-26T00:00:00"/>
    <s v="10"/>
    <s v="TAN"/>
    <s v="OR"/>
    <d v="2016-12-21T00:00:00"/>
    <s v="MI"/>
    <s v="US"/>
    <s v="ZR"/>
    <d v="2016-12-21T00:00:00"/>
  </r>
  <r>
    <x v="1"/>
    <x v="0"/>
    <x v="3204"/>
    <x v="42"/>
    <s v="Standard order"/>
    <x v="3075"/>
    <x v="922"/>
    <s v="122N"/>
    <s v="BTS 12RR2N"/>
    <s v="5002311"/>
    <s v="122N BTS T20 Kabina RP"/>
    <n v="12"/>
    <n v="0"/>
    <n v="12"/>
    <x v="0"/>
    <s v="4TBG"/>
    <s v="RP"/>
    <s v="380"/>
    <s v="4.0 UN"/>
    <s v="STANDARD"/>
    <s v="N"/>
    <s v="N"/>
    <s v="Y"/>
    <s v="T20"/>
    <s v="N"/>
    <s v="N"/>
    <s v="N"/>
    <s v="N"/>
    <s v="B007"/>
    <d v="2016-12-26T00:00:00"/>
    <s v="20"/>
    <s v="TAN"/>
    <s v="OR"/>
    <d v="2016-12-21T00:00:00"/>
    <s v="MI"/>
    <s v="US"/>
    <s v="ZR"/>
    <d v="2016-12-21T00:00:00"/>
  </r>
  <r>
    <x v="1"/>
    <x v="4"/>
    <x v="3205"/>
    <x v="50"/>
    <s v="Standard order"/>
    <x v="3076"/>
    <x v="2559"/>
    <s v="2570"/>
    <s v="BTS 2570"/>
    <s v="5002555"/>
    <s v="2570 BTS PB XL"/>
    <n v="40"/>
    <n v="0"/>
    <n v="40"/>
    <x v="4"/>
    <s v="EZNS"/>
    <s v="X-LARGE"/>
    <s v="307"/>
    <s v="4.0 UN"/>
    <s v="STANDARD"/>
    <s v="N"/>
    <s v="Y"/>
    <s v="N"/>
    <s v="N"/>
    <s v="N"/>
    <s v="N"/>
    <s v="N"/>
    <s v="N"/>
    <s v="B047"/>
    <d v="2016-12-26T00:00:00"/>
    <s v="10"/>
    <s v="TAN"/>
    <s v="OR"/>
    <d v="2016-12-20T00:00:00"/>
    <s v="ID"/>
    <s v="US"/>
    <s v="ZR"/>
    <d v="2016-12-21T00:00:00"/>
  </r>
  <r>
    <x v="1"/>
    <x v="2"/>
    <x v="3206"/>
    <x v="22"/>
    <s v="Standard order"/>
    <x v="3077"/>
    <x v="1052"/>
    <s v="630N"/>
    <s v="BTS 630N"/>
    <s v="5002402"/>
    <s v="630N BTS T20 PB SYSTIVA P100"/>
    <n v="8"/>
    <n v="0"/>
    <n v="8"/>
    <x v="2"/>
    <s v="DW73"/>
    <s v="PRO 100"/>
    <s v="322"/>
    <s v="4.0 UN"/>
    <s v="STANDARD"/>
    <s v="N"/>
    <s v="N"/>
    <s v="N"/>
    <s v="T20"/>
    <s v="Y"/>
    <s v="N"/>
    <s v="Y"/>
    <s v="N"/>
    <s v="B018"/>
    <d v="2016-12-26T00:00:00"/>
    <s v="10"/>
    <s v="TAN"/>
    <s v="OR"/>
    <d v="2016-12-21T00:00:00"/>
    <s v="CO"/>
    <s v="US"/>
    <s v="ZR"/>
    <d v="2016-12-21T00:00:00"/>
  </r>
  <r>
    <x v="1"/>
    <x v="0"/>
    <x v="3207"/>
    <x v="42"/>
    <s v="Standard order"/>
    <x v="3078"/>
    <x v="659"/>
    <s v="122N"/>
    <s v="BTS 12RR2N"/>
    <s v="5002309"/>
    <s v="122N BTS T20 Kabina MP"/>
    <n v="88"/>
    <n v="0"/>
    <n v="88"/>
    <x v="0"/>
    <s v="4TBG"/>
    <s v="MP"/>
    <s v="380"/>
    <s v="4.0 UN"/>
    <s v="STANDARD"/>
    <s v="N"/>
    <s v="N"/>
    <s v="Y"/>
    <s v="T20"/>
    <s v="N"/>
    <s v="N"/>
    <s v="N"/>
    <s v="N"/>
    <s v="B007"/>
    <d v="2016-12-27T00:00:00"/>
    <s v="10"/>
    <s v="TAN"/>
    <s v="OR"/>
    <d v="2016-12-21T00:00:00"/>
    <s v="MI"/>
    <s v="US"/>
    <s v="ZR"/>
    <d v="2016-12-22T00:00:00"/>
  </r>
  <r>
    <x v="1"/>
    <x v="0"/>
    <x v="3207"/>
    <x v="42"/>
    <s v="Standard order"/>
    <x v="3078"/>
    <x v="659"/>
    <s v="149N"/>
    <s v="BTS 149N"/>
    <s v="5002366"/>
    <s v="149N BTS T20 Kabina MP"/>
    <n v="44"/>
    <n v="0"/>
    <n v="44"/>
    <x v="0"/>
    <s v="EEND"/>
    <s v="MP"/>
    <s v="380"/>
    <s v="4.0 UN"/>
    <s v="STANDARD"/>
    <s v="N"/>
    <s v="N"/>
    <s v="Y"/>
    <s v="T20"/>
    <s v="N"/>
    <s v="N"/>
    <s v="N"/>
    <s v="N"/>
    <s v="B007"/>
    <d v="2016-12-27T00:00:00"/>
    <s v="20"/>
    <s v="TAN"/>
    <s v="OR"/>
    <d v="2016-12-21T00:00:00"/>
    <s v="MI"/>
    <s v="US"/>
    <s v="ZR"/>
    <d v="2016-12-22T00:00:00"/>
  </r>
  <r>
    <x v="1"/>
    <x v="2"/>
    <x v="3208"/>
    <x v="3"/>
    <s v="Standard order"/>
    <x v="3079"/>
    <x v="1064"/>
    <s v="630N"/>
    <s v="BTS 630N"/>
    <s v="5002402"/>
    <s v="630N BTS T20 PB SYSTIVA P100"/>
    <n v="32"/>
    <n v="0"/>
    <n v="32"/>
    <x v="2"/>
    <s v="DW73"/>
    <s v="PRO 100"/>
    <s v="322"/>
    <s v="4.0 UN"/>
    <s v="STANDARD"/>
    <s v="N"/>
    <s v="N"/>
    <s v="N"/>
    <s v="T20"/>
    <s v="Y"/>
    <s v="N"/>
    <s v="Y"/>
    <s v="N"/>
    <s v="B024"/>
    <d v="2016-12-27T00:00:00"/>
    <s v="10"/>
    <s v="TAN"/>
    <s v="OR"/>
    <d v="2016-12-22T00:00:00"/>
    <s v="NE"/>
    <s v="US"/>
    <s v="ZR"/>
    <d v="2016-12-22T00:00:00"/>
  </r>
  <r>
    <x v="1"/>
    <x v="4"/>
    <x v="3209"/>
    <x v="52"/>
    <s v="Standard order"/>
    <x v="3080"/>
    <x v="2560"/>
    <s v="251N"/>
    <s v="BTS 251N"/>
    <s v="5002196"/>
    <s v="251N BTS PB XL"/>
    <n v="12"/>
    <n v="0"/>
    <n v="12"/>
    <x v="4"/>
    <s v="5HBR"/>
    <s v="X-LARGE"/>
    <s v="307"/>
    <s v="4.0 UN"/>
    <s v="STANDARD"/>
    <s v="N"/>
    <s v="Y"/>
    <s v="N"/>
    <s v="N"/>
    <s v="N"/>
    <s v="N"/>
    <s v="N"/>
    <s v="N"/>
    <s v="B048"/>
    <d v="2016-12-27T00:00:00"/>
    <s v="10"/>
    <s v="TAN"/>
    <s v="OR"/>
    <d v="2016-12-21T00:00:00"/>
    <s v="ID"/>
    <s v="US"/>
    <s v="ZR"/>
    <d v="2016-12-22T00:00:00"/>
  </r>
  <r>
    <x v="1"/>
    <x v="4"/>
    <x v="3209"/>
    <x v="52"/>
    <s v="Standard order"/>
    <x v="3080"/>
    <x v="2560"/>
    <s v="2570"/>
    <s v="BTS 2570"/>
    <s v="5002555"/>
    <s v="2570 BTS PB XL"/>
    <n v="24"/>
    <n v="0"/>
    <n v="24"/>
    <x v="4"/>
    <s v="EZNS"/>
    <s v="X-LARGE"/>
    <s v="307"/>
    <s v="4.0 UN"/>
    <s v="STANDARD"/>
    <s v="N"/>
    <s v="Y"/>
    <s v="N"/>
    <s v="N"/>
    <s v="N"/>
    <s v="N"/>
    <s v="N"/>
    <s v="N"/>
    <s v="B048"/>
    <d v="2016-12-27T00:00:00"/>
    <s v="20"/>
    <s v="TAN"/>
    <s v="OR"/>
    <d v="2016-12-21T00:00:00"/>
    <s v="ID"/>
    <s v="US"/>
    <s v="ZR"/>
    <d v="2016-12-22T00:00:00"/>
  </r>
  <r>
    <x v="1"/>
    <x v="4"/>
    <x v="3209"/>
    <x v="52"/>
    <s v="Standard order"/>
    <x v="3080"/>
    <x v="2560"/>
    <s v="2523"/>
    <s v="BTS 2523"/>
    <s v="5002529"/>
    <s v="2523 BTS PB XL"/>
    <n v="24"/>
    <n v="0"/>
    <n v="24"/>
    <x v="4"/>
    <s v="EZPC"/>
    <s v="X-LARGE"/>
    <s v="307"/>
    <s v="4.0 UN"/>
    <s v="STANDARD"/>
    <s v="N"/>
    <s v="Y"/>
    <s v="N"/>
    <s v="N"/>
    <s v="N"/>
    <s v="N"/>
    <s v="N"/>
    <s v="N"/>
    <s v="B048"/>
    <d v="2016-12-27T00:00:00"/>
    <s v="30"/>
    <s v="TAN"/>
    <s v="OR"/>
    <d v="2016-12-21T00:00:00"/>
    <s v="ID"/>
    <s v="US"/>
    <s v="ZR"/>
    <d v="2016-12-22T00:00:00"/>
  </r>
  <r>
    <x v="1"/>
    <x v="4"/>
    <x v="3210"/>
    <x v="52"/>
    <s v="Standard order"/>
    <x v="3081"/>
    <x v="2561"/>
    <s v="251N"/>
    <s v="BTS 251N"/>
    <s v="5002505"/>
    <s v="251N BTS PB Kabina XL"/>
    <n v="8"/>
    <n v="0"/>
    <n v="8"/>
    <x v="4"/>
    <s v="5HBR"/>
    <s v="X-LARGE"/>
    <s v="384"/>
    <s v="4.0 UN"/>
    <s v="STANDARD"/>
    <s v="N"/>
    <s v="Y"/>
    <s v="Y"/>
    <s v="N"/>
    <s v="N"/>
    <s v="N"/>
    <s v="N"/>
    <s v="N"/>
    <s v="B048"/>
    <d v="2016-12-27T00:00:00"/>
    <s v="10"/>
    <s v="TAN"/>
    <s v="OR"/>
    <d v="2016-12-21T00:00:00"/>
    <s v="ID"/>
    <s v="US"/>
    <s v="ZR"/>
    <d v="2016-12-22T00:00:00"/>
  </r>
  <r>
    <x v="1"/>
    <x v="4"/>
    <x v="3211"/>
    <x v="52"/>
    <s v="Standard order"/>
    <x v="3082"/>
    <x v="2562"/>
    <s v="2570"/>
    <s v="BTS 2570"/>
    <s v="5002914"/>
    <s v="2570 BTS PB Kabina LRG"/>
    <n v="16"/>
    <n v="0"/>
    <n v="16"/>
    <x v="4"/>
    <s v="EZNS"/>
    <s v="LARGE"/>
    <s v="384"/>
    <s v="4.0 UN"/>
    <s v="STANDARD"/>
    <s v="N"/>
    <s v="Y"/>
    <s v="Y"/>
    <s v="N"/>
    <s v="N"/>
    <s v="N"/>
    <s v="N"/>
    <s v="N"/>
    <s v="B048"/>
    <d v="2016-12-27T00:00:00"/>
    <s v="10"/>
    <s v="TAN"/>
    <s v="OR"/>
    <d v="2016-12-22T00:00:00"/>
    <s v="ID"/>
    <s v="US"/>
    <s v="ZR"/>
    <d v="2016-12-22T00:00:00"/>
  </r>
  <r>
    <x v="1"/>
    <x v="2"/>
    <x v="3212"/>
    <x v="3"/>
    <s v="Standard order"/>
    <x v="3083"/>
    <x v="1077"/>
    <s v="628N"/>
    <s v="BTS 62RR8N"/>
    <s v="5002683"/>
    <s v="628N BTS T20 PB SYSTIVA P100"/>
    <n v="32"/>
    <n v="0"/>
    <n v="32"/>
    <x v="2"/>
    <s v="BL73"/>
    <s v="PRO 100"/>
    <s v="322"/>
    <s v="4.0 UN"/>
    <s v="STANDARD"/>
    <s v="N"/>
    <s v="N"/>
    <s v="N"/>
    <s v="T20"/>
    <s v="Y"/>
    <s v="N"/>
    <s v="Y"/>
    <s v="N"/>
    <s v="B024"/>
    <d v="2016-12-27T00:00:00"/>
    <s v="10"/>
    <s v="TAN"/>
    <s v="OR"/>
    <d v="2016-12-22T00:00:00"/>
    <s v="NE"/>
    <s v="US"/>
    <s v="ZR"/>
    <d v="2016-12-22T00:00:00"/>
  </r>
  <r>
    <x v="1"/>
    <x v="2"/>
    <x v="3212"/>
    <x v="3"/>
    <s v="Standard order"/>
    <x v="3083"/>
    <x v="1077"/>
    <s v="64SN"/>
    <s v="BTS 64SN"/>
    <s v="5002420"/>
    <s v="64SN BTS T20 PB SYSTIVA P100"/>
    <n v="32"/>
    <n v="0"/>
    <n v="32"/>
    <x v="2"/>
    <s v="DVNB"/>
    <s v="PRO 100"/>
    <s v="322"/>
    <s v="4.0 UN"/>
    <s v="STANDARD"/>
    <s v="N"/>
    <s v="N"/>
    <s v="N"/>
    <s v="T20"/>
    <s v="Y"/>
    <s v="N"/>
    <s v="Y"/>
    <s v="N"/>
    <s v="B024"/>
    <d v="2016-12-27T00:00:00"/>
    <s v="20"/>
    <s v="TAN"/>
    <s v="OR"/>
    <d v="2016-12-22T00:00:00"/>
    <s v="NE"/>
    <s v="US"/>
    <s v="ZR"/>
    <d v="2016-12-22T00:00:00"/>
  </r>
  <r>
    <x v="1"/>
    <x v="4"/>
    <x v="3213"/>
    <x v="44"/>
    <s v="Standard order"/>
    <x v="3084"/>
    <x v="1201"/>
    <s v="251N"/>
    <s v="BTS 251N"/>
    <s v="5002505"/>
    <s v="251N BTS PB Kabina XL"/>
    <n v="44"/>
    <n v="0"/>
    <n v="44"/>
    <x v="4"/>
    <s v="5HBR"/>
    <s v="X-LARGE"/>
    <s v="384"/>
    <s v="4.0 UN"/>
    <s v="STANDARD"/>
    <s v="N"/>
    <s v="Y"/>
    <s v="Y"/>
    <s v="N"/>
    <s v="N"/>
    <s v="N"/>
    <s v="N"/>
    <s v="N"/>
    <s v="MB13"/>
    <d v="2016-12-27T00:00:00"/>
    <s v="10"/>
    <s v="TAN"/>
    <s v="OR"/>
    <d v="2016-12-22T00:00:00"/>
    <s v="ID"/>
    <s v="US"/>
    <s v="ZR"/>
    <d v="2016-12-22T00:00:00"/>
  </r>
  <r>
    <x v="1"/>
    <x v="4"/>
    <x v="3214"/>
    <x v="53"/>
    <s v="Standard order"/>
    <x v="3085"/>
    <x v="2563"/>
    <s v="251N"/>
    <s v="BTS 251N"/>
    <s v="5002194"/>
    <s v="251N BTS PB LRG"/>
    <n v="24"/>
    <n v="0"/>
    <n v="24"/>
    <x v="4"/>
    <s v="5HBR"/>
    <s v="LARGE"/>
    <s v="307"/>
    <s v="4.0 UN"/>
    <s v="STANDARD"/>
    <s v="N"/>
    <s v="Y"/>
    <s v="N"/>
    <s v="N"/>
    <s v="N"/>
    <s v="N"/>
    <s v="N"/>
    <s v="N"/>
    <s v="B051"/>
    <d v="2016-12-27T00:00:00"/>
    <s v="10"/>
    <s v="TAN"/>
    <s v="OR"/>
    <d v="2016-12-22T00:00:00"/>
    <s v="ID"/>
    <s v="US"/>
    <s v="ZR"/>
    <d v="2016-12-22T00:00:00"/>
  </r>
  <r>
    <x v="1"/>
    <x v="4"/>
    <x v="3214"/>
    <x v="53"/>
    <s v="Standard order"/>
    <x v="3085"/>
    <x v="2563"/>
    <s v="2570"/>
    <s v="BTS 2570"/>
    <s v="5002553"/>
    <s v="2570 BTS PB LRG"/>
    <n v="52"/>
    <n v="0"/>
    <n v="52"/>
    <x v="4"/>
    <s v="EZNS"/>
    <s v="LARGE"/>
    <s v="307"/>
    <s v="4.0 UN"/>
    <s v="STANDARD"/>
    <s v="N"/>
    <s v="Y"/>
    <s v="N"/>
    <s v="N"/>
    <s v="N"/>
    <s v="N"/>
    <s v="N"/>
    <s v="N"/>
    <s v="B051"/>
    <d v="2016-12-27T00:00:00"/>
    <s v="20"/>
    <s v="TAN"/>
    <s v="OR"/>
    <d v="2016-12-22T00:00:00"/>
    <s v="ID"/>
    <s v="US"/>
    <s v="ZR"/>
    <d v="2016-12-22T00:00:00"/>
  </r>
  <r>
    <x v="1"/>
    <x v="2"/>
    <x v="3215"/>
    <x v="6"/>
    <s v="Standard order"/>
    <x v="3086"/>
    <x v="1071"/>
    <s v="64SN"/>
    <s v="BTS 64SN"/>
    <s v="5002420"/>
    <s v="64SN BTS T20 PB SYSTIVA P100"/>
    <n v="76"/>
    <n v="0"/>
    <n v="76"/>
    <x v="2"/>
    <s v="DVNB"/>
    <s v="PRO 100"/>
    <s v="322"/>
    <s v="4.0 UN"/>
    <s v="STANDARD"/>
    <s v="N"/>
    <s v="N"/>
    <s v="N"/>
    <s v="T20"/>
    <s v="Y"/>
    <s v="N"/>
    <s v="Y"/>
    <s v="N"/>
    <s v="B025"/>
    <d v="2016-12-27T00:00:00"/>
    <s v="10"/>
    <s v="TAN"/>
    <s v="OR"/>
    <d v="2016-12-22T00:00:00"/>
    <s v="NE"/>
    <s v="US"/>
    <s v="ZR"/>
    <d v="2016-12-22T00:00:00"/>
  </r>
  <r>
    <x v="1"/>
    <x v="2"/>
    <x v="3215"/>
    <x v="6"/>
    <s v="Standard order"/>
    <x v="3086"/>
    <x v="1071"/>
    <s v="6543"/>
    <s v="BTS 6543"/>
    <s v="5002438"/>
    <s v="6543 BTS T20 PB SYSTIVA P100"/>
    <n v="12"/>
    <n v="0"/>
    <n v="12"/>
    <x v="2"/>
    <s v="FXND"/>
    <s v="PRO 100"/>
    <s v="322"/>
    <s v="4.0 UN"/>
    <s v="STANDARD"/>
    <s v="N"/>
    <s v="N"/>
    <s v="N"/>
    <s v="T20"/>
    <s v="Y"/>
    <s v="N"/>
    <s v="Y"/>
    <s v="N"/>
    <s v="B025"/>
    <d v="2016-12-27T00:00:00"/>
    <s v="20"/>
    <s v="TAN"/>
    <s v="OR"/>
    <d v="2016-12-22T00:00:00"/>
    <s v="NE"/>
    <s v="US"/>
    <s v="ZR"/>
    <d v="2016-12-22T00:00:00"/>
  </r>
  <r>
    <x v="1"/>
    <x v="0"/>
    <x v="3216"/>
    <x v="45"/>
    <s v="Standard order"/>
    <x v="3087"/>
    <x v="2564"/>
    <s v="1399"/>
    <s v="BTS 1399"/>
    <s v="5002348"/>
    <s v="1399 BTS T20 Kabina RP"/>
    <n v="24"/>
    <n v="0"/>
    <n v="24"/>
    <x v="0"/>
    <s v="EG74"/>
    <s v="RP"/>
    <s v="380"/>
    <s v="4.0 UN"/>
    <s v="STANDARD"/>
    <s v="N"/>
    <s v="N"/>
    <s v="Y"/>
    <s v="T20"/>
    <s v="N"/>
    <s v="N"/>
    <s v="N"/>
    <s v="N"/>
    <s v="B003"/>
    <d v="2016-12-27T00:00:00"/>
    <s v="10"/>
    <s v="TAN"/>
    <s v="OR"/>
    <d v="2016-12-22T00:00:00"/>
    <s v="MI"/>
    <s v="US"/>
    <s v="ZR"/>
    <d v="2016-12-22T00:00:00"/>
  </r>
  <r>
    <x v="1"/>
    <x v="5"/>
    <x v="3217"/>
    <x v="14"/>
    <s v="Standard order"/>
    <x v="3088"/>
    <x v="1097"/>
    <s v="336N"/>
    <s v="BTS 336N"/>
    <s v="5002197"/>
    <s v="336N BTS T20 PB SYSTIVA MP"/>
    <n v="8"/>
    <n v="0"/>
    <n v="8"/>
    <x v="5"/>
    <s v="EEMG"/>
    <s v="MP"/>
    <s v="322"/>
    <s v="4.0 UN"/>
    <s v="STANDARD"/>
    <s v="N"/>
    <s v="N"/>
    <s v="N"/>
    <s v="T20"/>
    <s v="Y"/>
    <s v="N"/>
    <s v="N"/>
    <s v="N"/>
    <s v="B017"/>
    <d v="2016-12-27T00:00:00"/>
    <s v="10"/>
    <s v="TAN"/>
    <s v="OR"/>
    <d v="2016-12-22T00:00:00"/>
    <s v="WY"/>
    <s v="US"/>
    <s v="ZR"/>
    <d v="2016-12-22T00:00:00"/>
  </r>
  <r>
    <x v="1"/>
    <x v="5"/>
    <x v="3217"/>
    <x v="14"/>
    <s v="Standard order"/>
    <x v="3088"/>
    <x v="1097"/>
    <s v="353N"/>
    <s v="BTS 353N"/>
    <s v="5002520"/>
    <s v="353N BTS T20 PB SYSTIVA MP"/>
    <n v="4"/>
    <n v="0"/>
    <n v="4"/>
    <x v="5"/>
    <s v="EENZ"/>
    <s v="MP"/>
    <s v="322"/>
    <s v="4.0 UN"/>
    <s v="STANDARD"/>
    <s v="N"/>
    <s v="Y"/>
    <s v="N"/>
    <s v="T20"/>
    <s v="Y"/>
    <s v="N"/>
    <s v="N"/>
    <s v="N"/>
    <s v="B017"/>
    <d v="2016-12-27T00:00:00"/>
    <s v="20"/>
    <s v="TAN"/>
    <s v="OR"/>
    <d v="2016-12-22T00:00:00"/>
    <s v="WY"/>
    <s v="US"/>
    <s v="ZR"/>
    <d v="2016-12-22T00:00:00"/>
  </r>
  <r>
    <x v="1"/>
    <x v="5"/>
    <x v="3217"/>
    <x v="14"/>
    <s v="Standard order"/>
    <x v="3088"/>
    <x v="1097"/>
    <s v="4933"/>
    <s v="BTS 49RR33"/>
    <s v="5002295"/>
    <s v="4933 BTS T20 PB SYSTIVA MP WSN"/>
    <n v="4"/>
    <n v="0"/>
    <n v="4"/>
    <x v="5"/>
    <s v="AKMC"/>
    <s v="MP"/>
    <s v="322"/>
    <s v="4.0 UN"/>
    <s v="STANDARD"/>
    <s v="N"/>
    <s v="Y"/>
    <s v="N"/>
    <s v="T20"/>
    <s v="Y"/>
    <s v="N"/>
    <s v="N"/>
    <s v="N"/>
    <s v="B017"/>
    <d v="2016-12-27T00:00:00"/>
    <s v="30"/>
    <s v="TAN"/>
    <s v="OR"/>
    <d v="2016-12-22T00:00:00"/>
    <s v="WY"/>
    <s v="US"/>
    <s v="ZR"/>
    <d v="2016-12-22T00:00:00"/>
  </r>
  <r>
    <x v="1"/>
    <x v="0"/>
    <x v="3218"/>
    <x v="30"/>
    <s v="Standard order"/>
    <x v="3089"/>
    <x v="2565"/>
    <s v="122N"/>
    <s v="BTS 12RR2N"/>
    <s v="5002311"/>
    <s v="122N BTS T20 Kabina RP"/>
    <n v="28"/>
    <n v="0"/>
    <n v="28"/>
    <x v="0"/>
    <s v="4TBG"/>
    <s v="RP"/>
    <s v="380"/>
    <s v="4.0 UN"/>
    <s v="STANDARD"/>
    <s v="N"/>
    <s v="N"/>
    <s v="Y"/>
    <s v="T20"/>
    <s v="N"/>
    <s v="N"/>
    <s v="N"/>
    <s v="N"/>
    <s v="B001"/>
    <d v="2016-12-27T00:00:00"/>
    <s v="10"/>
    <s v="TAN"/>
    <s v="OR"/>
    <d v="2016-12-22T00:00:00"/>
    <s v="MI"/>
    <s v="US"/>
    <s v="ZR"/>
    <d v="2016-12-22T00:00:00"/>
  </r>
  <r>
    <x v="1"/>
    <x v="0"/>
    <x v="3218"/>
    <x v="30"/>
    <s v="Standard order"/>
    <x v="3089"/>
    <x v="2565"/>
    <s v="1399"/>
    <s v="BTS 1399"/>
    <s v="5002348"/>
    <s v="1399 BTS T20 Kabina RP"/>
    <n v="28"/>
    <n v="0"/>
    <n v="28"/>
    <x v="0"/>
    <s v="EG74"/>
    <s v="RP"/>
    <s v="380"/>
    <s v="4.0 UN"/>
    <s v="STANDARD"/>
    <s v="N"/>
    <s v="N"/>
    <s v="Y"/>
    <s v="T20"/>
    <s v="N"/>
    <s v="N"/>
    <s v="N"/>
    <s v="N"/>
    <s v="B001"/>
    <d v="2016-12-27T00:00:00"/>
    <s v="20"/>
    <s v="TAN"/>
    <s v="OR"/>
    <d v="2016-12-22T00:00:00"/>
    <s v="MI"/>
    <s v="US"/>
    <s v="ZR"/>
    <d v="2016-12-22T00:00:00"/>
  </r>
  <r>
    <x v="1"/>
    <x v="2"/>
    <x v="3219"/>
    <x v="3"/>
    <s v="Standard order"/>
    <x v="3090"/>
    <x v="2566"/>
    <s v="64SN"/>
    <s v="BTS 64SN"/>
    <s v="5002420"/>
    <s v="64SN BTS T20 PB SYSTIVA P100"/>
    <n v="32"/>
    <n v="0"/>
    <n v="32"/>
    <x v="2"/>
    <s v="DVNB"/>
    <s v="PRO 100"/>
    <s v="322"/>
    <s v="4.0 UN"/>
    <s v="STANDARD"/>
    <s v="N"/>
    <s v="N"/>
    <s v="N"/>
    <s v="T20"/>
    <s v="Y"/>
    <s v="N"/>
    <s v="Y"/>
    <s v="N"/>
    <s v="B024"/>
    <d v="2016-12-27T00:00:00"/>
    <s v="10"/>
    <s v="TAN"/>
    <s v="OR"/>
    <d v="2016-12-22T00:00:00"/>
    <s v="NE"/>
    <s v="US"/>
    <s v="ZR"/>
    <d v="2016-12-22T00:00:00"/>
  </r>
  <r>
    <x v="1"/>
    <x v="2"/>
    <x v="3219"/>
    <x v="3"/>
    <s v="Standard order"/>
    <x v="3090"/>
    <x v="2566"/>
    <s v="6027"/>
    <s v="BTS 60RR27"/>
    <s v="5002645"/>
    <s v="6027 BTS T20 PB SYSTIVA P100 WSS"/>
    <n v="32"/>
    <n v="0"/>
    <n v="32"/>
    <x v="2"/>
    <s v="APMC"/>
    <s v="PRO 100"/>
    <s v="322"/>
    <s v="4.0 UN"/>
    <s v="STANDARD"/>
    <s v="N"/>
    <s v="N"/>
    <s v="N"/>
    <s v="T20"/>
    <s v="Y"/>
    <s v="N"/>
    <s v="Y"/>
    <s v="N"/>
    <s v="B024"/>
    <d v="2016-12-27T00:00:00"/>
    <s v="20"/>
    <s v="TAN"/>
    <s v="OR"/>
    <d v="2016-12-22T00:00:00"/>
    <s v="NE"/>
    <s v="US"/>
    <s v="ZR"/>
    <d v="2016-12-22T00:00:00"/>
  </r>
  <r>
    <x v="1"/>
    <x v="2"/>
    <x v="3220"/>
    <x v="25"/>
    <s v="Standard order"/>
    <x v="3091"/>
    <x v="874"/>
    <s v="628N"/>
    <s v="BTS 62RR8N"/>
    <s v="5002683"/>
    <s v="628N BTS T20 PB SYSTIVA P100"/>
    <n v="20"/>
    <n v="0"/>
    <n v="20"/>
    <x v="2"/>
    <s v="BL73"/>
    <s v="PRO 100"/>
    <s v="322"/>
    <s v="4.0 UN"/>
    <s v="STANDARD"/>
    <s v="N"/>
    <s v="N"/>
    <s v="N"/>
    <s v="T20"/>
    <s v="Y"/>
    <s v="N"/>
    <s v="Y"/>
    <s v="N"/>
    <s v="B021"/>
    <d v="2016-12-27T00:00:00"/>
    <s v="10"/>
    <s v="TAN"/>
    <s v="OR"/>
    <d v="2016-12-22T00:00:00"/>
    <s v="CO"/>
    <s v="US"/>
    <s v="ZR"/>
    <d v="2016-12-22T00:00:00"/>
  </r>
  <r>
    <x v="1"/>
    <x v="2"/>
    <x v="3220"/>
    <x v="25"/>
    <s v="Standard order"/>
    <x v="3091"/>
    <x v="874"/>
    <s v="64SN"/>
    <s v="BTS 64SN"/>
    <s v="5002420"/>
    <s v="64SN BTS T20 PB SYSTIVA P100"/>
    <n v="20"/>
    <n v="0"/>
    <n v="20"/>
    <x v="2"/>
    <s v="DVNB"/>
    <s v="PRO 100"/>
    <s v="322"/>
    <s v="4.0 UN"/>
    <s v="STANDARD"/>
    <s v="N"/>
    <s v="N"/>
    <s v="N"/>
    <s v="T20"/>
    <s v="Y"/>
    <s v="N"/>
    <s v="Y"/>
    <s v="N"/>
    <s v="B021"/>
    <d v="2016-12-27T00:00:00"/>
    <s v="20"/>
    <s v="TAN"/>
    <s v="OR"/>
    <d v="2016-12-22T00:00:00"/>
    <s v="CO"/>
    <s v="US"/>
    <s v="ZR"/>
    <d v="2016-12-22T00:00:00"/>
  </r>
  <r>
    <x v="1"/>
    <x v="2"/>
    <x v="3220"/>
    <x v="25"/>
    <s v="Standard order"/>
    <x v="3091"/>
    <x v="874"/>
    <s v="6027"/>
    <s v="BTS 60RR27"/>
    <s v="5002645"/>
    <s v="6027 BTS T20 PB SYSTIVA P100 WSS"/>
    <n v="12"/>
    <n v="0"/>
    <n v="12"/>
    <x v="2"/>
    <s v="APMC"/>
    <s v="PRO 100"/>
    <s v="322"/>
    <s v="4.0 UN"/>
    <s v="STANDARD"/>
    <s v="N"/>
    <s v="N"/>
    <s v="N"/>
    <s v="T20"/>
    <s v="Y"/>
    <s v="N"/>
    <s v="Y"/>
    <s v="N"/>
    <s v="B021"/>
    <d v="2016-12-27T00:00:00"/>
    <s v="30"/>
    <s v="TAN"/>
    <s v="OR"/>
    <d v="2016-12-22T00:00:00"/>
    <s v="CO"/>
    <s v="US"/>
    <s v="ZR"/>
    <d v="2016-12-22T00:00:00"/>
  </r>
  <r>
    <x v="1"/>
    <x v="2"/>
    <x v="3220"/>
    <x v="25"/>
    <s v="Standard order"/>
    <x v="3091"/>
    <x v="874"/>
    <s v="6543"/>
    <s v="BTS 6543"/>
    <s v="5002438"/>
    <s v="6543 BTS T20 PB SYSTIVA P100"/>
    <n v="8"/>
    <n v="0"/>
    <n v="8"/>
    <x v="2"/>
    <s v="FXND"/>
    <s v="PRO 100"/>
    <s v="322"/>
    <s v="4.0 UN"/>
    <s v="STANDARD"/>
    <s v="N"/>
    <s v="N"/>
    <s v="N"/>
    <s v="T20"/>
    <s v="Y"/>
    <s v="N"/>
    <s v="Y"/>
    <s v="N"/>
    <s v="B021"/>
    <d v="2016-12-27T00:00:00"/>
    <s v="40"/>
    <s v="TAN"/>
    <s v="OR"/>
    <d v="2016-12-22T00:00:00"/>
    <s v="CO"/>
    <s v="US"/>
    <s v="ZR"/>
    <d v="2016-12-22T00:00:00"/>
  </r>
  <r>
    <x v="1"/>
    <x v="2"/>
    <x v="3221"/>
    <x v="6"/>
    <s v="Standard order"/>
    <x v="3092"/>
    <x v="1075"/>
    <s v="64SN"/>
    <s v="BTS 64SN"/>
    <s v="5002420"/>
    <s v="64SN BTS T20 PB SYSTIVA P100"/>
    <n v="64"/>
    <n v="0"/>
    <n v="64"/>
    <x v="2"/>
    <s v="DVNB"/>
    <s v="PRO 100"/>
    <s v="322"/>
    <s v="4.0 UN"/>
    <s v="STANDARD"/>
    <s v="N"/>
    <s v="N"/>
    <s v="N"/>
    <s v="T20"/>
    <s v="Y"/>
    <s v="N"/>
    <s v="Y"/>
    <s v="N"/>
    <s v="B025"/>
    <d v="2016-12-27T00:00:00"/>
    <s v="10"/>
    <s v="TAN"/>
    <s v="OR"/>
    <d v="2016-12-22T00:00:00"/>
    <s v="NE"/>
    <s v="US"/>
    <s v="ZR"/>
    <d v="2016-12-22T00:00:00"/>
  </r>
  <r>
    <x v="1"/>
    <x v="2"/>
    <x v="3222"/>
    <x v="5"/>
    <s v="Standard order"/>
    <x v="3093"/>
    <x v="1076"/>
    <s v="6027"/>
    <s v="BTS 60RR27"/>
    <s v="5002645"/>
    <s v="6027 BTS T20 PB SYSTIVA P100 WSS"/>
    <n v="16"/>
    <n v="0"/>
    <n v="16"/>
    <x v="2"/>
    <s v="APMC"/>
    <s v="PRO 100"/>
    <s v="322"/>
    <s v="4.0 UN"/>
    <s v="STANDARD"/>
    <s v="N"/>
    <s v="N"/>
    <s v="N"/>
    <s v="T20"/>
    <s v="Y"/>
    <s v="N"/>
    <s v="Y"/>
    <s v="N"/>
    <s v="B020"/>
    <d v="2016-12-27T00:00:00"/>
    <s v="10"/>
    <s v="TAN"/>
    <s v="OR"/>
    <d v="2016-12-22T00:00:00"/>
    <s v="CO"/>
    <s v="US"/>
    <s v="ZR"/>
    <d v="2016-12-22T00:00:00"/>
  </r>
  <r>
    <x v="1"/>
    <x v="4"/>
    <x v="3223"/>
    <x v="46"/>
    <s v="Standard order"/>
    <x v="3094"/>
    <x v="1137"/>
    <s v="4933"/>
    <s v="BTS 49RR33"/>
    <s v="5002280"/>
    <s v="4933 BTS PB XL IDH"/>
    <n v="24"/>
    <n v="0"/>
    <n v="24"/>
    <x v="4"/>
    <s v="AKMC"/>
    <s v="X-LARGE"/>
    <s v="307"/>
    <s v="4.0 UN"/>
    <s v="STANDARD"/>
    <s v="N"/>
    <s v="Y"/>
    <s v="N"/>
    <s v="N"/>
    <s v="N"/>
    <s v="N"/>
    <s v="N"/>
    <s v="N"/>
    <s v="B049"/>
    <d v="2016-12-27T00:00:00"/>
    <s v="10"/>
    <s v="TAN"/>
    <s v="OR"/>
    <d v="2016-12-22T00:00:00"/>
    <s v="ID"/>
    <s v="US"/>
    <s v="ZR"/>
    <d v="2016-12-22T00:00:00"/>
  </r>
  <r>
    <x v="1"/>
    <x v="4"/>
    <x v="3223"/>
    <x v="46"/>
    <s v="Standard order"/>
    <x v="3094"/>
    <x v="1137"/>
    <s v="2523"/>
    <s v="BTS 2523"/>
    <s v="5002529"/>
    <s v="2523 BTS PB XL"/>
    <n v="8"/>
    <n v="0"/>
    <n v="8"/>
    <x v="4"/>
    <s v="EZPC"/>
    <s v="X-LARGE"/>
    <s v="307"/>
    <s v="4.0 UN"/>
    <s v="STANDARD"/>
    <s v="N"/>
    <s v="Y"/>
    <s v="N"/>
    <s v="N"/>
    <s v="N"/>
    <s v="N"/>
    <s v="N"/>
    <s v="N"/>
    <s v="B049"/>
    <d v="2016-12-27T00:00:00"/>
    <s v="20"/>
    <s v="TAN"/>
    <s v="OR"/>
    <d v="2016-12-22T00:00:00"/>
    <s v="ID"/>
    <s v="US"/>
    <s v="ZR"/>
    <d v="2016-12-22T00:00:00"/>
  </r>
  <r>
    <x v="1"/>
    <x v="5"/>
    <x v="3224"/>
    <x v="14"/>
    <s v="Standard order"/>
    <x v="3095"/>
    <x v="1093"/>
    <s v="4933"/>
    <s v="BTS 49RR33"/>
    <s v="5002297"/>
    <s v="4933 BTS T20 PB SYSTIVA RP WSN"/>
    <n v="68"/>
    <n v="0"/>
    <n v="68"/>
    <x v="5"/>
    <s v="AKMC"/>
    <s v="RP"/>
    <s v="322"/>
    <s v="4.0 UN"/>
    <s v="STANDARD"/>
    <s v="N"/>
    <s v="Y"/>
    <s v="N"/>
    <s v="T20"/>
    <s v="Y"/>
    <s v="N"/>
    <s v="N"/>
    <s v="N"/>
    <s v="B017"/>
    <d v="2016-12-27T00:00:00"/>
    <s v="10"/>
    <s v="TAN"/>
    <s v="OR"/>
    <d v="2016-12-22T00:00:00"/>
    <s v="WY"/>
    <s v="US"/>
    <s v="ZR"/>
    <d v="2016-12-22T00:00:00"/>
  </r>
  <r>
    <x v="1"/>
    <x v="5"/>
    <x v="3224"/>
    <x v="14"/>
    <s v="Standard order"/>
    <x v="3095"/>
    <x v="1093"/>
    <s v="353N"/>
    <s v="BTS 353N"/>
    <s v="5002524"/>
    <s v="353N BTS T20 PB SYSTIVA RP"/>
    <n v="16"/>
    <n v="0"/>
    <n v="16"/>
    <x v="5"/>
    <s v="EENZ"/>
    <s v="RP"/>
    <s v="322"/>
    <s v="4.0 UN"/>
    <s v="STANDARD"/>
    <s v="N"/>
    <s v="Y"/>
    <s v="N"/>
    <s v="T20"/>
    <s v="Y"/>
    <s v="N"/>
    <s v="N"/>
    <s v="N"/>
    <s v="B017"/>
    <d v="2016-12-27T00:00:00"/>
    <s v="20"/>
    <s v="TAN"/>
    <s v="OR"/>
    <d v="2016-12-22T00:00:00"/>
    <s v="WY"/>
    <s v="US"/>
    <s v="ZR"/>
    <d v="2016-12-22T00:00:00"/>
  </r>
  <r>
    <x v="1"/>
    <x v="5"/>
    <x v="3225"/>
    <x v="14"/>
    <s v="Standard order"/>
    <x v="3096"/>
    <x v="1098"/>
    <s v="336N"/>
    <s v="BTS 336N"/>
    <s v="5002197"/>
    <s v="336N BTS T20 PB SYSTIVA MP"/>
    <n v="4"/>
    <n v="0"/>
    <n v="4"/>
    <x v="5"/>
    <s v="EEMG"/>
    <s v="MP"/>
    <s v="322"/>
    <s v="4.0 UN"/>
    <s v="STANDARD"/>
    <s v="N"/>
    <s v="N"/>
    <s v="N"/>
    <s v="T20"/>
    <s v="Y"/>
    <s v="N"/>
    <s v="N"/>
    <s v="N"/>
    <s v="B017"/>
    <d v="2016-12-27T00:00:00"/>
    <s v="10"/>
    <s v="TAN"/>
    <s v="OR"/>
    <d v="2016-12-22T00:00:00"/>
    <s v="WY"/>
    <s v="US"/>
    <s v="ZR"/>
    <d v="2016-12-22T00:00:00"/>
  </r>
  <r>
    <x v="1"/>
    <x v="5"/>
    <x v="3225"/>
    <x v="14"/>
    <s v="Standard order"/>
    <x v="3096"/>
    <x v="1098"/>
    <s v="4933"/>
    <s v="BTS 49RR33"/>
    <s v="5002295"/>
    <s v="4933 BTS T20 PB SYSTIVA MP WSN"/>
    <n v="4"/>
    <n v="0"/>
    <n v="4"/>
    <x v="5"/>
    <s v="AKMC"/>
    <s v="MP"/>
    <s v="322"/>
    <s v="4.0 UN"/>
    <s v="STANDARD"/>
    <s v="N"/>
    <s v="Y"/>
    <s v="N"/>
    <s v="T20"/>
    <s v="Y"/>
    <s v="N"/>
    <s v="N"/>
    <s v="N"/>
    <s v="B017"/>
    <d v="2016-12-27T00:00:00"/>
    <s v="20"/>
    <s v="TAN"/>
    <s v="OR"/>
    <d v="2016-12-22T00:00:00"/>
    <s v="WY"/>
    <s v="US"/>
    <s v="ZR"/>
    <d v="2016-12-22T00:00:00"/>
  </r>
  <r>
    <x v="1"/>
    <x v="5"/>
    <x v="3226"/>
    <x v="14"/>
    <s v="Standard order"/>
    <x v="3097"/>
    <x v="1081"/>
    <s v="353N"/>
    <s v="BTS 353N"/>
    <s v="5002524"/>
    <s v="353N BTS T20 PB SYSTIVA RP"/>
    <n v="16"/>
    <n v="0"/>
    <n v="16"/>
    <x v="5"/>
    <s v="EENZ"/>
    <s v="RP"/>
    <s v="322"/>
    <s v="4.0 UN"/>
    <s v="STANDARD"/>
    <s v="N"/>
    <s v="Y"/>
    <s v="N"/>
    <s v="T20"/>
    <s v="Y"/>
    <s v="N"/>
    <s v="N"/>
    <s v="N"/>
    <s v="B017"/>
    <d v="2016-12-27T00:00:00"/>
    <s v="10"/>
    <s v="TAN"/>
    <s v="OR"/>
    <d v="2016-12-22T00:00:00"/>
    <s v="WY"/>
    <s v="US"/>
    <s v="ZR"/>
    <d v="2016-12-22T00:00:00"/>
  </r>
  <r>
    <x v="1"/>
    <x v="5"/>
    <x v="3226"/>
    <x v="14"/>
    <s v="Standard order"/>
    <x v="3097"/>
    <x v="1081"/>
    <s v="4933"/>
    <s v="BTS 49RR33"/>
    <s v="5002297"/>
    <s v="4933 BTS T20 PB SYSTIVA RP WSN"/>
    <n v="56"/>
    <n v="0"/>
    <n v="56"/>
    <x v="5"/>
    <s v="AKMC"/>
    <s v="RP"/>
    <s v="322"/>
    <s v="4.0 UN"/>
    <s v="STANDARD"/>
    <s v="N"/>
    <s v="Y"/>
    <s v="N"/>
    <s v="T20"/>
    <s v="Y"/>
    <s v="N"/>
    <s v="N"/>
    <s v="N"/>
    <s v="B017"/>
    <d v="2016-12-27T00:00:00"/>
    <s v="20"/>
    <s v="TAN"/>
    <s v="OR"/>
    <d v="2016-12-22T00:00:00"/>
    <s v="WY"/>
    <s v="US"/>
    <s v="ZR"/>
    <d v="2016-12-22T00:00:00"/>
  </r>
  <r>
    <x v="1"/>
    <x v="0"/>
    <x v="3227"/>
    <x v="45"/>
    <s v="Standard order"/>
    <x v="3098"/>
    <x v="2567"/>
    <s v="1399"/>
    <s v="BTS 1399"/>
    <s v="5002346"/>
    <s v="1399 BTS T20 Kabina MP"/>
    <n v="8"/>
    <n v="0"/>
    <n v="8"/>
    <x v="0"/>
    <s v="EG74"/>
    <s v="MP"/>
    <s v="380"/>
    <s v="4.0 UN"/>
    <s v="STANDARD"/>
    <s v="N"/>
    <s v="N"/>
    <s v="Y"/>
    <s v="T20"/>
    <s v="N"/>
    <s v="N"/>
    <s v="N"/>
    <s v="N"/>
    <s v="B003"/>
    <d v="2016-12-27T00:00:00"/>
    <s v="10"/>
    <s v="TAN"/>
    <s v="OR"/>
    <d v="2016-12-21T00:00:00"/>
    <s v="MI"/>
    <s v="US"/>
    <s v="ZR"/>
    <d v="2016-12-22T00:00:00"/>
  </r>
  <r>
    <x v="1"/>
    <x v="0"/>
    <x v="3227"/>
    <x v="45"/>
    <s v="Standard order"/>
    <x v="3098"/>
    <x v="2567"/>
    <s v="122N"/>
    <s v="BTS 12RR2N"/>
    <s v="5002315"/>
    <s v="122N BTS T20 SYSTIVA MP"/>
    <n v="4"/>
    <n v="0"/>
    <n v="4"/>
    <x v="0"/>
    <s v="4TBG"/>
    <s v="MP"/>
    <s v="326"/>
    <s v="4.0 UN"/>
    <s v="STANDARD"/>
    <s v="N"/>
    <s v="N"/>
    <s v="N"/>
    <s v="T20"/>
    <s v="Y"/>
    <s v="N"/>
    <s v="Y"/>
    <s v="N"/>
    <s v="B003"/>
    <d v="2016-12-27T00:00:00"/>
    <s v="20"/>
    <s v="TAN"/>
    <s v="OR"/>
    <d v="2016-12-21T00:00:00"/>
    <s v="MI"/>
    <s v="US"/>
    <s v="ZR"/>
    <d v="2016-12-22T00:00:00"/>
  </r>
  <r>
    <x v="1"/>
    <x v="4"/>
    <x v="3228"/>
    <x v="52"/>
    <s v="Standard order"/>
    <x v="3099"/>
    <x v="2568"/>
    <s v="2720"/>
    <s v="BTS 27RR20"/>
    <s v="5002142"/>
    <s v="2720 BTS PB XL"/>
    <n v="40"/>
    <n v="0"/>
    <n v="40"/>
    <x v="4"/>
    <s v="4GAY"/>
    <s v="X-LARGE"/>
    <s v="307"/>
    <s v="4.0 UN"/>
    <s v="STANDARD"/>
    <s v="N"/>
    <s v="Y"/>
    <s v="N"/>
    <s v="N"/>
    <s v="N"/>
    <s v="N"/>
    <s v="N"/>
    <s v="N"/>
    <s v="B048"/>
    <d v="2016-12-27T00:00:00"/>
    <s v="10"/>
    <s v="TAN"/>
    <s v="OR"/>
    <d v="2016-12-21T00:00:00"/>
    <s v="ID"/>
    <s v="US"/>
    <s v="ZR"/>
    <d v="2016-12-22T00:00:00"/>
  </r>
  <r>
    <x v="1"/>
    <x v="4"/>
    <x v="3228"/>
    <x v="52"/>
    <s v="Standard order"/>
    <x v="3099"/>
    <x v="2568"/>
    <s v="2570"/>
    <s v="BTS 2570"/>
    <s v="5002555"/>
    <s v="2570 BTS PB XL"/>
    <n v="8"/>
    <n v="0"/>
    <n v="8"/>
    <x v="4"/>
    <s v="EZNS"/>
    <s v="X-LARGE"/>
    <s v="307"/>
    <s v="4.0 UN"/>
    <s v="STANDARD"/>
    <s v="N"/>
    <s v="Y"/>
    <s v="N"/>
    <s v="N"/>
    <s v="N"/>
    <s v="N"/>
    <s v="N"/>
    <s v="N"/>
    <s v="B048"/>
    <d v="2016-12-27T00:00:00"/>
    <s v="20"/>
    <s v="TAN"/>
    <s v="OR"/>
    <d v="2016-12-21T00:00:00"/>
    <s v="ID"/>
    <s v="US"/>
    <s v="ZR"/>
    <d v="2016-12-22T00:00:00"/>
  </r>
  <r>
    <x v="1"/>
    <x v="4"/>
    <x v="3229"/>
    <x v="52"/>
    <s v="Standard order"/>
    <x v="3100"/>
    <x v="481"/>
    <s v="225N"/>
    <s v="BTS 22RR5N"/>
    <s v="5002109"/>
    <s v="225N BTS PB Kabina XL"/>
    <n v="24"/>
    <n v="0"/>
    <n v="24"/>
    <x v="4"/>
    <s v="4TBD"/>
    <s v="X-LARGE"/>
    <s v="384"/>
    <s v="4.0 UN"/>
    <s v="STANDARD"/>
    <s v="N"/>
    <s v="Y"/>
    <s v="Y"/>
    <s v="N"/>
    <s v="N"/>
    <s v="N"/>
    <s v="N"/>
    <s v="N"/>
    <s v="B048"/>
    <d v="2016-12-27T00:00:00"/>
    <s v="10"/>
    <s v="TAN"/>
    <s v="OR"/>
    <d v="2016-12-21T00:00:00"/>
    <s v="ID"/>
    <s v="US"/>
    <s v="ZR"/>
    <d v="2016-12-22T00:00:00"/>
  </r>
  <r>
    <x v="1"/>
    <x v="4"/>
    <x v="3229"/>
    <x v="52"/>
    <s v="Standard order"/>
    <x v="3100"/>
    <x v="481"/>
    <s v="251N"/>
    <s v="BTS 251N"/>
    <s v="5002505"/>
    <s v="251N BTS PB Kabina XL"/>
    <n v="24"/>
    <n v="0"/>
    <n v="24"/>
    <x v="4"/>
    <s v="5HBR"/>
    <s v="X-LARGE"/>
    <s v="384"/>
    <s v="4.0 UN"/>
    <s v="STANDARD"/>
    <s v="N"/>
    <s v="Y"/>
    <s v="Y"/>
    <s v="N"/>
    <s v="N"/>
    <s v="N"/>
    <s v="N"/>
    <s v="N"/>
    <s v="B048"/>
    <d v="2016-12-27T00:00:00"/>
    <s v="20"/>
    <s v="TAN"/>
    <s v="OR"/>
    <d v="2016-12-21T00:00:00"/>
    <s v="ID"/>
    <s v="US"/>
    <s v="ZR"/>
    <d v="2016-12-22T00:00:00"/>
  </r>
  <r>
    <x v="1"/>
    <x v="4"/>
    <x v="3230"/>
    <x v="46"/>
    <s v="Standard order"/>
    <x v="3101"/>
    <x v="2569"/>
    <s v="4933"/>
    <s v="BTS 49RR33"/>
    <s v="5002280"/>
    <s v="4933 BTS PB XL IDH"/>
    <n v="28"/>
    <n v="0"/>
    <n v="28"/>
    <x v="4"/>
    <s v="AKMC"/>
    <s v="X-LARGE"/>
    <s v="307"/>
    <s v="4.0 UN"/>
    <s v="STANDARD"/>
    <s v="N"/>
    <s v="Y"/>
    <s v="N"/>
    <s v="N"/>
    <s v="N"/>
    <s v="N"/>
    <s v="N"/>
    <s v="N"/>
    <s v="B049"/>
    <d v="2016-12-27T00:00:00"/>
    <s v="10"/>
    <s v="TAN"/>
    <s v="OR"/>
    <d v="2016-12-22T00:00:00"/>
    <s v="ID"/>
    <s v="US"/>
    <s v="ZR"/>
    <d v="2016-12-22T00:00:00"/>
  </r>
  <r>
    <x v="1"/>
    <x v="2"/>
    <x v="3231"/>
    <x v="25"/>
    <s v="Standard order"/>
    <x v="3102"/>
    <x v="2570"/>
    <s v="628N"/>
    <s v="BTS 62RR8N"/>
    <s v="5002683"/>
    <s v="628N BTS T20 PB SYSTIVA P100"/>
    <n v="24"/>
    <n v="0"/>
    <n v="24"/>
    <x v="2"/>
    <s v="BL73"/>
    <s v="PRO 100"/>
    <s v="322"/>
    <s v="4.0 UN"/>
    <s v="STANDARD"/>
    <s v="N"/>
    <s v="N"/>
    <s v="N"/>
    <s v="T20"/>
    <s v="Y"/>
    <s v="N"/>
    <s v="Y"/>
    <s v="N"/>
    <s v="B021"/>
    <d v="2016-12-27T00:00:00"/>
    <s v="10"/>
    <s v="TAN"/>
    <s v="OR"/>
    <d v="2016-12-22T00:00:00"/>
    <s v="CO"/>
    <s v="US"/>
    <s v="ZR"/>
    <d v="2016-12-22T00:00:00"/>
  </r>
  <r>
    <x v="1"/>
    <x v="2"/>
    <x v="3232"/>
    <x v="5"/>
    <s v="Standard order"/>
    <x v="3103"/>
    <x v="1086"/>
    <s v="64SN"/>
    <s v="BTS 64SN"/>
    <s v="5002420"/>
    <s v="64SN BTS T20 PB SYSTIVA P100"/>
    <n v="32"/>
    <n v="0"/>
    <n v="32"/>
    <x v="2"/>
    <s v="DVNB"/>
    <s v="PRO 100"/>
    <s v="322"/>
    <s v="4.0 UN"/>
    <s v="STANDARD"/>
    <s v="N"/>
    <s v="N"/>
    <s v="N"/>
    <s v="T20"/>
    <s v="Y"/>
    <s v="N"/>
    <s v="Y"/>
    <s v="N"/>
    <s v="B020"/>
    <d v="2016-12-27T00:00:00"/>
    <s v="10"/>
    <s v="TAN"/>
    <s v="OR"/>
    <d v="2016-12-22T00:00:00"/>
    <s v="CO"/>
    <s v="US"/>
    <s v="ZR"/>
    <d v="2016-12-22T00:00:00"/>
  </r>
  <r>
    <x v="1"/>
    <x v="4"/>
    <x v="3233"/>
    <x v="53"/>
    <s v="Standard order"/>
    <x v="3104"/>
    <x v="275"/>
    <s v="2559"/>
    <s v="BTS 2559"/>
    <s v="5002561"/>
    <s v="2559 BTS PB LRG"/>
    <n v="104"/>
    <n v="0"/>
    <n v="104"/>
    <x v="4"/>
    <s v="FGNE"/>
    <s v="LARGE"/>
    <s v="307"/>
    <s v="4.0 UN"/>
    <s v="STANDARD"/>
    <s v="N"/>
    <s v="Y"/>
    <s v="N"/>
    <s v="N"/>
    <s v="N"/>
    <s v="N"/>
    <s v="N"/>
    <s v="N"/>
    <s v="B051"/>
    <d v="2016-12-27T00:00:00"/>
    <s v="10"/>
    <s v="TAN"/>
    <s v="OR"/>
    <d v="2016-12-22T00:00:00"/>
    <s v="ID"/>
    <s v="US"/>
    <s v="ZR"/>
    <d v="2016-12-22T00:00:00"/>
  </r>
  <r>
    <x v="1"/>
    <x v="4"/>
    <x v="3233"/>
    <x v="53"/>
    <s v="Standard order"/>
    <x v="3104"/>
    <x v="275"/>
    <s v="2570"/>
    <s v="BTS 2570"/>
    <s v="5002553"/>
    <s v="2570 BTS PB LRG"/>
    <n v="52"/>
    <n v="0"/>
    <n v="52"/>
    <x v="4"/>
    <s v="EZNS"/>
    <s v="LARGE"/>
    <s v="307"/>
    <s v="4.0 UN"/>
    <s v="STANDARD"/>
    <s v="N"/>
    <s v="Y"/>
    <s v="N"/>
    <s v="N"/>
    <s v="N"/>
    <s v="N"/>
    <s v="N"/>
    <s v="N"/>
    <s v="B051"/>
    <d v="2016-12-27T00:00:00"/>
    <s v="20"/>
    <s v="TAN"/>
    <s v="OR"/>
    <d v="2016-12-22T00:00:00"/>
    <s v="ID"/>
    <s v="US"/>
    <s v="ZR"/>
    <d v="2016-12-22T00:00:00"/>
  </r>
  <r>
    <x v="1"/>
    <x v="2"/>
    <x v="3234"/>
    <x v="6"/>
    <s v="Standard order"/>
    <x v="3105"/>
    <x v="9"/>
    <s v="6027"/>
    <s v="BTS 60RR27"/>
    <s v="5002646"/>
    <s v="6027 BTS T20 PB SYSTIVA P200 WSS"/>
    <n v="32"/>
    <n v="0"/>
    <n v="32"/>
    <x v="2"/>
    <s v="APMC"/>
    <s v="PRO 200"/>
    <s v="322"/>
    <s v="4.0 UN"/>
    <s v="STANDARD"/>
    <s v="N"/>
    <s v="N"/>
    <s v="N"/>
    <s v="T20"/>
    <s v="Y"/>
    <s v="N"/>
    <s v="Y"/>
    <s v="N"/>
    <s v="B025"/>
    <d v="2016-12-27T00:00:00"/>
    <s v="10"/>
    <s v="TAN"/>
    <s v="OR"/>
    <d v="2016-12-22T00:00:00"/>
    <s v="NE"/>
    <s v="US"/>
    <s v="ZR"/>
    <d v="2016-12-22T00:00:00"/>
  </r>
  <r>
    <x v="1"/>
    <x v="0"/>
    <x v="3235"/>
    <x v="54"/>
    <s v="Standard order"/>
    <x v="3106"/>
    <x v="2571"/>
    <s v="149N"/>
    <s v="BTS 149N"/>
    <s v="5002368"/>
    <s v="149N BTS T20 Kabina RP"/>
    <n v="128"/>
    <n v="0"/>
    <n v="128"/>
    <x v="0"/>
    <s v="EEND"/>
    <s v="RP"/>
    <s v="380"/>
    <s v="4.0 UN"/>
    <s v="STANDARD"/>
    <s v="N"/>
    <s v="N"/>
    <s v="Y"/>
    <s v="T20"/>
    <s v="N"/>
    <s v="N"/>
    <s v="N"/>
    <s v="N"/>
    <s v="B002"/>
    <d v="2016-12-27T00:00:00"/>
    <s v="10"/>
    <s v="TAN"/>
    <s v="OR"/>
    <d v="2016-12-22T00:00:00"/>
    <s v="MI"/>
    <s v="US"/>
    <s v="ZR"/>
    <d v="2016-12-22T00:00:00"/>
  </r>
  <r>
    <x v="1"/>
    <x v="0"/>
    <x v="3236"/>
    <x v="42"/>
    <s v="Standard order"/>
    <x v="3107"/>
    <x v="2572"/>
    <s v="122N"/>
    <s v="BTS 12RR2N"/>
    <s v="5002311"/>
    <s v="122N BTS T20 Kabina RP"/>
    <n v="20"/>
    <n v="0"/>
    <n v="20"/>
    <x v="0"/>
    <s v="4TBG"/>
    <s v="RP"/>
    <s v="380"/>
    <s v="4.0 UN"/>
    <s v="STANDARD"/>
    <s v="N"/>
    <s v="N"/>
    <s v="Y"/>
    <s v="T20"/>
    <s v="N"/>
    <s v="N"/>
    <s v="N"/>
    <s v="N"/>
    <s v="B007"/>
    <d v="2016-12-27T00:00:00"/>
    <s v="10"/>
    <s v="TAN"/>
    <s v="OR"/>
    <d v="2016-12-21T00:00:00"/>
    <s v="MI"/>
    <s v="US"/>
    <s v="ZR"/>
    <d v="2016-12-22T00:00:00"/>
  </r>
  <r>
    <x v="1"/>
    <x v="0"/>
    <x v="3236"/>
    <x v="42"/>
    <s v="Standard order"/>
    <x v="3107"/>
    <x v="2572"/>
    <s v="1399"/>
    <s v="BTS 1399"/>
    <s v="5002348"/>
    <s v="1399 BTS T20 Kabina RP"/>
    <n v="48"/>
    <n v="0"/>
    <n v="48"/>
    <x v="0"/>
    <s v="EG74"/>
    <s v="RP"/>
    <s v="380"/>
    <s v="4.0 UN"/>
    <s v="STANDARD"/>
    <s v="N"/>
    <s v="N"/>
    <s v="Y"/>
    <s v="T20"/>
    <s v="N"/>
    <s v="N"/>
    <s v="N"/>
    <s v="N"/>
    <s v="B007"/>
    <d v="2016-12-27T00:00:00"/>
    <s v="20"/>
    <s v="TAN"/>
    <s v="OR"/>
    <d v="2016-12-21T00:00:00"/>
    <s v="MI"/>
    <s v="US"/>
    <s v="ZR"/>
    <d v="2016-12-22T00:00:00"/>
  </r>
  <r>
    <x v="1"/>
    <x v="0"/>
    <x v="3237"/>
    <x v="42"/>
    <s v="Standard order"/>
    <x v="3108"/>
    <x v="2573"/>
    <s v="122N"/>
    <s v="BTS 12RR2N"/>
    <s v="5002311"/>
    <s v="122N BTS T20 Kabina RP"/>
    <n v="20"/>
    <n v="0"/>
    <n v="20"/>
    <x v="0"/>
    <s v="4TBG"/>
    <s v="RP"/>
    <s v="380"/>
    <s v="4.0 UN"/>
    <s v="STANDARD"/>
    <s v="N"/>
    <s v="N"/>
    <s v="Y"/>
    <s v="T20"/>
    <s v="N"/>
    <s v="N"/>
    <s v="N"/>
    <s v="N"/>
    <s v="B007"/>
    <d v="2016-12-27T00:00:00"/>
    <s v="10"/>
    <s v="TAN"/>
    <s v="OR"/>
    <d v="2016-12-21T00:00:00"/>
    <s v="MI"/>
    <s v="US"/>
    <s v="ZR"/>
    <d v="2016-12-22T00:00:00"/>
  </r>
  <r>
    <x v="1"/>
    <x v="0"/>
    <x v="3237"/>
    <x v="42"/>
    <s v="Standard order"/>
    <x v="3108"/>
    <x v="2573"/>
    <s v="1399"/>
    <s v="BTS 1399"/>
    <s v="5002348"/>
    <s v="1399 BTS T20 Kabina RP"/>
    <n v="60"/>
    <n v="0"/>
    <n v="60"/>
    <x v="0"/>
    <s v="EG74"/>
    <s v="RP"/>
    <s v="380"/>
    <s v="4.0 UN"/>
    <s v="STANDARD"/>
    <s v="N"/>
    <s v="N"/>
    <s v="Y"/>
    <s v="T20"/>
    <s v="N"/>
    <s v="N"/>
    <s v="N"/>
    <s v="N"/>
    <s v="B007"/>
    <d v="2016-12-27T00:00:00"/>
    <s v="20"/>
    <s v="TAN"/>
    <s v="OR"/>
    <d v="2016-12-21T00:00:00"/>
    <s v="MI"/>
    <s v="US"/>
    <s v="ZR"/>
    <d v="2016-12-22T00:00:00"/>
  </r>
  <r>
    <x v="1"/>
    <x v="0"/>
    <x v="3238"/>
    <x v="29"/>
    <s v="Standard order"/>
    <x v="3109"/>
    <x v="2574"/>
    <s v="122N"/>
    <s v="BTS 12RR2N"/>
    <s v="5002311"/>
    <s v="122N BTS T20 Kabina RP"/>
    <n v="88"/>
    <n v="0"/>
    <n v="88"/>
    <x v="0"/>
    <s v="4TBG"/>
    <s v="RP"/>
    <s v="380"/>
    <s v="4.0 UN"/>
    <s v="STANDARD"/>
    <s v="N"/>
    <s v="N"/>
    <s v="Y"/>
    <s v="T20"/>
    <s v="N"/>
    <s v="N"/>
    <s v="N"/>
    <s v="N"/>
    <s v="B005"/>
    <d v="2016-12-27T00:00:00"/>
    <s v="10"/>
    <s v="TAN"/>
    <s v="OR"/>
    <d v="2016-12-22T00:00:00"/>
    <s v="MI"/>
    <s v="US"/>
    <s v="ZR"/>
    <d v="2016-12-22T00:00:00"/>
  </r>
  <r>
    <x v="1"/>
    <x v="0"/>
    <x v="3238"/>
    <x v="29"/>
    <s v="Standard order"/>
    <x v="3109"/>
    <x v="2574"/>
    <s v="149N"/>
    <s v="BTS 149N"/>
    <s v="5002368"/>
    <s v="149N BTS T20 Kabina RP"/>
    <n v="88"/>
    <n v="0"/>
    <n v="88"/>
    <x v="0"/>
    <s v="EEND"/>
    <s v="RP"/>
    <s v="380"/>
    <s v="4.0 UN"/>
    <s v="STANDARD"/>
    <s v="N"/>
    <s v="N"/>
    <s v="Y"/>
    <s v="T20"/>
    <s v="N"/>
    <s v="N"/>
    <s v="N"/>
    <s v="N"/>
    <s v="B005"/>
    <d v="2016-12-27T00:00:00"/>
    <s v="20"/>
    <s v="TAN"/>
    <s v="OR"/>
    <d v="2016-12-22T00:00:00"/>
    <s v="MI"/>
    <s v="US"/>
    <s v="ZR"/>
    <d v="2016-12-22T00:00:00"/>
  </r>
  <r>
    <x v="1"/>
    <x v="0"/>
    <x v="3239"/>
    <x v="45"/>
    <s v="Standard order"/>
    <x v="3110"/>
    <x v="2575"/>
    <s v="122N"/>
    <s v="BTS 12RR2N"/>
    <s v="5002311"/>
    <s v="122N BTS T20 Kabina RP"/>
    <n v="8"/>
    <n v="0"/>
    <n v="8"/>
    <x v="0"/>
    <s v="4TBG"/>
    <s v="RP"/>
    <s v="380"/>
    <s v="4.0 UN"/>
    <s v="STANDARD"/>
    <s v="N"/>
    <s v="N"/>
    <s v="Y"/>
    <s v="T20"/>
    <s v="N"/>
    <s v="N"/>
    <s v="N"/>
    <s v="N"/>
    <s v="B003"/>
    <d v="2016-12-27T00:00:00"/>
    <s v="10"/>
    <s v="TAN"/>
    <s v="OR"/>
    <d v="2016-12-22T00:00:00"/>
    <s v="MI"/>
    <s v="US"/>
    <s v="ZR"/>
    <d v="2016-12-22T00:00:00"/>
  </r>
  <r>
    <x v="1"/>
    <x v="0"/>
    <x v="3239"/>
    <x v="45"/>
    <s v="Standard order"/>
    <x v="3110"/>
    <x v="2575"/>
    <s v="149N"/>
    <s v="BTS 149N"/>
    <s v="5002368"/>
    <s v="149N BTS T20 Kabina RP"/>
    <n v="8"/>
    <n v="0"/>
    <n v="8"/>
    <x v="0"/>
    <s v="EEND"/>
    <s v="RP"/>
    <s v="380"/>
    <s v="4.0 UN"/>
    <s v="STANDARD"/>
    <s v="N"/>
    <s v="N"/>
    <s v="Y"/>
    <s v="T20"/>
    <s v="N"/>
    <s v="N"/>
    <s v="N"/>
    <s v="N"/>
    <s v="B003"/>
    <d v="2016-12-27T00:00:00"/>
    <s v="20"/>
    <s v="TAN"/>
    <s v="OR"/>
    <d v="2016-12-22T00:00:00"/>
    <s v="MI"/>
    <s v="US"/>
    <s v="ZR"/>
    <d v="2016-12-22T00:00:00"/>
  </r>
  <r>
    <x v="1"/>
    <x v="5"/>
    <x v="3240"/>
    <x v="14"/>
    <s v="Standard order"/>
    <x v="3111"/>
    <x v="2576"/>
    <s v="4933"/>
    <s v="BTS 49RR33"/>
    <s v="5002295"/>
    <s v="4933 BTS T20 PB SYSTIVA MP WSN"/>
    <n v="72"/>
    <n v="0"/>
    <n v="72"/>
    <x v="5"/>
    <s v="AKMC"/>
    <s v="MP"/>
    <s v="322"/>
    <s v="4.0 UN"/>
    <s v="STANDARD"/>
    <s v="N"/>
    <s v="Y"/>
    <s v="N"/>
    <s v="T20"/>
    <s v="Y"/>
    <s v="N"/>
    <s v="N"/>
    <s v="N"/>
    <s v="B017"/>
    <d v="2016-12-27T00:00:00"/>
    <s v="10"/>
    <s v="TAN"/>
    <s v="OR"/>
    <d v="2016-12-22T00:00:00"/>
    <s v="WY"/>
    <s v="US"/>
    <s v="ZR"/>
    <d v="2016-12-22T00:00:00"/>
  </r>
  <r>
    <x v="1"/>
    <x v="2"/>
    <x v="3241"/>
    <x v="25"/>
    <s v="Standard order"/>
    <x v="3112"/>
    <x v="1094"/>
    <s v="628N"/>
    <s v="BTS 62RR8N"/>
    <s v="5002683"/>
    <s v="628N BTS T20 PB SYSTIVA P100"/>
    <n v="20"/>
    <n v="0"/>
    <n v="20"/>
    <x v="2"/>
    <s v="BL73"/>
    <s v="PRO 100"/>
    <s v="322"/>
    <s v="4.0 UN"/>
    <s v="STANDARD"/>
    <s v="N"/>
    <s v="N"/>
    <s v="N"/>
    <s v="T20"/>
    <s v="Y"/>
    <s v="N"/>
    <s v="Y"/>
    <s v="N"/>
    <s v="B021"/>
    <d v="2016-12-27T00:00:00"/>
    <s v="10"/>
    <s v="TAN"/>
    <s v="OR"/>
    <d v="2016-12-22T00:00:00"/>
    <s v="CO"/>
    <s v="US"/>
    <s v="ZR"/>
    <d v="2016-12-22T00:00:00"/>
  </r>
  <r>
    <x v="1"/>
    <x v="2"/>
    <x v="3241"/>
    <x v="25"/>
    <s v="Standard order"/>
    <x v="3112"/>
    <x v="1094"/>
    <s v="64SN"/>
    <s v="BTS 64SN"/>
    <s v="5002420"/>
    <s v="64SN BTS T20 PB SYSTIVA P100"/>
    <n v="8"/>
    <n v="0"/>
    <n v="8"/>
    <x v="2"/>
    <s v="DVNB"/>
    <s v="PRO 100"/>
    <s v="322"/>
    <s v="4.0 UN"/>
    <s v="STANDARD"/>
    <s v="N"/>
    <s v="N"/>
    <s v="N"/>
    <s v="T20"/>
    <s v="Y"/>
    <s v="N"/>
    <s v="Y"/>
    <s v="N"/>
    <s v="B021"/>
    <d v="2016-12-27T00:00:00"/>
    <s v="20"/>
    <s v="TAN"/>
    <s v="OR"/>
    <d v="2016-12-22T00:00:00"/>
    <s v="CO"/>
    <s v="US"/>
    <s v="ZR"/>
    <d v="2016-12-22T00:00:00"/>
  </r>
  <r>
    <x v="1"/>
    <x v="5"/>
    <x v="3242"/>
    <x v="14"/>
    <s v="Standard order"/>
    <x v="3113"/>
    <x v="80"/>
    <s v="4933"/>
    <s v="BTS 49RR33"/>
    <s v="5002297"/>
    <s v="4933 BTS T20 PB SYSTIVA RP WSN"/>
    <n v="16"/>
    <n v="0"/>
    <n v="16"/>
    <x v="5"/>
    <s v="AKMC"/>
    <s v="RP"/>
    <s v="322"/>
    <s v="4.0 UN"/>
    <s v="STANDARD"/>
    <s v="N"/>
    <s v="Y"/>
    <s v="N"/>
    <s v="T20"/>
    <s v="Y"/>
    <s v="N"/>
    <s v="N"/>
    <s v="N"/>
    <s v="B017"/>
    <d v="2016-12-27T00:00:00"/>
    <s v="10"/>
    <s v="TAN"/>
    <s v="OR"/>
    <d v="2016-12-22T00:00:00"/>
    <s v="WY"/>
    <s v="US"/>
    <s v="ZR"/>
    <d v="2016-12-22T00:00:00"/>
  </r>
  <r>
    <x v="1"/>
    <x v="5"/>
    <x v="3242"/>
    <x v="14"/>
    <s v="Standard order"/>
    <x v="3113"/>
    <x v="80"/>
    <s v="398N"/>
    <s v="BTS 39RR8N"/>
    <s v="5002572"/>
    <s v="398N BTS T20 PB SYSTIVA RP"/>
    <n v="24"/>
    <n v="0"/>
    <n v="24"/>
    <x v="5"/>
    <s v="2771"/>
    <s v="RP"/>
    <s v="322"/>
    <s v="4.0 UN"/>
    <s v="STANDARD"/>
    <s v="N"/>
    <s v="Y"/>
    <s v="N"/>
    <s v="T20"/>
    <s v="Y"/>
    <s v="N"/>
    <s v="N"/>
    <s v="N"/>
    <s v="B017"/>
    <d v="2016-12-27T00:00:00"/>
    <s v="20"/>
    <s v="TAN"/>
    <s v="OR"/>
    <d v="2016-12-22T00:00:00"/>
    <s v="WY"/>
    <s v="US"/>
    <s v="ZR"/>
    <d v="2016-12-22T00:00:00"/>
  </r>
  <r>
    <x v="1"/>
    <x v="5"/>
    <x v="3242"/>
    <x v="14"/>
    <s v="Standard order"/>
    <x v="3113"/>
    <x v="80"/>
    <s v="353N"/>
    <s v="BTS 353N"/>
    <s v="5002524"/>
    <s v="353N BTS T20 PB SYSTIVA RP"/>
    <n v="8"/>
    <n v="0"/>
    <n v="8"/>
    <x v="5"/>
    <s v="EENZ"/>
    <s v="RP"/>
    <s v="322"/>
    <s v="4.0 UN"/>
    <s v="STANDARD"/>
    <s v="N"/>
    <s v="Y"/>
    <s v="N"/>
    <s v="T20"/>
    <s v="Y"/>
    <s v="N"/>
    <s v="N"/>
    <s v="N"/>
    <s v="B017"/>
    <d v="2016-12-27T00:00:00"/>
    <s v="30"/>
    <s v="TAN"/>
    <s v="OR"/>
    <d v="2016-12-22T00:00:00"/>
    <s v="WY"/>
    <s v="US"/>
    <s v="ZR"/>
    <d v="2016-12-22T00:00:00"/>
  </r>
  <r>
    <x v="1"/>
    <x v="0"/>
    <x v="3243"/>
    <x v="57"/>
    <s v="Standard order"/>
    <x v="3114"/>
    <x v="2577"/>
    <s v="149N"/>
    <s v="BTS 149N"/>
    <s v="5002366"/>
    <s v="149N BTS T20 Kabina MP"/>
    <n v="200"/>
    <n v="0"/>
    <n v="200"/>
    <x v="0"/>
    <s v="EEND"/>
    <s v="MP"/>
    <s v="380"/>
    <s v="4.0 UN"/>
    <s v="STANDARD"/>
    <s v="N"/>
    <s v="N"/>
    <s v="Y"/>
    <s v="T20"/>
    <s v="N"/>
    <s v="N"/>
    <s v="N"/>
    <s v="N"/>
    <s v="B008"/>
    <d v="2016-12-27T00:00:00"/>
    <s v="10"/>
    <s v="TAN"/>
    <s v="OR"/>
    <d v="2016-12-22T00:00:00"/>
    <s v="MI"/>
    <s v="US"/>
    <s v="ZR"/>
    <d v="2016-12-22T00:00:00"/>
  </r>
  <r>
    <x v="1"/>
    <x v="0"/>
    <x v="3243"/>
    <x v="57"/>
    <s v="Standard order"/>
    <x v="3114"/>
    <x v="2577"/>
    <s v="1399"/>
    <s v="BTS 1399"/>
    <s v="5002348"/>
    <s v="1399 BTS T20 Kabina RP"/>
    <n v="100"/>
    <n v="0"/>
    <n v="100"/>
    <x v="0"/>
    <s v="EG74"/>
    <s v="RP"/>
    <s v="380"/>
    <s v="4.0 UN"/>
    <s v="STANDARD"/>
    <s v="N"/>
    <s v="N"/>
    <s v="Y"/>
    <s v="T20"/>
    <s v="N"/>
    <s v="N"/>
    <s v="N"/>
    <s v="N"/>
    <s v="B008"/>
    <d v="2016-12-27T00:00:00"/>
    <s v="20"/>
    <s v="TAN"/>
    <s v="OR"/>
    <d v="2016-12-22T00:00:00"/>
    <s v="MI"/>
    <s v="US"/>
    <s v="ZR"/>
    <d v="2016-12-22T00:00:00"/>
  </r>
  <r>
    <x v="1"/>
    <x v="0"/>
    <x v="3243"/>
    <x v="57"/>
    <s v="Standard order"/>
    <x v="3114"/>
    <x v="2577"/>
    <s v="122N"/>
    <s v="BTS 12RR2N"/>
    <s v="5002309"/>
    <s v="122N BTS T20 Kabina MP"/>
    <n v="100"/>
    <n v="0"/>
    <n v="100"/>
    <x v="0"/>
    <s v="4TBG"/>
    <s v="MP"/>
    <s v="380"/>
    <s v="4.0 UN"/>
    <s v="STANDARD"/>
    <s v="N"/>
    <s v="N"/>
    <s v="Y"/>
    <s v="T20"/>
    <s v="N"/>
    <s v="N"/>
    <s v="N"/>
    <s v="N"/>
    <s v="B008"/>
    <d v="2016-12-27T00:00:00"/>
    <s v="30"/>
    <s v="TAN"/>
    <s v="OR"/>
    <d v="2016-12-22T00:00:00"/>
    <s v="MI"/>
    <s v="US"/>
    <s v="ZR"/>
    <d v="2016-12-22T00:00:00"/>
  </r>
  <r>
    <x v="1"/>
    <x v="4"/>
    <x v="3244"/>
    <x v="46"/>
    <s v="Standard order"/>
    <x v="3115"/>
    <x v="316"/>
    <s v="4933"/>
    <s v="BTS 49RR33"/>
    <s v="5002280"/>
    <s v="4933 BTS PB XL IDH"/>
    <n v="32"/>
    <n v="0"/>
    <n v="32"/>
    <x v="4"/>
    <s v="AKMC"/>
    <s v="X-LARGE"/>
    <s v="307"/>
    <s v="4.0 UN"/>
    <s v="STANDARD"/>
    <s v="N"/>
    <s v="Y"/>
    <s v="N"/>
    <s v="N"/>
    <s v="N"/>
    <s v="N"/>
    <s v="N"/>
    <s v="N"/>
    <s v="B049"/>
    <d v="2016-12-27T00:00:00"/>
    <s v="10"/>
    <s v="TAN"/>
    <s v="OR"/>
    <d v="2016-12-22T00:00:00"/>
    <s v="ID"/>
    <s v="US"/>
    <s v="ZR"/>
    <d v="2016-12-22T00:00:00"/>
  </r>
  <r>
    <x v="1"/>
    <x v="4"/>
    <x v="3245"/>
    <x v="46"/>
    <s v="Standard order"/>
    <x v="3116"/>
    <x v="2578"/>
    <s v="4933"/>
    <s v="BTS 49RR33"/>
    <s v="5002280"/>
    <s v="4933 BTS PB XL IDH"/>
    <n v="8"/>
    <n v="0"/>
    <n v="8"/>
    <x v="4"/>
    <s v="AKMC"/>
    <s v="X-LARGE"/>
    <s v="307"/>
    <s v="4.0 UN"/>
    <s v="STANDARD"/>
    <s v="N"/>
    <s v="Y"/>
    <s v="N"/>
    <s v="N"/>
    <s v="N"/>
    <s v="N"/>
    <s v="N"/>
    <s v="N"/>
    <s v="B049"/>
    <d v="2016-12-27T00:00:00"/>
    <s v="10"/>
    <s v="TAN"/>
    <s v="OR"/>
    <d v="2016-12-22T00:00:00"/>
    <s v="ID"/>
    <s v="US"/>
    <s v="ZR"/>
    <d v="2016-12-22T00:00:00"/>
  </r>
  <r>
    <x v="1"/>
    <x v="0"/>
    <x v="3246"/>
    <x v="43"/>
    <s v="Standard order"/>
    <x v="3117"/>
    <x v="860"/>
    <s v="122N"/>
    <s v="BTS 12RR2N"/>
    <s v="5002317"/>
    <s v="122N BTS T20 SYSTIVA RP"/>
    <n v="28"/>
    <n v="0"/>
    <n v="28"/>
    <x v="0"/>
    <s v="4TBG"/>
    <s v="RP"/>
    <s v="326"/>
    <s v="4.0 UN"/>
    <s v="STANDARD"/>
    <s v="N"/>
    <s v="N"/>
    <s v="N"/>
    <s v="T20"/>
    <s v="Y"/>
    <s v="N"/>
    <s v="Y"/>
    <s v="N"/>
    <s v="B006"/>
    <d v="2016-12-27T00:00:00"/>
    <s v="10"/>
    <s v="TAN"/>
    <s v="OR"/>
    <d v="2016-12-22T00:00:00"/>
    <s v="MI"/>
    <s v="US"/>
    <s v="ZR"/>
    <d v="2016-12-22T00:00:00"/>
  </r>
  <r>
    <x v="1"/>
    <x v="0"/>
    <x v="3246"/>
    <x v="43"/>
    <s v="Standard order"/>
    <x v="3117"/>
    <x v="860"/>
    <s v="1399"/>
    <s v="BTS 1399"/>
    <s v="5002348"/>
    <s v="1399 BTS T20 Kabina RP"/>
    <n v="20"/>
    <n v="0"/>
    <n v="20"/>
    <x v="0"/>
    <s v="EG74"/>
    <s v="RP"/>
    <s v="380"/>
    <s v="4.0 UN"/>
    <s v="STANDARD"/>
    <s v="N"/>
    <s v="N"/>
    <s v="Y"/>
    <s v="T20"/>
    <s v="N"/>
    <s v="N"/>
    <s v="N"/>
    <s v="N"/>
    <s v="B006"/>
    <d v="2016-12-27T00:00:00"/>
    <s v="20"/>
    <s v="TAN"/>
    <s v="OR"/>
    <d v="2016-12-22T00:00:00"/>
    <s v="MI"/>
    <s v="US"/>
    <s v="ZR"/>
    <d v="2016-12-22T00:00:00"/>
  </r>
  <r>
    <x v="1"/>
    <x v="0"/>
    <x v="3247"/>
    <x v="29"/>
    <s v="Standard order"/>
    <x v="3118"/>
    <x v="2579"/>
    <s v="122N"/>
    <s v="BTS 12RR2N"/>
    <s v="5002311"/>
    <s v="122N BTS T20 Kabina RP"/>
    <n v="136"/>
    <n v="0"/>
    <n v="136"/>
    <x v="0"/>
    <s v="4TBG"/>
    <s v="RP"/>
    <s v="380"/>
    <s v="4.0 UN"/>
    <s v="STANDARD"/>
    <s v="N"/>
    <s v="N"/>
    <s v="Y"/>
    <s v="T20"/>
    <s v="N"/>
    <s v="N"/>
    <s v="N"/>
    <s v="N"/>
    <s v="B005"/>
    <d v="2016-12-27T00:00:00"/>
    <s v="10"/>
    <s v="TAN"/>
    <s v="OR"/>
    <d v="2016-12-22T00:00:00"/>
    <s v="MI"/>
    <s v="US"/>
    <s v="ZR"/>
    <d v="2016-12-22T00:00:00"/>
  </r>
  <r>
    <x v="1"/>
    <x v="0"/>
    <x v="3248"/>
    <x v="49"/>
    <s v="Standard order"/>
    <x v="3119"/>
    <x v="2580"/>
    <s v="1399"/>
    <s v="BTS 1399"/>
    <s v="5002348"/>
    <s v="1399 BTS T20 Kabina RP"/>
    <n v="8"/>
    <n v="0"/>
    <n v="8"/>
    <x v="0"/>
    <s v="EG74"/>
    <s v="RP"/>
    <s v="380"/>
    <s v="4.0 UN"/>
    <s v="STANDARD"/>
    <s v="N"/>
    <s v="N"/>
    <s v="Y"/>
    <s v="T20"/>
    <s v="N"/>
    <s v="N"/>
    <s v="N"/>
    <s v="N"/>
    <s v="B004"/>
    <d v="2016-12-27T00:00:00"/>
    <s v="10"/>
    <s v="TAN"/>
    <s v="OR"/>
    <d v="2016-12-22T00:00:00"/>
    <s v="MI"/>
    <s v="US"/>
    <s v="ZR"/>
    <d v="2016-12-22T00:00:00"/>
  </r>
  <r>
    <x v="1"/>
    <x v="0"/>
    <x v="3249"/>
    <x v="49"/>
    <s v="Standard order"/>
    <x v="3120"/>
    <x v="1314"/>
    <s v="122N"/>
    <s v="BTS 12RR2N"/>
    <s v="5002311"/>
    <s v="122N BTS T20 Kabina RP"/>
    <n v="24"/>
    <n v="0"/>
    <n v="24"/>
    <x v="0"/>
    <s v="4TBG"/>
    <s v="RP"/>
    <s v="380"/>
    <s v="4.0 UN"/>
    <s v="STANDARD"/>
    <s v="N"/>
    <s v="N"/>
    <s v="Y"/>
    <s v="T20"/>
    <s v="N"/>
    <s v="N"/>
    <s v="N"/>
    <s v="N"/>
    <s v="B004"/>
    <d v="2016-12-27T00:00:00"/>
    <s v="10"/>
    <s v="TAN"/>
    <s v="OR"/>
    <d v="2016-12-22T00:00:00"/>
    <s v="MI"/>
    <s v="US"/>
    <s v="ZR"/>
    <d v="2016-12-22T00:00:00"/>
  </r>
  <r>
    <x v="1"/>
    <x v="0"/>
    <x v="3249"/>
    <x v="49"/>
    <s v="Standard order"/>
    <x v="3120"/>
    <x v="1314"/>
    <s v="149N"/>
    <s v="BTS 149N"/>
    <s v="5002368"/>
    <s v="149N BTS T20 Kabina RP"/>
    <n v="28"/>
    <n v="0"/>
    <n v="28"/>
    <x v="0"/>
    <s v="EEND"/>
    <s v="RP"/>
    <s v="380"/>
    <s v="4.0 UN"/>
    <s v="STANDARD"/>
    <s v="N"/>
    <s v="N"/>
    <s v="Y"/>
    <s v="T20"/>
    <s v="N"/>
    <s v="N"/>
    <s v="N"/>
    <s v="N"/>
    <s v="B004"/>
    <d v="2016-12-27T00:00:00"/>
    <s v="20"/>
    <s v="TAN"/>
    <s v="OR"/>
    <d v="2016-12-22T00:00:00"/>
    <s v="MI"/>
    <s v="US"/>
    <s v="ZR"/>
    <d v="2016-12-22T00:00:00"/>
  </r>
  <r>
    <x v="1"/>
    <x v="5"/>
    <x v="3250"/>
    <x v="14"/>
    <s v="Standard order"/>
    <x v="3121"/>
    <x v="1100"/>
    <s v="4933"/>
    <s v="BTS 49RR33"/>
    <s v="5002295"/>
    <s v="4933 BTS T20 PB SYSTIVA MP WSN"/>
    <n v="16"/>
    <n v="0"/>
    <n v="16"/>
    <x v="5"/>
    <s v="AKMC"/>
    <s v="MP"/>
    <s v="322"/>
    <s v="4.0 UN"/>
    <s v="STANDARD"/>
    <s v="N"/>
    <s v="Y"/>
    <s v="N"/>
    <s v="T20"/>
    <s v="Y"/>
    <s v="N"/>
    <s v="N"/>
    <s v="N"/>
    <s v="B017"/>
    <d v="2016-12-27T00:00:00"/>
    <s v="10"/>
    <s v="TAN"/>
    <s v="OR"/>
    <d v="2016-12-22T00:00:00"/>
    <s v="WY"/>
    <s v="US"/>
    <s v="ZR"/>
    <d v="2016-12-22T00:00:00"/>
  </r>
  <r>
    <x v="1"/>
    <x v="5"/>
    <x v="3250"/>
    <x v="14"/>
    <s v="Standard order"/>
    <x v="3121"/>
    <x v="1100"/>
    <s v="353N"/>
    <s v="BTS 353N"/>
    <s v="5002520"/>
    <s v="353N BTS T20 PB SYSTIVA MP"/>
    <n v="8"/>
    <n v="0"/>
    <n v="8"/>
    <x v="5"/>
    <s v="EENZ"/>
    <s v="MP"/>
    <s v="322"/>
    <s v="4.0 UN"/>
    <s v="STANDARD"/>
    <s v="N"/>
    <s v="Y"/>
    <s v="N"/>
    <s v="T20"/>
    <s v="Y"/>
    <s v="N"/>
    <s v="N"/>
    <s v="N"/>
    <s v="B017"/>
    <d v="2016-12-27T00:00:00"/>
    <s v="20"/>
    <s v="TAN"/>
    <s v="OR"/>
    <d v="2016-12-22T00:00:00"/>
    <s v="WY"/>
    <s v="US"/>
    <s v="ZR"/>
    <d v="2016-12-22T00:00:00"/>
  </r>
  <r>
    <x v="1"/>
    <x v="4"/>
    <x v="3251"/>
    <x v="52"/>
    <s v="Standard order"/>
    <x v="3122"/>
    <x v="2581"/>
    <s v="251N"/>
    <s v="BTS 251N"/>
    <s v="5002194"/>
    <s v="251N BTS PB LRG"/>
    <n v="12"/>
    <n v="0"/>
    <n v="12"/>
    <x v="4"/>
    <s v="5HBR"/>
    <s v="LARGE"/>
    <s v="307"/>
    <s v="4.0 UN"/>
    <s v="STANDARD"/>
    <s v="N"/>
    <s v="Y"/>
    <s v="N"/>
    <s v="N"/>
    <s v="N"/>
    <s v="N"/>
    <s v="N"/>
    <s v="N"/>
    <s v="B048"/>
    <d v="2016-12-27T00:00:00"/>
    <s v="10"/>
    <s v="TAN"/>
    <s v="OR"/>
    <d v="2016-12-21T00:00:00"/>
    <s v="ID"/>
    <s v="US"/>
    <s v="ZR"/>
    <d v="2016-12-22T00:00:00"/>
  </r>
  <r>
    <x v="1"/>
    <x v="4"/>
    <x v="3252"/>
    <x v="52"/>
    <s v="Standard order"/>
    <x v="3123"/>
    <x v="2582"/>
    <s v="2570"/>
    <s v="BTS 2570"/>
    <s v="5002553"/>
    <s v="2570 BTS PB LRG"/>
    <n v="20"/>
    <n v="0"/>
    <n v="20"/>
    <x v="4"/>
    <s v="EZNS"/>
    <s v="LARGE"/>
    <s v="307"/>
    <s v="4.0 UN"/>
    <s v="STANDARD"/>
    <s v="N"/>
    <s v="Y"/>
    <s v="N"/>
    <s v="N"/>
    <s v="N"/>
    <s v="N"/>
    <s v="N"/>
    <s v="N"/>
    <s v="B048"/>
    <d v="2016-12-27T00:00:00"/>
    <s v="10"/>
    <s v="TAN"/>
    <s v="OR"/>
    <d v="2016-12-21T00:00:00"/>
    <s v="ID"/>
    <s v="US"/>
    <s v="ZR"/>
    <d v="2016-12-22T00:00:00"/>
  </r>
  <r>
    <x v="1"/>
    <x v="4"/>
    <x v="3252"/>
    <x v="52"/>
    <s v="Standard order"/>
    <x v="3123"/>
    <x v="2582"/>
    <s v="251N"/>
    <s v="BTS 251N"/>
    <s v="5002503"/>
    <s v="251N BTS PB Kabina LRG"/>
    <n v="24"/>
    <n v="0"/>
    <n v="24"/>
    <x v="4"/>
    <s v="5HBR"/>
    <s v="LARGE"/>
    <s v="384"/>
    <s v="4.0 UN"/>
    <s v="STANDARD"/>
    <s v="N"/>
    <s v="Y"/>
    <s v="Y"/>
    <s v="N"/>
    <s v="N"/>
    <s v="N"/>
    <s v="N"/>
    <s v="N"/>
    <s v="B048"/>
    <d v="2016-12-27T00:00:00"/>
    <s v="20"/>
    <s v="TAN"/>
    <s v="OR"/>
    <d v="2016-12-21T00:00:00"/>
    <s v="ID"/>
    <s v="US"/>
    <s v="ZR"/>
    <d v="2016-12-22T00:00:00"/>
  </r>
  <r>
    <x v="1"/>
    <x v="4"/>
    <x v="3252"/>
    <x v="52"/>
    <s v="Standard order"/>
    <x v="3123"/>
    <x v="2582"/>
    <s v="225N"/>
    <s v="BTS 22RR5N"/>
    <s v="5002106"/>
    <s v="225N BTS PB Kabina LRG"/>
    <n v="48"/>
    <n v="0"/>
    <n v="48"/>
    <x v="4"/>
    <s v="4TBD"/>
    <s v="LARGE"/>
    <s v="384"/>
    <s v="4.0 UN"/>
    <s v="STANDARD"/>
    <s v="N"/>
    <s v="Y"/>
    <s v="Y"/>
    <s v="N"/>
    <s v="N"/>
    <s v="N"/>
    <s v="N"/>
    <s v="N"/>
    <s v="B048"/>
    <d v="2016-12-27T00:00:00"/>
    <s v="30"/>
    <s v="TAN"/>
    <s v="OR"/>
    <d v="2016-12-21T00:00:00"/>
    <s v="ID"/>
    <s v="US"/>
    <s v="ZR"/>
    <d v="2016-12-22T00:00:00"/>
  </r>
  <r>
    <x v="1"/>
    <x v="4"/>
    <x v="3253"/>
    <x v="44"/>
    <s v="Standard order"/>
    <x v="3124"/>
    <x v="1111"/>
    <s v="225N"/>
    <s v="BTS 22RR5N"/>
    <s v="5002111"/>
    <s v="225N BTS PB LRG"/>
    <n v="56"/>
    <n v="0"/>
    <n v="56"/>
    <x v="4"/>
    <s v="4TBD"/>
    <s v="LARGE"/>
    <s v="307"/>
    <s v="4.0 UN"/>
    <s v="STANDARD"/>
    <s v="N"/>
    <s v="Y"/>
    <s v="N"/>
    <s v="N"/>
    <s v="N"/>
    <s v="N"/>
    <s v="N"/>
    <s v="N"/>
    <s v="MB13"/>
    <d v="2016-12-27T00:00:00"/>
    <s v="10"/>
    <s v="TAN"/>
    <s v="OR"/>
    <d v="2016-12-21T00:00:00"/>
    <s v="OR"/>
    <s v="US"/>
    <s v="ZR"/>
    <d v="2016-12-22T00:00:00"/>
  </r>
  <r>
    <x v="1"/>
    <x v="0"/>
    <x v="3254"/>
    <x v="29"/>
    <s v="Standard order"/>
    <x v="3125"/>
    <x v="2583"/>
    <s v="122N"/>
    <s v="BTS 12RR2N"/>
    <s v="5002311"/>
    <s v="122N BTS T20 Kabina RP"/>
    <n v="52"/>
    <n v="0"/>
    <n v="52"/>
    <x v="0"/>
    <s v="4TBG"/>
    <s v="RP"/>
    <s v="380"/>
    <s v="4.0 UN"/>
    <s v="STANDARD"/>
    <s v="N"/>
    <s v="N"/>
    <s v="Y"/>
    <s v="T20"/>
    <s v="N"/>
    <s v="N"/>
    <s v="N"/>
    <s v="N"/>
    <s v="B005"/>
    <d v="2016-12-28T00:00:00"/>
    <s v="10"/>
    <s v="TAN"/>
    <s v="OR"/>
    <d v="2016-12-22T00:00:00"/>
    <s v="MI"/>
    <s v="US"/>
    <s v="ZR"/>
    <d v="2016-12-23T00:00:00"/>
  </r>
  <r>
    <x v="1"/>
    <x v="0"/>
    <x v="3255"/>
    <x v="57"/>
    <s v="Standard order"/>
    <x v="3126"/>
    <x v="2584"/>
    <s v="122N"/>
    <s v="BTS 12RR2N"/>
    <s v="5002311"/>
    <s v="122N BTS T20 Kabina RP"/>
    <n v="16"/>
    <n v="0"/>
    <n v="16"/>
    <x v="0"/>
    <s v="4TBG"/>
    <s v="RP"/>
    <s v="380"/>
    <s v="4.0 UN"/>
    <s v="STANDARD"/>
    <s v="N"/>
    <s v="N"/>
    <s v="Y"/>
    <s v="T20"/>
    <s v="N"/>
    <s v="N"/>
    <s v="N"/>
    <s v="N"/>
    <s v="B008"/>
    <d v="2016-12-28T00:00:00"/>
    <s v="10"/>
    <s v="TAN"/>
    <s v="OR"/>
    <d v="2016-12-23T00:00:00"/>
    <s v="MI"/>
    <s v="US"/>
    <s v="ZR"/>
    <d v="2016-12-23T00:00:00"/>
  </r>
  <r>
    <x v="1"/>
    <x v="4"/>
    <x v="3256"/>
    <x v="53"/>
    <s v="Standard order"/>
    <x v="3127"/>
    <x v="776"/>
    <s v="251N"/>
    <s v="BTS 251N"/>
    <s v="5002194"/>
    <s v="251N BTS PB LRG"/>
    <n v="68"/>
    <n v="0"/>
    <n v="68"/>
    <x v="4"/>
    <s v="5HBR"/>
    <s v="LARGE"/>
    <s v="307"/>
    <s v="4.0 UN"/>
    <s v="STANDARD"/>
    <s v="N"/>
    <s v="Y"/>
    <s v="N"/>
    <s v="N"/>
    <s v="N"/>
    <s v="N"/>
    <s v="N"/>
    <s v="N"/>
    <s v="B051"/>
    <d v="2016-12-28T00:00:00"/>
    <s v="10"/>
    <s v="TAN"/>
    <s v="OR"/>
    <d v="2016-12-23T00:00:00"/>
    <s v="ID"/>
    <s v="US"/>
    <s v="ZR"/>
    <d v="2016-12-23T00:00:00"/>
  </r>
  <r>
    <x v="1"/>
    <x v="4"/>
    <x v="3257"/>
    <x v="46"/>
    <s v="Standard order"/>
    <x v="3128"/>
    <x v="2585"/>
    <s v="6027"/>
    <s v="BTS 60RR27"/>
    <s v="5002618"/>
    <s v="6027 BTS PB MED IDH"/>
    <n v="36"/>
    <n v="0"/>
    <n v="36"/>
    <x v="4"/>
    <s v="APMC"/>
    <s v="MEDIUM"/>
    <s v="307"/>
    <s v="4.0 UN"/>
    <s v="STANDARD"/>
    <s v="N"/>
    <s v="Y"/>
    <s v="N"/>
    <s v="N"/>
    <s v="N"/>
    <s v="N"/>
    <s v="N"/>
    <s v="N"/>
    <s v="B049"/>
    <d v="2016-12-28T00:00:00"/>
    <s v="10"/>
    <s v="TAN"/>
    <s v="OR"/>
    <d v="2016-12-23T00:00:00"/>
    <s v="ID"/>
    <s v="US"/>
    <s v="ZR"/>
    <d v="2016-12-23T00:00:00"/>
  </r>
  <r>
    <x v="1"/>
    <x v="4"/>
    <x v="3257"/>
    <x v="46"/>
    <s v="Standard order"/>
    <x v="3128"/>
    <x v="2585"/>
    <s v="2523"/>
    <s v="BTS 2523"/>
    <s v="5002527"/>
    <s v="2523 BTS PB LRG"/>
    <n v="48"/>
    <n v="0"/>
    <n v="48"/>
    <x v="4"/>
    <s v="EZPC"/>
    <s v="LARGE"/>
    <s v="307"/>
    <s v="4.0 UN"/>
    <s v="STANDARD"/>
    <s v="N"/>
    <s v="Y"/>
    <s v="N"/>
    <s v="N"/>
    <s v="N"/>
    <s v="N"/>
    <s v="N"/>
    <s v="N"/>
    <s v="B049"/>
    <d v="2016-12-28T00:00:00"/>
    <s v="20"/>
    <s v="TAN"/>
    <s v="OR"/>
    <d v="2016-12-23T00:00:00"/>
    <s v="ID"/>
    <s v="US"/>
    <s v="ZR"/>
    <d v="2016-12-23T00:00:00"/>
  </r>
  <r>
    <x v="1"/>
    <x v="4"/>
    <x v="3257"/>
    <x v="46"/>
    <s v="Standard order"/>
    <x v="3128"/>
    <x v="2585"/>
    <s v="2559"/>
    <s v="BTS 2559"/>
    <s v="5002561"/>
    <s v="2559 BTS PB LRG"/>
    <n v="44"/>
    <n v="0"/>
    <n v="44"/>
    <x v="4"/>
    <s v="FGNE"/>
    <s v="LARGE"/>
    <s v="307"/>
    <s v="4.0 UN"/>
    <s v="STANDARD"/>
    <s v="N"/>
    <s v="Y"/>
    <s v="N"/>
    <s v="N"/>
    <s v="N"/>
    <s v="N"/>
    <s v="N"/>
    <s v="N"/>
    <s v="B049"/>
    <d v="2016-12-28T00:00:00"/>
    <s v="30"/>
    <s v="TAN"/>
    <s v="OR"/>
    <d v="2016-12-23T00:00:00"/>
    <s v="ID"/>
    <s v="US"/>
    <s v="ZR"/>
    <d v="2016-12-23T00:00:00"/>
  </r>
  <r>
    <x v="1"/>
    <x v="4"/>
    <x v="3257"/>
    <x v="46"/>
    <s v="Standard order"/>
    <x v="3128"/>
    <x v="2585"/>
    <s v="2570"/>
    <s v="BTS 2570"/>
    <s v="5002553"/>
    <s v="2570 BTS PB LRG"/>
    <n v="76"/>
    <n v="0"/>
    <n v="76"/>
    <x v="4"/>
    <s v="EZNS"/>
    <s v="LARGE"/>
    <s v="307"/>
    <s v="4.0 UN"/>
    <s v="STANDARD"/>
    <s v="N"/>
    <s v="Y"/>
    <s v="N"/>
    <s v="N"/>
    <s v="N"/>
    <s v="N"/>
    <s v="N"/>
    <s v="N"/>
    <s v="B049"/>
    <d v="2016-12-28T00:00:00"/>
    <s v="40"/>
    <s v="TAN"/>
    <s v="OR"/>
    <d v="2016-12-23T00:00:00"/>
    <s v="ID"/>
    <s v="US"/>
    <s v="ZR"/>
    <d v="2016-12-23T00:00:00"/>
  </r>
  <r>
    <x v="1"/>
    <x v="7"/>
    <x v="3258"/>
    <x v="37"/>
    <s v="Standard order"/>
    <x v="3129"/>
    <x v="2586"/>
    <s v="8500"/>
    <s v="BTS 8500"/>
    <s v="5002860"/>
    <s v="8500 BTS T35 SYSTIVA RP"/>
    <n v="100"/>
    <n v="0"/>
    <n v="100"/>
    <x v="7"/>
    <s v="FTND"/>
    <s v="RP"/>
    <s v="334"/>
    <s v="4.0 UN"/>
    <s v="STANDARD"/>
    <s v="N"/>
    <s v="N"/>
    <s v="N"/>
    <s v="T35"/>
    <s v="Y"/>
    <s v="N"/>
    <s v="Y"/>
    <s v="N"/>
    <s v="B033"/>
    <d v="2016-12-28T00:00:00"/>
    <s v="10"/>
    <s v="TAN"/>
    <s v="OR"/>
    <d v="2016-12-23T00:00:00"/>
    <s v="ND"/>
    <s v="US"/>
    <s v="ZR"/>
    <d v="2016-12-23T00:00:00"/>
  </r>
  <r>
    <x v="1"/>
    <x v="4"/>
    <x v="3259"/>
    <x v="52"/>
    <s v="Standard order"/>
    <x v="3130"/>
    <x v="2587"/>
    <s v="251N"/>
    <s v="BTS 251N"/>
    <s v="5002503"/>
    <s v="251N BTS PB Kabina LRG"/>
    <n v="16"/>
    <n v="0"/>
    <n v="16"/>
    <x v="4"/>
    <s v="5HBR"/>
    <s v="LARGE"/>
    <s v="384"/>
    <s v="4.0 UN"/>
    <s v="STANDARD"/>
    <s v="N"/>
    <s v="Y"/>
    <s v="Y"/>
    <s v="N"/>
    <s v="N"/>
    <s v="N"/>
    <s v="N"/>
    <s v="N"/>
    <s v="B048"/>
    <d v="2016-12-28T00:00:00"/>
    <s v="10"/>
    <s v="TAN"/>
    <s v="OR"/>
    <d v="2016-12-23T00:00:00"/>
    <s v="ID"/>
    <s v="US"/>
    <s v="ZR"/>
    <d v="2016-12-23T00:00:00"/>
  </r>
  <r>
    <x v="1"/>
    <x v="4"/>
    <x v="3259"/>
    <x v="52"/>
    <s v="Standard order"/>
    <x v="3130"/>
    <x v="2587"/>
    <s v="2570"/>
    <s v="BTS 2570"/>
    <s v="5002914"/>
    <s v="2570 BTS PB Kabina LRG"/>
    <n v="16"/>
    <n v="0"/>
    <n v="16"/>
    <x v="4"/>
    <s v="EZNS"/>
    <s v="LARGE"/>
    <s v="384"/>
    <s v="4.0 UN"/>
    <s v="STANDARD"/>
    <s v="N"/>
    <s v="Y"/>
    <s v="Y"/>
    <s v="N"/>
    <s v="N"/>
    <s v="N"/>
    <s v="N"/>
    <s v="N"/>
    <s v="B048"/>
    <d v="2016-12-28T00:00:00"/>
    <s v="20"/>
    <s v="TAN"/>
    <s v="OR"/>
    <d v="2016-12-23T00:00:00"/>
    <s v="ID"/>
    <s v="US"/>
    <s v="ZR"/>
    <d v="2016-12-23T00:00:00"/>
  </r>
  <r>
    <x v="1"/>
    <x v="2"/>
    <x v="3260"/>
    <x v="5"/>
    <s v="Standard order"/>
    <x v="3131"/>
    <x v="1109"/>
    <s v="6027"/>
    <s v="BTS 60RR27"/>
    <s v="5002645"/>
    <s v="6027 BTS T20 PB SYSTIVA P100 WSS"/>
    <n v="72"/>
    <n v="0"/>
    <n v="72"/>
    <x v="2"/>
    <s v="APMC"/>
    <s v="PRO 100"/>
    <s v="322"/>
    <s v="4.0 UN"/>
    <s v="STANDARD"/>
    <s v="N"/>
    <s v="N"/>
    <s v="N"/>
    <s v="T20"/>
    <s v="Y"/>
    <s v="N"/>
    <s v="Y"/>
    <s v="N"/>
    <s v="B020"/>
    <d v="2016-12-28T00:00:00"/>
    <s v="10"/>
    <s v="TAN"/>
    <s v="OR"/>
    <d v="2016-12-23T00:00:00"/>
    <s v="CO"/>
    <s v="US"/>
    <s v="ZR"/>
    <d v="2016-12-23T00:00:00"/>
  </r>
  <r>
    <x v="1"/>
    <x v="4"/>
    <x v="3261"/>
    <x v="52"/>
    <s v="Standard order"/>
    <x v="3132"/>
    <x v="2588"/>
    <s v="2570"/>
    <s v="BTS 2570"/>
    <s v="5002553"/>
    <s v="2570 BTS PB LRG"/>
    <n v="28"/>
    <n v="0"/>
    <n v="28"/>
    <x v="4"/>
    <s v="EZNS"/>
    <s v="LARGE"/>
    <s v="307"/>
    <s v="4.0 UN"/>
    <s v="STANDARD"/>
    <s v="N"/>
    <s v="Y"/>
    <s v="N"/>
    <s v="N"/>
    <s v="N"/>
    <s v="N"/>
    <s v="N"/>
    <s v="N"/>
    <s v="B048"/>
    <d v="2016-12-28T00:00:00"/>
    <s v="10"/>
    <s v="TAN"/>
    <s v="OR"/>
    <d v="2016-12-23T00:00:00"/>
    <s v="OR"/>
    <s v="US"/>
    <s v="ZR"/>
    <d v="2016-12-23T00:00:00"/>
  </r>
  <r>
    <x v="1"/>
    <x v="0"/>
    <x v="3262"/>
    <x v="56"/>
    <s v="Standard order"/>
    <x v="3133"/>
    <x v="1084"/>
    <s v="1399"/>
    <s v="BTS 1399"/>
    <s v="5002338"/>
    <s v="1399 BTS CM Vibrance RP"/>
    <n v="24"/>
    <n v="0"/>
    <n v="24"/>
    <x v="0"/>
    <s v="EG74"/>
    <s v="RP"/>
    <s v="366"/>
    <s v="4.0 UN"/>
    <s v="STANDARD"/>
    <s v="Y"/>
    <s v="N"/>
    <s v="N"/>
    <s v="N"/>
    <s v="N"/>
    <s v="N"/>
    <s v="N"/>
    <s v="Y"/>
    <s v="B010"/>
    <d v="2016-12-28T00:00:00"/>
    <s v="10"/>
    <s v="TAN"/>
    <s v="OR"/>
    <d v="2016-12-22T00:00:00"/>
    <s v="ON"/>
    <s v="CA"/>
    <s v="ZR"/>
    <d v="2016-12-23T00:00:00"/>
  </r>
  <r>
    <x v="1"/>
    <x v="4"/>
    <x v="3263"/>
    <x v="53"/>
    <s v="Standard order"/>
    <x v="3134"/>
    <x v="675"/>
    <s v="251N"/>
    <s v="BTS 251N"/>
    <s v="5002194"/>
    <s v="251N BTS PB LRG"/>
    <n v="8"/>
    <n v="0"/>
    <n v="8"/>
    <x v="4"/>
    <s v="5HBR"/>
    <s v="LARGE"/>
    <s v="307"/>
    <s v="4.0 UN"/>
    <s v="STANDARD"/>
    <s v="N"/>
    <s v="Y"/>
    <s v="N"/>
    <s v="N"/>
    <s v="N"/>
    <s v="N"/>
    <s v="N"/>
    <s v="N"/>
    <s v="B051"/>
    <d v="2016-12-28T00:00:00"/>
    <s v="10"/>
    <s v="TAN"/>
    <s v="OR"/>
    <d v="2016-12-23T00:00:00"/>
    <s v="ID"/>
    <s v="US"/>
    <s v="ZR"/>
    <d v="2016-12-23T00:00:00"/>
  </r>
  <r>
    <x v="1"/>
    <x v="0"/>
    <x v="3264"/>
    <x v="30"/>
    <s v="Standard order"/>
    <x v="3135"/>
    <x v="2589"/>
    <s v="1399"/>
    <s v="BTS 1399"/>
    <s v="5002348"/>
    <s v="1399 BTS T20 Kabina RP"/>
    <n v="20"/>
    <n v="0"/>
    <n v="20"/>
    <x v="0"/>
    <s v="EG74"/>
    <s v="RP"/>
    <s v="380"/>
    <s v="4.0 UN"/>
    <s v="STANDARD"/>
    <s v="N"/>
    <s v="N"/>
    <s v="Y"/>
    <s v="T20"/>
    <s v="N"/>
    <s v="N"/>
    <s v="N"/>
    <s v="N"/>
    <s v="B001"/>
    <d v="2016-12-28T00:00:00"/>
    <s v="10"/>
    <s v="TAN"/>
    <s v="OR"/>
    <d v="2016-12-23T00:00:00"/>
    <s v="MI"/>
    <s v="US"/>
    <s v="ZR"/>
    <d v="2016-12-23T00:00:00"/>
  </r>
  <r>
    <x v="1"/>
    <x v="4"/>
    <x v="3265"/>
    <x v="46"/>
    <s v="Standard order"/>
    <x v="3136"/>
    <x v="2590"/>
    <s v="4933"/>
    <s v="BTS 49RR33"/>
    <s v="5002280"/>
    <s v="4933 BTS PB XL IDH"/>
    <n v="112"/>
    <n v="0"/>
    <n v="112"/>
    <x v="4"/>
    <s v="AKMC"/>
    <s v="X-LARGE"/>
    <s v="307"/>
    <s v="4.0 UN"/>
    <s v="STANDARD"/>
    <s v="N"/>
    <s v="Y"/>
    <s v="N"/>
    <s v="N"/>
    <s v="N"/>
    <s v="N"/>
    <s v="N"/>
    <s v="N"/>
    <s v="B049"/>
    <d v="2016-12-28T00:00:00"/>
    <s v="10"/>
    <s v="TAN"/>
    <s v="OR"/>
    <d v="2016-12-23T00:00:00"/>
    <s v="ID"/>
    <s v="US"/>
    <s v="ZR"/>
    <d v="2016-12-23T00:00:00"/>
  </r>
  <r>
    <x v="1"/>
    <x v="4"/>
    <x v="3265"/>
    <x v="46"/>
    <s v="Standard order"/>
    <x v="3136"/>
    <x v="2590"/>
    <s v="6027"/>
    <s v="BTS 60RR27"/>
    <s v="5002625"/>
    <s v="6027 BTS PB XL IDH"/>
    <n v="112"/>
    <n v="0"/>
    <n v="112"/>
    <x v="4"/>
    <s v="APMC"/>
    <s v="X-LARGE"/>
    <s v="307"/>
    <s v="4.0 UN"/>
    <s v="STANDARD"/>
    <s v="N"/>
    <s v="Y"/>
    <s v="N"/>
    <s v="N"/>
    <s v="N"/>
    <s v="N"/>
    <s v="N"/>
    <s v="N"/>
    <s v="B049"/>
    <d v="2016-12-28T00:00:00"/>
    <s v="20"/>
    <s v="TAN"/>
    <s v="OR"/>
    <d v="2016-12-23T00:00:00"/>
    <s v="ID"/>
    <s v="US"/>
    <s v="ZR"/>
    <d v="2016-12-23T00:00:00"/>
  </r>
  <r>
    <x v="1"/>
    <x v="4"/>
    <x v="3265"/>
    <x v="46"/>
    <s v="Standard order"/>
    <x v="3136"/>
    <x v="2590"/>
    <s v="2523"/>
    <s v="BTS 2523"/>
    <s v="5002529"/>
    <s v="2523 BTS PB XL"/>
    <n v="132"/>
    <n v="0"/>
    <n v="132"/>
    <x v="4"/>
    <s v="EZPC"/>
    <s v="X-LARGE"/>
    <s v="307"/>
    <s v="4.0 UN"/>
    <s v="STANDARD"/>
    <s v="N"/>
    <s v="Y"/>
    <s v="N"/>
    <s v="N"/>
    <s v="N"/>
    <s v="N"/>
    <s v="N"/>
    <s v="N"/>
    <s v="B049"/>
    <d v="2016-12-28T00:00:00"/>
    <s v="30"/>
    <s v="TAN"/>
    <s v="OR"/>
    <d v="2016-12-23T00:00:00"/>
    <s v="ID"/>
    <s v="US"/>
    <s v="ZR"/>
    <d v="2016-12-23T00:00:00"/>
  </r>
  <r>
    <x v="1"/>
    <x v="4"/>
    <x v="3265"/>
    <x v="46"/>
    <s v="Standard order"/>
    <x v="3136"/>
    <x v="2590"/>
    <s v="2559"/>
    <s v="BTS 2559"/>
    <s v="5002563"/>
    <s v="2559 BTS PB XL"/>
    <n v="56"/>
    <n v="0"/>
    <n v="56"/>
    <x v="4"/>
    <s v="FGNE"/>
    <s v="X-LARGE"/>
    <s v="307"/>
    <s v="4.0 UN"/>
    <s v="STANDARD"/>
    <s v="N"/>
    <s v="Y"/>
    <s v="N"/>
    <s v="N"/>
    <s v="N"/>
    <s v="N"/>
    <s v="N"/>
    <s v="N"/>
    <s v="B049"/>
    <d v="2016-12-28T00:00:00"/>
    <s v="40"/>
    <s v="TAN"/>
    <s v="OR"/>
    <d v="2016-12-23T00:00:00"/>
    <s v="ID"/>
    <s v="US"/>
    <s v="ZR"/>
    <d v="2016-12-23T00:00:00"/>
  </r>
  <r>
    <x v="1"/>
    <x v="4"/>
    <x v="3265"/>
    <x v="46"/>
    <s v="Standard order"/>
    <x v="3136"/>
    <x v="2590"/>
    <s v="2570"/>
    <s v="BTS 2570"/>
    <s v="5002555"/>
    <s v="2570 BTS PB XL"/>
    <n v="40"/>
    <n v="0"/>
    <n v="40"/>
    <x v="4"/>
    <s v="EZNS"/>
    <s v="X-LARGE"/>
    <s v="307"/>
    <s v="4.0 UN"/>
    <s v="STANDARD"/>
    <s v="N"/>
    <s v="Y"/>
    <s v="N"/>
    <s v="N"/>
    <s v="N"/>
    <s v="N"/>
    <s v="N"/>
    <s v="N"/>
    <s v="B049"/>
    <d v="2016-12-28T00:00:00"/>
    <s v="50"/>
    <s v="TAN"/>
    <s v="OR"/>
    <d v="2016-12-23T00:00:00"/>
    <s v="ID"/>
    <s v="US"/>
    <s v="ZR"/>
    <d v="2016-12-23T00:00:00"/>
  </r>
  <r>
    <x v="1"/>
    <x v="0"/>
    <x v="3266"/>
    <x v="29"/>
    <s v="Standard order"/>
    <x v="3137"/>
    <x v="2591"/>
    <s v="122N"/>
    <s v="BTS 12RR2N"/>
    <s v="5002311"/>
    <s v="122N BTS T20 Kabina RP"/>
    <n v="60"/>
    <n v="0"/>
    <n v="60"/>
    <x v="0"/>
    <s v="4TBG"/>
    <s v="RP"/>
    <s v="380"/>
    <s v="4.0 UN"/>
    <s v="STANDARD"/>
    <s v="N"/>
    <s v="N"/>
    <s v="Y"/>
    <s v="T20"/>
    <s v="N"/>
    <s v="N"/>
    <s v="N"/>
    <s v="N"/>
    <s v="B005"/>
    <d v="2016-12-28T00:00:00"/>
    <s v="10"/>
    <s v="TAN"/>
    <s v="OR"/>
    <d v="2016-12-23T00:00:00"/>
    <s v="MI"/>
    <s v="US"/>
    <s v="ZR"/>
    <d v="2016-12-23T00:00:00"/>
  </r>
  <r>
    <x v="1"/>
    <x v="0"/>
    <x v="3267"/>
    <x v="57"/>
    <s v="Standard order"/>
    <x v="3138"/>
    <x v="1047"/>
    <s v="122N"/>
    <s v="BTS 12RR2N"/>
    <s v="5002309"/>
    <s v="122N BTS T20 Kabina MP"/>
    <n v="36"/>
    <n v="0"/>
    <n v="36"/>
    <x v="0"/>
    <s v="4TBG"/>
    <s v="MP"/>
    <s v="380"/>
    <s v="4.0 UN"/>
    <s v="STANDARD"/>
    <s v="N"/>
    <s v="N"/>
    <s v="Y"/>
    <s v="T20"/>
    <s v="N"/>
    <s v="N"/>
    <s v="N"/>
    <s v="N"/>
    <s v="B008"/>
    <d v="2016-12-28T00:00:00"/>
    <s v="10"/>
    <s v="TAN"/>
    <s v="OR"/>
    <d v="2016-12-23T00:00:00"/>
    <s v="MI"/>
    <s v="US"/>
    <s v="ZR"/>
    <d v="2016-12-23T00:00:00"/>
  </r>
  <r>
    <x v="1"/>
    <x v="0"/>
    <x v="3267"/>
    <x v="57"/>
    <s v="Standard order"/>
    <x v="3138"/>
    <x v="1047"/>
    <s v="149N"/>
    <s v="BTS 149N"/>
    <s v="5002366"/>
    <s v="149N BTS T20 Kabina MP"/>
    <n v="12"/>
    <n v="0"/>
    <n v="12"/>
    <x v="0"/>
    <s v="EEND"/>
    <s v="MP"/>
    <s v="380"/>
    <s v="4.0 UN"/>
    <s v="STANDARD"/>
    <s v="N"/>
    <s v="N"/>
    <s v="Y"/>
    <s v="T20"/>
    <s v="N"/>
    <s v="N"/>
    <s v="N"/>
    <s v="N"/>
    <s v="B008"/>
    <d v="2016-12-28T00:00:00"/>
    <s v="20"/>
    <s v="TAN"/>
    <s v="OR"/>
    <d v="2016-12-23T00:00:00"/>
    <s v="MI"/>
    <s v="US"/>
    <s v="ZR"/>
    <d v="2016-12-23T00:00:00"/>
  </r>
  <r>
    <x v="1"/>
    <x v="4"/>
    <x v="3268"/>
    <x v="52"/>
    <s v="Standard order"/>
    <x v="3139"/>
    <x v="2592"/>
    <s v="2570"/>
    <s v="BTS 2570"/>
    <s v="5002555"/>
    <s v="2570 BTS PB XL"/>
    <n v="16"/>
    <n v="0"/>
    <n v="16"/>
    <x v="4"/>
    <s v="EZNS"/>
    <s v="X-LARGE"/>
    <s v="307"/>
    <s v="4.0 UN"/>
    <s v="STANDARD"/>
    <s v="N"/>
    <s v="Y"/>
    <s v="N"/>
    <s v="N"/>
    <s v="N"/>
    <s v="N"/>
    <s v="N"/>
    <s v="N"/>
    <s v="B048"/>
    <d v="2016-12-28T00:00:00"/>
    <s v="10"/>
    <s v="TAN"/>
    <s v="OR"/>
    <d v="2016-12-23T00:00:00"/>
    <s v="ID"/>
    <s v="US"/>
    <s v="ZR"/>
    <d v="2016-12-23T00:00:00"/>
  </r>
  <r>
    <x v="1"/>
    <x v="4"/>
    <x v="3268"/>
    <x v="52"/>
    <s v="Standard order"/>
    <x v="3139"/>
    <x v="2592"/>
    <s v="251N"/>
    <s v="BTS 251N"/>
    <s v="5002196"/>
    <s v="251N BTS PB XL"/>
    <n v="12"/>
    <n v="0"/>
    <n v="12"/>
    <x v="4"/>
    <s v="5HBR"/>
    <s v="X-LARGE"/>
    <s v="307"/>
    <s v="4.0 UN"/>
    <s v="STANDARD"/>
    <s v="N"/>
    <s v="Y"/>
    <s v="N"/>
    <s v="N"/>
    <s v="N"/>
    <s v="N"/>
    <s v="N"/>
    <s v="N"/>
    <s v="B048"/>
    <d v="2016-12-28T00:00:00"/>
    <s v="20"/>
    <s v="TAN"/>
    <s v="OR"/>
    <d v="2016-12-23T00:00:00"/>
    <s v="ID"/>
    <s v="US"/>
    <s v="ZR"/>
    <d v="2016-12-23T00:00:00"/>
  </r>
  <r>
    <x v="1"/>
    <x v="4"/>
    <x v="3269"/>
    <x v="47"/>
    <s v="Standard order"/>
    <x v="3140"/>
    <x v="2593"/>
    <s v="2559"/>
    <s v="BTS 2559"/>
    <s v="5002561"/>
    <s v="2559 BTS PB LRG"/>
    <n v="24"/>
    <n v="0"/>
    <n v="24"/>
    <x v="4"/>
    <s v="FGNE"/>
    <s v="LARGE"/>
    <s v="307"/>
    <s v="4.0 UN"/>
    <s v="STANDARD"/>
    <s v="N"/>
    <s v="Y"/>
    <s v="N"/>
    <s v="N"/>
    <s v="N"/>
    <s v="N"/>
    <s v="N"/>
    <s v="N"/>
    <s v="B050"/>
    <d v="2016-12-28T00:00:00"/>
    <s v="10"/>
    <s v="TAN"/>
    <s v="OR"/>
    <d v="2016-12-23T00:00:00"/>
    <s v="ID"/>
    <s v="US"/>
    <s v="ZR"/>
    <d v="2016-12-23T00:00:00"/>
  </r>
  <r>
    <x v="1"/>
    <x v="2"/>
    <x v="3270"/>
    <x v="22"/>
    <s v="Standard order"/>
    <x v="3141"/>
    <x v="1114"/>
    <s v="628N"/>
    <s v="BTS 62RR8N"/>
    <s v="5002683"/>
    <s v="628N BTS T20 PB SYSTIVA P100"/>
    <n v="32"/>
    <n v="0"/>
    <n v="32"/>
    <x v="2"/>
    <s v="BL73"/>
    <s v="PRO 100"/>
    <s v="322"/>
    <s v="4.0 UN"/>
    <s v="STANDARD"/>
    <s v="N"/>
    <s v="N"/>
    <s v="N"/>
    <s v="T20"/>
    <s v="Y"/>
    <s v="N"/>
    <s v="Y"/>
    <s v="N"/>
    <s v="B018"/>
    <d v="2016-12-28T00:00:00"/>
    <s v="10"/>
    <s v="TAN"/>
    <s v="OR"/>
    <d v="2016-12-23T00:00:00"/>
    <s v="CO"/>
    <s v="US"/>
    <s v="ZR"/>
    <d v="2016-12-23T00:00:00"/>
  </r>
  <r>
    <x v="1"/>
    <x v="0"/>
    <x v="3271"/>
    <x v="56"/>
    <s v="Standard order"/>
    <x v="3142"/>
    <x v="911"/>
    <s v="1399"/>
    <s v="BTS 1399"/>
    <s v="5002338"/>
    <s v="1399 BTS CM Vibrance RP"/>
    <n v="8"/>
    <n v="0"/>
    <n v="8"/>
    <x v="0"/>
    <s v="EG74"/>
    <s v="RP"/>
    <s v="366"/>
    <s v="4.0 UN"/>
    <s v="STANDARD"/>
    <s v="Y"/>
    <s v="N"/>
    <s v="N"/>
    <s v="N"/>
    <s v="N"/>
    <s v="N"/>
    <s v="N"/>
    <s v="Y"/>
    <s v="B010"/>
    <d v="2016-12-28T00:00:00"/>
    <s v="10"/>
    <s v="TAN"/>
    <s v="OR"/>
    <d v="2016-12-22T00:00:00"/>
    <s v="ON"/>
    <s v="CA"/>
    <s v="ZR"/>
    <d v="2016-12-23T00:00:00"/>
  </r>
  <r>
    <x v="1"/>
    <x v="0"/>
    <x v="3272"/>
    <x v="56"/>
    <s v="Standard order"/>
    <x v="3143"/>
    <x v="1160"/>
    <s v="1399"/>
    <s v="BTS 1399"/>
    <s v="5002338"/>
    <s v="1399 BTS CM Vibrance RP"/>
    <n v="12"/>
    <n v="0"/>
    <n v="12"/>
    <x v="0"/>
    <s v="EG74"/>
    <s v="RP"/>
    <s v="366"/>
    <s v="4.0 UN"/>
    <s v="STANDARD"/>
    <s v="Y"/>
    <s v="N"/>
    <s v="N"/>
    <s v="N"/>
    <s v="N"/>
    <s v="N"/>
    <s v="N"/>
    <s v="Y"/>
    <s v="B010"/>
    <d v="2016-12-28T00:00:00"/>
    <s v="10"/>
    <s v="TAN"/>
    <s v="OR"/>
    <d v="2016-12-22T00:00:00"/>
    <s v="ON"/>
    <s v="CA"/>
    <s v="ZR"/>
    <d v="2016-12-23T00:00:00"/>
  </r>
  <r>
    <x v="1"/>
    <x v="0"/>
    <x v="3273"/>
    <x v="43"/>
    <s v="Standard order"/>
    <x v="3144"/>
    <x v="2594"/>
    <s v="1399"/>
    <s v="BTS 1399"/>
    <s v="5002346"/>
    <s v="1399 BTS T20 Kabina MP"/>
    <n v="12"/>
    <n v="0"/>
    <n v="12"/>
    <x v="0"/>
    <s v="EG74"/>
    <s v="MP"/>
    <s v="380"/>
    <s v="4.0 UN"/>
    <s v="STANDARD"/>
    <s v="N"/>
    <s v="N"/>
    <s v="Y"/>
    <s v="T20"/>
    <s v="N"/>
    <s v="N"/>
    <s v="N"/>
    <s v="N"/>
    <s v="B006"/>
    <d v="2016-12-28T00:00:00"/>
    <s v="10"/>
    <s v="TAN"/>
    <s v="OR"/>
    <d v="2016-12-23T00:00:00"/>
    <s v="MI"/>
    <s v="US"/>
    <s v="ZR"/>
    <d v="2016-12-23T00:00:00"/>
  </r>
  <r>
    <x v="1"/>
    <x v="4"/>
    <x v="3274"/>
    <x v="52"/>
    <s v="Standard order"/>
    <x v="3145"/>
    <x v="2595"/>
    <s v="251N"/>
    <s v="BTS 251N"/>
    <s v="5002194"/>
    <s v="251N BTS PB LRG"/>
    <n v="12"/>
    <n v="0"/>
    <n v="12"/>
    <x v="4"/>
    <s v="5HBR"/>
    <s v="LARGE"/>
    <s v="307"/>
    <s v="4.0 UN"/>
    <s v="STANDARD"/>
    <s v="N"/>
    <s v="Y"/>
    <s v="N"/>
    <s v="N"/>
    <s v="N"/>
    <s v="N"/>
    <s v="N"/>
    <s v="N"/>
    <s v="B048"/>
    <d v="2016-12-28T00:00:00"/>
    <s v="10"/>
    <s v="TAN"/>
    <s v="OR"/>
    <d v="2016-12-23T00:00:00"/>
    <s v="ID"/>
    <s v="US"/>
    <s v="ZR"/>
    <d v="2016-12-23T00:00:00"/>
  </r>
  <r>
    <x v="1"/>
    <x v="6"/>
    <x v="3275"/>
    <x v="51"/>
    <s v="Standard order"/>
    <x v="3146"/>
    <x v="2596"/>
    <s v="4265"/>
    <s v="BTS 42RR65"/>
    <s v="5002583"/>
    <s v="4265 BTS T20 PB SYSTIVA P100"/>
    <n v="96"/>
    <n v="0"/>
    <n v="96"/>
    <x v="6"/>
    <s v="BR73"/>
    <s v="PRO 100"/>
    <s v="322"/>
    <s v="4.0 UN"/>
    <s v="STANDARD"/>
    <s v="N"/>
    <s v="N"/>
    <s v="N"/>
    <s v="T20"/>
    <s v="Y"/>
    <s v="N"/>
    <s v="Y"/>
    <s v="N"/>
    <s v="B011"/>
    <d v="2016-12-28T00:00:00"/>
    <s v="10"/>
    <s v="TAN"/>
    <s v="OR"/>
    <d v="2016-12-23T00:00:00"/>
    <s v="MT"/>
    <s v="US"/>
    <s v="ZR"/>
    <d v="2016-12-23T00:00:00"/>
  </r>
  <r>
    <x v="1"/>
    <x v="4"/>
    <x v="3276"/>
    <x v="44"/>
    <s v="Standard order"/>
    <x v="3147"/>
    <x v="2597"/>
    <s v="2720"/>
    <s v="BTS 27RR20"/>
    <s v="5002143"/>
    <s v="2720 BTS PB XL+"/>
    <n v="8"/>
    <n v="0"/>
    <n v="8"/>
    <x v="4"/>
    <s v="4GAY"/>
    <s v="XL-PLUS"/>
    <s v="307"/>
    <s v="4.0 UN"/>
    <s v="STANDARD"/>
    <s v="N"/>
    <s v="Y"/>
    <s v="N"/>
    <s v="N"/>
    <s v="N"/>
    <s v="N"/>
    <s v="N"/>
    <s v="N"/>
    <s v="MB13"/>
    <d v="2016-12-28T00:00:00"/>
    <s v="10"/>
    <s v="TAN"/>
    <s v="OR"/>
    <d v="2016-12-23T00:00:00"/>
    <s v="ID"/>
    <s v="US"/>
    <s v="ZR"/>
    <d v="2016-12-23T00:00:00"/>
  </r>
  <r>
    <x v="1"/>
    <x v="4"/>
    <x v="3276"/>
    <x v="44"/>
    <s v="Standard order"/>
    <x v="3147"/>
    <x v="2597"/>
    <s v="2125"/>
    <s v="BTS 21RR25"/>
    <s v="5002102"/>
    <s v="2125 BTS XL+"/>
    <n v="8"/>
    <n v="0"/>
    <n v="8"/>
    <x v="4"/>
    <s v="AP92"/>
    <s v="XL-PLUS"/>
    <s v="306"/>
    <s v="4.0 UN"/>
    <s v="STANDARD"/>
    <s v="N"/>
    <s v="N"/>
    <s v="N"/>
    <s v="N"/>
    <s v="N"/>
    <s v="N"/>
    <s v="N"/>
    <s v="N"/>
    <s v="MB13"/>
    <d v="2016-12-28T00:00:00"/>
    <s v="20"/>
    <s v="TAN"/>
    <s v="OR"/>
    <d v="2016-12-23T00:00:00"/>
    <s v="ID"/>
    <s v="US"/>
    <s v="ZR"/>
    <d v="2016-12-23T00:00:00"/>
  </r>
  <r>
    <x v="1"/>
    <x v="0"/>
    <x v="3277"/>
    <x v="57"/>
    <s v="Standard order"/>
    <x v="3148"/>
    <x v="2598"/>
    <s v="133N"/>
    <s v="BTS 133N"/>
    <s v="5002329"/>
    <s v="133N BTS T20 Kabina RP"/>
    <n v="44"/>
    <n v="0"/>
    <n v="44"/>
    <x v="0"/>
    <s v="DW73"/>
    <s v="RP"/>
    <s v="380"/>
    <s v="4.0 UN"/>
    <s v="STANDARD"/>
    <s v="N"/>
    <s v="N"/>
    <s v="Y"/>
    <s v="T20"/>
    <s v="N"/>
    <s v="N"/>
    <s v="N"/>
    <s v="N"/>
    <s v="B008"/>
    <d v="2016-12-28T00:00:00"/>
    <s v="10"/>
    <s v="TAN"/>
    <s v="OR"/>
    <d v="2016-12-23T00:00:00"/>
    <s v="MI"/>
    <s v="US"/>
    <s v="ZR"/>
    <d v="2016-12-23T00:00:00"/>
  </r>
  <r>
    <x v="1"/>
    <x v="0"/>
    <x v="3277"/>
    <x v="57"/>
    <s v="Standard order"/>
    <x v="3148"/>
    <x v="2598"/>
    <s v="149N"/>
    <s v="BTS 149N"/>
    <s v="5002368"/>
    <s v="149N BTS T20 Kabina RP"/>
    <n v="88"/>
    <n v="0"/>
    <n v="88"/>
    <x v="0"/>
    <s v="EEND"/>
    <s v="RP"/>
    <s v="380"/>
    <s v="4.0 UN"/>
    <s v="STANDARD"/>
    <s v="N"/>
    <s v="N"/>
    <s v="Y"/>
    <s v="T20"/>
    <s v="N"/>
    <s v="N"/>
    <s v="N"/>
    <s v="N"/>
    <s v="B008"/>
    <d v="2016-12-28T00:00:00"/>
    <s v="20"/>
    <s v="TAN"/>
    <s v="OR"/>
    <d v="2016-12-23T00:00:00"/>
    <s v="MI"/>
    <s v="US"/>
    <s v="ZR"/>
    <d v="2016-12-23T00:00:00"/>
  </r>
  <r>
    <x v="1"/>
    <x v="4"/>
    <x v="3278"/>
    <x v="53"/>
    <s v="Standard order"/>
    <x v="3149"/>
    <x v="2599"/>
    <s v="2570"/>
    <s v="BTS 2570"/>
    <s v="5002553"/>
    <s v="2570 BTS PB LRG"/>
    <n v="36"/>
    <n v="0"/>
    <n v="36"/>
    <x v="4"/>
    <s v="EZNS"/>
    <s v="LARGE"/>
    <s v="307"/>
    <s v="4.0 UN"/>
    <s v="STANDARD"/>
    <s v="N"/>
    <s v="Y"/>
    <s v="N"/>
    <s v="N"/>
    <s v="N"/>
    <s v="N"/>
    <s v="N"/>
    <s v="N"/>
    <s v="B051"/>
    <d v="2016-12-28T00:00:00"/>
    <s v="10"/>
    <s v="TAN"/>
    <s v="OR"/>
    <d v="2016-12-23T00:00:00"/>
    <s v="ID"/>
    <s v="US"/>
    <s v="ZR"/>
    <d v="2016-12-23T00:00:00"/>
  </r>
  <r>
    <x v="1"/>
    <x v="6"/>
    <x v="3279"/>
    <x v="51"/>
    <s v="Standard order"/>
    <x v="3150"/>
    <x v="2600"/>
    <s v="444N"/>
    <s v="BTS 444N"/>
    <s v="5002227"/>
    <s v="444N BTS T20 PB SYSTIVA P200"/>
    <n v="100"/>
    <n v="0"/>
    <n v="100"/>
    <x v="6"/>
    <s v="DVND"/>
    <s v="PRO 200"/>
    <s v="322"/>
    <s v="4.0 UN"/>
    <s v="STANDARD"/>
    <s v="N"/>
    <s v="N"/>
    <s v="N"/>
    <s v="T20"/>
    <s v="Y"/>
    <s v="N"/>
    <s v="Y"/>
    <s v="N"/>
    <s v="B011"/>
    <d v="2016-12-28T00:00:00"/>
    <s v="10"/>
    <s v="TAN"/>
    <s v="OR"/>
    <d v="2016-12-23T00:00:00"/>
    <s v="MT"/>
    <s v="US"/>
    <s v="ZR"/>
    <d v="2016-12-23T00:00:00"/>
  </r>
  <r>
    <x v="1"/>
    <x v="6"/>
    <x v="3279"/>
    <x v="51"/>
    <s v="Standard order"/>
    <x v="3150"/>
    <x v="2600"/>
    <s v="4548"/>
    <s v="BTS 4548"/>
    <s v="5002245"/>
    <s v="4548 BTS T20 PB SYSTIVA P200"/>
    <n v="24"/>
    <n v="0"/>
    <n v="24"/>
    <x v="6"/>
    <s v="FENR"/>
    <s v="PRO 200"/>
    <s v="322"/>
    <s v="4.0 UN"/>
    <s v="STANDARD"/>
    <s v="N"/>
    <s v="N"/>
    <s v="N"/>
    <s v="T20"/>
    <s v="Y"/>
    <s v="N"/>
    <s v="Y"/>
    <s v="N"/>
    <s v="B011"/>
    <d v="2016-12-28T00:00:00"/>
    <s v="20"/>
    <s v="TAN"/>
    <s v="OR"/>
    <d v="2016-12-23T00:00:00"/>
    <s v="MT"/>
    <s v="US"/>
    <s v="ZR"/>
    <d v="2016-12-23T00:00:00"/>
  </r>
  <r>
    <x v="1"/>
    <x v="6"/>
    <x v="3279"/>
    <x v="51"/>
    <s v="Standard order"/>
    <x v="3150"/>
    <x v="2600"/>
    <s v="4265"/>
    <s v="BTS 42RR65"/>
    <s v="5002584"/>
    <s v="4265 BTS T20 PB SYSTIVA P200"/>
    <n v="148"/>
    <n v="0"/>
    <n v="148"/>
    <x v="6"/>
    <s v="BR73"/>
    <s v="PRO 200"/>
    <s v="322"/>
    <s v="4.0 UN"/>
    <s v="STANDARD"/>
    <s v="N"/>
    <s v="N"/>
    <s v="N"/>
    <s v="T20"/>
    <s v="Y"/>
    <s v="N"/>
    <s v="Y"/>
    <s v="N"/>
    <s v="B011"/>
    <d v="2016-12-28T00:00:00"/>
    <s v="30"/>
    <s v="TAN"/>
    <s v="OR"/>
    <d v="2016-12-23T00:00:00"/>
    <s v="MT"/>
    <s v="US"/>
    <s v="ZR"/>
    <d v="2016-12-23T00:00:00"/>
  </r>
  <r>
    <x v="1"/>
    <x v="0"/>
    <x v="3280"/>
    <x v="42"/>
    <s v="Standard order"/>
    <x v="3151"/>
    <x v="938"/>
    <s v="1399"/>
    <s v="BTS 1399"/>
    <s v="5002346"/>
    <s v="1399 BTS T20 Kabina MP"/>
    <n v="4"/>
    <n v="0"/>
    <n v="4"/>
    <x v="0"/>
    <s v="EG74"/>
    <s v="MP"/>
    <s v="380"/>
    <s v="4.0 UN"/>
    <s v="STANDARD"/>
    <s v="N"/>
    <s v="N"/>
    <s v="Y"/>
    <s v="T20"/>
    <s v="N"/>
    <s v="N"/>
    <s v="N"/>
    <s v="N"/>
    <s v="B007"/>
    <d v="2016-12-28T00:00:00"/>
    <s v="10"/>
    <s v="TAN"/>
    <s v="OR"/>
    <d v="2016-12-23T00:00:00"/>
    <s v="MI"/>
    <s v="US"/>
    <s v="ZR"/>
    <d v="2016-12-23T00:00:00"/>
  </r>
  <r>
    <x v="1"/>
    <x v="0"/>
    <x v="3281"/>
    <x v="56"/>
    <s v="Standard order"/>
    <x v="3152"/>
    <x v="2601"/>
    <s v="1399"/>
    <s v="BTS 1399"/>
    <s v="5002355"/>
    <s v="1399 BTS Vibrance RP"/>
    <n v="12"/>
    <n v="0"/>
    <n v="12"/>
    <x v="0"/>
    <s v="EG74"/>
    <s v="RP"/>
    <s v="365"/>
    <s v="4.0 UN"/>
    <s v="STANDARD"/>
    <s v="N"/>
    <s v="N"/>
    <s v="N"/>
    <s v="N"/>
    <s v="N"/>
    <s v="N"/>
    <s v="N"/>
    <s v="Y"/>
    <s v="B010"/>
    <d v="2016-12-28T00:00:00"/>
    <s v="10"/>
    <s v="TAN"/>
    <s v="OR"/>
    <d v="2016-12-23T00:00:00"/>
    <s v="ON"/>
    <s v="CA"/>
    <s v="ZR"/>
    <d v="2016-12-23T00:00:00"/>
  </r>
  <r>
    <x v="1"/>
    <x v="0"/>
    <x v="3282"/>
    <x v="42"/>
    <s v="Standard order"/>
    <x v="3153"/>
    <x v="2602"/>
    <s v="1399"/>
    <s v="BTS 1399"/>
    <s v="5002348"/>
    <s v="1399 BTS T20 Kabina RP"/>
    <n v="12"/>
    <n v="0"/>
    <n v="12"/>
    <x v="0"/>
    <s v="EG74"/>
    <s v="RP"/>
    <s v="380"/>
    <s v="4.0 UN"/>
    <s v="STANDARD"/>
    <s v="N"/>
    <s v="N"/>
    <s v="Y"/>
    <s v="T20"/>
    <s v="N"/>
    <s v="N"/>
    <s v="N"/>
    <s v="N"/>
    <s v="B007"/>
    <d v="2016-12-28T00:00:00"/>
    <s v="10"/>
    <s v="TAN"/>
    <s v="OR"/>
    <d v="2016-12-23T00:00:00"/>
    <s v="MI"/>
    <s v="US"/>
    <s v="ZR"/>
    <d v="2016-12-23T00:00:00"/>
  </r>
  <r>
    <x v="1"/>
    <x v="0"/>
    <x v="3283"/>
    <x v="56"/>
    <s v="Standard order"/>
    <x v="3154"/>
    <x v="2603"/>
    <s v="1399"/>
    <s v="BTS 1399"/>
    <s v="5002338"/>
    <s v="1399 BTS CM Vibrance RP"/>
    <n v="8"/>
    <n v="0"/>
    <n v="8"/>
    <x v="0"/>
    <s v="EG74"/>
    <s v="RP"/>
    <s v="366"/>
    <s v="4.0 UN"/>
    <s v="STANDARD"/>
    <s v="Y"/>
    <s v="N"/>
    <s v="N"/>
    <s v="N"/>
    <s v="N"/>
    <s v="N"/>
    <s v="N"/>
    <s v="Y"/>
    <s v="B010"/>
    <d v="2016-12-28T00:00:00"/>
    <s v="10"/>
    <s v="TAN"/>
    <s v="OR"/>
    <d v="2016-12-22T00:00:00"/>
    <s v="ON"/>
    <s v="CA"/>
    <s v="ZR"/>
    <d v="2016-12-23T00:00:00"/>
  </r>
  <r>
    <x v="1"/>
    <x v="0"/>
    <x v="3283"/>
    <x v="56"/>
    <s v="Standard order"/>
    <x v="3154"/>
    <x v="2603"/>
    <s v="1399"/>
    <s v="BTS 1399"/>
    <s v="5002355"/>
    <s v="1399 BTS Vibrance RP"/>
    <n v="8"/>
    <n v="0"/>
    <n v="8"/>
    <x v="0"/>
    <s v="EG74"/>
    <s v="RP"/>
    <s v="365"/>
    <s v="4.0 UN"/>
    <s v="STANDARD"/>
    <s v="N"/>
    <s v="N"/>
    <s v="N"/>
    <s v="N"/>
    <s v="N"/>
    <s v="N"/>
    <s v="N"/>
    <s v="Y"/>
    <s v="B010"/>
    <d v="2016-12-28T00:00:00"/>
    <s v="20"/>
    <s v="TAN"/>
    <s v="OR"/>
    <d v="2016-12-22T00:00:00"/>
    <s v="ON"/>
    <s v="CA"/>
    <s v="ZR"/>
    <d v="2016-12-23T00:00:00"/>
  </r>
  <r>
    <x v="1"/>
    <x v="0"/>
    <x v="3283"/>
    <x v="56"/>
    <s v="Standard order"/>
    <x v="3154"/>
    <x v="2603"/>
    <s v="122N"/>
    <s v="BTS 12RR2N"/>
    <s v="5002301"/>
    <s v="122N BTS CM Vibrance RP"/>
    <n v="4"/>
    <n v="0"/>
    <n v="4"/>
    <x v="0"/>
    <s v="4TBG"/>
    <s v="RP"/>
    <s v="366"/>
    <s v="4.0 UN"/>
    <s v="STANDARD"/>
    <s v="Y"/>
    <s v="N"/>
    <s v="N"/>
    <s v="N"/>
    <s v="N"/>
    <s v="N"/>
    <s v="N"/>
    <s v="Y"/>
    <s v="B010"/>
    <d v="2016-12-28T00:00:00"/>
    <s v="30"/>
    <s v="TAN"/>
    <s v="OR"/>
    <d v="2016-12-22T00:00:00"/>
    <s v="ON"/>
    <s v="CA"/>
    <s v="ZR"/>
    <d v="2016-12-23T00:00:00"/>
  </r>
  <r>
    <x v="1"/>
    <x v="0"/>
    <x v="3284"/>
    <x v="55"/>
    <s v="Standard order"/>
    <x v="3155"/>
    <x v="2604"/>
    <s v="1399"/>
    <s v="BTS 1399"/>
    <s v="5002348"/>
    <s v="1399 BTS T20 Kabina RP"/>
    <n v="4"/>
    <n v="0"/>
    <n v="4"/>
    <x v="0"/>
    <s v="EG74"/>
    <s v="RP"/>
    <s v="380"/>
    <s v="4.0 UN"/>
    <s v="STANDARD"/>
    <s v="N"/>
    <s v="N"/>
    <s v="Y"/>
    <s v="T20"/>
    <s v="N"/>
    <s v="N"/>
    <s v="N"/>
    <s v="N"/>
    <s v="B009"/>
    <d v="2016-12-28T00:00:00"/>
    <s v="10"/>
    <s v="TAN"/>
    <s v="OR"/>
    <d v="2016-12-23T00:00:00"/>
    <s v="MI"/>
    <s v="US"/>
    <s v="ZR"/>
    <d v="2016-12-23T00:00:00"/>
  </r>
  <r>
    <x v="1"/>
    <x v="4"/>
    <x v="3285"/>
    <x v="52"/>
    <s v="Standard order"/>
    <x v="3156"/>
    <x v="2605"/>
    <s v="2570"/>
    <s v="BTS 2570"/>
    <s v="5002555"/>
    <s v="2570 BTS PB XL"/>
    <n v="20"/>
    <n v="0"/>
    <n v="20"/>
    <x v="4"/>
    <s v="EZNS"/>
    <s v="X-LARGE"/>
    <s v="307"/>
    <s v="4.0 UN"/>
    <s v="STANDARD"/>
    <s v="N"/>
    <s v="Y"/>
    <s v="N"/>
    <s v="N"/>
    <s v="N"/>
    <s v="N"/>
    <s v="N"/>
    <s v="N"/>
    <s v="B048"/>
    <d v="2016-12-28T00:00:00"/>
    <s v="10"/>
    <s v="TAN"/>
    <s v="OR"/>
    <d v="2016-12-23T00:00:00"/>
    <s v="ID"/>
    <s v="US"/>
    <s v="ZR"/>
    <d v="2016-12-23T00:00:00"/>
  </r>
  <r>
    <x v="1"/>
    <x v="4"/>
    <x v="3286"/>
    <x v="53"/>
    <s v="Standard order"/>
    <x v="3157"/>
    <x v="2606"/>
    <s v="225N"/>
    <s v="BTS 22RR5N"/>
    <s v="5002119"/>
    <s v="225N BTS PB XL"/>
    <n v="96"/>
    <n v="0"/>
    <n v="96"/>
    <x v="4"/>
    <s v="4TBD"/>
    <s v="X-LARGE"/>
    <s v="307"/>
    <s v="4.0 UN"/>
    <s v="STANDARD"/>
    <s v="N"/>
    <s v="Y"/>
    <s v="N"/>
    <s v="N"/>
    <s v="N"/>
    <s v="N"/>
    <s v="N"/>
    <s v="N"/>
    <s v="B051"/>
    <d v="2016-12-28T00:00:00"/>
    <s v="10"/>
    <s v="TAN"/>
    <s v="OR"/>
    <d v="2016-12-23T00:00:00"/>
    <s v="ID"/>
    <s v="US"/>
    <s v="ZR"/>
    <d v="2016-12-23T00:00:00"/>
  </r>
  <r>
    <x v="1"/>
    <x v="4"/>
    <x v="3286"/>
    <x v="53"/>
    <s v="Standard order"/>
    <x v="3157"/>
    <x v="2606"/>
    <s v="251N"/>
    <s v="BTS 251N"/>
    <s v="5002196"/>
    <s v="251N BTS PB XL"/>
    <n v="96"/>
    <n v="0"/>
    <n v="96"/>
    <x v="4"/>
    <s v="5HBR"/>
    <s v="X-LARGE"/>
    <s v="307"/>
    <s v="4.0 UN"/>
    <s v="STANDARD"/>
    <s v="N"/>
    <s v="Y"/>
    <s v="N"/>
    <s v="N"/>
    <s v="N"/>
    <s v="N"/>
    <s v="N"/>
    <s v="N"/>
    <s v="B051"/>
    <d v="2016-12-28T00:00:00"/>
    <s v="20"/>
    <s v="TAN"/>
    <s v="OR"/>
    <d v="2016-12-23T00:00:00"/>
    <s v="ID"/>
    <s v="US"/>
    <s v="ZR"/>
    <d v="2016-12-23T00:00:00"/>
  </r>
  <r>
    <x v="1"/>
    <x v="4"/>
    <x v="3287"/>
    <x v="46"/>
    <s v="Standard order"/>
    <x v="3136"/>
    <x v="2590"/>
    <s v="2559"/>
    <s v="BTS 2559"/>
    <s v="5002563"/>
    <s v="2559 BTS PB XL"/>
    <n v="112"/>
    <n v="0"/>
    <n v="112"/>
    <x v="4"/>
    <s v="FGNE"/>
    <s v="X-LARGE"/>
    <s v="307"/>
    <s v="4.0 UN"/>
    <s v="STANDARD"/>
    <s v="N"/>
    <s v="Y"/>
    <s v="N"/>
    <s v="N"/>
    <s v="N"/>
    <s v="N"/>
    <s v="N"/>
    <s v="N"/>
    <s v="B049"/>
    <d v="2016-12-28T00:00:00"/>
    <s v="10"/>
    <s v="TAN"/>
    <s v="OR"/>
    <d v="2016-12-23T00:00:00"/>
    <s v="ID"/>
    <s v="US"/>
    <s v="ZR"/>
    <d v="2016-12-23T00:00:00"/>
  </r>
  <r>
    <x v="1"/>
    <x v="4"/>
    <x v="3287"/>
    <x v="46"/>
    <s v="Standard order"/>
    <x v="3136"/>
    <x v="2590"/>
    <s v="2523"/>
    <s v="BTS 2523"/>
    <s v="5002529"/>
    <s v="2523 BTS PB XL"/>
    <n v="36"/>
    <n v="0"/>
    <n v="36"/>
    <x v="4"/>
    <s v="EZPC"/>
    <s v="X-LARGE"/>
    <s v="307"/>
    <s v="4.0 UN"/>
    <s v="STANDARD"/>
    <s v="N"/>
    <s v="Y"/>
    <s v="N"/>
    <s v="N"/>
    <s v="N"/>
    <s v="N"/>
    <s v="N"/>
    <s v="N"/>
    <s v="B049"/>
    <d v="2016-12-28T00:00:00"/>
    <s v="20"/>
    <s v="TAN"/>
    <s v="OR"/>
    <d v="2016-12-23T00:00:00"/>
    <s v="ID"/>
    <s v="US"/>
    <s v="ZR"/>
    <d v="2016-12-23T00:00:00"/>
  </r>
  <r>
    <x v="1"/>
    <x v="4"/>
    <x v="3288"/>
    <x v="53"/>
    <s v="Standard order"/>
    <x v="3158"/>
    <x v="117"/>
    <s v="251N"/>
    <s v="BTS 251N"/>
    <s v="5002196"/>
    <s v="251N BTS PB XL"/>
    <n v="8"/>
    <n v="0"/>
    <n v="8"/>
    <x v="4"/>
    <s v="5HBR"/>
    <s v="X-LARGE"/>
    <s v="307"/>
    <s v="4.0 UN"/>
    <s v="STANDARD"/>
    <s v="N"/>
    <s v="Y"/>
    <s v="N"/>
    <s v="N"/>
    <s v="N"/>
    <s v="N"/>
    <s v="N"/>
    <s v="N"/>
    <s v="B051"/>
    <d v="2016-12-28T00:00:00"/>
    <s v="10"/>
    <s v="TAN"/>
    <s v="OR"/>
    <d v="2016-12-23T00:00:00"/>
    <s v="ID"/>
    <s v="US"/>
    <s v="ZR"/>
    <d v="2016-12-24T00:00:00"/>
  </r>
  <r>
    <x v="1"/>
    <x v="4"/>
    <x v="3289"/>
    <x v="44"/>
    <s v="Standard order"/>
    <x v="3159"/>
    <x v="2607"/>
    <s v="4933"/>
    <s v="BTS 49RR33"/>
    <s v="5002280"/>
    <s v="4933 BTS PB XL IDH"/>
    <n v="68"/>
    <n v="0"/>
    <n v="68"/>
    <x v="4"/>
    <s v="AKMC"/>
    <s v="X-LARGE"/>
    <s v="307"/>
    <s v="4.0 UN"/>
    <s v="STANDARD"/>
    <s v="N"/>
    <s v="Y"/>
    <s v="N"/>
    <s v="N"/>
    <s v="N"/>
    <s v="N"/>
    <s v="N"/>
    <s v="N"/>
    <s v="MB13"/>
    <d v="2016-12-28T00:00:00"/>
    <s v="10"/>
    <s v="TAN"/>
    <s v="OR"/>
    <d v="2016-12-23T00:00:00"/>
    <s v="OR"/>
    <s v="US"/>
    <s v="ZR"/>
    <d v="2016-12-24T00:00:00"/>
  </r>
  <r>
    <x v="1"/>
    <x v="4"/>
    <x v="3289"/>
    <x v="44"/>
    <s v="Standard order"/>
    <x v="3159"/>
    <x v="2607"/>
    <s v="2559"/>
    <s v="BTS 2559"/>
    <s v="5002563"/>
    <s v="2559 BTS PB XL"/>
    <n v="8"/>
    <n v="0"/>
    <n v="8"/>
    <x v="4"/>
    <s v="FGNE"/>
    <s v="X-LARGE"/>
    <s v="307"/>
    <s v="4.0 UN"/>
    <s v="STANDARD"/>
    <s v="N"/>
    <s v="Y"/>
    <s v="N"/>
    <s v="N"/>
    <s v="N"/>
    <s v="N"/>
    <s v="N"/>
    <s v="N"/>
    <s v="MB13"/>
    <d v="2016-12-28T00:00:00"/>
    <s v="20"/>
    <s v="TAN"/>
    <s v="OR"/>
    <d v="2016-12-23T00:00:00"/>
    <s v="OR"/>
    <s v="US"/>
    <s v="ZR"/>
    <d v="2016-12-24T00:00:00"/>
  </r>
  <r>
    <x v="1"/>
    <x v="4"/>
    <x v="3290"/>
    <x v="47"/>
    <s v="Standard order"/>
    <x v="3160"/>
    <x v="547"/>
    <s v="2523"/>
    <s v="BTS 2523"/>
    <s v="5002527"/>
    <s v="2523 BTS PB LRG"/>
    <n v="48"/>
    <n v="0"/>
    <n v="48"/>
    <x v="4"/>
    <s v="EZPC"/>
    <s v="LARGE"/>
    <s v="307"/>
    <s v="4.0 UN"/>
    <s v="STANDARD"/>
    <s v="N"/>
    <s v="Y"/>
    <s v="N"/>
    <s v="N"/>
    <s v="N"/>
    <s v="N"/>
    <s v="N"/>
    <s v="N"/>
    <s v="B050"/>
    <d v="2016-12-28T00:00:00"/>
    <s v="10"/>
    <s v="TAN"/>
    <s v="OR"/>
    <d v="2016-12-24T00:00:00"/>
    <s v="ID"/>
    <s v="US"/>
    <s v="ZR"/>
    <d v="2016-12-24T00:00:00"/>
  </r>
  <r>
    <x v="1"/>
    <x v="2"/>
    <x v="3291"/>
    <x v="3"/>
    <s v="Standard order"/>
    <x v="3161"/>
    <x v="1119"/>
    <s v="630N"/>
    <s v="BTS 630N"/>
    <s v="5002402"/>
    <s v="630N BTS T20 PB SYSTIVA P100"/>
    <n v="64"/>
    <n v="0"/>
    <n v="64"/>
    <x v="2"/>
    <s v="DW73"/>
    <s v="PRO 100"/>
    <s v="322"/>
    <s v="4.0 UN"/>
    <s v="STANDARD"/>
    <s v="N"/>
    <s v="N"/>
    <s v="N"/>
    <s v="T20"/>
    <s v="Y"/>
    <s v="N"/>
    <s v="Y"/>
    <s v="N"/>
    <s v="B024"/>
    <d v="2016-12-28T00:00:00"/>
    <s v="10"/>
    <s v="TAN"/>
    <s v="OR"/>
    <d v="2016-12-24T00:00:00"/>
    <s v="NE"/>
    <s v="US"/>
    <s v="ZR"/>
    <d v="2016-12-24T00:00:00"/>
  </r>
  <r>
    <x v="1"/>
    <x v="2"/>
    <x v="3291"/>
    <x v="3"/>
    <s v="Standard order"/>
    <x v="3161"/>
    <x v="1119"/>
    <s v="64SN"/>
    <s v="BTS 64SN"/>
    <s v="5002420"/>
    <s v="64SN BTS T20 PB SYSTIVA P100"/>
    <n v="32"/>
    <n v="0"/>
    <n v="32"/>
    <x v="2"/>
    <s v="DVNB"/>
    <s v="PRO 100"/>
    <s v="322"/>
    <s v="4.0 UN"/>
    <s v="STANDARD"/>
    <s v="N"/>
    <s v="N"/>
    <s v="N"/>
    <s v="T20"/>
    <s v="Y"/>
    <s v="N"/>
    <s v="Y"/>
    <s v="N"/>
    <s v="B024"/>
    <d v="2016-12-28T00:00:00"/>
    <s v="20"/>
    <s v="TAN"/>
    <s v="OR"/>
    <d v="2016-12-24T00:00:00"/>
    <s v="NE"/>
    <s v="US"/>
    <s v="ZR"/>
    <d v="2016-12-24T00:00:00"/>
  </r>
  <r>
    <x v="1"/>
    <x v="4"/>
    <x v="3292"/>
    <x v="44"/>
    <s v="Standard order"/>
    <x v="3162"/>
    <x v="2608"/>
    <s v="2570"/>
    <s v="BTS 2570"/>
    <s v="5002553"/>
    <s v="2570 BTS PB LRG"/>
    <n v="20"/>
    <n v="0"/>
    <n v="20"/>
    <x v="4"/>
    <s v="EZNS"/>
    <s v="LARGE"/>
    <s v="307"/>
    <s v="4.0 UN"/>
    <s v="STANDARD"/>
    <s v="N"/>
    <s v="Y"/>
    <s v="N"/>
    <s v="N"/>
    <s v="N"/>
    <s v="N"/>
    <s v="N"/>
    <s v="N"/>
    <s v="MB13"/>
    <d v="2016-12-28T00:00:00"/>
    <s v="10"/>
    <s v="TAN"/>
    <s v="OR"/>
    <d v="2016-12-24T00:00:00"/>
    <s v="OR"/>
    <s v="US"/>
    <s v="ZR"/>
    <d v="2016-12-24T00:00:00"/>
  </r>
  <r>
    <x v="1"/>
    <x v="4"/>
    <x v="3292"/>
    <x v="44"/>
    <s v="Standard order"/>
    <x v="3162"/>
    <x v="2608"/>
    <s v="225N"/>
    <s v="BTS 22RR5N"/>
    <s v="5002119"/>
    <s v="225N BTS PB XL"/>
    <n v="52"/>
    <n v="0"/>
    <n v="52"/>
    <x v="4"/>
    <s v="4TBD"/>
    <s v="X-LARGE"/>
    <s v="307"/>
    <s v="4.0 UN"/>
    <s v="STANDARD"/>
    <s v="N"/>
    <s v="Y"/>
    <s v="N"/>
    <s v="N"/>
    <s v="N"/>
    <s v="N"/>
    <s v="N"/>
    <s v="N"/>
    <s v="MB13"/>
    <d v="2016-12-28T00:00:00"/>
    <s v="20"/>
    <s v="TAN"/>
    <s v="OR"/>
    <d v="2016-12-24T00:00:00"/>
    <s v="OR"/>
    <s v="US"/>
    <s v="ZR"/>
    <d v="2016-12-24T00:00:00"/>
  </r>
  <r>
    <x v="1"/>
    <x v="4"/>
    <x v="3293"/>
    <x v="50"/>
    <s v="Standard order"/>
    <x v="3163"/>
    <x v="109"/>
    <s v="225N"/>
    <s v="BTS 22RR5N"/>
    <s v="5002119"/>
    <s v="225N BTS PB XL"/>
    <n v="8"/>
    <n v="0"/>
    <n v="8"/>
    <x v="4"/>
    <s v="4TBD"/>
    <s v="X-LARGE"/>
    <s v="307"/>
    <s v="4.0 UN"/>
    <s v="STANDARD"/>
    <s v="N"/>
    <s v="Y"/>
    <s v="N"/>
    <s v="N"/>
    <s v="N"/>
    <s v="N"/>
    <s v="N"/>
    <s v="N"/>
    <s v="B047"/>
    <d v="2016-12-28T00:00:00"/>
    <s v="10"/>
    <s v="TAN"/>
    <s v="OR"/>
    <d v="2016-12-23T00:00:00"/>
    <s v="ID"/>
    <s v="US"/>
    <s v="ZR"/>
    <d v="2016-12-24T00:00:00"/>
  </r>
  <r>
    <x v="1"/>
    <x v="4"/>
    <x v="3294"/>
    <x v="44"/>
    <s v="Standard order"/>
    <x v="3164"/>
    <x v="1117"/>
    <s v="225N"/>
    <s v="BTS 22RR5N"/>
    <s v="5002119"/>
    <s v="225N BTS PB XL"/>
    <n v="120"/>
    <n v="0"/>
    <n v="120"/>
    <x v="4"/>
    <s v="4TBD"/>
    <s v="X-LARGE"/>
    <s v="307"/>
    <s v="4.0 UN"/>
    <s v="STANDARD"/>
    <s v="N"/>
    <s v="Y"/>
    <s v="N"/>
    <s v="N"/>
    <s v="N"/>
    <s v="N"/>
    <s v="N"/>
    <s v="N"/>
    <s v="MB13"/>
    <d v="2016-12-28T00:00:00"/>
    <s v="10"/>
    <s v="TAN"/>
    <s v="OR"/>
    <d v="2016-12-23T00:00:00"/>
    <s v="ID"/>
    <s v="US"/>
    <s v="ZR"/>
    <d v="2016-12-24T00:00:00"/>
  </r>
  <r>
    <x v="1"/>
    <x v="4"/>
    <x v="3294"/>
    <x v="44"/>
    <s v="Standard order"/>
    <x v="3164"/>
    <x v="1117"/>
    <s v="251N"/>
    <s v="BTS 251N"/>
    <s v="5002196"/>
    <s v="251N BTS PB XL"/>
    <n v="60"/>
    <n v="0"/>
    <n v="60"/>
    <x v="4"/>
    <s v="5HBR"/>
    <s v="X-LARGE"/>
    <s v="307"/>
    <s v="4.0 UN"/>
    <s v="STANDARD"/>
    <s v="N"/>
    <s v="Y"/>
    <s v="N"/>
    <s v="N"/>
    <s v="N"/>
    <s v="N"/>
    <s v="N"/>
    <s v="N"/>
    <s v="MB13"/>
    <d v="2016-12-28T00:00:00"/>
    <s v="20"/>
    <s v="TAN"/>
    <s v="OR"/>
    <d v="2016-12-23T00:00:00"/>
    <s v="ID"/>
    <s v="US"/>
    <s v="ZR"/>
    <d v="2016-12-24T00:00:00"/>
  </r>
  <r>
    <x v="1"/>
    <x v="4"/>
    <x v="3294"/>
    <x v="44"/>
    <s v="Standard order"/>
    <x v="3164"/>
    <x v="1117"/>
    <s v="2125"/>
    <s v="BTS 21RR25"/>
    <s v="5002395"/>
    <s v="2125 BTS PB XL"/>
    <n v="20"/>
    <n v="0"/>
    <n v="20"/>
    <x v="4"/>
    <s v="AP92"/>
    <s v="X-LARGE"/>
    <s v="307"/>
    <s v="4.0 UN"/>
    <s v="STANDARD"/>
    <s v="N"/>
    <s v="Y"/>
    <s v="N"/>
    <s v="N"/>
    <s v="N"/>
    <s v="N"/>
    <s v="N"/>
    <s v="N"/>
    <s v="MB13"/>
    <d v="2016-12-28T00:00:00"/>
    <s v="30"/>
    <s v="TAN"/>
    <s v="OR"/>
    <d v="2016-12-23T00:00:00"/>
    <s v="ID"/>
    <s v="US"/>
    <s v="ZR"/>
    <d v="2016-12-24T00:00:00"/>
  </r>
  <r>
    <x v="1"/>
    <x v="0"/>
    <x v="3295"/>
    <x v="45"/>
    <s v="Standard order"/>
    <x v="3165"/>
    <x v="2609"/>
    <s v="1399"/>
    <s v="BTS 1399"/>
    <s v="5002346"/>
    <s v="1399 BTS T20 Kabina MP"/>
    <n v="16"/>
    <n v="0"/>
    <n v="16"/>
    <x v="0"/>
    <s v="EG74"/>
    <s v="MP"/>
    <s v="380"/>
    <s v="4.0 UN"/>
    <s v="STANDARD"/>
    <s v="N"/>
    <s v="N"/>
    <s v="Y"/>
    <s v="T20"/>
    <s v="N"/>
    <s v="N"/>
    <s v="N"/>
    <s v="N"/>
    <s v="B003"/>
    <d v="2016-12-28T00:00:00"/>
    <s v="10"/>
    <s v="TAN"/>
    <s v="OR"/>
    <d v="2016-12-24T00:00:00"/>
    <s v="MI"/>
    <s v="US"/>
    <s v="ZR"/>
    <d v="2016-12-24T00:00:00"/>
  </r>
  <r>
    <x v="1"/>
    <x v="2"/>
    <x v="3296"/>
    <x v="3"/>
    <s v="Standard order"/>
    <x v="3166"/>
    <x v="1118"/>
    <s v="64SN"/>
    <s v="BTS 64SN"/>
    <s v="5002420"/>
    <s v="64SN BTS T20 PB SYSTIVA P100"/>
    <n v="44"/>
    <n v="0"/>
    <n v="44"/>
    <x v="2"/>
    <s v="DVNB"/>
    <s v="PRO 100"/>
    <s v="322"/>
    <s v="4.0 UN"/>
    <s v="STANDARD"/>
    <s v="N"/>
    <s v="N"/>
    <s v="N"/>
    <s v="T20"/>
    <s v="Y"/>
    <s v="N"/>
    <s v="Y"/>
    <s v="N"/>
    <s v="B024"/>
    <d v="2016-12-28T00:00:00"/>
    <s v="10"/>
    <s v="TAN"/>
    <s v="OR"/>
    <d v="2016-12-24T00:00:00"/>
    <s v="NE"/>
    <s v="US"/>
    <s v="ZR"/>
    <d v="2016-12-24T00:00:00"/>
  </r>
  <r>
    <x v="1"/>
    <x v="2"/>
    <x v="3296"/>
    <x v="3"/>
    <s v="Standard order"/>
    <x v="3166"/>
    <x v="1118"/>
    <s v="6027"/>
    <s v="BTS 60RR27"/>
    <s v="5002645"/>
    <s v="6027 BTS T20 PB SYSTIVA P100 WSS"/>
    <n v="40"/>
    <n v="0"/>
    <n v="40"/>
    <x v="2"/>
    <s v="APMC"/>
    <s v="PRO 100"/>
    <s v="322"/>
    <s v="4.0 UN"/>
    <s v="STANDARD"/>
    <s v="N"/>
    <s v="N"/>
    <s v="N"/>
    <s v="T20"/>
    <s v="Y"/>
    <s v="N"/>
    <s v="Y"/>
    <s v="N"/>
    <s v="B024"/>
    <d v="2016-12-28T00:00:00"/>
    <s v="20"/>
    <s v="TAN"/>
    <s v="OR"/>
    <d v="2016-12-24T00:00:00"/>
    <s v="NE"/>
    <s v="US"/>
    <s v="ZR"/>
    <d v="2016-12-24T00:00:00"/>
  </r>
  <r>
    <x v="1"/>
    <x v="2"/>
    <x v="3297"/>
    <x v="3"/>
    <s v="Standard order"/>
    <x v="3167"/>
    <x v="1115"/>
    <s v="6027"/>
    <s v="BTS 60RR27"/>
    <s v="5002645"/>
    <s v="6027 BTS T20 PB SYSTIVA P100 WSS"/>
    <n v="48"/>
    <n v="0"/>
    <n v="48"/>
    <x v="2"/>
    <s v="APMC"/>
    <s v="PRO 100"/>
    <s v="322"/>
    <s v="4.0 UN"/>
    <s v="STANDARD"/>
    <s v="N"/>
    <s v="N"/>
    <s v="N"/>
    <s v="T20"/>
    <s v="Y"/>
    <s v="N"/>
    <s v="Y"/>
    <s v="N"/>
    <s v="B024"/>
    <d v="2016-12-28T00:00:00"/>
    <s v="10"/>
    <s v="TAN"/>
    <s v="OR"/>
    <d v="2016-12-24T00:00:00"/>
    <s v="NE"/>
    <s v="US"/>
    <s v="ZR"/>
    <d v="2016-12-24T00:00:00"/>
  </r>
  <r>
    <x v="1"/>
    <x v="4"/>
    <x v="3298"/>
    <x v="53"/>
    <s v="Standard order"/>
    <x v="3168"/>
    <x v="2610"/>
    <s v="2523"/>
    <s v="BTS 2523"/>
    <s v="5002527"/>
    <s v="2523 BTS PB LRG"/>
    <n v="80"/>
    <n v="0"/>
    <n v="80"/>
    <x v="4"/>
    <s v="EZPC"/>
    <s v="LARGE"/>
    <s v="307"/>
    <s v="4.0 UN"/>
    <s v="STANDARD"/>
    <s v="N"/>
    <s v="Y"/>
    <s v="N"/>
    <s v="N"/>
    <s v="N"/>
    <s v="N"/>
    <s v="N"/>
    <s v="N"/>
    <s v="B051"/>
    <d v="2016-12-28T00:00:00"/>
    <s v="10"/>
    <s v="TAN"/>
    <s v="OR"/>
    <d v="2016-12-23T00:00:00"/>
    <s v="ID"/>
    <s v="US"/>
    <s v="ZR"/>
    <d v="2016-12-24T00:00:00"/>
  </r>
  <r>
    <x v="1"/>
    <x v="4"/>
    <x v="3298"/>
    <x v="53"/>
    <s v="Standard order"/>
    <x v="3168"/>
    <x v="2610"/>
    <s v="2559"/>
    <s v="BTS 2559"/>
    <s v="5002561"/>
    <s v="2559 BTS PB LRG"/>
    <n v="80"/>
    <n v="0"/>
    <n v="80"/>
    <x v="4"/>
    <s v="FGNE"/>
    <s v="LARGE"/>
    <s v="307"/>
    <s v="4.0 UN"/>
    <s v="STANDARD"/>
    <s v="N"/>
    <s v="Y"/>
    <s v="N"/>
    <s v="N"/>
    <s v="N"/>
    <s v="N"/>
    <s v="N"/>
    <s v="N"/>
    <s v="B051"/>
    <d v="2016-12-28T00:00:00"/>
    <s v="20"/>
    <s v="TAN"/>
    <s v="OR"/>
    <d v="2016-12-23T00:00:00"/>
    <s v="ID"/>
    <s v="US"/>
    <s v="ZR"/>
    <d v="2016-12-24T00:00:00"/>
  </r>
  <r>
    <x v="1"/>
    <x v="4"/>
    <x v="3299"/>
    <x v="44"/>
    <s v="Standard order"/>
    <x v="3169"/>
    <x v="1106"/>
    <s v="225N"/>
    <s v="BTS 22RR5N"/>
    <s v="5002111"/>
    <s v="225N BTS PB LRG"/>
    <n v="40"/>
    <n v="0"/>
    <n v="40"/>
    <x v="4"/>
    <s v="4TBD"/>
    <s v="LARGE"/>
    <s v="307"/>
    <s v="4.0 UN"/>
    <s v="STANDARD"/>
    <s v="N"/>
    <s v="Y"/>
    <s v="N"/>
    <s v="N"/>
    <s v="N"/>
    <s v="N"/>
    <s v="N"/>
    <s v="N"/>
    <s v="MB13"/>
    <d v="2016-12-28T00:00:00"/>
    <s v="10"/>
    <s v="TAN"/>
    <s v="OR"/>
    <d v="2016-12-23T00:00:00"/>
    <s v="ID"/>
    <s v="US"/>
    <s v="ZR"/>
    <d v="2016-12-24T00:00:00"/>
  </r>
  <r>
    <x v="1"/>
    <x v="2"/>
    <x v="3300"/>
    <x v="3"/>
    <s v="Standard order"/>
    <x v="3170"/>
    <x v="1130"/>
    <s v="630N"/>
    <s v="BTS 630N"/>
    <s v="5002402"/>
    <s v="630N BTS T20 PB SYSTIVA P100"/>
    <n v="12"/>
    <n v="0"/>
    <n v="12"/>
    <x v="2"/>
    <s v="DW73"/>
    <s v="PRO 100"/>
    <s v="322"/>
    <s v="4.0 UN"/>
    <s v="STANDARD"/>
    <s v="N"/>
    <s v="N"/>
    <s v="N"/>
    <s v="T20"/>
    <s v="Y"/>
    <s v="N"/>
    <s v="Y"/>
    <s v="N"/>
    <s v="B024"/>
    <d v="2016-12-28T00:00:00"/>
    <s v="10"/>
    <s v="TAN"/>
    <s v="OR"/>
    <d v="2016-12-25T00:00:00"/>
    <s v="NE"/>
    <s v="US"/>
    <s v="ZR"/>
    <d v="2016-12-25T00:00:00"/>
  </r>
  <r>
    <x v="1"/>
    <x v="0"/>
    <x v="3301"/>
    <x v="29"/>
    <s v="Standard order"/>
    <x v="3171"/>
    <x v="2611"/>
    <s v="122N"/>
    <s v="BTS 12RR2N"/>
    <s v="5002316"/>
    <s v="122N BTS T20 SYSTIVA P200"/>
    <n v="16"/>
    <n v="0"/>
    <n v="16"/>
    <x v="0"/>
    <s v="4TBG"/>
    <s v="PRO 200"/>
    <s v="326"/>
    <s v="4.0 UN"/>
    <s v="STANDARD"/>
    <s v="N"/>
    <s v="N"/>
    <s v="N"/>
    <s v="T20"/>
    <s v="Y"/>
    <s v="N"/>
    <s v="Y"/>
    <s v="N"/>
    <s v="B005"/>
    <d v="2016-12-29T00:00:00"/>
    <s v="10"/>
    <s v="TAN"/>
    <s v="OR"/>
    <d v="2016-12-26T00:00:00"/>
    <s v="MI"/>
    <s v="US"/>
    <s v="ZR"/>
    <d v="2016-12-26T00:00:00"/>
  </r>
  <r>
    <x v="1"/>
    <x v="0"/>
    <x v="3302"/>
    <x v="43"/>
    <s v="Standard order"/>
    <x v="3172"/>
    <x v="1321"/>
    <s v="122N"/>
    <s v="BTS 12RR2N"/>
    <s v="5002311"/>
    <s v="122N BTS T20 Kabina RP"/>
    <n v="44"/>
    <n v="0"/>
    <n v="44"/>
    <x v="0"/>
    <s v="4TBG"/>
    <s v="RP"/>
    <s v="380"/>
    <s v="4.0 UN"/>
    <s v="STANDARD"/>
    <s v="N"/>
    <s v="N"/>
    <s v="Y"/>
    <s v="T20"/>
    <s v="N"/>
    <s v="N"/>
    <s v="N"/>
    <s v="N"/>
    <s v="B006"/>
    <d v="2016-12-29T00:00:00"/>
    <s v="10"/>
    <s v="TAN"/>
    <s v="OR"/>
    <d v="2016-12-26T00:00:00"/>
    <s v="MI"/>
    <s v="US"/>
    <s v="ZR"/>
    <d v="2016-12-26T00:00:00"/>
  </r>
  <r>
    <x v="1"/>
    <x v="0"/>
    <x v="3303"/>
    <x v="42"/>
    <s v="Standard order"/>
    <x v="3173"/>
    <x v="2612"/>
    <s v="1399"/>
    <s v="BTS 1399"/>
    <s v="5002346"/>
    <s v="1399 BTS T20 Kabina MP"/>
    <n v="88"/>
    <n v="0"/>
    <n v="88"/>
    <x v="0"/>
    <s v="EG74"/>
    <s v="MP"/>
    <s v="380"/>
    <s v="4.0 UN"/>
    <s v="STANDARD"/>
    <s v="N"/>
    <s v="N"/>
    <s v="Y"/>
    <s v="T20"/>
    <s v="N"/>
    <s v="N"/>
    <s v="N"/>
    <s v="N"/>
    <s v="B007"/>
    <d v="2016-12-29T00:00:00"/>
    <s v="10"/>
    <s v="TAN"/>
    <s v="OR"/>
    <d v="2016-12-26T00:00:00"/>
    <s v="MI"/>
    <s v="US"/>
    <s v="ZR"/>
    <d v="2016-12-26T00:00:00"/>
  </r>
  <r>
    <x v="1"/>
    <x v="0"/>
    <x v="3304"/>
    <x v="54"/>
    <s v="Standard order"/>
    <x v="3174"/>
    <x v="1134"/>
    <s v="122N"/>
    <s v="BTS 12RR2N"/>
    <s v="5002311"/>
    <s v="122N BTS T20 Kabina RP"/>
    <n v="20"/>
    <n v="0"/>
    <n v="20"/>
    <x v="0"/>
    <s v="4TBG"/>
    <s v="RP"/>
    <s v="380"/>
    <s v="4.0 UN"/>
    <s v="STANDARD"/>
    <s v="N"/>
    <s v="N"/>
    <s v="Y"/>
    <s v="T20"/>
    <s v="N"/>
    <s v="N"/>
    <s v="N"/>
    <s v="N"/>
    <s v="B002"/>
    <d v="2016-12-29T00:00:00"/>
    <s v="10"/>
    <s v="TAN"/>
    <s v="OR"/>
    <d v="2016-12-26T00:00:00"/>
    <s v="MI"/>
    <s v="US"/>
    <s v="ZR"/>
    <d v="2016-12-26T00:00:00"/>
  </r>
  <r>
    <x v="1"/>
    <x v="0"/>
    <x v="3304"/>
    <x v="54"/>
    <s v="Standard order"/>
    <x v="3174"/>
    <x v="1134"/>
    <s v="149N"/>
    <s v="BTS 149N"/>
    <s v="5002368"/>
    <s v="149N BTS T20 Kabina RP"/>
    <n v="72"/>
    <n v="0"/>
    <n v="72"/>
    <x v="0"/>
    <s v="EEND"/>
    <s v="RP"/>
    <s v="380"/>
    <s v="4.0 UN"/>
    <s v="STANDARD"/>
    <s v="N"/>
    <s v="N"/>
    <s v="Y"/>
    <s v="T20"/>
    <s v="N"/>
    <s v="N"/>
    <s v="N"/>
    <s v="N"/>
    <s v="B002"/>
    <d v="2016-12-29T00:00:00"/>
    <s v="20"/>
    <s v="TAN"/>
    <s v="OR"/>
    <d v="2016-12-26T00:00:00"/>
    <s v="MI"/>
    <s v="US"/>
    <s v="ZR"/>
    <d v="2016-12-26T00:00:00"/>
  </r>
  <r>
    <x v="1"/>
    <x v="0"/>
    <x v="3305"/>
    <x v="29"/>
    <s v="Standard order"/>
    <x v="3175"/>
    <x v="2613"/>
    <s v="122N"/>
    <s v="BTS 12RR2N"/>
    <s v="5002316"/>
    <s v="122N BTS T20 SYSTIVA P200"/>
    <n v="96"/>
    <n v="0"/>
    <n v="96"/>
    <x v="0"/>
    <s v="4TBG"/>
    <s v="PRO 200"/>
    <s v="326"/>
    <s v="4.0 UN"/>
    <s v="STANDARD"/>
    <s v="N"/>
    <s v="N"/>
    <s v="N"/>
    <s v="T20"/>
    <s v="Y"/>
    <s v="N"/>
    <s v="Y"/>
    <s v="N"/>
    <s v="B005"/>
    <d v="2016-12-29T00:00:00"/>
    <s v="20"/>
    <s v="TAN"/>
    <s v="OR"/>
    <d v="2016-12-26T00:00:00"/>
    <s v="MI"/>
    <s v="US"/>
    <s v="ZR"/>
    <d v="2016-12-26T00:00:00"/>
  </r>
  <r>
    <x v="1"/>
    <x v="0"/>
    <x v="3306"/>
    <x v="43"/>
    <s v="Standard order"/>
    <x v="3176"/>
    <x v="2614"/>
    <s v="149N"/>
    <s v="BTS 149N"/>
    <s v="5002366"/>
    <s v="149N BTS T20 Kabina MP"/>
    <n v="32"/>
    <n v="0"/>
    <n v="32"/>
    <x v="0"/>
    <s v="EEND"/>
    <s v="MP"/>
    <s v="380"/>
    <s v="4.0 UN"/>
    <s v="STANDARD"/>
    <s v="N"/>
    <s v="N"/>
    <s v="Y"/>
    <s v="T20"/>
    <s v="N"/>
    <s v="N"/>
    <s v="N"/>
    <s v="N"/>
    <s v="B006"/>
    <d v="2016-12-29T00:00:00"/>
    <s v="10"/>
    <s v="TAN"/>
    <s v="OR"/>
    <d v="2016-12-26T00:00:00"/>
    <s v="MI"/>
    <s v="US"/>
    <s v="ZR"/>
    <d v="2016-12-26T00:00:00"/>
  </r>
  <r>
    <x v="1"/>
    <x v="0"/>
    <x v="3307"/>
    <x v="45"/>
    <s v="Standard order"/>
    <x v="3177"/>
    <x v="1126"/>
    <s v="122N"/>
    <s v="BTS 12RR2N"/>
    <s v="5002309"/>
    <s v="122N BTS T20 Kabina MP"/>
    <n v="12"/>
    <n v="0"/>
    <n v="12"/>
    <x v="0"/>
    <s v="4TBG"/>
    <s v="MP"/>
    <s v="380"/>
    <s v="4.0 UN"/>
    <s v="STANDARD"/>
    <s v="N"/>
    <s v="N"/>
    <s v="Y"/>
    <s v="T20"/>
    <s v="N"/>
    <s v="N"/>
    <s v="N"/>
    <s v="N"/>
    <s v="B003"/>
    <d v="2016-12-29T00:00:00"/>
    <s v="10"/>
    <s v="TAN"/>
    <s v="OR"/>
    <d v="2016-12-26T00:00:00"/>
    <s v="MI"/>
    <s v="US"/>
    <s v="ZR"/>
    <d v="2016-12-26T00:00:00"/>
  </r>
  <r>
    <x v="1"/>
    <x v="0"/>
    <x v="3307"/>
    <x v="45"/>
    <s v="Standard order"/>
    <x v="3177"/>
    <x v="1126"/>
    <s v="1399"/>
    <s v="BTS 1399"/>
    <s v="5002346"/>
    <s v="1399 BTS T20 Kabina MP"/>
    <n v="4"/>
    <n v="0"/>
    <n v="4"/>
    <x v="0"/>
    <s v="EG74"/>
    <s v="MP"/>
    <s v="380"/>
    <s v="4.0 UN"/>
    <s v="STANDARD"/>
    <s v="N"/>
    <s v="N"/>
    <s v="Y"/>
    <s v="T20"/>
    <s v="N"/>
    <s v="N"/>
    <s v="N"/>
    <s v="N"/>
    <s v="B003"/>
    <d v="2016-12-29T00:00:00"/>
    <s v="20"/>
    <s v="TAN"/>
    <s v="OR"/>
    <d v="2016-12-26T00:00:00"/>
    <s v="MI"/>
    <s v="US"/>
    <s v="ZR"/>
    <d v="2016-12-26T00:00:00"/>
  </r>
  <r>
    <x v="1"/>
    <x v="6"/>
    <x v="3308"/>
    <x v="51"/>
    <s v="Standard order"/>
    <x v="3178"/>
    <x v="1138"/>
    <s v="444N"/>
    <s v="BTS 444N"/>
    <s v="5002226"/>
    <s v="444N BTS T20 PB SYSTIVA P100"/>
    <n v="36"/>
    <n v="0"/>
    <n v="36"/>
    <x v="6"/>
    <s v="DVND"/>
    <s v="PRO 100"/>
    <s v="322"/>
    <s v="4.0 UN"/>
    <s v="STANDARD"/>
    <s v="N"/>
    <s v="N"/>
    <s v="N"/>
    <s v="T20"/>
    <s v="Y"/>
    <s v="N"/>
    <s v="Y"/>
    <s v="N"/>
    <s v="B011"/>
    <d v="2016-12-29T00:00:00"/>
    <s v="10"/>
    <s v="TAN"/>
    <s v="OR"/>
    <d v="2016-12-26T00:00:00"/>
    <s v="MT"/>
    <s v="US"/>
    <s v="ZR"/>
    <d v="2016-12-26T00:00:00"/>
  </r>
  <r>
    <x v="1"/>
    <x v="2"/>
    <x v="3309"/>
    <x v="6"/>
    <s v="Standard order"/>
    <x v="3179"/>
    <x v="2615"/>
    <s v="628N"/>
    <s v="BTS 62RR8N"/>
    <s v="5002683"/>
    <s v="628N BTS T20 PB SYSTIVA P100"/>
    <n v="8"/>
    <n v="0"/>
    <n v="8"/>
    <x v="2"/>
    <s v="BL73"/>
    <s v="PRO 100"/>
    <s v="322"/>
    <s v="4.0 UN"/>
    <s v="STANDARD"/>
    <s v="N"/>
    <s v="N"/>
    <s v="N"/>
    <s v="T20"/>
    <s v="Y"/>
    <s v="N"/>
    <s v="Y"/>
    <s v="N"/>
    <s v="B025"/>
    <d v="2016-12-30T00:00:00"/>
    <s v="10"/>
    <s v="TAN"/>
    <s v="OR"/>
    <d v="2016-12-27T00:00:00"/>
    <s v="NE"/>
    <s v="US"/>
    <s v="ZR"/>
    <d v="2016-12-27T00:00:00"/>
  </r>
  <r>
    <x v="1"/>
    <x v="2"/>
    <x v="3309"/>
    <x v="6"/>
    <s v="Standard order"/>
    <x v="3179"/>
    <x v="2615"/>
    <s v="64SN"/>
    <s v="BTS 64SN"/>
    <s v="5002420"/>
    <s v="64SN BTS T20 PB SYSTIVA P100"/>
    <n v="12"/>
    <n v="0"/>
    <n v="12"/>
    <x v="2"/>
    <s v="DVNB"/>
    <s v="PRO 100"/>
    <s v="322"/>
    <s v="4.0 UN"/>
    <s v="STANDARD"/>
    <s v="N"/>
    <s v="N"/>
    <s v="N"/>
    <s v="T20"/>
    <s v="Y"/>
    <s v="N"/>
    <s v="Y"/>
    <s v="N"/>
    <s v="B025"/>
    <d v="2016-12-30T00:00:00"/>
    <s v="20"/>
    <s v="TAN"/>
    <s v="OR"/>
    <d v="2016-12-27T00:00:00"/>
    <s v="NE"/>
    <s v="US"/>
    <s v="ZR"/>
    <d v="2016-12-27T00:00:00"/>
  </r>
  <r>
    <x v="1"/>
    <x v="2"/>
    <x v="3310"/>
    <x v="6"/>
    <s v="Standard order"/>
    <x v="3180"/>
    <x v="2616"/>
    <s v="628N"/>
    <s v="BTS 62RR8N"/>
    <s v="5002683"/>
    <s v="628N BTS T20 PB SYSTIVA P100"/>
    <n v="44"/>
    <n v="0"/>
    <n v="44"/>
    <x v="2"/>
    <s v="BL73"/>
    <s v="PRO 100"/>
    <s v="322"/>
    <s v="4.0 UN"/>
    <s v="STANDARD"/>
    <s v="N"/>
    <s v="N"/>
    <s v="N"/>
    <s v="T20"/>
    <s v="Y"/>
    <s v="N"/>
    <s v="Y"/>
    <s v="N"/>
    <s v="B025"/>
    <d v="2016-12-30T00:00:00"/>
    <s v="10"/>
    <s v="TAN"/>
    <s v="OR"/>
    <d v="2016-12-27T00:00:00"/>
    <s v="NE"/>
    <s v="US"/>
    <s v="ZR"/>
    <d v="2016-12-27T00:00:00"/>
  </r>
  <r>
    <x v="1"/>
    <x v="2"/>
    <x v="3310"/>
    <x v="6"/>
    <s v="Standard order"/>
    <x v="3180"/>
    <x v="2616"/>
    <s v="64SN"/>
    <s v="BTS 64SN"/>
    <s v="5002420"/>
    <s v="64SN BTS T20 PB SYSTIVA P100"/>
    <n v="72"/>
    <n v="0"/>
    <n v="72"/>
    <x v="2"/>
    <s v="DVNB"/>
    <s v="PRO 100"/>
    <s v="322"/>
    <s v="4.0 UN"/>
    <s v="STANDARD"/>
    <s v="N"/>
    <s v="N"/>
    <s v="N"/>
    <s v="T20"/>
    <s v="Y"/>
    <s v="N"/>
    <s v="Y"/>
    <s v="N"/>
    <s v="B025"/>
    <d v="2016-12-30T00:00:00"/>
    <s v="20"/>
    <s v="TAN"/>
    <s v="OR"/>
    <d v="2016-12-27T00:00:00"/>
    <s v="NE"/>
    <s v="US"/>
    <s v="ZR"/>
    <d v="2016-12-27T00:00:00"/>
  </r>
  <r>
    <x v="1"/>
    <x v="2"/>
    <x v="3311"/>
    <x v="26"/>
    <s v="Standard order"/>
    <x v="3181"/>
    <x v="1150"/>
    <s v="6543"/>
    <s v="BTS 6543"/>
    <s v="5002438"/>
    <s v="6543 BTS T20 PB SYSTIVA P100"/>
    <n v="96"/>
    <n v="0"/>
    <n v="96"/>
    <x v="2"/>
    <s v="FXND"/>
    <s v="PRO 100"/>
    <s v="322"/>
    <s v="4.0 UN"/>
    <s v="STANDARD"/>
    <s v="N"/>
    <s v="N"/>
    <s v="N"/>
    <s v="T20"/>
    <s v="Y"/>
    <s v="N"/>
    <s v="Y"/>
    <s v="N"/>
    <s v="B023"/>
    <d v="2016-12-30T00:00:00"/>
    <s v="20"/>
    <s v="TAN"/>
    <s v="OR"/>
    <d v="2016-12-27T00:00:00"/>
    <s v="CO"/>
    <s v="US"/>
    <s v="ZR"/>
    <d v="2016-12-27T00:00:00"/>
  </r>
  <r>
    <x v="1"/>
    <x v="2"/>
    <x v="3311"/>
    <x v="26"/>
    <s v="Standard order"/>
    <x v="3181"/>
    <x v="1150"/>
    <s v="64SN"/>
    <s v="BTS 64SN"/>
    <s v="5002420"/>
    <s v="64SN BTS T20 PB SYSTIVA P100"/>
    <n v="64"/>
    <n v="0"/>
    <n v="64"/>
    <x v="2"/>
    <s v="DVNB"/>
    <s v="PRO 100"/>
    <s v="322"/>
    <s v="4.0 UN"/>
    <s v="STANDARD"/>
    <s v="N"/>
    <s v="N"/>
    <s v="N"/>
    <s v="T20"/>
    <s v="Y"/>
    <s v="N"/>
    <s v="Y"/>
    <s v="N"/>
    <s v="B023"/>
    <d v="2016-12-30T00:00:00"/>
    <s v="30"/>
    <s v="TAN"/>
    <s v="OR"/>
    <d v="2016-12-27T00:00:00"/>
    <s v="CO"/>
    <s v="US"/>
    <s v="ZR"/>
    <d v="2016-12-27T00:00:00"/>
  </r>
  <r>
    <x v="1"/>
    <x v="2"/>
    <x v="3311"/>
    <x v="26"/>
    <s v="Standard order"/>
    <x v="3181"/>
    <x v="1150"/>
    <s v="630N"/>
    <s v="BTS 630N"/>
    <s v="5002402"/>
    <s v="630N BTS T20 PB SYSTIVA P100"/>
    <n v="32"/>
    <n v="0"/>
    <n v="32"/>
    <x v="2"/>
    <s v="DW73"/>
    <s v="PRO 100"/>
    <s v="322"/>
    <s v="4.0 UN"/>
    <s v="STANDARD"/>
    <s v="N"/>
    <s v="N"/>
    <s v="N"/>
    <s v="T20"/>
    <s v="Y"/>
    <s v="N"/>
    <s v="Y"/>
    <s v="N"/>
    <s v="B023"/>
    <d v="2016-12-30T00:00:00"/>
    <s v="10"/>
    <s v="TAN"/>
    <s v="OR"/>
    <d v="2016-12-27T00:00:00"/>
    <s v="CO"/>
    <s v="US"/>
    <s v="ZR"/>
    <d v="2016-12-27T00:00:00"/>
  </r>
  <r>
    <x v="1"/>
    <x v="2"/>
    <x v="3312"/>
    <x v="6"/>
    <s v="Standard order"/>
    <x v="3182"/>
    <x v="1157"/>
    <s v="628N"/>
    <s v="BTS 62RR8N"/>
    <s v="5002685"/>
    <s v="628N BTS T20 PB SYSTIVA P50"/>
    <n v="64"/>
    <n v="0"/>
    <n v="64"/>
    <x v="2"/>
    <s v="BL73"/>
    <s v="PRO 50"/>
    <s v="322"/>
    <s v="4.0 UN"/>
    <s v="STANDARD"/>
    <s v="N"/>
    <s v="N"/>
    <s v="N"/>
    <s v="T20"/>
    <s v="Y"/>
    <s v="N"/>
    <s v="Y"/>
    <s v="N"/>
    <s v="B025"/>
    <d v="2016-12-30T00:00:00"/>
    <s v="10"/>
    <s v="TAN"/>
    <s v="OR"/>
    <d v="2016-12-27T00:00:00"/>
    <s v="NE"/>
    <s v="US"/>
    <s v="ZR"/>
    <d v="2016-12-27T00:00:00"/>
  </r>
  <r>
    <x v="1"/>
    <x v="2"/>
    <x v="3312"/>
    <x v="6"/>
    <s v="Standard order"/>
    <x v="3182"/>
    <x v="1157"/>
    <s v="64SN"/>
    <s v="BTS 64SN"/>
    <s v="5002422"/>
    <s v="64SN BTS T20 PB SYSTIVA P50"/>
    <n v="64"/>
    <n v="0"/>
    <n v="64"/>
    <x v="2"/>
    <s v="DVNB"/>
    <s v="PRO 50"/>
    <s v="322"/>
    <s v="4.0 UN"/>
    <s v="STANDARD"/>
    <s v="N"/>
    <s v="N"/>
    <s v="N"/>
    <s v="T20"/>
    <s v="Y"/>
    <s v="N"/>
    <s v="Y"/>
    <s v="N"/>
    <s v="B025"/>
    <d v="2016-12-30T00:00:00"/>
    <s v="20"/>
    <s v="TAN"/>
    <s v="OR"/>
    <d v="2016-12-27T00:00:00"/>
    <s v="NE"/>
    <s v="US"/>
    <s v="ZR"/>
    <d v="2016-12-27T00:00:00"/>
  </r>
  <r>
    <x v="1"/>
    <x v="2"/>
    <x v="3313"/>
    <x v="5"/>
    <s v="Standard order"/>
    <x v="3183"/>
    <x v="1139"/>
    <s v="630N"/>
    <s v="BTS 630N"/>
    <s v="5002403"/>
    <s v="630N BTS T20 PB SYSTIVA P200"/>
    <n v="32"/>
    <n v="0"/>
    <n v="32"/>
    <x v="2"/>
    <s v="DW73"/>
    <s v="PRO 200"/>
    <s v="322"/>
    <s v="4.0 UN"/>
    <s v="STANDARD"/>
    <s v="N"/>
    <s v="N"/>
    <s v="N"/>
    <s v="T20"/>
    <s v="Y"/>
    <s v="N"/>
    <s v="Y"/>
    <s v="N"/>
    <s v="B020"/>
    <d v="2016-12-30T00:00:00"/>
    <s v="10"/>
    <s v="TAN"/>
    <s v="OR"/>
    <d v="2016-12-27T00:00:00"/>
    <s v="CO"/>
    <s v="US"/>
    <s v="ZR"/>
    <d v="2016-12-27T00:00:00"/>
  </r>
  <r>
    <x v="1"/>
    <x v="2"/>
    <x v="3313"/>
    <x v="5"/>
    <s v="Standard order"/>
    <x v="3183"/>
    <x v="1139"/>
    <s v="64SN"/>
    <s v="BTS 64SN"/>
    <s v="5002421"/>
    <s v="64SN BTS T20 PB SYSTIVA P200"/>
    <n v="20"/>
    <n v="0"/>
    <n v="20"/>
    <x v="2"/>
    <s v="DVNB"/>
    <s v="PRO 200"/>
    <s v="322"/>
    <s v="4.0 UN"/>
    <s v="STANDARD"/>
    <s v="N"/>
    <s v="N"/>
    <s v="N"/>
    <s v="T20"/>
    <s v="Y"/>
    <s v="N"/>
    <s v="Y"/>
    <s v="N"/>
    <s v="B020"/>
    <d v="2016-12-30T00:00:00"/>
    <s v="20"/>
    <s v="TAN"/>
    <s v="OR"/>
    <d v="2016-12-27T00:00:00"/>
    <s v="CO"/>
    <s v="US"/>
    <s v="ZR"/>
    <d v="2016-12-27T00:00:00"/>
  </r>
  <r>
    <x v="1"/>
    <x v="0"/>
    <x v="3314"/>
    <x v="30"/>
    <s v="Standard order"/>
    <x v="3184"/>
    <x v="2617"/>
    <s v="122N"/>
    <s v="BTS 12RR2N"/>
    <s v="5002311"/>
    <s v="122N BTS T20 Kabina RP"/>
    <n v="48"/>
    <n v="0"/>
    <n v="48"/>
    <x v="0"/>
    <s v="4TBG"/>
    <s v="RP"/>
    <s v="380"/>
    <s v="4.0 UN"/>
    <s v="STANDARD"/>
    <s v="N"/>
    <s v="N"/>
    <s v="Y"/>
    <s v="T20"/>
    <s v="N"/>
    <s v="N"/>
    <s v="N"/>
    <s v="N"/>
    <s v="B001"/>
    <d v="2016-12-30T00:00:00"/>
    <s v="10"/>
    <s v="TAN"/>
    <s v="OR"/>
    <d v="2016-12-27T00:00:00"/>
    <s v="MI"/>
    <s v="US"/>
    <s v="ZR"/>
    <d v="2016-12-27T00:00:00"/>
  </r>
  <r>
    <x v="1"/>
    <x v="0"/>
    <x v="3314"/>
    <x v="30"/>
    <s v="Standard order"/>
    <x v="3184"/>
    <x v="2617"/>
    <s v="149N"/>
    <s v="BTS 149N"/>
    <s v="5002368"/>
    <s v="149N BTS T20 Kabina RP"/>
    <n v="52"/>
    <n v="0"/>
    <n v="52"/>
    <x v="0"/>
    <s v="EEND"/>
    <s v="RP"/>
    <s v="380"/>
    <s v="4.0 UN"/>
    <s v="STANDARD"/>
    <s v="N"/>
    <s v="N"/>
    <s v="Y"/>
    <s v="T20"/>
    <s v="N"/>
    <s v="N"/>
    <s v="N"/>
    <s v="N"/>
    <s v="B001"/>
    <d v="2016-12-30T00:00:00"/>
    <s v="20"/>
    <s v="TAN"/>
    <s v="OR"/>
    <d v="2016-12-27T00:00:00"/>
    <s v="MI"/>
    <s v="US"/>
    <s v="ZR"/>
    <d v="2016-12-27T00:00:00"/>
  </r>
  <r>
    <x v="1"/>
    <x v="0"/>
    <x v="3315"/>
    <x v="29"/>
    <s v="Standard order"/>
    <x v="3185"/>
    <x v="2618"/>
    <s v="122N"/>
    <s v="BTS 12RR2N"/>
    <s v="5002311"/>
    <s v="122N BTS T20 Kabina RP"/>
    <n v="28"/>
    <n v="0"/>
    <n v="28"/>
    <x v="0"/>
    <s v="4TBG"/>
    <s v="RP"/>
    <s v="380"/>
    <s v="4.0 UN"/>
    <s v="STANDARD"/>
    <s v="N"/>
    <s v="N"/>
    <s v="Y"/>
    <s v="T20"/>
    <s v="N"/>
    <s v="N"/>
    <s v="N"/>
    <s v="N"/>
    <s v="B005"/>
    <d v="2016-12-30T00:00:00"/>
    <s v="10"/>
    <s v="TAN"/>
    <s v="OR"/>
    <d v="2016-12-27T00:00:00"/>
    <s v="MI"/>
    <s v="US"/>
    <s v="ZR"/>
    <d v="2016-12-27T00:00:00"/>
  </r>
  <r>
    <x v="1"/>
    <x v="0"/>
    <x v="3316"/>
    <x v="29"/>
    <s v="Standard order"/>
    <x v="3186"/>
    <x v="1061"/>
    <s v="122N"/>
    <s v="BTS 12RR2N"/>
    <s v="5002311"/>
    <s v="122N BTS T20 Kabina RP"/>
    <n v="48"/>
    <n v="0"/>
    <n v="48"/>
    <x v="0"/>
    <s v="4TBG"/>
    <s v="RP"/>
    <s v="380"/>
    <s v="4.0 UN"/>
    <s v="STANDARD"/>
    <s v="N"/>
    <s v="N"/>
    <s v="Y"/>
    <s v="T20"/>
    <s v="N"/>
    <s v="N"/>
    <s v="N"/>
    <s v="N"/>
    <s v="B005"/>
    <d v="2016-12-30T00:00:00"/>
    <s v="10"/>
    <s v="TAN"/>
    <s v="OR"/>
    <d v="2016-12-27T00:00:00"/>
    <s v="MI"/>
    <s v="US"/>
    <s v="ZR"/>
    <d v="2016-12-27T00:00:00"/>
  </r>
  <r>
    <x v="1"/>
    <x v="2"/>
    <x v="3317"/>
    <x v="26"/>
    <s v="Standard order"/>
    <x v="3187"/>
    <x v="1146"/>
    <s v="6543"/>
    <s v="BTS 6543"/>
    <s v="5002438"/>
    <s v="6543 BTS T20 PB SYSTIVA P100"/>
    <n v="8"/>
    <n v="0"/>
    <n v="8"/>
    <x v="2"/>
    <s v="FXND"/>
    <s v="PRO 100"/>
    <s v="322"/>
    <s v="4.0 UN"/>
    <s v="STANDARD"/>
    <s v="N"/>
    <s v="N"/>
    <s v="N"/>
    <s v="T20"/>
    <s v="Y"/>
    <s v="N"/>
    <s v="Y"/>
    <s v="N"/>
    <s v="B023"/>
    <d v="2016-12-30T00:00:00"/>
    <s v="10"/>
    <s v="TAN"/>
    <s v="OR"/>
    <d v="2016-12-27T00:00:00"/>
    <s v="CO"/>
    <s v="US"/>
    <s v="ZR"/>
    <d v="2016-12-27T00:00:00"/>
  </r>
  <r>
    <x v="1"/>
    <x v="2"/>
    <x v="3318"/>
    <x v="24"/>
    <s v="Standard order"/>
    <x v="3188"/>
    <x v="1167"/>
    <s v="630N"/>
    <s v="BTS 630N"/>
    <s v="5002402"/>
    <s v="630N BTS T20 PB SYSTIVA P100"/>
    <n v="56"/>
    <n v="0"/>
    <n v="56"/>
    <x v="2"/>
    <s v="DW73"/>
    <s v="PRO 100"/>
    <s v="322"/>
    <s v="4.0 UN"/>
    <s v="STANDARD"/>
    <s v="N"/>
    <s v="N"/>
    <s v="N"/>
    <s v="T20"/>
    <s v="Y"/>
    <s v="N"/>
    <s v="Y"/>
    <s v="N"/>
    <s v="B022"/>
    <d v="2016-12-30T00:00:00"/>
    <s v="10"/>
    <s v="TAN"/>
    <s v="OR"/>
    <d v="2016-12-27T00:00:00"/>
    <s v="CO"/>
    <s v="US"/>
    <s v="ZR"/>
    <d v="2016-12-27T00:00:00"/>
  </r>
  <r>
    <x v="1"/>
    <x v="0"/>
    <x v="3319"/>
    <x v="55"/>
    <s v="Standard order"/>
    <x v="3189"/>
    <x v="2619"/>
    <s v="1399"/>
    <s v="BTS 1399"/>
    <s v="5002348"/>
    <s v="1399 BTS T20 Kabina RP"/>
    <n v="72"/>
    <n v="0"/>
    <n v="72"/>
    <x v="0"/>
    <s v="EG74"/>
    <s v="RP"/>
    <s v="380"/>
    <s v="4.0 UN"/>
    <s v="STANDARD"/>
    <s v="N"/>
    <s v="N"/>
    <s v="Y"/>
    <s v="T20"/>
    <s v="N"/>
    <s v="N"/>
    <s v="N"/>
    <s v="N"/>
    <s v="B009"/>
    <d v="2016-12-30T00:00:00"/>
    <s v="10"/>
    <s v="TAN"/>
    <s v="OR"/>
    <d v="2016-12-27T00:00:00"/>
    <s v="MI"/>
    <s v="US"/>
    <s v="ZR"/>
    <d v="2016-12-27T00:00:00"/>
  </r>
  <r>
    <x v="1"/>
    <x v="0"/>
    <x v="3320"/>
    <x v="43"/>
    <s v="Standard order"/>
    <x v="3190"/>
    <x v="2620"/>
    <s v="122N"/>
    <s v="BTS 12RR2N"/>
    <s v="5002311"/>
    <s v="122N BTS T20 Kabina RP"/>
    <n v="12"/>
    <n v="0"/>
    <n v="12"/>
    <x v="0"/>
    <s v="4TBG"/>
    <s v="RP"/>
    <s v="380"/>
    <s v="4.0 UN"/>
    <s v="STANDARD"/>
    <s v="N"/>
    <s v="N"/>
    <s v="Y"/>
    <s v="T20"/>
    <s v="N"/>
    <s v="N"/>
    <s v="N"/>
    <s v="N"/>
    <s v="B006"/>
    <d v="2016-12-30T00:00:00"/>
    <s v="10"/>
    <s v="TAN"/>
    <s v="OR"/>
    <d v="2016-12-27T00:00:00"/>
    <s v="MI"/>
    <s v="US"/>
    <s v="ZR"/>
    <d v="2016-12-27T00:00:00"/>
  </r>
  <r>
    <x v="1"/>
    <x v="0"/>
    <x v="3321"/>
    <x v="57"/>
    <s v="Standard order"/>
    <x v="3191"/>
    <x v="2621"/>
    <s v="122N"/>
    <s v="BTS 12RR2N"/>
    <s v="5002310"/>
    <s v="122N BTS T20 Kabina P200"/>
    <n v="36"/>
    <n v="0"/>
    <n v="36"/>
    <x v="0"/>
    <s v="4TBG"/>
    <s v="PRO 200"/>
    <s v="380"/>
    <s v="4.0 UN"/>
    <s v="STANDARD"/>
    <s v="N"/>
    <s v="N"/>
    <s v="Y"/>
    <s v="T20"/>
    <s v="N"/>
    <s v="N"/>
    <s v="N"/>
    <s v="N"/>
    <s v="B008"/>
    <d v="2016-12-30T00:00:00"/>
    <s v="10"/>
    <s v="TAN"/>
    <s v="OR"/>
    <d v="2016-12-27T00:00:00"/>
    <s v="MI"/>
    <s v="US"/>
    <s v="ZR"/>
    <d v="2016-12-27T00:00:00"/>
  </r>
  <r>
    <x v="1"/>
    <x v="0"/>
    <x v="3321"/>
    <x v="57"/>
    <s v="Standard order"/>
    <x v="3191"/>
    <x v="2621"/>
    <s v="1399"/>
    <s v="BTS 1399"/>
    <s v="5002347"/>
    <s v="1399 BTS T20 Kabina P200"/>
    <n v="92"/>
    <n v="0"/>
    <n v="92"/>
    <x v="0"/>
    <s v="EG74"/>
    <s v="PRO 200"/>
    <s v="380"/>
    <s v="4.0 UN"/>
    <s v="STANDARD"/>
    <s v="N"/>
    <s v="N"/>
    <s v="Y"/>
    <s v="T20"/>
    <s v="N"/>
    <s v="N"/>
    <s v="N"/>
    <s v="N"/>
    <s v="B008"/>
    <d v="2016-12-30T00:00:00"/>
    <s v="20"/>
    <s v="TAN"/>
    <s v="OR"/>
    <d v="2016-12-27T00:00:00"/>
    <s v="MI"/>
    <s v="US"/>
    <s v="ZR"/>
    <d v="2016-12-27T00:00:00"/>
  </r>
  <r>
    <x v="1"/>
    <x v="0"/>
    <x v="3321"/>
    <x v="57"/>
    <s v="Standard order"/>
    <x v="3191"/>
    <x v="2621"/>
    <s v="149N"/>
    <s v="BTS 149N"/>
    <s v="5002367"/>
    <s v="149N BTS T20 Kabina P200"/>
    <n v="44"/>
    <n v="0"/>
    <n v="44"/>
    <x v="0"/>
    <s v="EEND"/>
    <s v="PRO 200"/>
    <s v="380"/>
    <s v="4.0 UN"/>
    <s v="STANDARD"/>
    <s v="N"/>
    <s v="N"/>
    <s v="Y"/>
    <s v="T20"/>
    <s v="N"/>
    <s v="N"/>
    <s v="N"/>
    <s v="N"/>
    <s v="B008"/>
    <d v="2016-12-30T00:00:00"/>
    <s v="30"/>
    <s v="TAN"/>
    <s v="OR"/>
    <d v="2016-12-27T00:00:00"/>
    <s v="MI"/>
    <s v="US"/>
    <s v="ZR"/>
    <d v="2016-12-27T00:00:00"/>
  </r>
  <r>
    <x v="1"/>
    <x v="0"/>
    <x v="3322"/>
    <x v="57"/>
    <s v="Standard order"/>
    <x v="3192"/>
    <x v="2622"/>
    <s v="122N"/>
    <s v="BTS 12RR2N"/>
    <s v="5002310"/>
    <s v="122N BTS T20 Kabina P200"/>
    <n v="20"/>
    <n v="0"/>
    <n v="20"/>
    <x v="0"/>
    <s v="4TBG"/>
    <s v="PRO 200"/>
    <s v="380"/>
    <s v="4.0 UN"/>
    <s v="STANDARD"/>
    <s v="N"/>
    <s v="N"/>
    <s v="Y"/>
    <s v="T20"/>
    <s v="N"/>
    <s v="N"/>
    <s v="N"/>
    <s v="N"/>
    <s v="B008"/>
    <d v="2016-12-30T00:00:00"/>
    <s v="10"/>
    <s v="TAN"/>
    <s v="OR"/>
    <d v="2016-12-27T00:00:00"/>
    <s v="MI"/>
    <s v="US"/>
    <s v="ZR"/>
    <d v="2016-12-27T00:00:00"/>
  </r>
  <r>
    <x v="1"/>
    <x v="0"/>
    <x v="3323"/>
    <x v="57"/>
    <s v="Standard order"/>
    <x v="3193"/>
    <x v="2623"/>
    <s v="122N"/>
    <s v="BTS 12RR2N"/>
    <s v="5002310"/>
    <s v="122N BTS T20 Kabina P200"/>
    <n v="24"/>
    <n v="0"/>
    <n v="24"/>
    <x v="0"/>
    <s v="4TBG"/>
    <s v="PRO 200"/>
    <s v="380"/>
    <s v="4.0 UN"/>
    <s v="STANDARD"/>
    <s v="N"/>
    <s v="N"/>
    <s v="Y"/>
    <s v="T20"/>
    <s v="N"/>
    <s v="N"/>
    <s v="N"/>
    <s v="N"/>
    <s v="B008"/>
    <d v="2016-12-30T00:00:00"/>
    <s v="10"/>
    <s v="TAN"/>
    <s v="OR"/>
    <d v="2016-12-27T00:00:00"/>
    <s v="MI"/>
    <s v="US"/>
    <s v="ZR"/>
    <d v="2016-12-27T00:00:00"/>
  </r>
  <r>
    <x v="1"/>
    <x v="0"/>
    <x v="3324"/>
    <x v="57"/>
    <s v="Standard order"/>
    <x v="3194"/>
    <x v="2624"/>
    <s v="122N"/>
    <s v="BTS 12RR2N"/>
    <s v="5002310"/>
    <s v="122N BTS T20 Kabina P200"/>
    <n v="24"/>
    <n v="0"/>
    <n v="24"/>
    <x v="0"/>
    <s v="4TBG"/>
    <s v="PRO 200"/>
    <s v="380"/>
    <s v="4.0 UN"/>
    <s v="STANDARD"/>
    <s v="N"/>
    <s v="N"/>
    <s v="Y"/>
    <s v="T20"/>
    <s v="N"/>
    <s v="N"/>
    <s v="N"/>
    <s v="N"/>
    <s v="B008"/>
    <d v="2016-12-30T00:00:00"/>
    <s v="10"/>
    <s v="TAN"/>
    <s v="OR"/>
    <d v="2016-12-27T00:00:00"/>
    <s v="MI"/>
    <s v="US"/>
    <s v="ZR"/>
    <d v="2016-12-27T00:00:00"/>
  </r>
  <r>
    <x v="1"/>
    <x v="2"/>
    <x v="3325"/>
    <x v="22"/>
    <s v="Standard order"/>
    <x v="3195"/>
    <x v="2625"/>
    <s v="64SN"/>
    <s v="BTS 64SN"/>
    <s v="5002422"/>
    <s v="64SN BTS T20 PB SYSTIVA P50"/>
    <n v="16"/>
    <n v="0"/>
    <n v="16"/>
    <x v="2"/>
    <s v="DVNB"/>
    <s v="PRO 50"/>
    <s v="322"/>
    <s v="4.0 UN"/>
    <s v="STANDARD"/>
    <s v="N"/>
    <s v="N"/>
    <s v="N"/>
    <s v="T20"/>
    <s v="Y"/>
    <s v="N"/>
    <s v="Y"/>
    <s v="N"/>
    <s v="B018"/>
    <d v="2016-12-30T00:00:00"/>
    <s v="10"/>
    <s v="TAN"/>
    <s v="OR"/>
    <d v="2016-12-27T00:00:00"/>
    <s v="CO"/>
    <s v="US"/>
    <s v="ZR"/>
    <d v="2016-12-27T00:00:00"/>
  </r>
  <r>
    <x v="1"/>
    <x v="2"/>
    <x v="3325"/>
    <x v="22"/>
    <s v="Standard order"/>
    <x v="3195"/>
    <x v="2625"/>
    <s v="628N"/>
    <s v="BTS 62RR8N"/>
    <s v="5002685"/>
    <s v="628N BTS T20 PB SYSTIVA P50"/>
    <n v="16"/>
    <n v="0"/>
    <n v="16"/>
    <x v="2"/>
    <s v="BL73"/>
    <s v="PRO 50"/>
    <s v="322"/>
    <s v="4.0 UN"/>
    <s v="STANDARD"/>
    <s v="N"/>
    <s v="N"/>
    <s v="N"/>
    <s v="T20"/>
    <s v="Y"/>
    <s v="N"/>
    <s v="Y"/>
    <s v="N"/>
    <s v="B018"/>
    <d v="2016-12-30T00:00:00"/>
    <s v="20"/>
    <s v="TAN"/>
    <s v="OR"/>
    <d v="2016-12-27T00:00:00"/>
    <s v="CO"/>
    <s v="US"/>
    <s v="ZR"/>
    <d v="2016-12-27T00:00:00"/>
  </r>
  <r>
    <x v="1"/>
    <x v="2"/>
    <x v="3325"/>
    <x v="22"/>
    <s v="Standard order"/>
    <x v="3195"/>
    <x v="2625"/>
    <s v="6027"/>
    <s v="BTS 60RR27"/>
    <s v="5002647"/>
    <s v="6027 BTS T20 PB SYSTIVA P50 WSS"/>
    <n v="28"/>
    <n v="0"/>
    <n v="28"/>
    <x v="2"/>
    <s v="APMC"/>
    <s v="PRO 50"/>
    <s v="322"/>
    <s v="4.0 UN"/>
    <s v="STANDARD"/>
    <s v="N"/>
    <s v="N"/>
    <s v="N"/>
    <s v="T20"/>
    <s v="Y"/>
    <s v="N"/>
    <s v="Y"/>
    <s v="N"/>
    <s v="B018"/>
    <d v="2016-12-30T00:00:00"/>
    <s v="30"/>
    <s v="TAN"/>
    <s v="OR"/>
    <d v="2016-12-27T00:00:00"/>
    <s v="CO"/>
    <s v="US"/>
    <s v="ZR"/>
    <d v="2016-12-27T00:00:00"/>
  </r>
  <r>
    <x v="1"/>
    <x v="0"/>
    <x v="3326"/>
    <x v="29"/>
    <s v="Standard order"/>
    <x v="3196"/>
    <x v="2626"/>
    <s v="1399"/>
    <s v="BTS 1399"/>
    <s v="5002347"/>
    <s v="1399 BTS T20 Kabina P200"/>
    <n v="48"/>
    <n v="0"/>
    <n v="48"/>
    <x v="0"/>
    <s v="EG74"/>
    <s v="PRO 200"/>
    <s v="380"/>
    <s v="4.0 UN"/>
    <s v="STANDARD"/>
    <s v="N"/>
    <s v="N"/>
    <s v="Y"/>
    <s v="T20"/>
    <s v="N"/>
    <s v="N"/>
    <s v="N"/>
    <s v="N"/>
    <s v="B005"/>
    <d v="2016-12-30T00:00:00"/>
    <s v="20"/>
    <s v="TAN"/>
    <s v="OR"/>
    <d v="2016-12-27T00:00:00"/>
    <s v="MI"/>
    <s v="US"/>
    <s v="ZR"/>
    <d v="2016-12-27T00:00:00"/>
  </r>
  <r>
    <x v="1"/>
    <x v="2"/>
    <x v="3327"/>
    <x v="26"/>
    <s v="Standard order"/>
    <x v="3197"/>
    <x v="2627"/>
    <s v="6543"/>
    <s v="BTS 6543"/>
    <s v="5002438"/>
    <s v="6543 BTS T20 PB SYSTIVA P100"/>
    <n v="32"/>
    <n v="0"/>
    <n v="32"/>
    <x v="2"/>
    <s v="FXND"/>
    <s v="PRO 100"/>
    <s v="322"/>
    <s v="4.0 UN"/>
    <s v="STANDARD"/>
    <s v="N"/>
    <s v="N"/>
    <s v="N"/>
    <s v="T20"/>
    <s v="Y"/>
    <s v="N"/>
    <s v="Y"/>
    <s v="N"/>
    <s v="B023"/>
    <d v="2016-12-30T00:00:00"/>
    <s v="10"/>
    <s v="TAN"/>
    <s v="OR"/>
    <d v="2016-12-27T00:00:00"/>
    <s v="CO"/>
    <s v="US"/>
    <s v="ZR"/>
    <d v="2016-12-27T00:00:00"/>
  </r>
  <r>
    <x v="1"/>
    <x v="2"/>
    <x v="3328"/>
    <x v="6"/>
    <s v="Standard order"/>
    <x v="3198"/>
    <x v="1140"/>
    <s v="630N"/>
    <s v="BTS 630N"/>
    <s v="5002402"/>
    <s v="630N BTS T20 PB SYSTIVA P100"/>
    <n v="16"/>
    <n v="0"/>
    <n v="16"/>
    <x v="2"/>
    <s v="DW73"/>
    <s v="PRO 100"/>
    <s v="322"/>
    <s v="4.0 UN"/>
    <s v="STANDARD"/>
    <s v="N"/>
    <s v="N"/>
    <s v="N"/>
    <s v="T20"/>
    <s v="Y"/>
    <s v="N"/>
    <s v="Y"/>
    <s v="N"/>
    <s v="B025"/>
    <d v="2016-12-30T00:00:00"/>
    <s v="10"/>
    <s v="TAN"/>
    <s v="OR"/>
    <d v="2016-12-27T00:00:00"/>
    <s v="WY"/>
    <s v="US"/>
    <s v="ZR"/>
    <d v="2016-12-27T00:00:00"/>
  </r>
  <r>
    <x v="1"/>
    <x v="2"/>
    <x v="3328"/>
    <x v="6"/>
    <s v="Standard order"/>
    <x v="3198"/>
    <x v="1140"/>
    <s v="64SN"/>
    <s v="BTS 64SN"/>
    <s v="5002420"/>
    <s v="64SN BTS T20 PB SYSTIVA P100"/>
    <n v="8"/>
    <n v="0"/>
    <n v="8"/>
    <x v="2"/>
    <s v="DVNB"/>
    <s v="PRO 100"/>
    <s v="322"/>
    <s v="4.0 UN"/>
    <s v="STANDARD"/>
    <s v="N"/>
    <s v="N"/>
    <s v="N"/>
    <s v="T20"/>
    <s v="Y"/>
    <s v="N"/>
    <s v="Y"/>
    <s v="N"/>
    <s v="B025"/>
    <d v="2016-12-30T00:00:00"/>
    <s v="20"/>
    <s v="TAN"/>
    <s v="OR"/>
    <d v="2016-12-27T00:00:00"/>
    <s v="WY"/>
    <s v="US"/>
    <s v="ZR"/>
    <d v="2016-12-27T00:00:00"/>
  </r>
  <r>
    <x v="1"/>
    <x v="0"/>
    <x v="3329"/>
    <x v="55"/>
    <s v="Standard order"/>
    <x v="3199"/>
    <x v="1214"/>
    <s v="1399"/>
    <s v="BTS 1399"/>
    <s v="5002346"/>
    <s v="1399 BTS T20 Kabina MP"/>
    <n v="32"/>
    <n v="0"/>
    <n v="32"/>
    <x v="0"/>
    <s v="EG74"/>
    <s v="MP"/>
    <s v="380"/>
    <s v="4.0 UN"/>
    <s v="STANDARD"/>
    <s v="N"/>
    <s v="N"/>
    <s v="Y"/>
    <s v="T20"/>
    <s v="N"/>
    <s v="N"/>
    <s v="N"/>
    <s v="N"/>
    <s v="B009"/>
    <d v="2016-12-30T00:00:00"/>
    <s v="10"/>
    <s v="TAN"/>
    <s v="OR"/>
    <d v="2016-12-27T00:00:00"/>
    <s v="MI"/>
    <s v="US"/>
    <s v="ZR"/>
    <d v="2016-12-27T00:00:00"/>
  </r>
  <r>
    <x v="1"/>
    <x v="0"/>
    <x v="3330"/>
    <x v="30"/>
    <s v="Standard order"/>
    <x v="3200"/>
    <x v="2628"/>
    <s v="133N"/>
    <s v="BTS 133N"/>
    <s v="5002327"/>
    <s v="133N BTS T20 Kabina MP"/>
    <n v="32"/>
    <n v="0"/>
    <n v="32"/>
    <x v="0"/>
    <s v="DW73"/>
    <s v="MP"/>
    <s v="380"/>
    <s v="4.0 UN"/>
    <s v="STANDARD"/>
    <s v="N"/>
    <s v="N"/>
    <s v="Y"/>
    <s v="T20"/>
    <s v="N"/>
    <s v="N"/>
    <s v="N"/>
    <s v="N"/>
    <s v="B001"/>
    <d v="2016-12-30T00:00:00"/>
    <s v="10"/>
    <s v="TAN"/>
    <s v="OR"/>
    <d v="2016-12-27T00:00:00"/>
    <s v="MI"/>
    <s v="US"/>
    <s v="ZR"/>
    <d v="2016-12-27T00:00:00"/>
  </r>
  <r>
    <x v="1"/>
    <x v="2"/>
    <x v="3331"/>
    <x v="5"/>
    <s v="Standard order"/>
    <x v="3201"/>
    <x v="8"/>
    <s v="64SN"/>
    <s v="BTS 64SN"/>
    <s v="5002421"/>
    <s v="64SN BTS T20 PB SYSTIVA P200"/>
    <n v="68"/>
    <n v="0"/>
    <n v="68"/>
    <x v="2"/>
    <s v="DVNB"/>
    <s v="PRO 200"/>
    <s v="322"/>
    <s v="4.0 UN"/>
    <s v="STANDARD"/>
    <s v="N"/>
    <s v="N"/>
    <s v="N"/>
    <s v="T20"/>
    <s v="Y"/>
    <s v="N"/>
    <s v="Y"/>
    <s v="N"/>
    <s v="B020"/>
    <d v="2016-12-30T00:00:00"/>
    <s v="10"/>
    <s v="TAN"/>
    <s v="OR"/>
    <d v="2016-12-27T00:00:00"/>
    <s v="CO"/>
    <s v="US"/>
    <s v="ZR"/>
    <d v="2016-12-27T00:00:00"/>
  </r>
  <r>
    <x v="1"/>
    <x v="0"/>
    <x v="3332"/>
    <x v="30"/>
    <s v="Standard order"/>
    <x v="1333"/>
    <x v="1331"/>
    <s v="1399"/>
    <s v="BTS 1399"/>
    <s v="5002348"/>
    <s v="1399 BTS T20 Kabina RP"/>
    <n v="12"/>
    <n v="0"/>
    <n v="12"/>
    <x v="0"/>
    <s v="EG74"/>
    <s v="RP"/>
    <s v="380"/>
    <s v="4.0 UN"/>
    <s v="STANDARD"/>
    <s v="N"/>
    <s v="N"/>
    <s v="Y"/>
    <s v="T20"/>
    <s v="N"/>
    <s v="N"/>
    <s v="N"/>
    <s v="N"/>
    <s v="B001"/>
    <d v="2016-12-30T00:00:00"/>
    <s v="10"/>
    <s v="TAN"/>
    <s v="OR"/>
    <d v="2016-12-27T00:00:00"/>
    <s v="MI"/>
    <s v="US"/>
    <s v="ZR"/>
    <d v="2016-12-27T00:00:00"/>
  </r>
  <r>
    <x v="1"/>
    <x v="0"/>
    <x v="3333"/>
    <x v="30"/>
    <s v="Standard order"/>
    <x v="3202"/>
    <x v="277"/>
    <s v="133N"/>
    <s v="BTS 133N"/>
    <s v="5002328"/>
    <s v="133N BTS T20 Kabina P200"/>
    <n v="8"/>
    <n v="0"/>
    <n v="8"/>
    <x v="0"/>
    <s v="DW73"/>
    <s v="PRO 200"/>
    <s v="380"/>
    <s v="4.0 UN"/>
    <s v="STANDARD"/>
    <s v="N"/>
    <s v="N"/>
    <s v="Y"/>
    <s v="T20"/>
    <s v="N"/>
    <s v="N"/>
    <s v="N"/>
    <s v="N"/>
    <s v="B001"/>
    <d v="2016-12-30T00:00:00"/>
    <s v="10"/>
    <s v="TAN"/>
    <s v="OR"/>
    <d v="2016-12-27T00:00:00"/>
    <s v="MI"/>
    <s v="US"/>
    <s v="ZR"/>
    <d v="2016-12-27T00:00:00"/>
  </r>
  <r>
    <x v="1"/>
    <x v="0"/>
    <x v="3334"/>
    <x v="57"/>
    <s v="Standard order"/>
    <x v="3203"/>
    <x v="2629"/>
    <s v="133N"/>
    <s v="BTS 133N"/>
    <s v="5002329"/>
    <s v="133N BTS T20 Kabina RP"/>
    <n v="8"/>
    <n v="0"/>
    <n v="8"/>
    <x v="0"/>
    <s v="DW73"/>
    <s v="RP"/>
    <s v="380"/>
    <s v="4.0 UN"/>
    <s v="STANDARD"/>
    <s v="N"/>
    <s v="N"/>
    <s v="Y"/>
    <s v="T20"/>
    <s v="N"/>
    <s v="N"/>
    <s v="N"/>
    <s v="N"/>
    <s v="B008"/>
    <d v="2016-12-30T00:00:00"/>
    <s v="10"/>
    <s v="TAN"/>
    <s v="OR"/>
    <d v="2016-12-27T00:00:00"/>
    <s v="MI"/>
    <s v="US"/>
    <s v="ZR"/>
    <d v="2016-12-27T00:00:00"/>
  </r>
  <r>
    <x v="1"/>
    <x v="2"/>
    <x v="3335"/>
    <x v="6"/>
    <s v="Standard order"/>
    <x v="3204"/>
    <x v="2630"/>
    <s v="628N"/>
    <s v="BTS 62RR8N"/>
    <s v="5002683"/>
    <s v="628N BTS T20 PB SYSTIVA P100"/>
    <n v="36"/>
    <n v="0"/>
    <n v="36"/>
    <x v="2"/>
    <s v="BL73"/>
    <s v="PRO 100"/>
    <s v="322"/>
    <s v="4.0 UN"/>
    <s v="STANDARD"/>
    <s v="N"/>
    <s v="N"/>
    <s v="N"/>
    <s v="T20"/>
    <s v="Y"/>
    <s v="N"/>
    <s v="Y"/>
    <s v="N"/>
    <s v="B025"/>
    <d v="2016-12-30T00:00:00"/>
    <s v="10"/>
    <s v="TAN"/>
    <s v="OR"/>
    <d v="2016-12-27T00:00:00"/>
    <s v="WY"/>
    <s v="US"/>
    <s v="ZR"/>
    <d v="2016-12-27T00:00:00"/>
  </r>
  <r>
    <x v="1"/>
    <x v="2"/>
    <x v="3335"/>
    <x v="6"/>
    <s v="Standard order"/>
    <x v="3204"/>
    <x v="2630"/>
    <s v="630N"/>
    <s v="BTS 630N"/>
    <s v="5002402"/>
    <s v="630N BTS T20 PB SYSTIVA P100"/>
    <n v="36"/>
    <n v="0"/>
    <n v="36"/>
    <x v="2"/>
    <s v="DW73"/>
    <s v="PRO 100"/>
    <s v="322"/>
    <s v="4.0 UN"/>
    <s v="STANDARD"/>
    <s v="N"/>
    <s v="N"/>
    <s v="N"/>
    <s v="T20"/>
    <s v="Y"/>
    <s v="N"/>
    <s v="Y"/>
    <s v="N"/>
    <s v="B025"/>
    <d v="2016-12-30T00:00:00"/>
    <s v="20"/>
    <s v="TAN"/>
    <s v="OR"/>
    <d v="2016-12-27T00:00:00"/>
    <s v="WY"/>
    <s v="US"/>
    <s v="ZR"/>
    <d v="2016-12-27T00:00:00"/>
  </r>
  <r>
    <x v="1"/>
    <x v="2"/>
    <x v="3335"/>
    <x v="6"/>
    <s v="Standard order"/>
    <x v="3204"/>
    <x v="2630"/>
    <s v="64SN"/>
    <s v="BTS 64SN"/>
    <s v="5002420"/>
    <s v="64SN BTS T20 PB SYSTIVA P100"/>
    <n v="40"/>
    <n v="0"/>
    <n v="40"/>
    <x v="2"/>
    <s v="DVNB"/>
    <s v="PRO 100"/>
    <s v="322"/>
    <s v="4.0 UN"/>
    <s v="STANDARD"/>
    <s v="N"/>
    <s v="N"/>
    <s v="N"/>
    <s v="T20"/>
    <s v="Y"/>
    <s v="N"/>
    <s v="Y"/>
    <s v="N"/>
    <s v="B025"/>
    <d v="2016-12-30T00:00:00"/>
    <s v="30"/>
    <s v="TAN"/>
    <s v="OR"/>
    <d v="2016-12-27T00:00:00"/>
    <s v="WY"/>
    <s v="US"/>
    <s v="ZR"/>
    <d v="2016-12-27T00:00:00"/>
  </r>
  <r>
    <x v="1"/>
    <x v="2"/>
    <x v="3336"/>
    <x v="22"/>
    <s v="Standard order"/>
    <x v="3205"/>
    <x v="1151"/>
    <s v="64SN"/>
    <s v="BTS 64SN"/>
    <s v="5002420"/>
    <s v="64SN BTS T20 PB SYSTIVA P100"/>
    <n v="56"/>
    <n v="0"/>
    <n v="56"/>
    <x v="2"/>
    <s v="DVNB"/>
    <s v="PRO 100"/>
    <s v="322"/>
    <s v="4.0 UN"/>
    <s v="STANDARD"/>
    <s v="N"/>
    <s v="N"/>
    <s v="N"/>
    <s v="T20"/>
    <s v="Y"/>
    <s v="N"/>
    <s v="Y"/>
    <s v="N"/>
    <s v="B018"/>
    <d v="2016-12-30T00:00:00"/>
    <s v="10"/>
    <s v="TAN"/>
    <s v="OR"/>
    <d v="2016-12-27T00:00:00"/>
    <s v="CO"/>
    <s v="US"/>
    <s v="ZR"/>
    <d v="2016-12-27T00:00:00"/>
  </r>
  <r>
    <x v="1"/>
    <x v="0"/>
    <x v="3337"/>
    <x v="45"/>
    <s v="Standard order"/>
    <x v="3206"/>
    <x v="1248"/>
    <s v="1399"/>
    <s v="BTS 1399"/>
    <s v="5002346"/>
    <s v="1399 BTS T20 Kabina MP"/>
    <n v="24"/>
    <n v="0"/>
    <n v="24"/>
    <x v="0"/>
    <s v="EG74"/>
    <s v="MP"/>
    <s v="380"/>
    <s v="4.0 UN"/>
    <s v="STANDARD"/>
    <s v="N"/>
    <s v="N"/>
    <s v="Y"/>
    <s v="T20"/>
    <s v="N"/>
    <s v="N"/>
    <s v="N"/>
    <s v="N"/>
    <s v="B003"/>
    <d v="2017-01-02T00:00:00"/>
    <s v="10"/>
    <s v="TAN"/>
    <s v="OR"/>
    <d v="2016-12-28T00:00:00"/>
    <s v="MI"/>
    <s v="US"/>
    <s v="ZR"/>
    <d v="2016-12-28T00:00:00"/>
  </r>
  <r>
    <x v="1"/>
    <x v="2"/>
    <x v="3338"/>
    <x v="25"/>
    <s v="Standard order"/>
    <x v="3207"/>
    <x v="1174"/>
    <s v="6027"/>
    <s v="BTS 60RR27"/>
    <s v="5002645"/>
    <s v="6027 BTS T20 PB SYSTIVA P100 WSS"/>
    <n v="32"/>
    <n v="0"/>
    <n v="32"/>
    <x v="2"/>
    <s v="APMC"/>
    <s v="PRO 100"/>
    <s v="322"/>
    <s v="4.0 UN"/>
    <s v="STANDARD"/>
    <s v="N"/>
    <s v="N"/>
    <s v="N"/>
    <s v="T20"/>
    <s v="Y"/>
    <s v="N"/>
    <s v="Y"/>
    <s v="N"/>
    <s v="B021"/>
    <d v="2017-01-02T00:00:00"/>
    <s v="10"/>
    <s v="TAN"/>
    <s v="OR"/>
    <d v="2016-12-28T00:00:00"/>
    <s v="CO"/>
    <s v="US"/>
    <s v="ZR"/>
    <d v="2016-12-28T00:00:00"/>
  </r>
  <r>
    <x v="1"/>
    <x v="0"/>
    <x v="3339"/>
    <x v="30"/>
    <s v="Standard order"/>
    <x v="3208"/>
    <x v="2631"/>
    <s v="1399"/>
    <s v="BTS 1399"/>
    <s v="5002348"/>
    <s v="1399 BTS T20 Kabina RP"/>
    <n v="24"/>
    <n v="0"/>
    <n v="24"/>
    <x v="0"/>
    <s v="EG74"/>
    <s v="RP"/>
    <s v="380"/>
    <s v="4.0 UN"/>
    <s v="STANDARD"/>
    <s v="N"/>
    <s v="N"/>
    <s v="Y"/>
    <s v="T20"/>
    <s v="N"/>
    <s v="N"/>
    <s v="N"/>
    <s v="N"/>
    <s v="B001"/>
    <d v="2017-01-02T00:00:00"/>
    <s v="10"/>
    <s v="TAN"/>
    <s v="OR"/>
    <d v="2016-12-28T00:00:00"/>
    <s v="MI"/>
    <s v="US"/>
    <s v="ZR"/>
    <d v="2016-12-28T00:00:00"/>
  </r>
  <r>
    <x v="1"/>
    <x v="7"/>
    <x v="3340"/>
    <x v="28"/>
    <s v="Standard order"/>
    <x v="3209"/>
    <x v="2632"/>
    <s v="8500"/>
    <s v="BTS 8500"/>
    <s v="5002860"/>
    <s v="8500 BTS T35 SYSTIVA RP"/>
    <n v="48"/>
    <n v="0"/>
    <n v="48"/>
    <x v="7"/>
    <s v="FTND"/>
    <s v="RP"/>
    <s v="334"/>
    <s v="4.0 UN"/>
    <s v="STANDARD"/>
    <s v="N"/>
    <s v="N"/>
    <s v="N"/>
    <s v="T35"/>
    <s v="Y"/>
    <s v="N"/>
    <s v="Y"/>
    <s v="N"/>
    <s v="B056"/>
    <d v="2017-01-02T00:00:00"/>
    <s v="10"/>
    <s v="TAN"/>
    <s v="OR"/>
    <d v="2016-12-28T00:00:00"/>
    <s v="ND"/>
    <s v="US"/>
    <s v="ZR"/>
    <d v="2016-12-28T00:00:00"/>
  </r>
  <r>
    <x v="1"/>
    <x v="2"/>
    <x v="3341"/>
    <x v="23"/>
    <s v="Standard order"/>
    <x v="3210"/>
    <x v="1172"/>
    <s v="6543"/>
    <s v="BTS 6543"/>
    <s v="5002440"/>
    <s v="6543 BTS T20 PB SYSTIVA P50"/>
    <n v="20"/>
    <n v="0"/>
    <n v="20"/>
    <x v="2"/>
    <s v="FXND"/>
    <s v="PRO 50"/>
    <s v="322"/>
    <s v="4.0 UN"/>
    <s v="STANDARD"/>
    <s v="N"/>
    <s v="N"/>
    <s v="N"/>
    <s v="T20"/>
    <s v="Y"/>
    <s v="N"/>
    <s v="Y"/>
    <s v="N"/>
    <s v="B055"/>
    <d v="2017-01-02T00:00:00"/>
    <s v="10"/>
    <s v="TAN"/>
    <s v="OR"/>
    <d v="2016-12-28T00:00:00"/>
    <s v="WY"/>
    <s v="US"/>
    <s v="ZR"/>
    <d v="2016-12-28T00:00:00"/>
  </r>
  <r>
    <x v="1"/>
    <x v="0"/>
    <x v="3342"/>
    <x v="49"/>
    <s v="Standard order"/>
    <x v="3211"/>
    <x v="2633"/>
    <s v="149N"/>
    <s v="BTS 149N"/>
    <s v="5002368"/>
    <s v="149N BTS T20 Kabina RP"/>
    <n v="32"/>
    <n v="0"/>
    <n v="32"/>
    <x v="0"/>
    <s v="EEND"/>
    <s v="RP"/>
    <s v="380"/>
    <s v="4.0 UN"/>
    <s v="STANDARD"/>
    <s v="N"/>
    <s v="N"/>
    <s v="Y"/>
    <s v="T20"/>
    <s v="N"/>
    <s v="N"/>
    <s v="N"/>
    <s v="N"/>
    <s v="B004"/>
    <d v="2017-01-02T00:00:00"/>
    <s v="10"/>
    <s v="TAN"/>
    <s v="OR"/>
    <d v="2016-12-28T00:00:00"/>
    <s v="MI"/>
    <s v="US"/>
    <s v="ZR"/>
    <d v="2016-12-28T00:00:00"/>
  </r>
  <r>
    <x v="1"/>
    <x v="0"/>
    <x v="3343"/>
    <x v="30"/>
    <s v="Standard order"/>
    <x v="3212"/>
    <x v="2634"/>
    <s v="133N"/>
    <s v="BTS 133N"/>
    <s v="5002329"/>
    <s v="133N BTS T20 Kabina RP"/>
    <n v="60"/>
    <n v="0"/>
    <n v="60"/>
    <x v="0"/>
    <s v="DW73"/>
    <s v="RP"/>
    <s v="380"/>
    <s v="4.0 UN"/>
    <s v="STANDARD"/>
    <s v="N"/>
    <s v="N"/>
    <s v="Y"/>
    <s v="T20"/>
    <s v="N"/>
    <s v="N"/>
    <s v="N"/>
    <s v="N"/>
    <s v="B001"/>
    <d v="2017-01-02T00:00:00"/>
    <s v="10"/>
    <s v="TAN"/>
    <s v="OR"/>
    <d v="2016-12-28T00:00:00"/>
    <s v="MI"/>
    <s v="US"/>
    <s v="ZR"/>
    <d v="2016-12-28T00:00:00"/>
  </r>
  <r>
    <x v="1"/>
    <x v="0"/>
    <x v="3344"/>
    <x v="30"/>
    <s v="Standard order"/>
    <x v="3213"/>
    <x v="2635"/>
    <s v="133N"/>
    <s v="BTS 133N"/>
    <s v="5002327"/>
    <s v="133N BTS T20 Kabina MP"/>
    <n v="52"/>
    <n v="0"/>
    <n v="52"/>
    <x v="0"/>
    <s v="DW73"/>
    <s v="MP"/>
    <s v="380"/>
    <s v="4.0 UN"/>
    <s v="STANDARD"/>
    <s v="N"/>
    <s v="N"/>
    <s v="Y"/>
    <s v="T20"/>
    <s v="N"/>
    <s v="N"/>
    <s v="N"/>
    <s v="N"/>
    <s v="B001"/>
    <d v="2017-01-02T00:00:00"/>
    <s v="10"/>
    <s v="TAN"/>
    <s v="OR"/>
    <d v="2016-12-28T00:00:00"/>
    <s v="MI"/>
    <s v="US"/>
    <s v="ZR"/>
    <d v="2016-12-28T00:00:00"/>
  </r>
  <r>
    <x v="1"/>
    <x v="2"/>
    <x v="3345"/>
    <x v="25"/>
    <s v="Standard order"/>
    <x v="3214"/>
    <x v="2636"/>
    <s v="6027"/>
    <s v="BTS 60RR27"/>
    <s v="5002645"/>
    <s v="6027 BTS T20 PB SYSTIVA P100 WSS"/>
    <n v="24"/>
    <n v="0"/>
    <n v="24"/>
    <x v="2"/>
    <s v="APMC"/>
    <s v="PRO 100"/>
    <s v="322"/>
    <s v="4.0 UN"/>
    <s v="STANDARD"/>
    <s v="N"/>
    <s v="N"/>
    <s v="N"/>
    <s v="T20"/>
    <s v="Y"/>
    <s v="N"/>
    <s v="Y"/>
    <s v="N"/>
    <s v="B021"/>
    <d v="2017-01-02T00:00:00"/>
    <s v="10"/>
    <s v="TAN"/>
    <s v="OR"/>
    <d v="2016-12-28T00:00:00"/>
    <s v="CO"/>
    <s v="US"/>
    <s v="ZR"/>
    <d v="2016-12-28T00:00:00"/>
  </r>
  <r>
    <x v="1"/>
    <x v="7"/>
    <x v="3346"/>
    <x v="31"/>
    <s v="Standard order"/>
    <x v="3215"/>
    <x v="2637"/>
    <s v="8337"/>
    <s v="BTS 8337"/>
    <s v="5002795"/>
    <s v="8337 BTS T35 PB SYSTIVA RP"/>
    <n v="48"/>
    <n v="0"/>
    <n v="48"/>
    <x v="7"/>
    <s v="DHMC"/>
    <s v="RP"/>
    <s v="333"/>
    <s v="4.0 UN"/>
    <s v="STANDARD"/>
    <s v="N"/>
    <s v="Y"/>
    <s v="N"/>
    <s v="T35"/>
    <s v="Y"/>
    <s v="N"/>
    <s v="Y"/>
    <s v="N"/>
    <s v="B028"/>
    <d v="2017-01-02T00:00:00"/>
    <s v="10"/>
    <s v="TAN"/>
    <s v="OR"/>
    <d v="2016-12-28T00:00:00"/>
    <s v="ND"/>
    <s v="US"/>
    <s v="ZR"/>
    <d v="2016-12-28T00:00:00"/>
  </r>
  <r>
    <x v="1"/>
    <x v="7"/>
    <x v="3346"/>
    <x v="31"/>
    <s v="Standard order"/>
    <x v="3215"/>
    <x v="2637"/>
    <s v="8052"/>
    <s v="BTS 80RR52"/>
    <s v="5002735"/>
    <s v="8052 BTS T35 PB SYSTIVA RP"/>
    <n v="48"/>
    <n v="0"/>
    <n v="48"/>
    <x v="7"/>
    <s v="AP82"/>
    <s v="RP"/>
    <s v="333"/>
    <s v="4.0 UN"/>
    <s v="STANDARD"/>
    <s v="N"/>
    <s v="Y"/>
    <s v="N"/>
    <s v="T35"/>
    <s v="Y"/>
    <s v="N"/>
    <s v="Y"/>
    <s v="N"/>
    <s v="B028"/>
    <d v="2017-01-02T00:00:00"/>
    <s v="20"/>
    <s v="TAN"/>
    <s v="OR"/>
    <d v="2016-12-28T00:00:00"/>
    <s v="ND"/>
    <s v="US"/>
    <s v="ZR"/>
    <d v="2016-12-28T00:00:00"/>
  </r>
  <r>
    <x v="1"/>
    <x v="2"/>
    <x v="3347"/>
    <x v="24"/>
    <s v="Standard order"/>
    <x v="3216"/>
    <x v="1195"/>
    <s v="6027"/>
    <s v="BTS 60RR27"/>
    <s v="5002645"/>
    <s v="6027 BTS T20 PB SYSTIVA P100 WSS"/>
    <n v="28"/>
    <n v="0"/>
    <n v="28"/>
    <x v="2"/>
    <s v="APMC"/>
    <s v="PRO 100"/>
    <s v="322"/>
    <s v="4.0 UN"/>
    <s v="STANDARD"/>
    <s v="N"/>
    <s v="N"/>
    <s v="N"/>
    <s v="T20"/>
    <s v="Y"/>
    <s v="N"/>
    <s v="Y"/>
    <s v="N"/>
    <s v="B022"/>
    <d v="2017-01-02T00:00:00"/>
    <s v="10"/>
    <s v="TAN"/>
    <s v="OR"/>
    <d v="2016-12-28T00:00:00"/>
    <s v="CO"/>
    <s v="US"/>
    <s v="ZR"/>
    <d v="2016-12-28T00:00:00"/>
  </r>
  <r>
    <x v="1"/>
    <x v="4"/>
    <x v="3348"/>
    <x v="52"/>
    <s v="Standard order"/>
    <x v="3217"/>
    <x v="2638"/>
    <s v="251N"/>
    <s v="BTS 251N"/>
    <s v="5002503"/>
    <s v="251N BTS PB Kabina LRG"/>
    <n v="16"/>
    <n v="0"/>
    <n v="16"/>
    <x v="4"/>
    <s v="5HBR"/>
    <s v="LARGE"/>
    <s v="384"/>
    <s v="4.0 UN"/>
    <s v="STANDARD"/>
    <s v="N"/>
    <s v="Y"/>
    <s v="Y"/>
    <s v="N"/>
    <s v="N"/>
    <s v="N"/>
    <s v="N"/>
    <s v="N"/>
    <s v="B048"/>
    <d v="2017-01-02T00:00:00"/>
    <s v="10"/>
    <s v="TAN"/>
    <s v="OR"/>
    <d v="2016-12-28T00:00:00"/>
    <s v="ID"/>
    <s v="US"/>
    <s v="ZR"/>
    <d v="2016-12-28T00:00:00"/>
  </r>
  <r>
    <x v="1"/>
    <x v="0"/>
    <x v="3349"/>
    <x v="57"/>
    <s v="Standard order"/>
    <x v="3218"/>
    <x v="1108"/>
    <s v="122N"/>
    <s v="BTS 12RR2N"/>
    <s v="5002311"/>
    <s v="122N BTS T20 Kabina RP"/>
    <n v="20"/>
    <n v="0"/>
    <n v="20"/>
    <x v="0"/>
    <s v="4TBG"/>
    <s v="RP"/>
    <s v="380"/>
    <s v="4.0 UN"/>
    <s v="STANDARD"/>
    <s v="N"/>
    <s v="N"/>
    <s v="Y"/>
    <s v="T20"/>
    <s v="N"/>
    <s v="N"/>
    <s v="N"/>
    <s v="N"/>
    <s v="B008"/>
    <d v="2017-01-02T00:00:00"/>
    <s v="10"/>
    <s v="TAN"/>
    <s v="OR"/>
    <d v="2016-12-28T00:00:00"/>
    <s v="MI"/>
    <s v="US"/>
    <s v="ZR"/>
    <d v="2016-12-28T00:00:00"/>
  </r>
  <r>
    <x v="1"/>
    <x v="2"/>
    <x v="3350"/>
    <x v="5"/>
    <s v="Standard order"/>
    <x v="3219"/>
    <x v="2639"/>
    <s v="64SN"/>
    <s v="BTS 64SN"/>
    <s v="5002421"/>
    <s v="64SN BTS T20 PB SYSTIVA P200"/>
    <n v="56"/>
    <n v="0"/>
    <n v="56"/>
    <x v="2"/>
    <s v="DVNB"/>
    <s v="PRO 200"/>
    <s v="322"/>
    <s v="4.0 UN"/>
    <s v="STANDARD"/>
    <s v="N"/>
    <s v="N"/>
    <s v="N"/>
    <s v="T20"/>
    <s v="Y"/>
    <s v="N"/>
    <s v="Y"/>
    <s v="N"/>
    <s v="B020"/>
    <d v="2017-01-02T00:00:00"/>
    <s v="10"/>
    <s v="TAN"/>
    <s v="OR"/>
    <d v="2016-12-28T00:00:00"/>
    <s v="CO"/>
    <s v="US"/>
    <s v="ZR"/>
    <d v="2016-12-28T00:00:00"/>
  </r>
  <r>
    <x v="1"/>
    <x v="0"/>
    <x v="3351"/>
    <x v="42"/>
    <s v="Standard order"/>
    <x v="3220"/>
    <x v="924"/>
    <s v="1399"/>
    <s v="BTS 1399"/>
    <s v="5002348"/>
    <s v="1399 BTS T20 Kabina RP"/>
    <n v="12"/>
    <n v="0"/>
    <n v="12"/>
    <x v="0"/>
    <s v="EG74"/>
    <s v="RP"/>
    <s v="380"/>
    <s v="4.0 UN"/>
    <s v="STANDARD"/>
    <s v="N"/>
    <s v="N"/>
    <s v="Y"/>
    <s v="T20"/>
    <s v="N"/>
    <s v="N"/>
    <s v="N"/>
    <s v="N"/>
    <s v="B007"/>
    <d v="2017-01-02T00:00:00"/>
    <s v="10"/>
    <s v="TAN"/>
    <s v="OR"/>
    <d v="2016-12-28T00:00:00"/>
    <s v="MI"/>
    <s v="US"/>
    <s v="ZR"/>
    <d v="2016-12-28T00:00:00"/>
  </r>
  <r>
    <x v="1"/>
    <x v="0"/>
    <x v="3352"/>
    <x v="43"/>
    <s v="Standard order"/>
    <x v="3221"/>
    <x v="2640"/>
    <s v="149N"/>
    <s v="BTS 149N"/>
    <s v="5002368"/>
    <s v="149N BTS T20 Kabina RP"/>
    <n v="52"/>
    <n v="0"/>
    <n v="52"/>
    <x v="0"/>
    <s v="EEND"/>
    <s v="RP"/>
    <s v="380"/>
    <s v="4.0 UN"/>
    <s v="STANDARD"/>
    <s v="N"/>
    <s v="N"/>
    <s v="Y"/>
    <s v="T20"/>
    <s v="N"/>
    <s v="N"/>
    <s v="N"/>
    <s v="N"/>
    <s v="B006"/>
    <d v="2017-01-02T00:00:00"/>
    <s v="10"/>
    <s v="TAN"/>
    <s v="OR"/>
    <d v="2016-12-28T00:00:00"/>
    <s v="MI"/>
    <s v="US"/>
    <s v="ZR"/>
    <d v="2016-12-28T00:00:00"/>
  </r>
  <r>
    <x v="1"/>
    <x v="0"/>
    <x v="3352"/>
    <x v="43"/>
    <s v="Standard order"/>
    <x v="3221"/>
    <x v="2640"/>
    <s v="133N"/>
    <s v="BTS 133N"/>
    <s v="5002329"/>
    <s v="133N BTS T20 Kabina RP"/>
    <n v="40"/>
    <n v="0"/>
    <n v="40"/>
    <x v="0"/>
    <s v="DW73"/>
    <s v="RP"/>
    <s v="380"/>
    <s v="4.0 UN"/>
    <s v="STANDARD"/>
    <s v="N"/>
    <s v="N"/>
    <s v="Y"/>
    <s v="T20"/>
    <s v="N"/>
    <s v="N"/>
    <s v="N"/>
    <s v="N"/>
    <s v="B006"/>
    <d v="2017-01-02T00:00:00"/>
    <s v="20"/>
    <s v="TAN"/>
    <s v="OR"/>
    <d v="2016-12-28T00:00:00"/>
    <s v="MI"/>
    <s v="US"/>
    <s v="ZR"/>
    <d v="2016-12-28T00:00:00"/>
  </r>
  <r>
    <x v="1"/>
    <x v="0"/>
    <x v="3352"/>
    <x v="43"/>
    <s v="Standard order"/>
    <x v="3221"/>
    <x v="2640"/>
    <s v="1399"/>
    <s v="BTS 1399"/>
    <s v="5002348"/>
    <s v="1399 BTS T20 Kabina RP"/>
    <n v="24"/>
    <n v="0"/>
    <n v="24"/>
    <x v="0"/>
    <s v="EG74"/>
    <s v="RP"/>
    <s v="380"/>
    <s v="4.0 UN"/>
    <s v="STANDARD"/>
    <s v="N"/>
    <s v="N"/>
    <s v="Y"/>
    <s v="T20"/>
    <s v="N"/>
    <s v="N"/>
    <s v="N"/>
    <s v="N"/>
    <s v="B006"/>
    <d v="2017-01-02T00:00:00"/>
    <s v="30"/>
    <s v="TAN"/>
    <s v="OR"/>
    <d v="2016-12-28T00:00:00"/>
    <s v="MI"/>
    <s v="US"/>
    <s v="ZR"/>
    <d v="2016-12-28T00:00:00"/>
  </r>
  <r>
    <x v="1"/>
    <x v="0"/>
    <x v="3353"/>
    <x v="30"/>
    <s v="Standard order"/>
    <x v="3222"/>
    <x v="2641"/>
    <s v="1399"/>
    <s v="BTS 1399"/>
    <s v="5002346"/>
    <s v="1399 BTS T20 Kabina MP"/>
    <n v="20"/>
    <n v="0"/>
    <n v="20"/>
    <x v="0"/>
    <s v="EG74"/>
    <s v="MP"/>
    <s v="380"/>
    <s v="4.0 UN"/>
    <s v="STANDARD"/>
    <s v="N"/>
    <s v="N"/>
    <s v="Y"/>
    <s v="T20"/>
    <s v="N"/>
    <s v="N"/>
    <s v="N"/>
    <s v="N"/>
    <s v="B001"/>
    <d v="2017-01-02T00:00:00"/>
    <s v="10"/>
    <s v="TAN"/>
    <s v="OR"/>
    <d v="2016-12-28T00:00:00"/>
    <s v="MI"/>
    <s v="US"/>
    <s v="ZR"/>
    <d v="2016-12-28T00:00:00"/>
  </r>
  <r>
    <x v="1"/>
    <x v="0"/>
    <x v="3354"/>
    <x v="29"/>
    <s v="Standard order"/>
    <x v="3223"/>
    <x v="1309"/>
    <s v="122N"/>
    <s v="BTS 12RR2N"/>
    <s v="5002310"/>
    <s v="122N BTS T20 Kabina P200"/>
    <n v="44"/>
    <n v="0"/>
    <n v="44"/>
    <x v="0"/>
    <s v="4TBG"/>
    <s v="PRO 200"/>
    <s v="380"/>
    <s v="4.0 UN"/>
    <s v="STANDARD"/>
    <s v="N"/>
    <s v="N"/>
    <s v="Y"/>
    <s v="T20"/>
    <s v="N"/>
    <s v="N"/>
    <s v="N"/>
    <s v="N"/>
    <s v="B005"/>
    <d v="2017-01-02T00:00:00"/>
    <s v="10"/>
    <s v="TAN"/>
    <s v="OR"/>
    <d v="2016-12-28T00:00:00"/>
    <s v="MI"/>
    <s v="US"/>
    <s v="ZR"/>
    <d v="2016-12-28T00:00:00"/>
  </r>
  <r>
    <x v="1"/>
    <x v="2"/>
    <x v="3355"/>
    <x v="24"/>
    <s v="Standard order"/>
    <x v="3224"/>
    <x v="1173"/>
    <s v="6543"/>
    <s v="BTS 6543"/>
    <s v="5002440"/>
    <s v="6543 BTS T20 PB SYSTIVA P50"/>
    <n v="64"/>
    <n v="0"/>
    <n v="64"/>
    <x v="2"/>
    <s v="FXND"/>
    <s v="PRO 50"/>
    <s v="322"/>
    <s v="4.0 UN"/>
    <s v="STANDARD"/>
    <s v="N"/>
    <s v="N"/>
    <s v="N"/>
    <s v="T20"/>
    <s v="Y"/>
    <s v="N"/>
    <s v="Y"/>
    <s v="N"/>
    <s v="B022"/>
    <d v="2017-01-02T00:00:00"/>
    <s v="10"/>
    <s v="TAN"/>
    <s v="OR"/>
    <d v="2016-12-27T00:00:00"/>
    <s v="CO"/>
    <s v="US"/>
    <s v="ZR"/>
    <d v="2016-12-28T00:00:00"/>
  </r>
  <r>
    <x v="1"/>
    <x v="0"/>
    <x v="3356"/>
    <x v="49"/>
    <s v="Standard order"/>
    <x v="3225"/>
    <x v="2642"/>
    <s v="149N"/>
    <s v="BTS 149N"/>
    <s v="5002368"/>
    <s v="149N BTS T20 Kabina RP"/>
    <n v="16"/>
    <n v="0"/>
    <n v="16"/>
    <x v="0"/>
    <s v="EEND"/>
    <s v="RP"/>
    <s v="380"/>
    <s v="4.0 UN"/>
    <s v="STANDARD"/>
    <s v="N"/>
    <s v="N"/>
    <s v="Y"/>
    <s v="T20"/>
    <s v="N"/>
    <s v="N"/>
    <s v="N"/>
    <s v="N"/>
    <s v="B004"/>
    <d v="2017-01-02T00:00:00"/>
    <s v="10"/>
    <s v="TAN"/>
    <s v="OR"/>
    <d v="2016-12-28T00:00:00"/>
    <s v="MI"/>
    <s v="US"/>
    <s v="ZR"/>
    <d v="2016-12-28T00:00:00"/>
  </r>
  <r>
    <x v="1"/>
    <x v="0"/>
    <x v="3357"/>
    <x v="42"/>
    <s v="Standard order"/>
    <x v="3226"/>
    <x v="923"/>
    <s v="1399"/>
    <s v="BTS 1399"/>
    <s v="5002348"/>
    <s v="1399 BTS T20 Kabina RP"/>
    <n v="12"/>
    <n v="0"/>
    <n v="12"/>
    <x v="0"/>
    <s v="EG74"/>
    <s v="RP"/>
    <s v="380"/>
    <s v="4.0 UN"/>
    <s v="STANDARD"/>
    <s v="N"/>
    <s v="N"/>
    <s v="Y"/>
    <s v="T20"/>
    <s v="N"/>
    <s v="N"/>
    <s v="N"/>
    <s v="N"/>
    <s v="B007"/>
    <d v="2017-01-02T00:00:00"/>
    <s v="10"/>
    <s v="TAN"/>
    <s v="OR"/>
    <d v="2016-12-28T00:00:00"/>
    <s v="MI"/>
    <s v="US"/>
    <s v="ZR"/>
    <d v="2016-12-28T00:00:00"/>
  </r>
  <r>
    <x v="1"/>
    <x v="2"/>
    <x v="3358"/>
    <x v="25"/>
    <s v="Standard order"/>
    <x v="3227"/>
    <x v="2643"/>
    <s v="6027"/>
    <s v="BTS 60RR27"/>
    <s v="5002645"/>
    <s v="6027 BTS T20 PB SYSTIVA P100 WSS"/>
    <n v="48"/>
    <n v="0"/>
    <n v="48"/>
    <x v="2"/>
    <s v="APMC"/>
    <s v="PRO 100"/>
    <s v="322"/>
    <s v="4.0 UN"/>
    <s v="STANDARD"/>
    <s v="N"/>
    <s v="N"/>
    <s v="N"/>
    <s v="T20"/>
    <s v="Y"/>
    <s v="N"/>
    <s v="Y"/>
    <s v="N"/>
    <s v="B021"/>
    <d v="2017-01-02T00:00:00"/>
    <s v="10"/>
    <s v="TAN"/>
    <s v="OR"/>
    <d v="2016-12-28T00:00:00"/>
    <s v="CO"/>
    <s v="US"/>
    <s v="ZR"/>
    <d v="2016-12-28T00:00:00"/>
  </r>
  <r>
    <x v="1"/>
    <x v="5"/>
    <x v="3359"/>
    <x v="14"/>
    <s v="Standard order"/>
    <x v="3228"/>
    <x v="2644"/>
    <s v="4933"/>
    <s v="BTS 49RR33"/>
    <s v="5002295"/>
    <s v="4933 BTS T20 PB SYSTIVA MP WSN"/>
    <n v="32"/>
    <n v="0"/>
    <n v="32"/>
    <x v="5"/>
    <s v="AKMC"/>
    <s v="MP"/>
    <s v="322"/>
    <s v="4.0 UN"/>
    <s v="STANDARD"/>
    <s v="N"/>
    <s v="Y"/>
    <s v="N"/>
    <s v="T20"/>
    <s v="Y"/>
    <s v="N"/>
    <s v="N"/>
    <s v="N"/>
    <s v="B017"/>
    <d v="2017-01-02T00:00:00"/>
    <s v="10"/>
    <s v="TAN"/>
    <s v="OR"/>
    <d v="2016-12-28T00:00:00"/>
    <s v="WY"/>
    <s v="US"/>
    <s v="ZR"/>
    <d v="2016-12-28T00:00:00"/>
  </r>
  <r>
    <x v="1"/>
    <x v="5"/>
    <x v="3359"/>
    <x v="14"/>
    <s v="Standard order"/>
    <x v="3228"/>
    <x v="2644"/>
    <s v="398N"/>
    <s v="BTS 39RR8N"/>
    <s v="5002568"/>
    <s v="398N BTS T20 PB SYSTIVA MP"/>
    <n v="32"/>
    <n v="0"/>
    <n v="32"/>
    <x v="5"/>
    <s v="2771"/>
    <s v="MP"/>
    <s v="322"/>
    <s v="4.0 UN"/>
    <s v="STANDARD"/>
    <s v="N"/>
    <s v="Y"/>
    <s v="N"/>
    <s v="T20"/>
    <s v="Y"/>
    <s v="N"/>
    <s v="N"/>
    <s v="N"/>
    <s v="B017"/>
    <d v="2017-01-02T00:00:00"/>
    <s v="20"/>
    <s v="TAN"/>
    <s v="OR"/>
    <d v="2016-12-28T00:00:00"/>
    <s v="WY"/>
    <s v="US"/>
    <s v="ZR"/>
    <d v="2016-12-28T00:00:00"/>
  </r>
  <r>
    <x v="1"/>
    <x v="2"/>
    <x v="3360"/>
    <x v="6"/>
    <s v="Standard order"/>
    <x v="3229"/>
    <x v="2645"/>
    <s v="64SN"/>
    <s v="BTS 64SN"/>
    <s v="5002420"/>
    <s v="64SN BTS T20 PB SYSTIVA P100"/>
    <n v="44"/>
    <n v="0"/>
    <n v="44"/>
    <x v="2"/>
    <s v="DVNB"/>
    <s v="PRO 100"/>
    <s v="322"/>
    <s v="4.0 UN"/>
    <s v="STANDARD"/>
    <s v="N"/>
    <s v="N"/>
    <s v="N"/>
    <s v="T20"/>
    <s v="Y"/>
    <s v="N"/>
    <s v="Y"/>
    <s v="N"/>
    <s v="B025"/>
    <d v="2017-01-03T00:00:00"/>
    <s v="10"/>
    <s v="TAN"/>
    <s v="OR"/>
    <d v="2016-12-29T00:00:00"/>
    <s v="WY"/>
    <s v="US"/>
    <s v="ZR"/>
    <d v="2016-12-29T00:00:00"/>
  </r>
  <r>
    <x v="1"/>
    <x v="7"/>
    <x v="3361"/>
    <x v="37"/>
    <s v="Standard order"/>
    <x v="3230"/>
    <x v="2646"/>
    <s v="8052"/>
    <s v="BTS 80RR52"/>
    <s v="5002735"/>
    <s v="8052 BTS T35 PB SYSTIVA RP"/>
    <n v="28"/>
    <n v="0"/>
    <n v="28"/>
    <x v="7"/>
    <s v="AP82"/>
    <s v="RP"/>
    <s v="333"/>
    <s v="4.0 UN"/>
    <s v="STANDARD"/>
    <s v="N"/>
    <s v="Y"/>
    <s v="N"/>
    <s v="T35"/>
    <s v="Y"/>
    <s v="N"/>
    <s v="Y"/>
    <s v="N"/>
    <s v="B033"/>
    <d v="2017-01-03T00:00:00"/>
    <s v="10"/>
    <s v="TAN"/>
    <s v="OR"/>
    <d v="2016-12-29T00:00:00"/>
    <s v="IL"/>
    <s v="US"/>
    <s v="ZR"/>
    <d v="2016-12-29T00:00:00"/>
  </r>
  <r>
    <x v="1"/>
    <x v="7"/>
    <x v="3361"/>
    <x v="37"/>
    <s v="Standard order"/>
    <x v="3230"/>
    <x v="2646"/>
    <s v="8500"/>
    <s v="BTS 8500"/>
    <s v="5002856"/>
    <s v="8500 BTS T35 PB SYSTIVA RP"/>
    <n v="28"/>
    <n v="0"/>
    <n v="28"/>
    <x v="7"/>
    <s v="FTND"/>
    <s v="RP"/>
    <s v="333"/>
    <s v="4.0 UN"/>
    <s v="STANDARD"/>
    <s v="N"/>
    <s v="Y"/>
    <s v="N"/>
    <s v="T35"/>
    <s v="Y"/>
    <s v="N"/>
    <s v="Y"/>
    <s v="N"/>
    <s v="B033"/>
    <d v="2017-01-03T00:00:00"/>
    <s v="20"/>
    <s v="TAN"/>
    <s v="OR"/>
    <d v="2016-12-29T00:00:00"/>
    <s v="IL"/>
    <s v="US"/>
    <s v="ZR"/>
    <d v="2016-12-29T00:00:00"/>
  </r>
  <r>
    <x v="1"/>
    <x v="0"/>
    <x v="3362"/>
    <x v="43"/>
    <s v="Standard order"/>
    <x v="3231"/>
    <x v="2647"/>
    <s v="1399"/>
    <s v="BTS 1399"/>
    <s v="5002348"/>
    <s v="1399 BTS T20 Kabina RP"/>
    <n v="36"/>
    <n v="0"/>
    <n v="36"/>
    <x v="0"/>
    <s v="EG74"/>
    <s v="RP"/>
    <s v="380"/>
    <s v="4.0 UN"/>
    <s v="STANDARD"/>
    <s v="N"/>
    <s v="N"/>
    <s v="Y"/>
    <s v="T20"/>
    <s v="N"/>
    <s v="N"/>
    <s v="N"/>
    <s v="N"/>
    <s v="B006"/>
    <d v="2017-01-03T00:00:00"/>
    <s v="10"/>
    <s v="TAN"/>
    <s v="OR"/>
    <d v="2016-12-29T00:00:00"/>
    <s v="MI"/>
    <s v="US"/>
    <s v="ZR"/>
    <d v="2016-12-29T00:00:00"/>
  </r>
  <r>
    <x v="1"/>
    <x v="2"/>
    <x v="3363"/>
    <x v="6"/>
    <s v="Standard order"/>
    <x v="3179"/>
    <x v="2615"/>
    <s v="64SN"/>
    <s v="BTS 64SN"/>
    <s v="5002420"/>
    <s v="64SN BTS T20 PB SYSTIVA P100"/>
    <n v="32"/>
    <n v="0"/>
    <n v="32"/>
    <x v="2"/>
    <s v="DVNB"/>
    <s v="PRO 100"/>
    <s v="322"/>
    <s v="4.0 UN"/>
    <s v="STANDARD"/>
    <s v="N"/>
    <s v="N"/>
    <s v="N"/>
    <s v="T20"/>
    <s v="Y"/>
    <s v="N"/>
    <s v="Y"/>
    <s v="N"/>
    <s v="B025"/>
    <d v="2017-01-03T00:00:00"/>
    <s v="20"/>
    <s v="TAN"/>
    <s v="OR"/>
    <d v="2016-12-29T00:00:00"/>
    <s v="NE"/>
    <s v="US"/>
    <s v="ZR"/>
    <d v="2016-12-29T00:00:00"/>
  </r>
  <r>
    <x v="1"/>
    <x v="2"/>
    <x v="3364"/>
    <x v="6"/>
    <s v="Standard order"/>
    <x v="3198"/>
    <x v="1140"/>
    <s v="628N"/>
    <s v="BTS 62RR8N"/>
    <s v="5002683"/>
    <s v="628N BTS T20 PB SYSTIVA P100"/>
    <n v="36"/>
    <n v="0"/>
    <n v="36"/>
    <x v="2"/>
    <s v="BL73"/>
    <s v="PRO 100"/>
    <s v="322"/>
    <s v="4.0 UN"/>
    <s v="STANDARD"/>
    <s v="N"/>
    <s v="N"/>
    <s v="N"/>
    <s v="T20"/>
    <s v="Y"/>
    <s v="N"/>
    <s v="Y"/>
    <s v="N"/>
    <s v="B025"/>
    <d v="2017-01-03T00:00:00"/>
    <s v="10"/>
    <s v="TAN"/>
    <s v="OR"/>
    <d v="2016-12-29T00:00:00"/>
    <s v="WY"/>
    <s v="US"/>
    <s v="ZR"/>
    <d v="2016-12-29T00:00:00"/>
  </r>
  <r>
    <x v="1"/>
    <x v="2"/>
    <x v="3365"/>
    <x v="24"/>
    <s v="Standard order"/>
    <x v="3232"/>
    <x v="1217"/>
    <s v="6027"/>
    <s v="BTS 60RR27"/>
    <s v="5002645"/>
    <s v="6027 BTS T20 PB SYSTIVA P100 WSS"/>
    <n v="72"/>
    <n v="0"/>
    <n v="72"/>
    <x v="2"/>
    <s v="APMC"/>
    <s v="PRO 100"/>
    <s v="322"/>
    <s v="4.0 UN"/>
    <s v="STANDARD"/>
    <s v="N"/>
    <s v="N"/>
    <s v="N"/>
    <s v="T20"/>
    <s v="Y"/>
    <s v="N"/>
    <s v="Y"/>
    <s v="N"/>
    <s v="B022"/>
    <d v="2017-01-03T00:00:00"/>
    <s v="10"/>
    <s v="TAN"/>
    <s v="OR"/>
    <d v="2016-12-29T00:00:00"/>
    <s v="CO"/>
    <s v="US"/>
    <s v="ZR"/>
    <d v="2016-12-29T00:00:00"/>
  </r>
  <r>
    <x v="1"/>
    <x v="2"/>
    <x v="3365"/>
    <x v="24"/>
    <s v="Standard order"/>
    <x v="3232"/>
    <x v="1217"/>
    <s v="64SN"/>
    <s v="BTS 64SN"/>
    <s v="5002420"/>
    <s v="64SN BTS T20 PB SYSTIVA P100"/>
    <n v="60"/>
    <n v="0"/>
    <n v="60"/>
    <x v="2"/>
    <s v="DVNB"/>
    <s v="PRO 100"/>
    <s v="322"/>
    <s v="4.0 UN"/>
    <s v="STANDARD"/>
    <s v="N"/>
    <s v="N"/>
    <s v="N"/>
    <s v="T20"/>
    <s v="Y"/>
    <s v="N"/>
    <s v="Y"/>
    <s v="N"/>
    <s v="B022"/>
    <d v="2017-01-03T00:00:00"/>
    <s v="20"/>
    <s v="TAN"/>
    <s v="OR"/>
    <d v="2016-12-29T00:00:00"/>
    <s v="CO"/>
    <s v="US"/>
    <s v="ZR"/>
    <d v="2016-12-29T00:00:00"/>
  </r>
  <r>
    <x v="1"/>
    <x v="0"/>
    <x v="3366"/>
    <x v="30"/>
    <s v="Standard order"/>
    <x v="3233"/>
    <x v="2648"/>
    <s v="122N"/>
    <s v="BTS 12RR2N"/>
    <s v="5002310"/>
    <s v="122N BTS T20 Kabina P200"/>
    <n v="4"/>
    <n v="0"/>
    <n v="4"/>
    <x v="0"/>
    <s v="4TBG"/>
    <s v="PRO 200"/>
    <s v="380"/>
    <s v="4.0 UN"/>
    <s v="STANDARD"/>
    <s v="N"/>
    <s v="N"/>
    <s v="Y"/>
    <s v="T20"/>
    <s v="N"/>
    <s v="N"/>
    <s v="N"/>
    <s v="N"/>
    <s v="B001"/>
    <d v="2017-01-03T00:00:00"/>
    <s v="30"/>
    <s v="TAN"/>
    <s v="OR"/>
    <d v="2016-12-29T00:00:00"/>
    <s v="MI"/>
    <s v="US"/>
    <s v="ZR"/>
    <d v="2016-12-29T00:00:00"/>
  </r>
  <r>
    <x v="1"/>
    <x v="0"/>
    <x v="3367"/>
    <x v="45"/>
    <s v="Standard order"/>
    <x v="3234"/>
    <x v="2649"/>
    <s v="133N"/>
    <s v="BTS 133N"/>
    <s v="5002321"/>
    <s v="133N BTS T20 PB Kabina RP"/>
    <n v="36"/>
    <n v="0"/>
    <n v="36"/>
    <x v="0"/>
    <s v="DW73"/>
    <s v="RP"/>
    <s v="382"/>
    <s v="4.0 UN"/>
    <s v="STANDARD"/>
    <s v="N"/>
    <s v="Y"/>
    <s v="Y"/>
    <s v="T20"/>
    <s v="N"/>
    <s v="N"/>
    <s v="N"/>
    <s v="N"/>
    <s v="B003"/>
    <d v="2017-01-03T00:00:00"/>
    <s v="10"/>
    <s v="TAN"/>
    <s v="OR"/>
    <d v="2016-12-29T00:00:00"/>
    <s v="MI"/>
    <s v="US"/>
    <s v="ZR"/>
    <d v="2016-12-29T00:00:00"/>
  </r>
  <r>
    <x v="1"/>
    <x v="0"/>
    <x v="3368"/>
    <x v="56"/>
    <s v="Standard order"/>
    <x v="3235"/>
    <x v="2650"/>
    <s v="1399"/>
    <s v="BTS 1399"/>
    <s v="5002355"/>
    <s v="1399 BTS Vibrance RP"/>
    <n v="12"/>
    <n v="0"/>
    <n v="12"/>
    <x v="0"/>
    <s v="EG74"/>
    <s v="RP"/>
    <s v="365"/>
    <s v="4.0 UN"/>
    <s v="STANDARD"/>
    <s v="N"/>
    <s v="N"/>
    <s v="N"/>
    <s v="N"/>
    <s v="N"/>
    <s v="N"/>
    <s v="N"/>
    <s v="Y"/>
    <s v="B010"/>
    <d v="2017-01-03T00:00:00"/>
    <s v="10"/>
    <s v="TAN"/>
    <s v="OR"/>
    <d v="2016-12-29T00:00:00"/>
    <s v="ON"/>
    <s v="CA"/>
    <s v="ZR"/>
    <d v="2016-12-29T00:00:00"/>
  </r>
  <r>
    <x v="1"/>
    <x v="0"/>
    <x v="3369"/>
    <x v="30"/>
    <s v="Standard order"/>
    <x v="3236"/>
    <x v="2651"/>
    <s v="1399"/>
    <s v="BTS 1399"/>
    <s v="5002346"/>
    <s v="1399 BTS T20 Kabina MP"/>
    <n v="32"/>
    <n v="0"/>
    <n v="32"/>
    <x v="0"/>
    <s v="EG74"/>
    <s v="MP"/>
    <s v="380"/>
    <s v="4.0 UN"/>
    <s v="STANDARD"/>
    <s v="N"/>
    <s v="N"/>
    <s v="Y"/>
    <s v="T20"/>
    <s v="N"/>
    <s v="N"/>
    <s v="N"/>
    <s v="N"/>
    <s v="B001"/>
    <d v="2017-01-03T00:00:00"/>
    <s v="10"/>
    <s v="TAN"/>
    <s v="OR"/>
    <d v="2016-12-29T00:00:00"/>
    <s v="MI"/>
    <s v="US"/>
    <s v="ZR"/>
    <d v="2016-12-29T00:00:00"/>
  </r>
  <r>
    <x v="1"/>
    <x v="2"/>
    <x v="3370"/>
    <x v="22"/>
    <s v="Standard order"/>
    <x v="3237"/>
    <x v="1207"/>
    <s v="64SN"/>
    <s v="BTS 64SN"/>
    <s v="5002420"/>
    <s v="64SN BTS T20 PB SYSTIVA P100"/>
    <n v="12"/>
    <n v="0"/>
    <n v="12"/>
    <x v="2"/>
    <s v="DVNB"/>
    <s v="PRO 100"/>
    <s v="322"/>
    <s v="4.0 UN"/>
    <s v="STANDARD"/>
    <s v="N"/>
    <s v="N"/>
    <s v="N"/>
    <s v="T20"/>
    <s v="Y"/>
    <s v="N"/>
    <s v="Y"/>
    <s v="N"/>
    <s v="B018"/>
    <d v="2017-01-03T00:00:00"/>
    <s v="10"/>
    <s v="TAN"/>
    <s v="OR"/>
    <d v="2016-12-29T00:00:00"/>
    <s v="CO"/>
    <s v="US"/>
    <s v="ZR"/>
    <d v="2016-12-29T00:00:00"/>
  </r>
  <r>
    <x v="1"/>
    <x v="2"/>
    <x v="3371"/>
    <x v="5"/>
    <s v="Standard order"/>
    <x v="3238"/>
    <x v="1208"/>
    <s v="630N"/>
    <s v="BTS 630N"/>
    <s v="5002404"/>
    <s v="630N BTS T20 PB SYSTIVA P50"/>
    <n v="32"/>
    <n v="0"/>
    <n v="32"/>
    <x v="2"/>
    <s v="DW73"/>
    <s v="PRO 50"/>
    <s v="322"/>
    <s v="4.0 UN"/>
    <s v="STANDARD"/>
    <s v="N"/>
    <s v="N"/>
    <s v="N"/>
    <s v="T20"/>
    <s v="Y"/>
    <s v="N"/>
    <s v="Y"/>
    <s v="N"/>
    <s v="B020"/>
    <d v="2017-01-03T00:00:00"/>
    <s v="10"/>
    <s v="TAN"/>
    <s v="OR"/>
    <d v="2016-12-29T00:00:00"/>
    <s v="CO"/>
    <s v="US"/>
    <s v="ZR"/>
    <d v="2016-12-29T00:00:00"/>
  </r>
  <r>
    <x v="1"/>
    <x v="2"/>
    <x v="3371"/>
    <x v="5"/>
    <s v="Standard order"/>
    <x v="3238"/>
    <x v="1208"/>
    <s v="64SN"/>
    <s v="BTS 64SN"/>
    <s v="5002422"/>
    <s v="64SN BTS T20 PB SYSTIVA P50"/>
    <n v="36"/>
    <n v="0"/>
    <n v="36"/>
    <x v="2"/>
    <s v="DVNB"/>
    <s v="PRO 50"/>
    <s v="322"/>
    <s v="4.0 UN"/>
    <s v="STANDARD"/>
    <s v="N"/>
    <s v="N"/>
    <s v="N"/>
    <s v="T20"/>
    <s v="Y"/>
    <s v="N"/>
    <s v="Y"/>
    <s v="N"/>
    <s v="B020"/>
    <d v="2017-01-03T00:00:00"/>
    <s v="20"/>
    <s v="TAN"/>
    <s v="OR"/>
    <d v="2016-12-29T00:00:00"/>
    <s v="CO"/>
    <s v="US"/>
    <s v="ZR"/>
    <d v="2016-12-29T00:00:00"/>
  </r>
  <r>
    <x v="1"/>
    <x v="2"/>
    <x v="3372"/>
    <x v="6"/>
    <s v="Standard order"/>
    <x v="3239"/>
    <x v="1211"/>
    <s v="6027"/>
    <s v="BTS 60RR27"/>
    <s v="5002645"/>
    <s v="6027 BTS T20 PB SYSTIVA P100 WSS"/>
    <n v="96"/>
    <n v="0"/>
    <n v="96"/>
    <x v="2"/>
    <s v="APMC"/>
    <s v="PRO 100"/>
    <s v="322"/>
    <s v="4.0 UN"/>
    <s v="STANDARD"/>
    <s v="N"/>
    <s v="N"/>
    <s v="N"/>
    <s v="T20"/>
    <s v="Y"/>
    <s v="N"/>
    <s v="Y"/>
    <s v="N"/>
    <s v="B025"/>
    <d v="2017-01-03T00:00:00"/>
    <s v="10"/>
    <s v="TAN"/>
    <s v="OR"/>
    <d v="2016-12-29T00:00:00"/>
    <s v="NE"/>
    <s v="US"/>
    <s v="ZR"/>
    <d v="2016-12-29T00:00:00"/>
  </r>
  <r>
    <x v="1"/>
    <x v="0"/>
    <x v="3373"/>
    <x v="56"/>
    <s v="Standard order"/>
    <x v="3240"/>
    <x v="2652"/>
    <s v="1399"/>
    <s v="BTS 1399"/>
    <s v="5002338"/>
    <s v="1399 BTS CM Vibrance RP"/>
    <n v="24"/>
    <n v="0"/>
    <n v="24"/>
    <x v="0"/>
    <s v="EG74"/>
    <s v="RP"/>
    <s v="366"/>
    <s v="4.0 UN"/>
    <s v="STANDARD"/>
    <s v="Y"/>
    <s v="N"/>
    <s v="N"/>
    <s v="N"/>
    <s v="N"/>
    <s v="N"/>
    <s v="N"/>
    <s v="Y"/>
    <s v="B010"/>
    <d v="2017-01-03T00:00:00"/>
    <s v="10"/>
    <s v="TAN"/>
    <s v="OR"/>
    <d v="2016-12-29T00:00:00"/>
    <s v="ON"/>
    <s v="CA"/>
    <s v="ZR"/>
    <d v="2016-12-29T00:00:00"/>
  </r>
  <r>
    <x v="1"/>
    <x v="0"/>
    <x v="3373"/>
    <x v="56"/>
    <s v="Standard order"/>
    <x v="3240"/>
    <x v="2652"/>
    <s v="122N"/>
    <s v="BTS 12RR2N"/>
    <s v="5002301"/>
    <s v="122N BTS CM Vibrance RP"/>
    <n v="12"/>
    <n v="0"/>
    <n v="12"/>
    <x v="0"/>
    <s v="4TBG"/>
    <s v="RP"/>
    <s v="366"/>
    <s v="4.0 UN"/>
    <s v="STANDARD"/>
    <s v="Y"/>
    <s v="N"/>
    <s v="N"/>
    <s v="N"/>
    <s v="N"/>
    <s v="N"/>
    <s v="N"/>
    <s v="Y"/>
    <s v="B010"/>
    <d v="2017-01-03T00:00:00"/>
    <s v="20"/>
    <s v="TAN"/>
    <s v="OR"/>
    <d v="2016-12-29T00:00:00"/>
    <s v="ON"/>
    <s v="CA"/>
    <s v="ZR"/>
    <d v="2016-12-29T00:00:00"/>
  </r>
  <r>
    <x v="1"/>
    <x v="0"/>
    <x v="3374"/>
    <x v="55"/>
    <s v="Standard order"/>
    <x v="3241"/>
    <x v="523"/>
    <s v="122N"/>
    <s v="BTS 12RR2N"/>
    <s v="5002311"/>
    <s v="122N BTS T20 Kabina RP"/>
    <n v="8"/>
    <n v="0"/>
    <n v="8"/>
    <x v="0"/>
    <s v="4TBG"/>
    <s v="RP"/>
    <s v="380"/>
    <s v="4.0 UN"/>
    <s v="STANDARD"/>
    <s v="N"/>
    <s v="N"/>
    <s v="Y"/>
    <s v="T20"/>
    <s v="N"/>
    <s v="N"/>
    <s v="N"/>
    <s v="N"/>
    <s v="B009"/>
    <d v="2017-01-03T00:00:00"/>
    <s v="10"/>
    <s v="TAN"/>
    <s v="OR"/>
    <d v="2016-12-29T00:00:00"/>
    <s v="MI"/>
    <s v="US"/>
    <s v="ZR"/>
    <d v="2016-12-29T00:00:00"/>
  </r>
  <r>
    <x v="1"/>
    <x v="0"/>
    <x v="3375"/>
    <x v="56"/>
    <s v="Standard order"/>
    <x v="3242"/>
    <x v="2653"/>
    <s v="1399"/>
    <s v="BTS 1399"/>
    <s v="5002338"/>
    <s v="1399 BTS CM Vibrance RP"/>
    <n v="24"/>
    <n v="0"/>
    <n v="24"/>
    <x v="0"/>
    <s v="EG74"/>
    <s v="RP"/>
    <s v="366"/>
    <s v="4.0 UN"/>
    <s v="STANDARD"/>
    <s v="Y"/>
    <s v="N"/>
    <s v="N"/>
    <s v="N"/>
    <s v="N"/>
    <s v="N"/>
    <s v="N"/>
    <s v="Y"/>
    <s v="B010"/>
    <d v="2017-01-03T00:00:00"/>
    <s v="10"/>
    <s v="TAN"/>
    <s v="OR"/>
    <d v="2016-12-29T00:00:00"/>
    <s v="ON"/>
    <s v="CA"/>
    <s v="ZR"/>
    <d v="2016-12-29T00:00:00"/>
  </r>
  <r>
    <x v="1"/>
    <x v="4"/>
    <x v="3376"/>
    <x v="52"/>
    <s v="Standard order"/>
    <x v="3243"/>
    <x v="2654"/>
    <s v="251N"/>
    <s v="BTS 251N"/>
    <s v="5002196"/>
    <s v="251N BTS PB XL"/>
    <n v="32"/>
    <n v="0"/>
    <n v="32"/>
    <x v="4"/>
    <s v="5HBR"/>
    <s v="X-LARGE"/>
    <s v="307"/>
    <s v="4.0 UN"/>
    <s v="STANDARD"/>
    <s v="N"/>
    <s v="Y"/>
    <s v="N"/>
    <s v="N"/>
    <s v="N"/>
    <s v="N"/>
    <s v="N"/>
    <s v="N"/>
    <s v="B048"/>
    <d v="2017-01-03T00:00:00"/>
    <s v="10"/>
    <s v="TAN"/>
    <s v="OR"/>
    <d v="2016-12-29T00:00:00"/>
    <s v="ID"/>
    <s v="US"/>
    <s v="ZR"/>
    <d v="2016-12-29T00:00:00"/>
  </r>
  <r>
    <x v="1"/>
    <x v="2"/>
    <x v="3377"/>
    <x v="27"/>
    <s v="Standard order"/>
    <x v="3244"/>
    <x v="1215"/>
    <s v="630N"/>
    <s v="BTS 630N"/>
    <s v="5002402"/>
    <s v="630N BTS T20 PB SYSTIVA P100"/>
    <n v="20"/>
    <n v="0"/>
    <n v="20"/>
    <x v="2"/>
    <s v="DW73"/>
    <s v="PRO 100"/>
    <s v="322"/>
    <s v="4.0 UN"/>
    <s v="STANDARD"/>
    <s v="N"/>
    <s v="N"/>
    <s v="N"/>
    <s v="T20"/>
    <s v="Y"/>
    <s v="N"/>
    <s v="Y"/>
    <s v="N"/>
    <s v="B019"/>
    <d v="2017-01-03T00:00:00"/>
    <s v="10"/>
    <s v="TAN"/>
    <s v="OR"/>
    <d v="2016-12-29T00:00:00"/>
    <s v="CO"/>
    <s v="US"/>
    <s v="ZR"/>
    <d v="2016-12-29T00:00:00"/>
  </r>
  <r>
    <x v="1"/>
    <x v="2"/>
    <x v="3377"/>
    <x v="27"/>
    <s v="Standard order"/>
    <x v="3244"/>
    <x v="1215"/>
    <s v="64SN"/>
    <s v="BTS 64SN"/>
    <s v="5002420"/>
    <s v="64SN BTS T20 PB SYSTIVA P100"/>
    <n v="152"/>
    <n v="0"/>
    <n v="152"/>
    <x v="2"/>
    <s v="DVNB"/>
    <s v="PRO 100"/>
    <s v="322"/>
    <s v="4.0 UN"/>
    <s v="STANDARD"/>
    <s v="N"/>
    <s v="N"/>
    <s v="N"/>
    <s v="T20"/>
    <s v="Y"/>
    <s v="N"/>
    <s v="Y"/>
    <s v="N"/>
    <s v="B019"/>
    <d v="2017-01-03T00:00:00"/>
    <s v="20"/>
    <s v="TAN"/>
    <s v="OR"/>
    <d v="2016-12-29T00:00:00"/>
    <s v="CO"/>
    <s v="US"/>
    <s v="ZR"/>
    <d v="2016-12-29T00:00:00"/>
  </r>
  <r>
    <x v="1"/>
    <x v="0"/>
    <x v="3378"/>
    <x v="30"/>
    <s v="Standard order"/>
    <x v="3245"/>
    <x v="2655"/>
    <s v="149N"/>
    <s v="BTS 149N"/>
    <s v="5002368"/>
    <s v="149N BTS T20 Kabina RP"/>
    <n v="36"/>
    <n v="0"/>
    <n v="36"/>
    <x v="0"/>
    <s v="EEND"/>
    <s v="RP"/>
    <s v="380"/>
    <s v="4.0 UN"/>
    <s v="STANDARD"/>
    <s v="N"/>
    <s v="N"/>
    <s v="Y"/>
    <s v="T20"/>
    <s v="N"/>
    <s v="N"/>
    <s v="N"/>
    <s v="N"/>
    <s v="B001"/>
    <d v="2017-01-03T00:00:00"/>
    <s v="10"/>
    <s v="TAN"/>
    <s v="OR"/>
    <d v="2016-12-29T00:00:00"/>
    <s v="MI"/>
    <s v="US"/>
    <s v="ZR"/>
    <d v="2016-12-29T00:00:00"/>
  </r>
  <r>
    <x v="1"/>
    <x v="0"/>
    <x v="3379"/>
    <x v="55"/>
    <s v="Standard order"/>
    <x v="3246"/>
    <x v="2656"/>
    <s v="122N"/>
    <s v="BTS 12RR2N"/>
    <s v="5002311"/>
    <s v="122N BTS T20 Kabina RP"/>
    <n v="16"/>
    <n v="0"/>
    <n v="16"/>
    <x v="0"/>
    <s v="4TBG"/>
    <s v="RP"/>
    <s v="380"/>
    <s v="4.0 UN"/>
    <s v="STANDARD"/>
    <s v="N"/>
    <s v="N"/>
    <s v="Y"/>
    <s v="T20"/>
    <s v="N"/>
    <s v="N"/>
    <s v="N"/>
    <s v="N"/>
    <s v="B009"/>
    <d v="2017-01-03T00:00:00"/>
    <s v="10"/>
    <s v="TAN"/>
    <s v="OR"/>
    <d v="2016-12-29T00:00:00"/>
    <s v="MI"/>
    <s v="US"/>
    <s v="ZR"/>
    <d v="2016-12-29T00:00:00"/>
  </r>
  <r>
    <x v="1"/>
    <x v="5"/>
    <x v="3380"/>
    <x v="21"/>
    <s v="Standard order"/>
    <x v="2976"/>
    <x v="2501"/>
    <s v="336N"/>
    <s v="BTS 336N"/>
    <s v="5002400"/>
    <s v="336N BTS T20 PB SYSTIVA RP"/>
    <n v="8"/>
    <n v="0"/>
    <n v="8"/>
    <x v="5"/>
    <s v="EEMG"/>
    <s v="RP"/>
    <s v="322"/>
    <s v="4.0 UN"/>
    <s v="STANDARD"/>
    <s v="N"/>
    <s v="N"/>
    <s v="N"/>
    <s v="T20"/>
    <s v="Y"/>
    <s v="N"/>
    <s v="N"/>
    <s v="N"/>
    <s v="B013"/>
    <d v="2017-01-03T00:00:00"/>
    <s v="10"/>
    <s v="TAN"/>
    <s v="OR"/>
    <d v="2016-12-29T00:00:00"/>
    <s v="MT"/>
    <s v="US"/>
    <s v="ZR"/>
    <d v="2016-12-29T00:00:00"/>
  </r>
  <r>
    <x v="1"/>
    <x v="5"/>
    <x v="3380"/>
    <x v="21"/>
    <s v="Standard order"/>
    <x v="2976"/>
    <x v="2501"/>
    <s v="353N"/>
    <s v="BTS 353N"/>
    <s v="5002524"/>
    <s v="353N BTS T20 PB SYSTIVA RP"/>
    <n v="8"/>
    <n v="0"/>
    <n v="8"/>
    <x v="5"/>
    <s v="EENZ"/>
    <s v="RP"/>
    <s v="322"/>
    <s v="4.0 UN"/>
    <s v="STANDARD"/>
    <s v="N"/>
    <s v="Y"/>
    <s v="N"/>
    <s v="T20"/>
    <s v="Y"/>
    <s v="N"/>
    <s v="N"/>
    <s v="N"/>
    <s v="B013"/>
    <d v="2017-01-03T00:00:00"/>
    <s v="20"/>
    <s v="TAN"/>
    <s v="OR"/>
    <d v="2016-12-29T00:00:00"/>
    <s v="MT"/>
    <s v="US"/>
    <s v="ZR"/>
    <d v="2016-12-29T00:00:00"/>
  </r>
  <r>
    <x v="1"/>
    <x v="2"/>
    <x v="3381"/>
    <x v="27"/>
    <s v="Standard order"/>
    <x v="3247"/>
    <x v="2657"/>
    <s v="64SN"/>
    <s v="BTS 64SN"/>
    <s v="5002420"/>
    <s v="64SN BTS T20 PB SYSTIVA P100"/>
    <n v="56"/>
    <n v="0"/>
    <n v="56"/>
    <x v="2"/>
    <s v="DVNB"/>
    <s v="PRO 100"/>
    <s v="322"/>
    <s v="4.0 UN"/>
    <s v="STANDARD"/>
    <s v="N"/>
    <s v="N"/>
    <s v="N"/>
    <s v="T20"/>
    <s v="Y"/>
    <s v="N"/>
    <s v="Y"/>
    <s v="N"/>
    <s v="B019"/>
    <d v="2017-01-03T00:00:00"/>
    <s v="10"/>
    <s v="TAN"/>
    <s v="OR"/>
    <d v="2016-12-29T00:00:00"/>
    <s v="CO"/>
    <s v="US"/>
    <s v="ZR"/>
    <d v="2016-12-29T00:00:00"/>
  </r>
  <r>
    <x v="1"/>
    <x v="2"/>
    <x v="3382"/>
    <x v="27"/>
    <s v="Standard order"/>
    <x v="3248"/>
    <x v="1212"/>
    <s v="6027"/>
    <s v="BTS 60RR27"/>
    <s v="5002645"/>
    <s v="6027 BTS T20 PB SYSTIVA P100 WSS"/>
    <n v="96"/>
    <n v="0"/>
    <n v="96"/>
    <x v="2"/>
    <s v="APMC"/>
    <s v="PRO 100"/>
    <s v="322"/>
    <s v="4.0 UN"/>
    <s v="STANDARD"/>
    <s v="N"/>
    <s v="N"/>
    <s v="N"/>
    <s v="T20"/>
    <s v="Y"/>
    <s v="N"/>
    <s v="Y"/>
    <s v="N"/>
    <s v="B019"/>
    <d v="2017-01-03T00:00:00"/>
    <s v="10"/>
    <s v="TAN"/>
    <s v="OR"/>
    <d v="2016-12-29T00:00:00"/>
    <s v="CO"/>
    <s v="US"/>
    <s v="ZR"/>
    <d v="2016-12-29T00:00:00"/>
  </r>
  <r>
    <x v="1"/>
    <x v="0"/>
    <x v="3383"/>
    <x v="57"/>
    <s v="Standard order"/>
    <x v="3249"/>
    <x v="2658"/>
    <s v="1399"/>
    <s v="BTS 1399"/>
    <s v="5002348"/>
    <s v="1399 BTS T20 Kabina RP"/>
    <n v="20"/>
    <n v="0"/>
    <n v="20"/>
    <x v="0"/>
    <s v="EG74"/>
    <s v="RP"/>
    <s v="380"/>
    <s v="4.0 UN"/>
    <s v="STANDARD"/>
    <s v="N"/>
    <s v="N"/>
    <s v="Y"/>
    <s v="T20"/>
    <s v="N"/>
    <s v="N"/>
    <s v="N"/>
    <s v="N"/>
    <s v="B008"/>
    <d v="2017-01-03T00:00:00"/>
    <s v="10"/>
    <s v="TAN"/>
    <s v="OR"/>
    <d v="2016-12-29T00:00:00"/>
    <s v="MI"/>
    <s v="US"/>
    <s v="ZR"/>
    <d v="2016-12-29T00:00:00"/>
  </r>
  <r>
    <x v="1"/>
    <x v="0"/>
    <x v="3384"/>
    <x v="30"/>
    <s v="Standard order"/>
    <x v="3250"/>
    <x v="2659"/>
    <s v="149N"/>
    <s v="BTS 149N"/>
    <s v="5002367"/>
    <s v="149N BTS T20 Kabina P200"/>
    <n v="44"/>
    <n v="0"/>
    <n v="44"/>
    <x v="0"/>
    <s v="EEND"/>
    <s v="PRO 200"/>
    <s v="380"/>
    <s v="4.0 UN"/>
    <s v="STANDARD"/>
    <s v="N"/>
    <s v="N"/>
    <s v="Y"/>
    <s v="T20"/>
    <s v="N"/>
    <s v="N"/>
    <s v="N"/>
    <s v="N"/>
    <s v="B001"/>
    <d v="2017-01-03T00:00:00"/>
    <s v="20"/>
    <s v="TAN"/>
    <s v="OR"/>
    <d v="2016-12-29T00:00:00"/>
    <s v="MI"/>
    <s v="US"/>
    <s v="ZR"/>
    <d v="2016-12-29T00:00:00"/>
  </r>
  <r>
    <x v="1"/>
    <x v="0"/>
    <x v="3384"/>
    <x v="30"/>
    <s v="Standard order"/>
    <x v="3250"/>
    <x v="2659"/>
    <s v="122N"/>
    <s v="BTS 12RR2N"/>
    <s v="5002310"/>
    <s v="122N BTS T20 Kabina P200"/>
    <n v="40"/>
    <n v="0"/>
    <n v="40"/>
    <x v="0"/>
    <s v="4TBG"/>
    <s v="PRO 200"/>
    <s v="380"/>
    <s v="4.0 UN"/>
    <s v="STANDARD"/>
    <s v="N"/>
    <s v="N"/>
    <s v="Y"/>
    <s v="T20"/>
    <s v="N"/>
    <s v="N"/>
    <s v="N"/>
    <s v="N"/>
    <s v="B001"/>
    <d v="2017-01-03T00:00:00"/>
    <s v="10"/>
    <s v="TAN"/>
    <s v="OR"/>
    <d v="2016-12-29T00:00:00"/>
    <s v="MI"/>
    <s v="US"/>
    <s v="ZR"/>
    <d v="2016-12-29T00:00:00"/>
  </r>
  <r>
    <x v="1"/>
    <x v="0"/>
    <x v="3385"/>
    <x v="56"/>
    <s v="Standard order"/>
    <x v="3251"/>
    <x v="2660"/>
    <s v="1399"/>
    <s v="BTS 1399"/>
    <s v="5002338"/>
    <s v="1399 BTS CM Vibrance RP"/>
    <n v="32"/>
    <n v="0"/>
    <n v="32"/>
    <x v="0"/>
    <s v="EG74"/>
    <s v="RP"/>
    <s v="366"/>
    <s v="4.0 UN"/>
    <s v="STANDARD"/>
    <s v="Y"/>
    <s v="N"/>
    <s v="N"/>
    <s v="N"/>
    <s v="N"/>
    <s v="N"/>
    <s v="N"/>
    <s v="Y"/>
    <s v="B010"/>
    <d v="2017-01-03T00:00:00"/>
    <s v="10"/>
    <s v="TAN"/>
    <s v="OR"/>
    <d v="2016-12-29T00:00:00"/>
    <s v="ON"/>
    <s v="CA"/>
    <s v="ZR"/>
    <d v="2016-12-29T00:00:00"/>
  </r>
  <r>
    <x v="1"/>
    <x v="0"/>
    <x v="3385"/>
    <x v="56"/>
    <s v="Standard order"/>
    <x v="3251"/>
    <x v="2660"/>
    <s v="122N"/>
    <s v="BTS 12RR2N"/>
    <s v="5002301"/>
    <s v="122N BTS CM Vibrance RP"/>
    <n v="12"/>
    <n v="0"/>
    <n v="12"/>
    <x v="0"/>
    <s v="4TBG"/>
    <s v="RP"/>
    <s v="366"/>
    <s v="4.0 UN"/>
    <s v="STANDARD"/>
    <s v="Y"/>
    <s v="N"/>
    <s v="N"/>
    <s v="N"/>
    <s v="N"/>
    <s v="N"/>
    <s v="N"/>
    <s v="Y"/>
    <s v="B010"/>
    <d v="2017-01-03T00:00:00"/>
    <s v="20"/>
    <s v="TAN"/>
    <s v="OR"/>
    <d v="2016-12-29T00:00:00"/>
    <s v="ON"/>
    <s v="CA"/>
    <s v="ZR"/>
    <d v="2016-12-29T00:00:00"/>
  </r>
  <r>
    <x v="1"/>
    <x v="2"/>
    <x v="3386"/>
    <x v="6"/>
    <s v="Standard order"/>
    <x v="3252"/>
    <x v="1216"/>
    <s v="628N"/>
    <s v="BTS 62RR8N"/>
    <s v="5002683"/>
    <s v="628N BTS T20 PB SYSTIVA P100"/>
    <n v="100"/>
    <n v="0"/>
    <n v="100"/>
    <x v="2"/>
    <s v="BL73"/>
    <s v="PRO 100"/>
    <s v="322"/>
    <s v="4.0 UN"/>
    <s v="STANDARD"/>
    <s v="N"/>
    <s v="N"/>
    <s v="N"/>
    <s v="T20"/>
    <s v="Y"/>
    <s v="N"/>
    <s v="Y"/>
    <s v="N"/>
    <s v="B025"/>
    <d v="2017-01-03T00:00:00"/>
    <s v="10"/>
    <s v="TAN"/>
    <s v="OR"/>
    <d v="2016-12-29T00:00:00"/>
    <s v="NE"/>
    <s v="US"/>
    <s v="ZR"/>
    <d v="2016-12-29T00:00:00"/>
  </r>
  <r>
    <x v="1"/>
    <x v="2"/>
    <x v="3386"/>
    <x v="6"/>
    <s v="Standard order"/>
    <x v="3252"/>
    <x v="1216"/>
    <s v="64SN"/>
    <s v="BTS 64SN"/>
    <s v="5002420"/>
    <s v="64SN BTS T20 PB SYSTIVA P100"/>
    <n v="100"/>
    <n v="0"/>
    <n v="100"/>
    <x v="2"/>
    <s v="DVNB"/>
    <s v="PRO 100"/>
    <s v="322"/>
    <s v="4.0 UN"/>
    <s v="STANDARD"/>
    <s v="N"/>
    <s v="N"/>
    <s v="N"/>
    <s v="T20"/>
    <s v="Y"/>
    <s v="N"/>
    <s v="Y"/>
    <s v="N"/>
    <s v="B025"/>
    <d v="2017-01-03T00:00:00"/>
    <s v="20"/>
    <s v="TAN"/>
    <s v="OR"/>
    <d v="2016-12-29T00:00:00"/>
    <s v="NE"/>
    <s v="US"/>
    <s v="ZR"/>
    <d v="2016-12-29T00:00:00"/>
  </r>
  <r>
    <x v="1"/>
    <x v="2"/>
    <x v="3387"/>
    <x v="27"/>
    <s v="Standard order"/>
    <x v="3253"/>
    <x v="1222"/>
    <s v="626N"/>
    <s v="BTS 62RR6N"/>
    <s v="5002665"/>
    <s v="626N BTS T20 PB SYSTIVA P100"/>
    <n v="116"/>
    <n v="0"/>
    <n v="116"/>
    <x v="2"/>
    <s v="DA73"/>
    <s v="PRO 100"/>
    <s v="322"/>
    <s v="4.0 UN"/>
    <s v="STANDARD"/>
    <s v="N"/>
    <s v="N"/>
    <s v="N"/>
    <s v="T20"/>
    <s v="Y"/>
    <s v="N"/>
    <s v="Y"/>
    <s v="N"/>
    <s v="B019"/>
    <d v="2017-01-04T00:00:00"/>
    <s v="10"/>
    <s v="TAN"/>
    <s v="OR"/>
    <d v="2016-12-29T00:00:00"/>
    <s v="CO"/>
    <s v="US"/>
    <s v="ZR"/>
    <d v="2016-12-30T00:00:00"/>
  </r>
  <r>
    <x v="1"/>
    <x v="2"/>
    <x v="3387"/>
    <x v="27"/>
    <s v="Standard order"/>
    <x v="3253"/>
    <x v="1222"/>
    <s v="630N"/>
    <s v="BTS 630N"/>
    <s v="5002402"/>
    <s v="630N BTS T20 PB SYSTIVA P100"/>
    <n v="136"/>
    <n v="0"/>
    <n v="136"/>
    <x v="2"/>
    <s v="DW73"/>
    <s v="PRO 100"/>
    <s v="322"/>
    <s v="4.0 UN"/>
    <s v="STANDARD"/>
    <s v="N"/>
    <s v="N"/>
    <s v="N"/>
    <s v="T20"/>
    <s v="Y"/>
    <s v="N"/>
    <s v="Y"/>
    <s v="N"/>
    <s v="B019"/>
    <d v="2017-01-04T00:00:00"/>
    <s v="20"/>
    <s v="TAN"/>
    <s v="OR"/>
    <d v="2016-12-29T00:00:00"/>
    <s v="CO"/>
    <s v="US"/>
    <s v="ZR"/>
    <d v="2016-12-30T00:00:00"/>
  </r>
  <r>
    <x v="1"/>
    <x v="2"/>
    <x v="3387"/>
    <x v="27"/>
    <s v="Standard order"/>
    <x v="3253"/>
    <x v="1222"/>
    <s v="64SN"/>
    <s v="BTS 64SN"/>
    <s v="5002420"/>
    <s v="64SN BTS T20 PB SYSTIVA P100"/>
    <n v="60"/>
    <n v="0"/>
    <n v="60"/>
    <x v="2"/>
    <s v="DVNB"/>
    <s v="PRO 100"/>
    <s v="322"/>
    <s v="4.0 UN"/>
    <s v="STANDARD"/>
    <s v="N"/>
    <s v="N"/>
    <s v="N"/>
    <s v="T20"/>
    <s v="Y"/>
    <s v="N"/>
    <s v="Y"/>
    <s v="N"/>
    <s v="B019"/>
    <d v="2017-01-04T00:00:00"/>
    <s v="30"/>
    <s v="TAN"/>
    <s v="OR"/>
    <d v="2016-12-29T00:00:00"/>
    <s v="CO"/>
    <s v="US"/>
    <s v="ZR"/>
    <d v="2016-12-30T00:00:00"/>
  </r>
  <r>
    <x v="1"/>
    <x v="0"/>
    <x v="3388"/>
    <x v="55"/>
    <s v="Standard order"/>
    <x v="3254"/>
    <x v="2661"/>
    <s v="122N"/>
    <s v="BTS 12RR2N"/>
    <s v="5002311"/>
    <s v="122N BTS T20 Kabina RP"/>
    <n v="132"/>
    <n v="0"/>
    <n v="132"/>
    <x v="0"/>
    <s v="4TBG"/>
    <s v="RP"/>
    <s v="380"/>
    <s v="4.0 UN"/>
    <s v="STANDARD"/>
    <s v="N"/>
    <s v="N"/>
    <s v="Y"/>
    <s v="T20"/>
    <s v="N"/>
    <s v="N"/>
    <s v="N"/>
    <s v="N"/>
    <s v="B009"/>
    <d v="2017-01-04T00:00:00"/>
    <s v="10"/>
    <s v="TAN"/>
    <s v="OR"/>
    <d v="2016-12-30T00:00:00"/>
    <s v="MI"/>
    <s v="US"/>
    <s v="ZR"/>
    <d v="2016-12-30T00:00:00"/>
  </r>
  <r>
    <x v="1"/>
    <x v="0"/>
    <x v="3388"/>
    <x v="55"/>
    <s v="Standard order"/>
    <x v="3254"/>
    <x v="2661"/>
    <s v="133N"/>
    <s v="BTS 133N"/>
    <s v="5002329"/>
    <s v="133N BTS T20 Kabina RP"/>
    <n v="72"/>
    <n v="0"/>
    <n v="72"/>
    <x v="0"/>
    <s v="DW73"/>
    <s v="RP"/>
    <s v="380"/>
    <s v="4.0 UN"/>
    <s v="STANDARD"/>
    <s v="N"/>
    <s v="N"/>
    <s v="Y"/>
    <s v="T20"/>
    <s v="N"/>
    <s v="N"/>
    <s v="N"/>
    <s v="N"/>
    <s v="B009"/>
    <d v="2017-01-04T00:00:00"/>
    <s v="20"/>
    <s v="TAN"/>
    <s v="OR"/>
    <d v="2016-12-30T00:00:00"/>
    <s v="MI"/>
    <s v="US"/>
    <s v="ZR"/>
    <d v="2016-12-30T00:00:00"/>
  </r>
  <r>
    <x v="1"/>
    <x v="0"/>
    <x v="3388"/>
    <x v="55"/>
    <s v="Standard order"/>
    <x v="3254"/>
    <x v="2661"/>
    <s v="149N"/>
    <s v="BTS 149N"/>
    <s v="5002368"/>
    <s v="149N BTS T20 Kabina RP"/>
    <n v="132"/>
    <n v="0"/>
    <n v="132"/>
    <x v="0"/>
    <s v="EEND"/>
    <s v="RP"/>
    <s v="380"/>
    <s v="4.0 UN"/>
    <s v="STANDARD"/>
    <s v="N"/>
    <s v="N"/>
    <s v="Y"/>
    <s v="T20"/>
    <s v="N"/>
    <s v="N"/>
    <s v="N"/>
    <s v="N"/>
    <s v="B009"/>
    <d v="2017-01-04T00:00:00"/>
    <s v="30"/>
    <s v="TAN"/>
    <s v="OR"/>
    <d v="2016-12-30T00:00:00"/>
    <s v="MI"/>
    <s v="US"/>
    <s v="ZR"/>
    <d v="2016-12-30T00:00:00"/>
  </r>
  <r>
    <x v="1"/>
    <x v="0"/>
    <x v="3388"/>
    <x v="55"/>
    <s v="Standard order"/>
    <x v="3254"/>
    <x v="2661"/>
    <s v="1399"/>
    <s v="BTS 1399"/>
    <s v="5002348"/>
    <s v="1399 BTS T20 Kabina RP"/>
    <n v="72"/>
    <n v="0"/>
    <n v="72"/>
    <x v="0"/>
    <s v="EG74"/>
    <s v="RP"/>
    <s v="380"/>
    <s v="4.0 UN"/>
    <s v="STANDARD"/>
    <s v="N"/>
    <s v="N"/>
    <s v="Y"/>
    <s v="T20"/>
    <s v="N"/>
    <s v="N"/>
    <s v="N"/>
    <s v="N"/>
    <s v="B009"/>
    <d v="2017-01-04T00:00:00"/>
    <s v="40"/>
    <s v="TAN"/>
    <s v="OR"/>
    <d v="2016-12-30T00:00:00"/>
    <s v="MI"/>
    <s v="US"/>
    <s v="ZR"/>
    <d v="2016-12-30T00:00:00"/>
  </r>
  <r>
    <x v="1"/>
    <x v="2"/>
    <x v="3389"/>
    <x v="24"/>
    <s v="Standard order"/>
    <x v="3255"/>
    <x v="2662"/>
    <s v="64SN"/>
    <s v="BTS 64SN"/>
    <s v="5002422"/>
    <s v="64SN BTS T20 PB SYSTIVA P50"/>
    <n v="32"/>
    <n v="0"/>
    <n v="32"/>
    <x v="2"/>
    <s v="DVNB"/>
    <s v="PRO 50"/>
    <s v="322"/>
    <s v="4.0 UN"/>
    <s v="STANDARD"/>
    <s v="N"/>
    <s v="N"/>
    <s v="N"/>
    <s v="T20"/>
    <s v="Y"/>
    <s v="N"/>
    <s v="Y"/>
    <s v="N"/>
    <s v="B022"/>
    <d v="2017-01-04T00:00:00"/>
    <s v="10"/>
    <s v="TAN"/>
    <s v="OR"/>
    <d v="2016-12-30T00:00:00"/>
    <s v="CO"/>
    <s v="US"/>
    <s v="ZR"/>
    <d v="2016-12-30T00:00:00"/>
  </r>
  <r>
    <x v="1"/>
    <x v="2"/>
    <x v="3390"/>
    <x v="27"/>
    <s v="Standard order"/>
    <x v="3256"/>
    <x v="2663"/>
    <s v="628N"/>
    <s v="BTS 62RR8N"/>
    <s v="5002683"/>
    <s v="628N BTS T20 PB SYSTIVA P100"/>
    <n v="32"/>
    <n v="0"/>
    <n v="32"/>
    <x v="2"/>
    <s v="BL73"/>
    <s v="PRO 100"/>
    <s v="322"/>
    <s v="4.0 UN"/>
    <s v="STANDARD"/>
    <s v="N"/>
    <s v="N"/>
    <s v="N"/>
    <s v="T20"/>
    <s v="Y"/>
    <s v="N"/>
    <s v="Y"/>
    <s v="N"/>
    <s v="B019"/>
    <d v="2017-01-04T00:00:00"/>
    <s v="20"/>
    <s v="TAN"/>
    <s v="OR"/>
    <d v="2016-12-29T00:00:00"/>
    <s v="CO"/>
    <s v="US"/>
    <s v="ZR"/>
    <d v="2016-12-30T00:00:00"/>
  </r>
  <r>
    <x v="1"/>
    <x v="2"/>
    <x v="3391"/>
    <x v="24"/>
    <s v="Standard order"/>
    <x v="3257"/>
    <x v="2664"/>
    <s v="64SN"/>
    <s v="BTS 64SN"/>
    <s v="5002422"/>
    <s v="64SN BTS T20 PB SYSTIVA P50"/>
    <n v="28"/>
    <n v="0"/>
    <n v="28"/>
    <x v="2"/>
    <s v="DVNB"/>
    <s v="PRO 50"/>
    <s v="322"/>
    <s v="4.0 UN"/>
    <s v="STANDARD"/>
    <s v="N"/>
    <s v="N"/>
    <s v="N"/>
    <s v="T20"/>
    <s v="Y"/>
    <s v="N"/>
    <s v="Y"/>
    <s v="N"/>
    <s v="B022"/>
    <d v="2017-01-04T00:00:00"/>
    <s v="10"/>
    <s v="TAN"/>
    <s v="OR"/>
    <d v="2016-12-30T00:00:00"/>
    <s v="CO"/>
    <s v="US"/>
    <s v="ZR"/>
    <d v="2016-12-30T00:00:00"/>
  </r>
  <r>
    <x v="1"/>
    <x v="6"/>
    <x v="3392"/>
    <x v="51"/>
    <s v="Standard order"/>
    <x v="3258"/>
    <x v="995"/>
    <s v="444N"/>
    <s v="BTS 444N"/>
    <s v="5002226"/>
    <s v="444N BTS T20 PB SYSTIVA P100"/>
    <n v="228"/>
    <n v="0"/>
    <n v="228"/>
    <x v="6"/>
    <s v="DVND"/>
    <s v="PRO 100"/>
    <s v="322"/>
    <s v="4.0 UN"/>
    <s v="STANDARD"/>
    <s v="N"/>
    <s v="N"/>
    <s v="N"/>
    <s v="T20"/>
    <s v="Y"/>
    <s v="N"/>
    <s v="Y"/>
    <s v="N"/>
    <s v="B011"/>
    <d v="2017-01-04T00:00:00"/>
    <s v="10"/>
    <s v="TAN"/>
    <s v="OR"/>
    <d v="2016-12-30T00:00:00"/>
    <s v="MT"/>
    <s v="US"/>
    <s v="ZR"/>
    <d v="2016-12-30T00:00:00"/>
  </r>
  <r>
    <x v="1"/>
    <x v="2"/>
    <x v="3393"/>
    <x v="5"/>
    <s v="Standard order"/>
    <x v="3259"/>
    <x v="2665"/>
    <s v="64SN"/>
    <s v="BTS 64SN"/>
    <s v="5002422"/>
    <s v="64SN BTS T20 PB SYSTIVA P50"/>
    <n v="52"/>
    <n v="0"/>
    <n v="52"/>
    <x v="2"/>
    <s v="DVNB"/>
    <s v="PRO 50"/>
    <s v="322"/>
    <s v="4.0 UN"/>
    <s v="STANDARD"/>
    <s v="N"/>
    <s v="N"/>
    <s v="N"/>
    <s v="T20"/>
    <s v="Y"/>
    <s v="N"/>
    <s v="Y"/>
    <s v="N"/>
    <s v="B020"/>
    <d v="2017-01-04T00:00:00"/>
    <s v="10"/>
    <s v="TAN"/>
    <s v="OR"/>
    <d v="2016-12-30T00:00:00"/>
    <s v="CO"/>
    <s v="US"/>
    <s v="ZR"/>
    <d v="2016-12-30T00:00:00"/>
  </r>
  <r>
    <x v="1"/>
    <x v="2"/>
    <x v="3393"/>
    <x v="5"/>
    <s v="Standard order"/>
    <x v="3259"/>
    <x v="2665"/>
    <s v="630N"/>
    <s v="BTS 630N"/>
    <s v="5002404"/>
    <s v="630N BTS T20 PB SYSTIVA P50"/>
    <n v="64"/>
    <n v="0"/>
    <n v="64"/>
    <x v="2"/>
    <s v="DW73"/>
    <s v="PRO 50"/>
    <s v="322"/>
    <s v="4.0 UN"/>
    <s v="STANDARD"/>
    <s v="N"/>
    <s v="N"/>
    <s v="N"/>
    <s v="T20"/>
    <s v="Y"/>
    <s v="N"/>
    <s v="Y"/>
    <s v="N"/>
    <s v="B020"/>
    <d v="2017-01-04T00:00:00"/>
    <s v="20"/>
    <s v="TAN"/>
    <s v="OR"/>
    <d v="2016-12-30T00:00:00"/>
    <s v="CO"/>
    <s v="US"/>
    <s v="ZR"/>
    <d v="2016-12-30T00:00:00"/>
  </r>
  <r>
    <x v="1"/>
    <x v="2"/>
    <x v="3394"/>
    <x v="26"/>
    <s v="Standard order"/>
    <x v="3260"/>
    <x v="1227"/>
    <s v="6543"/>
    <s v="BTS 6543"/>
    <s v="5002438"/>
    <s v="6543 BTS T20 PB SYSTIVA P100"/>
    <n v="12"/>
    <n v="0"/>
    <n v="12"/>
    <x v="2"/>
    <s v="FXND"/>
    <s v="PRO 100"/>
    <s v="322"/>
    <s v="4.0 UN"/>
    <s v="STANDARD"/>
    <s v="N"/>
    <s v="N"/>
    <s v="N"/>
    <s v="T20"/>
    <s v="Y"/>
    <s v="N"/>
    <s v="Y"/>
    <s v="N"/>
    <s v="B023"/>
    <d v="2017-01-04T00:00:00"/>
    <s v="10"/>
    <s v="TAN"/>
    <s v="OR"/>
    <d v="2016-12-30T00:00:00"/>
    <s v="CO"/>
    <s v="US"/>
    <s v="ZR"/>
    <d v="2016-12-30T00:00:00"/>
  </r>
  <r>
    <x v="1"/>
    <x v="0"/>
    <x v="3395"/>
    <x v="54"/>
    <s v="Standard order"/>
    <x v="3261"/>
    <x v="2666"/>
    <s v="149N"/>
    <s v="BTS 149N"/>
    <s v="5002368"/>
    <s v="149N BTS T20 Kabina RP"/>
    <n v="36"/>
    <n v="0"/>
    <n v="36"/>
    <x v="0"/>
    <s v="EEND"/>
    <s v="RP"/>
    <s v="380"/>
    <s v="4.0 UN"/>
    <s v="STANDARD"/>
    <s v="N"/>
    <s v="N"/>
    <s v="Y"/>
    <s v="T20"/>
    <s v="N"/>
    <s v="N"/>
    <s v="N"/>
    <s v="N"/>
    <s v="B002"/>
    <d v="2017-01-04T00:00:00"/>
    <s v="10"/>
    <s v="TAN"/>
    <s v="OR"/>
    <d v="2016-12-30T00:00:00"/>
    <s v="MI"/>
    <s v="US"/>
    <s v="ZR"/>
    <d v="2016-12-30T00:00:00"/>
  </r>
  <r>
    <x v="1"/>
    <x v="0"/>
    <x v="3395"/>
    <x v="54"/>
    <s v="Standard order"/>
    <x v="3261"/>
    <x v="2666"/>
    <s v="122N"/>
    <s v="BTS 12RR2N"/>
    <s v="5002311"/>
    <s v="122N BTS T20 Kabina RP"/>
    <n v="36"/>
    <n v="0"/>
    <n v="36"/>
    <x v="0"/>
    <s v="4TBG"/>
    <s v="RP"/>
    <s v="380"/>
    <s v="4.0 UN"/>
    <s v="STANDARD"/>
    <s v="N"/>
    <s v="N"/>
    <s v="Y"/>
    <s v="T20"/>
    <s v="N"/>
    <s v="N"/>
    <s v="N"/>
    <s v="N"/>
    <s v="B002"/>
    <d v="2017-01-04T00:00:00"/>
    <s v="20"/>
    <s v="TAN"/>
    <s v="OR"/>
    <d v="2016-12-30T00:00:00"/>
    <s v="MI"/>
    <s v="US"/>
    <s v="ZR"/>
    <d v="2016-12-30T00:00:00"/>
  </r>
  <r>
    <x v="1"/>
    <x v="2"/>
    <x v="3396"/>
    <x v="27"/>
    <s v="Standard order"/>
    <x v="3262"/>
    <x v="1228"/>
    <s v="64SN"/>
    <s v="BTS 64SN"/>
    <s v="5002420"/>
    <s v="64SN BTS T20 PB SYSTIVA P100"/>
    <n v="64"/>
    <n v="0"/>
    <n v="64"/>
    <x v="2"/>
    <s v="DVNB"/>
    <s v="PRO 100"/>
    <s v="322"/>
    <s v="4.0 UN"/>
    <s v="STANDARD"/>
    <s v="N"/>
    <s v="N"/>
    <s v="N"/>
    <s v="T20"/>
    <s v="Y"/>
    <s v="N"/>
    <s v="Y"/>
    <s v="N"/>
    <s v="B019"/>
    <d v="2017-01-04T00:00:00"/>
    <s v="10"/>
    <s v="TAN"/>
    <s v="OR"/>
    <d v="2016-12-30T00:00:00"/>
    <s v="NE"/>
    <s v="US"/>
    <s v="ZR"/>
    <d v="2016-12-30T00:00:00"/>
  </r>
  <r>
    <x v="1"/>
    <x v="2"/>
    <x v="3397"/>
    <x v="6"/>
    <s v="Standard order"/>
    <x v="3263"/>
    <x v="1229"/>
    <s v="64SN"/>
    <s v="BTS 64SN"/>
    <s v="5002420"/>
    <s v="64SN BTS T20 PB SYSTIVA P100"/>
    <n v="52"/>
    <n v="0"/>
    <n v="52"/>
    <x v="2"/>
    <s v="DVNB"/>
    <s v="PRO 100"/>
    <s v="322"/>
    <s v="4.0 UN"/>
    <s v="STANDARD"/>
    <s v="N"/>
    <s v="N"/>
    <s v="N"/>
    <s v="T20"/>
    <s v="Y"/>
    <s v="N"/>
    <s v="Y"/>
    <s v="N"/>
    <s v="B025"/>
    <d v="2017-01-04T00:00:00"/>
    <s v="10"/>
    <s v="TAN"/>
    <s v="OR"/>
    <d v="2016-12-30T00:00:00"/>
    <s v="NE"/>
    <s v="US"/>
    <s v="ZR"/>
    <d v="2016-12-30T00:00:00"/>
  </r>
  <r>
    <x v="1"/>
    <x v="2"/>
    <x v="3397"/>
    <x v="6"/>
    <s v="Standard order"/>
    <x v="3263"/>
    <x v="1229"/>
    <s v="628N"/>
    <s v="BTS 62RR8N"/>
    <s v="5002683"/>
    <s v="628N BTS T20 PB SYSTIVA P100"/>
    <n v="48"/>
    <n v="0"/>
    <n v="48"/>
    <x v="2"/>
    <s v="BL73"/>
    <s v="PRO 100"/>
    <s v="322"/>
    <s v="4.0 UN"/>
    <s v="STANDARD"/>
    <s v="N"/>
    <s v="N"/>
    <s v="N"/>
    <s v="T20"/>
    <s v="Y"/>
    <s v="N"/>
    <s v="Y"/>
    <s v="N"/>
    <s v="B025"/>
    <d v="2017-01-04T00:00:00"/>
    <s v="20"/>
    <s v="TAN"/>
    <s v="OR"/>
    <d v="2016-12-30T00:00:00"/>
    <s v="NE"/>
    <s v="US"/>
    <s v="ZR"/>
    <d v="2016-12-30T00:00:00"/>
  </r>
  <r>
    <x v="1"/>
    <x v="4"/>
    <x v="3398"/>
    <x v="52"/>
    <s v="Standard order"/>
    <x v="3264"/>
    <x v="2667"/>
    <s v="251N"/>
    <s v="BTS 251N"/>
    <s v="5002194"/>
    <s v="251N BTS PB LRG"/>
    <n v="8"/>
    <n v="0"/>
    <n v="8"/>
    <x v="4"/>
    <s v="5HBR"/>
    <s v="LARGE"/>
    <s v="307"/>
    <s v="4.0 UN"/>
    <s v="STANDARD"/>
    <s v="N"/>
    <s v="Y"/>
    <s v="N"/>
    <s v="N"/>
    <s v="N"/>
    <s v="N"/>
    <s v="N"/>
    <s v="N"/>
    <s v="B048"/>
    <d v="2017-01-04T00:00:00"/>
    <s v="10"/>
    <s v="TAN"/>
    <s v="OR"/>
    <d v="2016-12-29T00:00:00"/>
    <s v="ID"/>
    <s v="US"/>
    <s v="ZR"/>
    <d v="2016-12-30T00:00:00"/>
  </r>
  <r>
    <x v="1"/>
    <x v="2"/>
    <x v="3399"/>
    <x v="6"/>
    <s v="Standard order"/>
    <x v="3265"/>
    <x v="1224"/>
    <s v="6027"/>
    <s v="BTS 60RR27"/>
    <s v="5002645"/>
    <s v="6027 BTS T20 PB SYSTIVA P100 WSS"/>
    <n v="132"/>
    <n v="0"/>
    <n v="132"/>
    <x v="2"/>
    <s v="APMC"/>
    <s v="PRO 100"/>
    <s v="322"/>
    <s v="4.0 UN"/>
    <s v="STANDARD"/>
    <s v="N"/>
    <s v="N"/>
    <s v="N"/>
    <s v="T20"/>
    <s v="Y"/>
    <s v="N"/>
    <s v="Y"/>
    <s v="N"/>
    <s v="B025"/>
    <d v="2017-01-04T00:00:00"/>
    <s v="10"/>
    <s v="TAN"/>
    <s v="OR"/>
    <d v="2016-12-30T00:00:00"/>
    <s v="NE"/>
    <s v="US"/>
    <s v="ZR"/>
    <d v="2016-12-30T00:00:00"/>
  </r>
  <r>
    <x v="1"/>
    <x v="2"/>
    <x v="3399"/>
    <x v="6"/>
    <s v="Standard order"/>
    <x v="3265"/>
    <x v="1224"/>
    <s v="630N"/>
    <s v="BTS 630N"/>
    <s v="5002402"/>
    <s v="630N BTS T20 PB SYSTIVA P100"/>
    <n v="136"/>
    <n v="0"/>
    <n v="136"/>
    <x v="2"/>
    <s v="DW73"/>
    <s v="PRO 100"/>
    <s v="322"/>
    <s v="4.0 UN"/>
    <s v="STANDARD"/>
    <s v="N"/>
    <s v="N"/>
    <s v="N"/>
    <s v="T20"/>
    <s v="Y"/>
    <s v="N"/>
    <s v="Y"/>
    <s v="N"/>
    <s v="B025"/>
    <d v="2017-01-04T00:00:00"/>
    <s v="20"/>
    <s v="TAN"/>
    <s v="OR"/>
    <d v="2016-12-30T00:00:00"/>
    <s v="NE"/>
    <s v="US"/>
    <s v="ZR"/>
    <d v="2016-12-30T00:00:00"/>
  </r>
  <r>
    <x v="1"/>
    <x v="2"/>
    <x v="3399"/>
    <x v="6"/>
    <s v="Standard order"/>
    <x v="3265"/>
    <x v="1224"/>
    <s v="64SN"/>
    <s v="BTS 64SN"/>
    <s v="5002420"/>
    <s v="64SN BTS T20 PB SYSTIVA P100"/>
    <n v="56"/>
    <n v="0"/>
    <n v="56"/>
    <x v="2"/>
    <s v="DVNB"/>
    <s v="PRO 100"/>
    <s v="322"/>
    <s v="4.0 UN"/>
    <s v="STANDARD"/>
    <s v="N"/>
    <s v="N"/>
    <s v="N"/>
    <s v="T20"/>
    <s v="Y"/>
    <s v="N"/>
    <s v="Y"/>
    <s v="N"/>
    <s v="B025"/>
    <d v="2017-01-04T00:00:00"/>
    <s v="30"/>
    <s v="TAN"/>
    <s v="OR"/>
    <d v="2016-12-30T00:00:00"/>
    <s v="NE"/>
    <s v="US"/>
    <s v="ZR"/>
    <d v="2016-12-30T00:00:00"/>
  </r>
  <r>
    <x v="1"/>
    <x v="2"/>
    <x v="3400"/>
    <x v="6"/>
    <s v="Standard order"/>
    <x v="3266"/>
    <x v="1236"/>
    <s v="64SN"/>
    <s v="BTS 64SN"/>
    <s v="5002420"/>
    <s v="64SN BTS T20 PB SYSTIVA P100"/>
    <n v="48"/>
    <n v="0"/>
    <n v="48"/>
    <x v="2"/>
    <s v="DVNB"/>
    <s v="PRO 100"/>
    <s v="322"/>
    <s v="4.0 UN"/>
    <s v="STANDARD"/>
    <s v="N"/>
    <s v="N"/>
    <s v="N"/>
    <s v="T20"/>
    <s v="Y"/>
    <s v="N"/>
    <s v="Y"/>
    <s v="N"/>
    <s v="B025"/>
    <d v="2017-01-04T00:00:00"/>
    <s v="10"/>
    <s v="TAN"/>
    <s v="OR"/>
    <d v="2016-12-30T00:00:00"/>
    <s v="NE"/>
    <s v="US"/>
    <s v="ZR"/>
    <d v="2016-12-30T00:00:00"/>
  </r>
  <r>
    <x v="1"/>
    <x v="2"/>
    <x v="3400"/>
    <x v="6"/>
    <s v="Standard order"/>
    <x v="3266"/>
    <x v="1236"/>
    <s v="628N"/>
    <s v="BTS 62RR8N"/>
    <s v="5002683"/>
    <s v="628N BTS T20 PB SYSTIVA P100"/>
    <n v="52"/>
    <n v="0"/>
    <n v="52"/>
    <x v="2"/>
    <s v="BL73"/>
    <s v="PRO 100"/>
    <s v="322"/>
    <s v="4.0 UN"/>
    <s v="STANDARD"/>
    <s v="N"/>
    <s v="N"/>
    <s v="N"/>
    <s v="T20"/>
    <s v="Y"/>
    <s v="N"/>
    <s v="Y"/>
    <s v="N"/>
    <s v="B025"/>
    <d v="2017-01-04T00:00:00"/>
    <s v="20"/>
    <s v="TAN"/>
    <s v="OR"/>
    <d v="2016-12-30T00:00:00"/>
    <s v="NE"/>
    <s v="US"/>
    <s v="ZR"/>
    <d v="2016-12-30T00:00:00"/>
  </r>
  <r>
    <x v="1"/>
    <x v="2"/>
    <x v="3401"/>
    <x v="27"/>
    <s v="Standard order"/>
    <x v="3267"/>
    <x v="1237"/>
    <s v="6027"/>
    <s v="BTS 60RR27"/>
    <s v="5002645"/>
    <s v="6027 BTS T20 PB SYSTIVA P100 WSS"/>
    <n v="32"/>
    <n v="0"/>
    <n v="32"/>
    <x v="2"/>
    <s v="APMC"/>
    <s v="PRO 100"/>
    <s v="322"/>
    <s v="4.0 UN"/>
    <s v="STANDARD"/>
    <s v="N"/>
    <s v="N"/>
    <s v="N"/>
    <s v="T20"/>
    <s v="Y"/>
    <s v="N"/>
    <s v="Y"/>
    <s v="N"/>
    <s v="B019"/>
    <d v="2017-01-04T00:00:00"/>
    <s v="10"/>
    <s v="TAN"/>
    <s v="OR"/>
    <d v="2016-12-30T00:00:00"/>
    <s v="CO"/>
    <s v="US"/>
    <s v="ZR"/>
    <d v="2016-12-30T00:00:00"/>
  </r>
  <r>
    <x v="1"/>
    <x v="7"/>
    <x v="3402"/>
    <x v="41"/>
    <s v="Standard order"/>
    <x v="3268"/>
    <x v="2668"/>
    <s v="8512"/>
    <s v="BTS 8512"/>
    <s v="5002863"/>
    <s v="8512 BTS T20 PB SYSTIVA MP"/>
    <n v="160"/>
    <n v="0"/>
    <n v="160"/>
    <x v="7"/>
    <s v="FX73"/>
    <s v="MP"/>
    <s v="322"/>
    <s v="4.0 UN"/>
    <s v="STANDARD"/>
    <s v="N"/>
    <s v="N"/>
    <s v="N"/>
    <s v="T20"/>
    <s v="Y"/>
    <s v="N"/>
    <s v="Y"/>
    <s v="N"/>
    <s v="B032"/>
    <d v="2017-01-04T00:00:00"/>
    <s v="10"/>
    <s v="TAN"/>
    <s v="OR"/>
    <d v="2016-12-30T00:00:00"/>
    <s v="MN"/>
    <s v="US"/>
    <s v="ZR"/>
    <d v="2016-12-30T00:00:00"/>
  </r>
  <r>
    <x v="1"/>
    <x v="6"/>
    <x v="3403"/>
    <x v="51"/>
    <s v="Standard order"/>
    <x v="3269"/>
    <x v="2669"/>
    <s v="4548"/>
    <s v="BTS 4548"/>
    <s v="5002244"/>
    <s v="4548 BTS T20 PB SYSTIVA P100"/>
    <n v="36"/>
    <n v="0"/>
    <n v="36"/>
    <x v="6"/>
    <s v="FENR"/>
    <s v="PRO 100"/>
    <s v="322"/>
    <s v="4.0 UN"/>
    <s v="STANDARD"/>
    <s v="N"/>
    <s v="N"/>
    <s v="N"/>
    <s v="T20"/>
    <s v="Y"/>
    <s v="N"/>
    <s v="Y"/>
    <s v="N"/>
    <s v="B011"/>
    <d v="2017-01-04T00:00:00"/>
    <s v="10"/>
    <s v="TAN"/>
    <s v="OR"/>
    <d v="2016-12-30T00:00:00"/>
    <s v="MT"/>
    <s v="US"/>
    <s v="ZR"/>
    <d v="2016-12-30T00:00:00"/>
  </r>
  <r>
    <x v="1"/>
    <x v="6"/>
    <x v="3403"/>
    <x v="51"/>
    <s v="Standard order"/>
    <x v="3269"/>
    <x v="2669"/>
    <s v="4265"/>
    <s v="BTS 42RR65"/>
    <s v="5002583"/>
    <s v="4265 BTS T20 PB SYSTIVA P100"/>
    <n v="108"/>
    <n v="0"/>
    <n v="108"/>
    <x v="6"/>
    <s v="BR73"/>
    <s v="PRO 100"/>
    <s v="322"/>
    <s v="4.0 UN"/>
    <s v="STANDARD"/>
    <s v="N"/>
    <s v="N"/>
    <s v="N"/>
    <s v="T20"/>
    <s v="Y"/>
    <s v="N"/>
    <s v="Y"/>
    <s v="N"/>
    <s v="B011"/>
    <d v="2017-01-04T00:00:00"/>
    <s v="20"/>
    <s v="TAN"/>
    <s v="OR"/>
    <d v="2016-12-30T00:00:00"/>
    <s v="MT"/>
    <s v="US"/>
    <s v="ZR"/>
    <d v="2016-12-30T00:00:00"/>
  </r>
  <r>
    <x v="1"/>
    <x v="2"/>
    <x v="3404"/>
    <x v="6"/>
    <s v="Standard order"/>
    <x v="3270"/>
    <x v="1235"/>
    <s v="630N"/>
    <s v="BTS 630N"/>
    <s v="5002402"/>
    <s v="630N BTS T20 PB SYSTIVA P100"/>
    <n v="48"/>
    <n v="0"/>
    <n v="48"/>
    <x v="2"/>
    <s v="DW73"/>
    <s v="PRO 100"/>
    <s v="322"/>
    <s v="4.0 UN"/>
    <s v="STANDARD"/>
    <s v="N"/>
    <s v="N"/>
    <s v="N"/>
    <s v="T20"/>
    <s v="Y"/>
    <s v="N"/>
    <s v="Y"/>
    <s v="N"/>
    <s v="B025"/>
    <d v="2017-01-04T00:00:00"/>
    <s v="10"/>
    <s v="TAN"/>
    <s v="OR"/>
    <d v="2016-12-30T00:00:00"/>
    <s v="NE"/>
    <s v="US"/>
    <s v="ZR"/>
    <d v="2016-12-30T00:00:00"/>
  </r>
  <r>
    <x v="1"/>
    <x v="2"/>
    <x v="3404"/>
    <x v="6"/>
    <s v="Standard order"/>
    <x v="3270"/>
    <x v="1235"/>
    <s v="64SN"/>
    <s v="BTS 64SN"/>
    <s v="5002420"/>
    <s v="64SN BTS T20 PB SYSTIVA P100"/>
    <n v="180"/>
    <n v="0"/>
    <n v="180"/>
    <x v="2"/>
    <s v="DVNB"/>
    <s v="PRO 100"/>
    <s v="322"/>
    <s v="4.0 UN"/>
    <s v="STANDARD"/>
    <s v="N"/>
    <s v="N"/>
    <s v="N"/>
    <s v="T20"/>
    <s v="Y"/>
    <s v="N"/>
    <s v="Y"/>
    <s v="N"/>
    <s v="B025"/>
    <d v="2017-01-04T00:00:00"/>
    <s v="20"/>
    <s v="TAN"/>
    <s v="OR"/>
    <d v="2016-12-30T00:00:00"/>
    <s v="NE"/>
    <s v="US"/>
    <s v="ZR"/>
    <d v="2016-12-30T00:00:00"/>
  </r>
  <r>
    <x v="1"/>
    <x v="7"/>
    <x v="3405"/>
    <x v="38"/>
    <s v="Standard order"/>
    <x v="3271"/>
    <x v="2670"/>
    <s v="8052"/>
    <s v="BTS 80RR52"/>
    <s v="5002735"/>
    <s v="8052 BTS T35 PB SYSTIVA RP"/>
    <n v="72"/>
    <n v="0"/>
    <n v="72"/>
    <x v="7"/>
    <s v="AP82"/>
    <s v="RP"/>
    <s v="333"/>
    <s v="4.0 UN"/>
    <s v="STANDARD"/>
    <s v="N"/>
    <s v="Y"/>
    <s v="N"/>
    <s v="T35"/>
    <s v="Y"/>
    <s v="N"/>
    <s v="Y"/>
    <s v="N"/>
    <s v="B031"/>
    <d v="2017-01-04T00:00:00"/>
    <s v="10"/>
    <s v="TAN"/>
    <s v="OR"/>
    <d v="2016-12-29T00:00:00"/>
    <s v="ND"/>
    <s v="US"/>
    <s v="ZR"/>
    <d v="2016-12-30T00:00:00"/>
  </r>
  <r>
    <x v="1"/>
    <x v="5"/>
    <x v="3406"/>
    <x v="14"/>
    <s v="Standard order"/>
    <x v="3272"/>
    <x v="1238"/>
    <s v="398N"/>
    <s v="BTS 39RR8N"/>
    <s v="5002568"/>
    <s v="398N BTS T20 PB SYSTIVA MP"/>
    <n v="12"/>
    <n v="0"/>
    <n v="12"/>
    <x v="5"/>
    <s v="2771"/>
    <s v="MP"/>
    <s v="322"/>
    <s v="4.0 UN"/>
    <s v="STANDARD"/>
    <s v="N"/>
    <s v="Y"/>
    <s v="N"/>
    <s v="T20"/>
    <s v="Y"/>
    <s v="N"/>
    <s v="N"/>
    <s v="N"/>
    <s v="B017"/>
    <d v="2017-01-04T00:00:00"/>
    <s v="10"/>
    <s v="TAN"/>
    <s v="OR"/>
    <d v="2016-12-29T00:00:00"/>
    <s v="WY"/>
    <s v="US"/>
    <s v="ZR"/>
    <d v="2016-12-30T00:00:00"/>
  </r>
  <r>
    <x v="1"/>
    <x v="5"/>
    <x v="3406"/>
    <x v="14"/>
    <s v="Standard order"/>
    <x v="3272"/>
    <x v="1238"/>
    <s v="4933"/>
    <s v="BTS 49RR33"/>
    <s v="5002295"/>
    <s v="4933 BTS T20 PB SYSTIVA MP WSN"/>
    <n v="8"/>
    <n v="0"/>
    <n v="8"/>
    <x v="5"/>
    <s v="AKMC"/>
    <s v="MP"/>
    <s v="322"/>
    <s v="4.0 UN"/>
    <s v="STANDARD"/>
    <s v="N"/>
    <s v="Y"/>
    <s v="N"/>
    <s v="T20"/>
    <s v="Y"/>
    <s v="N"/>
    <s v="N"/>
    <s v="N"/>
    <s v="B017"/>
    <d v="2017-01-04T00:00:00"/>
    <s v="20"/>
    <s v="TAN"/>
    <s v="OR"/>
    <d v="2016-12-29T00:00:00"/>
    <s v="WY"/>
    <s v="US"/>
    <s v="ZR"/>
    <d v="2016-12-30T00:00:00"/>
  </r>
  <r>
    <x v="1"/>
    <x v="5"/>
    <x v="3406"/>
    <x v="14"/>
    <s v="Standard order"/>
    <x v="3272"/>
    <x v="1238"/>
    <s v="353N"/>
    <s v="BTS 353N"/>
    <s v="5002520"/>
    <s v="353N BTS T20 PB SYSTIVA MP"/>
    <n v="4"/>
    <n v="0"/>
    <n v="4"/>
    <x v="5"/>
    <s v="EENZ"/>
    <s v="MP"/>
    <s v="322"/>
    <s v="4.0 UN"/>
    <s v="STANDARD"/>
    <s v="N"/>
    <s v="Y"/>
    <s v="N"/>
    <s v="T20"/>
    <s v="Y"/>
    <s v="N"/>
    <s v="N"/>
    <s v="N"/>
    <s v="B017"/>
    <d v="2017-01-04T00:00:00"/>
    <s v="30"/>
    <s v="TAN"/>
    <s v="OR"/>
    <d v="2016-12-29T00:00:00"/>
    <s v="WY"/>
    <s v="US"/>
    <s v="ZR"/>
    <d v="2016-12-30T00:00:00"/>
  </r>
  <r>
    <x v="1"/>
    <x v="6"/>
    <x v="3407"/>
    <x v="48"/>
    <s v="Standard order"/>
    <x v="3273"/>
    <x v="2671"/>
    <s v="4265"/>
    <s v="BTS 42RR65"/>
    <s v="5002583"/>
    <s v="4265 BTS T20 PB SYSTIVA P100"/>
    <n v="436"/>
    <n v="0"/>
    <n v="436"/>
    <x v="6"/>
    <s v="BR73"/>
    <s v="PRO 100"/>
    <s v="322"/>
    <s v="4.0 UN"/>
    <s v="STANDARD"/>
    <s v="N"/>
    <s v="N"/>
    <s v="N"/>
    <s v="T20"/>
    <s v="Y"/>
    <s v="N"/>
    <s v="Y"/>
    <s v="N"/>
    <s v="B012"/>
    <d v="2017-01-04T00:00:00"/>
    <s v="10"/>
    <s v="TAN"/>
    <s v="OR"/>
    <d v="2016-12-29T00:00:00"/>
    <s v="MT"/>
    <s v="US"/>
    <s v="ZR"/>
    <d v="2016-12-30T00:00:00"/>
  </r>
  <r>
    <x v="1"/>
    <x v="6"/>
    <x v="3407"/>
    <x v="48"/>
    <s v="Standard order"/>
    <x v="3273"/>
    <x v="2671"/>
    <s v="437N"/>
    <s v="BTS 437N"/>
    <s v="5002208"/>
    <s v="437N BTS T20 PB SYSTIVA P100"/>
    <n v="232"/>
    <n v="0"/>
    <n v="232"/>
    <x v="6"/>
    <s v="EE73"/>
    <s v="PRO 100"/>
    <s v="322"/>
    <s v="4.0 UN"/>
    <s v="STANDARD"/>
    <s v="N"/>
    <s v="N"/>
    <s v="N"/>
    <s v="T20"/>
    <s v="Y"/>
    <s v="N"/>
    <s v="Y"/>
    <s v="N"/>
    <s v="B012"/>
    <d v="2017-01-04T00:00:00"/>
    <s v="20"/>
    <s v="TAN"/>
    <s v="OR"/>
    <d v="2016-12-29T00:00:00"/>
    <s v="MT"/>
    <s v="US"/>
    <s v="ZR"/>
    <d v="2016-12-30T00:00:00"/>
  </r>
  <r>
    <x v="1"/>
    <x v="6"/>
    <x v="3407"/>
    <x v="48"/>
    <s v="Standard order"/>
    <x v="3273"/>
    <x v="2671"/>
    <s v="4548"/>
    <s v="BTS 4548"/>
    <s v="5002244"/>
    <s v="4548 BTS T20 PB SYSTIVA P100"/>
    <n v="220"/>
    <n v="0"/>
    <n v="220"/>
    <x v="6"/>
    <s v="FENR"/>
    <s v="PRO 100"/>
    <s v="322"/>
    <s v="4.0 UN"/>
    <s v="STANDARD"/>
    <s v="N"/>
    <s v="N"/>
    <s v="N"/>
    <s v="T20"/>
    <s v="Y"/>
    <s v="N"/>
    <s v="Y"/>
    <s v="N"/>
    <s v="B012"/>
    <d v="2017-01-04T00:00:00"/>
    <s v="30"/>
    <s v="TAN"/>
    <s v="OR"/>
    <d v="2016-12-29T00:00:00"/>
    <s v="MT"/>
    <s v="US"/>
    <s v="ZR"/>
    <d v="2016-12-30T00:00:00"/>
  </r>
  <r>
    <x v="1"/>
    <x v="6"/>
    <x v="3407"/>
    <x v="48"/>
    <s v="Standard order"/>
    <x v="3273"/>
    <x v="2671"/>
    <s v="444N"/>
    <s v="BTS 444N"/>
    <s v="5002226"/>
    <s v="444N BTS T20 PB SYSTIVA P100"/>
    <n v="148"/>
    <n v="0"/>
    <n v="148"/>
    <x v="6"/>
    <s v="DVND"/>
    <s v="PRO 100"/>
    <s v="322"/>
    <s v="4.0 UN"/>
    <s v="STANDARD"/>
    <s v="N"/>
    <s v="N"/>
    <s v="N"/>
    <s v="T20"/>
    <s v="Y"/>
    <s v="N"/>
    <s v="Y"/>
    <s v="N"/>
    <s v="B012"/>
    <d v="2017-01-04T00:00:00"/>
    <s v="40"/>
    <s v="TAN"/>
    <s v="OR"/>
    <d v="2016-12-29T00:00:00"/>
    <s v="MT"/>
    <s v="US"/>
    <s v="ZR"/>
    <d v="2016-12-30T00:00:00"/>
  </r>
  <r>
    <x v="1"/>
    <x v="6"/>
    <x v="3408"/>
    <x v="48"/>
    <s v="Standard order"/>
    <x v="3274"/>
    <x v="2672"/>
    <s v="444N"/>
    <s v="BTS 444N"/>
    <s v="5002226"/>
    <s v="444N BTS T20 PB SYSTIVA P100"/>
    <n v="40"/>
    <n v="0"/>
    <n v="40"/>
    <x v="6"/>
    <s v="DVND"/>
    <s v="PRO 100"/>
    <s v="322"/>
    <s v="4.0 UN"/>
    <s v="STANDARD"/>
    <s v="N"/>
    <s v="N"/>
    <s v="N"/>
    <s v="T20"/>
    <s v="Y"/>
    <s v="N"/>
    <s v="Y"/>
    <s v="N"/>
    <s v="B012"/>
    <d v="2017-01-04T00:00:00"/>
    <s v="10"/>
    <s v="TAN"/>
    <s v="OR"/>
    <d v="2016-12-29T00:00:00"/>
    <s v=""/>
    <s v="US"/>
    <s v="ZR"/>
    <d v="2016-12-30T00:00:00"/>
  </r>
  <r>
    <x v="1"/>
    <x v="6"/>
    <x v="3408"/>
    <x v="48"/>
    <s v="Standard order"/>
    <x v="3274"/>
    <x v="2672"/>
    <s v="437N"/>
    <s v="BTS 437N"/>
    <s v="5002208"/>
    <s v="437N BTS T20 PB SYSTIVA P100"/>
    <n v="40"/>
    <n v="0"/>
    <n v="40"/>
    <x v="6"/>
    <s v="EE73"/>
    <s v="PRO 100"/>
    <s v="322"/>
    <s v="4.0 UN"/>
    <s v="STANDARD"/>
    <s v="N"/>
    <s v="N"/>
    <s v="N"/>
    <s v="T20"/>
    <s v="Y"/>
    <s v="N"/>
    <s v="Y"/>
    <s v="N"/>
    <s v="B012"/>
    <d v="2017-01-04T00:00:00"/>
    <s v="20"/>
    <s v="TAN"/>
    <s v="OR"/>
    <d v="2016-12-29T00:00:00"/>
    <s v=""/>
    <s v="US"/>
    <s v="ZR"/>
    <d v="2016-12-30T00:00:00"/>
  </r>
  <r>
    <x v="1"/>
    <x v="5"/>
    <x v="3409"/>
    <x v="14"/>
    <s v="Standard order"/>
    <x v="3275"/>
    <x v="1239"/>
    <s v="4933"/>
    <s v="BTS 49RR33"/>
    <s v="5002295"/>
    <s v="4933 BTS T20 PB SYSTIVA MP WSN"/>
    <n v="20"/>
    <n v="0"/>
    <n v="20"/>
    <x v="5"/>
    <s v="AKMC"/>
    <s v="MP"/>
    <s v="322"/>
    <s v="4.0 UN"/>
    <s v="STANDARD"/>
    <s v="N"/>
    <s v="Y"/>
    <s v="N"/>
    <s v="T20"/>
    <s v="Y"/>
    <s v="N"/>
    <s v="N"/>
    <s v="N"/>
    <s v="B017"/>
    <d v="2017-01-04T00:00:00"/>
    <s v="10"/>
    <s v="TAN"/>
    <s v="OR"/>
    <d v="2016-12-29T00:00:00"/>
    <s v="WY"/>
    <s v="US"/>
    <s v="ZR"/>
    <d v="2016-12-30T00:00:00"/>
  </r>
  <r>
    <x v="1"/>
    <x v="5"/>
    <x v="3409"/>
    <x v="14"/>
    <s v="Standard order"/>
    <x v="3275"/>
    <x v="1239"/>
    <s v="398N"/>
    <s v="BTS 39RR8N"/>
    <s v="5002568"/>
    <s v="398N BTS T20 PB SYSTIVA MP"/>
    <n v="40"/>
    <n v="0"/>
    <n v="40"/>
    <x v="5"/>
    <s v="2771"/>
    <s v="MP"/>
    <s v="322"/>
    <s v="4.0 UN"/>
    <s v="STANDARD"/>
    <s v="N"/>
    <s v="Y"/>
    <s v="N"/>
    <s v="T20"/>
    <s v="Y"/>
    <s v="N"/>
    <s v="N"/>
    <s v="N"/>
    <s v="B017"/>
    <d v="2017-01-04T00:00:00"/>
    <s v="20"/>
    <s v="TAN"/>
    <s v="OR"/>
    <d v="2016-12-29T00:00:00"/>
    <s v="WY"/>
    <s v="US"/>
    <s v="ZR"/>
    <d v="2016-12-30T00:00:00"/>
  </r>
  <r>
    <x v="1"/>
    <x v="5"/>
    <x v="3409"/>
    <x v="14"/>
    <s v="Standard order"/>
    <x v="3275"/>
    <x v="1239"/>
    <s v="353N"/>
    <s v="BTS 353N"/>
    <s v="5002520"/>
    <s v="353N BTS T20 PB SYSTIVA MP"/>
    <n v="4"/>
    <n v="0"/>
    <n v="4"/>
    <x v="5"/>
    <s v="EENZ"/>
    <s v="MP"/>
    <s v="322"/>
    <s v="4.0 UN"/>
    <s v="STANDARD"/>
    <s v="N"/>
    <s v="Y"/>
    <s v="N"/>
    <s v="T20"/>
    <s v="Y"/>
    <s v="N"/>
    <s v="N"/>
    <s v="N"/>
    <s v="B017"/>
    <d v="2017-01-04T00:00:00"/>
    <s v="30"/>
    <s v="TAN"/>
    <s v="OR"/>
    <d v="2016-12-29T00:00:00"/>
    <s v="WY"/>
    <s v="US"/>
    <s v="ZR"/>
    <d v="2016-12-30T00:00:00"/>
  </r>
  <r>
    <x v="1"/>
    <x v="4"/>
    <x v="3410"/>
    <x v="53"/>
    <s v="Standard order"/>
    <x v="3276"/>
    <x v="1223"/>
    <s v="251N"/>
    <s v="BTS 251N"/>
    <s v="5002196"/>
    <s v="251N BTS PB XL"/>
    <n v="40"/>
    <n v="0"/>
    <n v="40"/>
    <x v="4"/>
    <s v="5HBR"/>
    <s v="X-LARGE"/>
    <s v="307"/>
    <s v="4.0 UN"/>
    <s v="STANDARD"/>
    <s v="N"/>
    <s v="Y"/>
    <s v="N"/>
    <s v="N"/>
    <s v="N"/>
    <s v="N"/>
    <s v="N"/>
    <s v="N"/>
    <s v="B051"/>
    <d v="2017-01-04T00:00:00"/>
    <s v="10"/>
    <s v="TAN"/>
    <s v="OR"/>
    <d v="2016-12-30T00:00:00"/>
    <s v="ID"/>
    <s v="US"/>
    <s v="ZR"/>
    <d v="2016-12-30T00:00:00"/>
  </r>
  <r>
    <x v="1"/>
    <x v="2"/>
    <x v="3411"/>
    <x v="24"/>
    <s v="Standard order"/>
    <x v="3277"/>
    <x v="1245"/>
    <s v="630N"/>
    <s v="BTS 630N"/>
    <s v="5002402"/>
    <s v="630N BTS T20 PB SYSTIVA P100"/>
    <n v="60"/>
    <n v="0"/>
    <n v="60"/>
    <x v="2"/>
    <s v="DW73"/>
    <s v="PRO 100"/>
    <s v="322"/>
    <s v="4.0 UN"/>
    <s v="STANDARD"/>
    <s v="N"/>
    <s v="N"/>
    <s v="N"/>
    <s v="T20"/>
    <s v="Y"/>
    <s v="N"/>
    <s v="Y"/>
    <s v="N"/>
    <s v="B022"/>
    <d v="2017-01-04T00:00:00"/>
    <s v="10"/>
    <s v="TAN"/>
    <s v="OR"/>
    <d v="2016-12-30T00:00:00"/>
    <s v="CO"/>
    <s v="US"/>
    <s v="ZR"/>
    <d v="2016-12-30T00:00:00"/>
  </r>
  <r>
    <x v="1"/>
    <x v="2"/>
    <x v="3412"/>
    <x v="27"/>
    <s v="Standard order"/>
    <x v="3278"/>
    <x v="2673"/>
    <s v="630N"/>
    <s v="BTS 630N"/>
    <s v="5002402"/>
    <s v="630N BTS T20 PB SYSTIVA P100"/>
    <n v="28"/>
    <n v="0"/>
    <n v="28"/>
    <x v="2"/>
    <s v="DW73"/>
    <s v="PRO 100"/>
    <s v="322"/>
    <s v="4.0 UN"/>
    <s v="STANDARD"/>
    <s v="N"/>
    <s v="N"/>
    <s v="N"/>
    <s v="T20"/>
    <s v="Y"/>
    <s v="N"/>
    <s v="Y"/>
    <s v="N"/>
    <s v="B019"/>
    <d v="2017-01-04T00:00:00"/>
    <s v="10"/>
    <s v="TAN"/>
    <s v="OR"/>
    <d v="2016-12-30T00:00:00"/>
    <s v="CO"/>
    <s v="US"/>
    <s v="ZR"/>
    <d v="2016-12-31T00:00:00"/>
  </r>
  <r>
    <x v="1"/>
    <x v="2"/>
    <x v="3412"/>
    <x v="27"/>
    <s v="Standard order"/>
    <x v="3278"/>
    <x v="2673"/>
    <s v="628N"/>
    <s v="BTS 62RR8N"/>
    <s v="5002683"/>
    <s v="628N BTS T20 PB SYSTIVA P100"/>
    <n v="80"/>
    <n v="0"/>
    <n v="80"/>
    <x v="2"/>
    <s v="BL73"/>
    <s v="PRO 100"/>
    <s v="322"/>
    <s v="4.0 UN"/>
    <s v="STANDARD"/>
    <s v="N"/>
    <s v="N"/>
    <s v="N"/>
    <s v="T20"/>
    <s v="Y"/>
    <s v="N"/>
    <s v="Y"/>
    <s v="N"/>
    <s v="B019"/>
    <d v="2017-01-04T00:00:00"/>
    <s v="20"/>
    <s v="TAN"/>
    <s v="OR"/>
    <d v="2016-12-30T00:00:00"/>
    <s v="CO"/>
    <s v="US"/>
    <s v="ZR"/>
    <d v="2016-12-31T00:00:00"/>
  </r>
  <r>
    <x v="1"/>
    <x v="2"/>
    <x v="3412"/>
    <x v="27"/>
    <s v="Standard order"/>
    <x v="3278"/>
    <x v="2673"/>
    <s v="64SN"/>
    <s v="BTS 64SN"/>
    <s v="5002420"/>
    <s v="64SN BTS T20 PB SYSTIVA P100"/>
    <n v="4"/>
    <n v="0"/>
    <n v="4"/>
    <x v="2"/>
    <s v="DVNB"/>
    <s v="PRO 100"/>
    <s v="322"/>
    <s v="4.0 UN"/>
    <s v="STANDARD"/>
    <s v="N"/>
    <s v="N"/>
    <s v="N"/>
    <s v="T20"/>
    <s v="Y"/>
    <s v="N"/>
    <s v="Y"/>
    <s v="N"/>
    <s v="B019"/>
    <d v="2017-01-04T00:00:00"/>
    <s v="30"/>
    <s v="TAN"/>
    <s v="OR"/>
    <d v="2016-12-30T00:00:00"/>
    <s v="CO"/>
    <s v="US"/>
    <s v="ZR"/>
    <d v="2016-12-31T00:00:00"/>
  </r>
  <r>
    <x v="1"/>
    <x v="2"/>
    <x v="3413"/>
    <x v="27"/>
    <s v="Standard order"/>
    <x v="3279"/>
    <x v="1250"/>
    <s v="630N"/>
    <s v="BTS 630N"/>
    <s v="5002402"/>
    <s v="630N BTS T20 PB SYSTIVA P100"/>
    <n v="36"/>
    <n v="0"/>
    <n v="36"/>
    <x v="2"/>
    <s v="DW73"/>
    <s v="PRO 100"/>
    <s v="322"/>
    <s v="4.0 UN"/>
    <s v="STANDARD"/>
    <s v="N"/>
    <s v="N"/>
    <s v="N"/>
    <s v="T20"/>
    <s v="Y"/>
    <s v="N"/>
    <s v="Y"/>
    <s v="N"/>
    <s v="B019"/>
    <d v="2017-01-04T00:00:00"/>
    <s v="10"/>
    <s v="TAN"/>
    <s v="OR"/>
    <d v="2016-12-30T00:00:00"/>
    <s v="CO"/>
    <s v="US"/>
    <s v="ZR"/>
    <d v="2016-12-31T00:00:00"/>
  </r>
  <r>
    <x v="1"/>
    <x v="2"/>
    <x v="3414"/>
    <x v="6"/>
    <s v="Standard order"/>
    <x v="3280"/>
    <x v="2674"/>
    <s v="64SN"/>
    <s v="BTS 64SN"/>
    <s v="5002422"/>
    <s v="64SN BTS T20 PB SYSTIVA P50"/>
    <n v="16"/>
    <n v="0"/>
    <n v="16"/>
    <x v="2"/>
    <s v="DVNB"/>
    <s v="PRO 50"/>
    <s v="322"/>
    <s v="4.0 UN"/>
    <s v="STANDARD"/>
    <s v="N"/>
    <s v="N"/>
    <s v="N"/>
    <s v="T20"/>
    <s v="Y"/>
    <s v="N"/>
    <s v="Y"/>
    <s v="N"/>
    <s v="B025"/>
    <d v="2017-01-04T00:00:00"/>
    <s v="10"/>
    <s v="TAN"/>
    <s v="OR"/>
    <d v="2016-12-31T00:00:00"/>
    <s v="WY"/>
    <s v="US"/>
    <s v="ZR"/>
    <d v="2016-12-31T00:00:00"/>
  </r>
  <r>
    <x v="1"/>
    <x v="2"/>
    <x v="3415"/>
    <x v="26"/>
    <s v="Standard order"/>
    <x v="3281"/>
    <x v="1247"/>
    <s v="6543"/>
    <s v="BTS 6543"/>
    <s v="5002438"/>
    <s v="6543 BTS T20 PB SYSTIVA P100"/>
    <n v="16"/>
    <n v="0"/>
    <n v="16"/>
    <x v="2"/>
    <s v="FXND"/>
    <s v="PRO 100"/>
    <s v="322"/>
    <s v="4.0 UN"/>
    <s v="STANDARD"/>
    <s v="N"/>
    <s v="N"/>
    <s v="N"/>
    <s v="T20"/>
    <s v="Y"/>
    <s v="N"/>
    <s v="Y"/>
    <s v="N"/>
    <s v="B023"/>
    <d v="2017-01-04T00:00:00"/>
    <s v="10"/>
    <s v="TAN"/>
    <s v="OR"/>
    <d v="2016-12-31T00:00:00"/>
    <s v="CO"/>
    <s v="US"/>
    <s v="ZR"/>
    <d v="2016-12-31T00:00:00"/>
  </r>
  <r>
    <x v="1"/>
    <x v="2"/>
    <x v="3415"/>
    <x v="26"/>
    <s v="Standard order"/>
    <x v="3281"/>
    <x v="1247"/>
    <s v="630N"/>
    <s v="BTS 630N"/>
    <s v="5002402"/>
    <s v="630N BTS T20 PB SYSTIVA P100"/>
    <n v="8"/>
    <n v="0"/>
    <n v="8"/>
    <x v="2"/>
    <s v="DW73"/>
    <s v="PRO 100"/>
    <s v="322"/>
    <s v="4.0 UN"/>
    <s v="STANDARD"/>
    <s v="N"/>
    <s v="N"/>
    <s v="N"/>
    <s v="T20"/>
    <s v="Y"/>
    <s v="N"/>
    <s v="Y"/>
    <s v="N"/>
    <s v="B023"/>
    <d v="2017-01-04T00:00:00"/>
    <s v="20"/>
    <s v="TAN"/>
    <s v="OR"/>
    <d v="2016-12-31T00:00:00"/>
    <s v="CO"/>
    <s v="US"/>
    <s v="ZR"/>
    <d v="2016-12-31T00:00:00"/>
  </r>
  <r>
    <x v="1"/>
    <x v="2"/>
    <x v="3416"/>
    <x v="26"/>
    <s v="Standard order"/>
    <x v="3282"/>
    <x v="1252"/>
    <s v="64SN"/>
    <s v="BTS 64SN"/>
    <s v="5002420"/>
    <s v="64SN BTS T20 PB SYSTIVA P100"/>
    <n v="16"/>
    <n v="0"/>
    <n v="16"/>
    <x v="2"/>
    <s v="DVNB"/>
    <s v="PRO 100"/>
    <s v="322"/>
    <s v="4.0 UN"/>
    <s v="STANDARD"/>
    <s v="N"/>
    <s v="N"/>
    <s v="N"/>
    <s v="T20"/>
    <s v="Y"/>
    <s v="N"/>
    <s v="Y"/>
    <s v="N"/>
    <s v="B023"/>
    <d v="2017-01-04T00:00:00"/>
    <s v="10"/>
    <s v="TAN"/>
    <s v="OR"/>
    <d v="2016-12-31T00:00:00"/>
    <s v="CO"/>
    <s v="US"/>
    <s v="ZR"/>
    <d v="2016-12-31T00:00:00"/>
  </r>
  <r>
    <x v="1"/>
    <x v="2"/>
    <x v="3416"/>
    <x v="26"/>
    <s v="Standard order"/>
    <x v="3282"/>
    <x v="1252"/>
    <s v="630N"/>
    <s v="BTS 630N"/>
    <s v="5002402"/>
    <s v="630N BTS T20 PB SYSTIVA P100"/>
    <n v="64"/>
    <n v="0"/>
    <n v="64"/>
    <x v="2"/>
    <s v="DW73"/>
    <s v="PRO 100"/>
    <s v="322"/>
    <s v="4.0 UN"/>
    <s v="STANDARD"/>
    <s v="N"/>
    <s v="N"/>
    <s v="N"/>
    <s v="T20"/>
    <s v="Y"/>
    <s v="N"/>
    <s v="Y"/>
    <s v="N"/>
    <s v="B023"/>
    <d v="2017-01-04T00:00:00"/>
    <s v="20"/>
    <s v="TAN"/>
    <s v="OR"/>
    <d v="2016-12-31T00:00:00"/>
    <s v="CO"/>
    <s v="US"/>
    <s v="ZR"/>
    <d v="2016-12-31T00:00:00"/>
  </r>
  <r>
    <x v="1"/>
    <x v="2"/>
    <x v="3416"/>
    <x v="26"/>
    <s v="Standard order"/>
    <x v="3282"/>
    <x v="1252"/>
    <s v="6543"/>
    <s v="BTS 6543"/>
    <s v="5002438"/>
    <s v="6543 BTS T20 PB SYSTIVA P100"/>
    <n v="64"/>
    <n v="0"/>
    <n v="64"/>
    <x v="2"/>
    <s v="FXND"/>
    <s v="PRO 100"/>
    <s v="322"/>
    <s v="4.0 UN"/>
    <s v="STANDARD"/>
    <s v="N"/>
    <s v="N"/>
    <s v="N"/>
    <s v="T20"/>
    <s v="Y"/>
    <s v="N"/>
    <s v="Y"/>
    <s v="N"/>
    <s v="B023"/>
    <d v="2017-01-04T00:00:00"/>
    <s v="30"/>
    <s v="TAN"/>
    <s v="OR"/>
    <d v="2016-12-31T00:00:00"/>
    <s v="CO"/>
    <s v="US"/>
    <s v="ZR"/>
    <d v="2016-12-31T00:00:00"/>
  </r>
  <r>
    <x v="1"/>
    <x v="2"/>
    <x v="3417"/>
    <x v="6"/>
    <s v="Standard order"/>
    <x v="3283"/>
    <x v="2675"/>
    <s v="628N"/>
    <s v="BTS 62RR8N"/>
    <s v="5002684"/>
    <s v="628N BTS T20 PB SYSTIVA P200"/>
    <n v="56"/>
    <n v="0"/>
    <n v="56"/>
    <x v="2"/>
    <s v="BL73"/>
    <s v="PRO 200"/>
    <s v="322"/>
    <s v="4.0 UN"/>
    <s v="STANDARD"/>
    <s v="N"/>
    <s v="N"/>
    <s v="N"/>
    <s v="T20"/>
    <s v="Y"/>
    <s v="N"/>
    <s v="Y"/>
    <s v="N"/>
    <s v="B025"/>
    <d v="2017-01-04T00:00:00"/>
    <s v="10"/>
    <s v="TAN"/>
    <s v="OR"/>
    <d v="2016-12-31T00:00:00"/>
    <s v="NE"/>
    <s v="US"/>
    <s v="ZR"/>
    <d v="2016-12-31T00:00:00"/>
  </r>
  <r>
    <x v="1"/>
    <x v="6"/>
    <x v="3418"/>
    <x v="51"/>
    <s v="Standard order"/>
    <x v="3284"/>
    <x v="1266"/>
    <s v="4548"/>
    <s v="BTS 4548"/>
    <s v="5002244"/>
    <s v="4548 BTS T20 PB SYSTIVA P100"/>
    <n v="16"/>
    <n v="0"/>
    <n v="16"/>
    <x v="6"/>
    <s v="FENR"/>
    <s v="PRO 100"/>
    <s v="322"/>
    <s v="4.0 UN"/>
    <s v="STANDARD"/>
    <s v="N"/>
    <s v="N"/>
    <s v="N"/>
    <s v="T20"/>
    <s v="Y"/>
    <s v="N"/>
    <s v="Y"/>
    <s v="N"/>
    <s v="B011"/>
    <d v="2017-01-04T00:00:00"/>
    <s v="10"/>
    <s v="TAN"/>
    <s v="OR"/>
    <d v="2016-12-31T00:00:00"/>
    <s v="MT"/>
    <s v="US"/>
    <s v="ZR"/>
    <d v="2016-12-31T00:00:00"/>
  </r>
  <r>
    <x v="1"/>
    <x v="6"/>
    <x v="3418"/>
    <x v="51"/>
    <s v="Standard order"/>
    <x v="3284"/>
    <x v="1266"/>
    <s v="4265"/>
    <s v="BTS 42RR65"/>
    <s v="5002583"/>
    <s v="4265 BTS T20 PB SYSTIVA P100"/>
    <n v="8"/>
    <n v="0"/>
    <n v="8"/>
    <x v="6"/>
    <s v="BR73"/>
    <s v="PRO 100"/>
    <s v="322"/>
    <s v="4.0 UN"/>
    <s v="STANDARD"/>
    <s v="N"/>
    <s v="N"/>
    <s v="N"/>
    <s v="T20"/>
    <s v="Y"/>
    <s v="N"/>
    <s v="Y"/>
    <s v="N"/>
    <s v="B011"/>
    <d v="2017-01-04T00:00:00"/>
    <s v="20"/>
    <s v="TAN"/>
    <s v="OR"/>
    <d v="2016-12-31T00:00:00"/>
    <s v="MT"/>
    <s v="US"/>
    <s v="ZR"/>
    <d v="2016-12-31T00:00:00"/>
  </r>
  <r>
    <x v="1"/>
    <x v="0"/>
    <x v="3419"/>
    <x v="45"/>
    <s v="Standard order"/>
    <x v="3285"/>
    <x v="2676"/>
    <s v="1399"/>
    <s v="BTS 1399"/>
    <s v="5002348"/>
    <s v="1399 BTS T20 Kabina RP"/>
    <n v="12"/>
    <n v="0"/>
    <n v="12"/>
    <x v="0"/>
    <s v="EG74"/>
    <s v="RP"/>
    <s v="380"/>
    <s v="4.0 UN"/>
    <s v="STANDARD"/>
    <s v="N"/>
    <s v="N"/>
    <s v="Y"/>
    <s v="T20"/>
    <s v="N"/>
    <s v="N"/>
    <s v="N"/>
    <s v="N"/>
    <s v="B003"/>
    <d v="2017-01-04T00:00:00"/>
    <s v="10"/>
    <s v="TAN"/>
    <s v="OR"/>
    <d v="2016-12-31T00:00:00"/>
    <s v="MI"/>
    <s v="US"/>
    <s v="ZR"/>
    <d v="2016-12-31T00:00:00"/>
  </r>
  <r>
    <x v="1"/>
    <x v="0"/>
    <x v="3420"/>
    <x v="54"/>
    <s v="Standard order"/>
    <x v="3286"/>
    <x v="2677"/>
    <s v="122N"/>
    <s v="BTS 12RR2N"/>
    <s v="5002311"/>
    <s v="122N BTS T20 Kabina RP"/>
    <n v="16"/>
    <n v="0"/>
    <n v="16"/>
    <x v="0"/>
    <s v="4TBG"/>
    <s v="RP"/>
    <s v="380"/>
    <s v="4.0 UN"/>
    <s v="STANDARD"/>
    <s v="N"/>
    <s v="N"/>
    <s v="Y"/>
    <s v="T20"/>
    <s v="N"/>
    <s v="N"/>
    <s v="N"/>
    <s v="N"/>
    <s v="B002"/>
    <d v="2017-01-04T00:00:00"/>
    <s v="10"/>
    <s v="TAN"/>
    <s v="OR"/>
    <d v="2016-12-31T00:00:00"/>
    <s v="MI"/>
    <s v="US"/>
    <s v="ZR"/>
    <d v="2016-12-31T00:00:00"/>
  </r>
  <r>
    <x v="1"/>
    <x v="2"/>
    <x v="3421"/>
    <x v="22"/>
    <s v="Standard order"/>
    <x v="3287"/>
    <x v="1251"/>
    <s v="630N"/>
    <s v="BTS 630N"/>
    <s v="5002402"/>
    <s v="630N BTS T20 PB SYSTIVA P100"/>
    <n v="48"/>
    <n v="0"/>
    <n v="48"/>
    <x v="2"/>
    <s v="DW73"/>
    <s v="PRO 100"/>
    <s v="322"/>
    <s v="4.0 UN"/>
    <s v="STANDARD"/>
    <s v="N"/>
    <s v="N"/>
    <s v="N"/>
    <s v="T20"/>
    <s v="Y"/>
    <s v="N"/>
    <s v="Y"/>
    <s v="N"/>
    <s v="B018"/>
    <d v="2017-01-04T00:00:00"/>
    <s v="10"/>
    <s v="TAN"/>
    <s v="OR"/>
    <d v="2016-12-31T00:00:00"/>
    <s v="CO"/>
    <s v="US"/>
    <s v="ZR"/>
    <d v="2016-12-31T00:00:00"/>
  </r>
  <r>
    <x v="1"/>
    <x v="7"/>
    <x v="3422"/>
    <x v="28"/>
    <s v="Standard order"/>
    <x v="3288"/>
    <x v="2678"/>
    <s v="8500"/>
    <s v="BTS 8500"/>
    <s v="5002860"/>
    <s v="8500 BTS T35 SYSTIVA RP"/>
    <n v="44"/>
    <n v="0"/>
    <n v="44"/>
    <x v="7"/>
    <s v="FTND"/>
    <s v="RP"/>
    <s v="334"/>
    <s v="4.0 UN"/>
    <s v="STANDARD"/>
    <s v="N"/>
    <s v="N"/>
    <s v="N"/>
    <s v="T35"/>
    <s v="Y"/>
    <s v="N"/>
    <s v="Y"/>
    <s v="N"/>
    <s v="B056"/>
    <d v="2017-01-04T00:00:00"/>
    <s v="10"/>
    <s v="TAN"/>
    <s v="OR"/>
    <d v="2016-12-31T00:00:00"/>
    <s v="ND"/>
    <s v="US"/>
    <s v="ZR"/>
    <d v="2016-12-31T00:00:00"/>
  </r>
  <r>
    <x v="1"/>
    <x v="2"/>
    <x v="3423"/>
    <x v="26"/>
    <s v="Standard order"/>
    <x v="3289"/>
    <x v="1267"/>
    <s v="6543"/>
    <s v="BTS 6543"/>
    <s v="5002439"/>
    <s v="6543 BTS T20 PB SYSTIVA P200"/>
    <n v="96"/>
    <n v="0"/>
    <n v="96"/>
    <x v="2"/>
    <s v="FXND"/>
    <s v="PRO 200"/>
    <s v="322"/>
    <s v="4.0 UN"/>
    <s v="STANDARD"/>
    <s v="N"/>
    <s v="N"/>
    <s v="N"/>
    <s v="T20"/>
    <s v="Y"/>
    <s v="N"/>
    <s v="Y"/>
    <s v="N"/>
    <s v="B023"/>
    <d v="2017-01-04T00:00:00"/>
    <s v="10"/>
    <s v="TAN"/>
    <s v="OR"/>
    <d v="2016-12-31T00:00:00"/>
    <s v="CO"/>
    <s v="US"/>
    <s v="ZR"/>
    <d v="2017-01-01T00:00:00"/>
  </r>
  <r>
    <x v="1"/>
    <x v="2"/>
    <x v="3424"/>
    <x v="27"/>
    <s v="Standard order"/>
    <x v="3290"/>
    <x v="1264"/>
    <s v="64SN"/>
    <s v="BTS 64SN"/>
    <s v="5002420"/>
    <s v="64SN BTS T20 PB SYSTIVA P100"/>
    <n v="8"/>
    <n v="0"/>
    <n v="8"/>
    <x v="2"/>
    <s v="DVNB"/>
    <s v="PRO 100"/>
    <s v="322"/>
    <s v="4.0 UN"/>
    <s v="STANDARD"/>
    <s v="N"/>
    <s v="N"/>
    <s v="N"/>
    <s v="T20"/>
    <s v="Y"/>
    <s v="N"/>
    <s v="Y"/>
    <s v="N"/>
    <s v="B019"/>
    <d v="2017-01-04T00:00:00"/>
    <s v="10"/>
    <s v="TAN"/>
    <s v="OR"/>
    <d v="2016-12-31T00:00:00"/>
    <s v="CO"/>
    <s v="US"/>
    <s v="ZR"/>
    <d v="2017-01-01T00:00:00"/>
  </r>
  <r>
    <x v="1"/>
    <x v="2"/>
    <x v="3425"/>
    <x v="27"/>
    <s v="Standard order"/>
    <x v="3291"/>
    <x v="1265"/>
    <s v="630N"/>
    <s v="BTS 630N"/>
    <s v="5002402"/>
    <s v="630N BTS T20 PB SYSTIVA P100"/>
    <n v="84"/>
    <n v="0"/>
    <n v="84"/>
    <x v="2"/>
    <s v="DW73"/>
    <s v="PRO 100"/>
    <s v="322"/>
    <s v="4.0 UN"/>
    <s v="STANDARD"/>
    <s v="N"/>
    <s v="N"/>
    <s v="N"/>
    <s v="T20"/>
    <s v="Y"/>
    <s v="N"/>
    <s v="Y"/>
    <s v="N"/>
    <s v="B019"/>
    <d v="2017-01-04T00:00:00"/>
    <s v="10"/>
    <s v="TAN"/>
    <s v="OR"/>
    <d v="2016-12-31T00:00:00"/>
    <s v="CO"/>
    <s v="US"/>
    <s v="ZR"/>
    <d v="2017-01-01T00:00:00"/>
  </r>
  <r>
    <x v="1"/>
    <x v="2"/>
    <x v="3426"/>
    <x v="27"/>
    <s v="Standard order"/>
    <x v="3292"/>
    <x v="2679"/>
    <s v="628N"/>
    <s v="BTS 62RR8N"/>
    <s v="5002683"/>
    <s v="628N BTS T20 PB SYSTIVA P100"/>
    <n v="24"/>
    <n v="0"/>
    <n v="24"/>
    <x v="2"/>
    <s v="BL73"/>
    <s v="PRO 100"/>
    <s v="322"/>
    <s v="4.0 UN"/>
    <s v="STANDARD"/>
    <s v="N"/>
    <s v="N"/>
    <s v="N"/>
    <s v="T20"/>
    <s v="Y"/>
    <s v="N"/>
    <s v="Y"/>
    <s v="N"/>
    <s v="B019"/>
    <d v="2017-01-04T00:00:00"/>
    <s v="10"/>
    <s v="TAN"/>
    <s v="OR"/>
    <d v="2016-12-31T00:00:00"/>
    <s v="CO"/>
    <s v="US"/>
    <s v="ZR"/>
    <d v="2017-01-01T00:00:00"/>
  </r>
  <r>
    <x v="1"/>
    <x v="0"/>
    <x v="3427"/>
    <x v="49"/>
    <s v="Standard order"/>
    <x v="3293"/>
    <x v="1318"/>
    <s v="149N"/>
    <s v="BTS 149N"/>
    <s v="5002368"/>
    <s v="149N BTS T20 Kabina RP"/>
    <n v="36"/>
    <n v="0"/>
    <n v="36"/>
    <x v="0"/>
    <s v="EEND"/>
    <s v="RP"/>
    <s v="380"/>
    <s v="4.0 UN"/>
    <s v="STANDARD"/>
    <s v="N"/>
    <s v="N"/>
    <s v="Y"/>
    <s v="T20"/>
    <s v="N"/>
    <s v="N"/>
    <s v="N"/>
    <s v="N"/>
    <s v="B004"/>
    <d v="2017-01-05T00:00:00"/>
    <s v="30"/>
    <s v="TAN"/>
    <s v="OR"/>
    <d v="2017-01-02T00:00:00"/>
    <s v="MI"/>
    <s v="US"/>
    <s v="ZR"/>
    <d v="2017-01-02T00:00:00"/>
  </r>
  <r>
    <x v="1"/>
    <x v="7"/>
    <x v="3428"/>
    <x v="38"/>
    <s v="Standard order"/>
    <x v="3294"/>
    <x v="2680"/>
    <s v="8524"/>
    <s v="BTS 8524"/>
    <s v="5002896"/>
    <s v="8524 BTS T35 PB SYSTIVA RP"/>
    <n v="40"/>
    <n v="0"/>
    <n v="40"/>
    <x v="7"/>
    <s v="FWND"/>
    <s v="RP"/>
    <s v="333"/>
    <s v="4.0 UN"/>
    <s v="STANDARD"/>
    <s v="N"/>
    <s v="Y"/>
    <s v="N"/>
    <s v="T35"/>
    <s v="Y"/>
    <s v="N"/>
    <s v="Y"/>
    <s v="N"/>
    <s v="B031"/>
    <d v="2017-01-05T00:00:00"/>
    <s v="10"/>
    <s v="TAN"/>
    <s v="OR"/>
    <d v="2017-01-02T00:00:00"/>
    <s v="ND"/>
    <s v="US"/>
    <s v="ZR"/>
    <d v="2017-01-02T00:00:00"/>
  </r>
  <r>
    <x v="1"/>
    <x v="0"/>
    <x v="3429"/>
    <x v="49"/>
    <s v="Standard order"/>
    <x v="3295"/>
    <x v="1324"/>
    <s v="1399"/>
    <s v="BTS 1399"/>
    <s v="5002348"/>
    <s v="1399 BTS T20 Kabina RP"/>
    <n v="20"/>
    <n v="0"/>
    <n v="20"/>
    <x v="0"/>
    <s v="EG74"/>
    <s v="RP"/>
    <s v="380"/>
    <s v="4.0 UN"/>
    <s v="STANDARD"/>
    <s v="N"/>
    <s v="N"/>
    <s v="Y"/>
    <s v="T20"/>
    <s v="N"/>
    <s v="N"/>
    <s v="N"/>
    <s v="N"/>
    <s v="B004"/>
    <d v="2017-01-05T00:00:00"/>
    <s v="20"/>
    <s v="TAN"/>
    <s v="OR"/>
    <d v="2017-01-02T00:00:00"/>
    <s v="MI"/>
    <s v="US"/>
    <s v="ZR"/>
    <d v="2017-01-02T00:00:00"/>
  </r>
  <r>
    <x v="1"/>
    <x v="7"/>
    <x v="3430"/>
    <x v="38"/>
    <s v="Standard order"/>
    <x v="3296"/>
    <x v="2681"/>
    <s v="8500"/>
    <s v="BTS 8500"/>
    <s v="5002856"/>
    <s v="8500 BTS T35 PB SYSTIVA RP"/>
    <n v="76"/>
    <n v="0"/>
    <n v="76"/>
    <x v="7"/>
    <s v="FTND"/>
    <s v="RP"/>
    <s v="333"/>
    <s v="4.0 UN"/>
    <s v="STANDARD"/>
    <s v="N"/>
    <s v="Y"/>
    <s v="N"/>
    <s v="T35"/>
    <s v="Y"/>
    <s v="N"/>
    <s v="Y"/>
    <s v="N"/>
    <s v="B031"/>
    <d v="2017-01-06T00:00:00"/>
    <s v="10"/>
    <s v="TAN"/>
    <s v="OR"/>
    <d v="2017-01-03T00:00:00"/>
    <s v="MN"/>
    <s v="US"/>
    <s v="ZR"/>
    <d v="2017-01-03T00:00:00"/>
  </r>
  <r>
    <x v="1"/>
    <x v="7"/>
    <x v="3430"/>
    <x v="38"/>
    <s v="Standard order"/>
    <x v="3296"/>
    <x v="2681"/>
    <s v="8052"/>
    <s v="BTS 80RR52"/>
    <s v="5002735"/>
    <s v="8052 BTS T35 PB SYSTIVA RP"/>
    <n v="76"/>
    <n v="0"/>
    <n v="76"/>
    <x v="7"/>
    <s v="AP82"/>
    <s v="RP"/>
    <s v="333"/>
    <s v="4.0 UN"/>
    <s v="STANDARD"/>
    <s v="N"/>
    <s v="Y"/>
    <s v="N"/>
    <s v="T35"/>
    <s v="Y"/>
    <s v="N"/>
    <s v="Y"/>
    <s v="N"/>
    <s v="B031"/>
    <d v="2017-01-06T00:00:00"/>
    <s v="20"/>
    <s v="TAN"/>
    <s v="OR"/>
    <d v="2017-01-03T00:00:00"/>
    <s v="MN"/>
    <s v="US"/>
    <s v="ZR"/>
    <d v="2017-01-03T00:00:00"/>
  </r>
  <r>
    <x v="1"/>
    <x v="4"/>
    <x v="3431"/>
    <x v="50"/>
    <s v="Standard order"/>
    <x v="3297"/>
    <x v="1166"/>
    <s v="2570"/>
    <s v="BTS 2570"/>
    <s v="5002553"/>
    <s v="2570 BTS PB LRG"/>
    <n v="84"/>
    <n v="0"/>
    <n v="84"/>
    <x v="4"/>
    <s v="EZNS"/>
    <s v="LARGE"/>
    <s v="307"/>
    <s v="4.0 UN"/>
    <s v="STANDARD"/>
    <s v="N"/>
    <s v="Y"/>
    <s v="N"/>
    <s v="N"/>
    <s v="N"/>
    <s v="N"/>
    <s v="N"/>
    <s v="N"/>
    <s v="B047"/>
    <d v="2017-01-06T00:00:00"/>
    <s v="10"/>
    <s v="TAN"/>
    <s v="OR"/>
    <d v="2017-01-03T00:00:00"/>
    <s v="ID"/>
    <s v="US"/>
    <s v="ZR"/>
    <d v="2017-01-03T00:00:00"/>
  </r>
  <r>
    <x v="1"/>
    <x v="0"/>
    <x v="3432"/>
    <x v="55"/>
    <s v="Standard order"/>
    <x v="3298"/>
    <x v="2682"/>
    <s v="1399"/>
    <s v="BTS 1399"/>
    <s v="5002348"/>
    <s v="1399 BTS T20 Kabina RP"/>
    <n v="24"/>
    <n v="0"/>
    <n v="24"/>
    <x v="0"/>
    <s v="EG74"/>
    <s v="RP"/>
    <s v="380"/>
    <s v="4.0 UN"/>
    <s v="STANDARD"/>
    <s v="N"/>
    <s v="N"/>
    <s v="Y"/>
    <s v="T20"/>
    <s v="N"/>
    <s v="N"/>
    <s v="N"/>
    <s v="N"/>
    <s v="B009"/>
    <d v="2017-01-10T00:00:00"/>
    <s v="10"/>
    <s v="TAN"/>
    <s v="OR"/>
    <d v="2017-01-05T00:00:00"/>
    <s v="MI"/>
    <s v="US"/>
    <s v="ZR"/>
    <d v="2017-01-05T00:00:00"/>
  </r>
  <r>
    <x v="1"/>
    <x v="0"/>
    <x v="3433"/>
    <x v="29"/>
    <s v="Standard order"/>
    <x v="3125"/>
    <x v="2583"/>
    <s v="122N"/>
    <s v="BTS 12RR2N"/>
    <s v="5002311"/>
    <s v="122N BTS T20 Kabina RP"/>
    <n v="12"/>
    <n v="0"/>
    <n v="12"/>
    <x v="0"/>
    <s v="4TBG"/>
    <s v="RP"/>
    <s v="380"/>
    <s v="4.0 UN"/>
    <s v="STANDARD"/>
    <s v="N"/>
    <s v="N"/>
    <s v="Y"/>
    <s v="T20"/>
    <s v="N"/>
    <s v="N"/>
    <s v="N"/>
    <s v="N"/>
    <s v="B005"/>
    <d v="2017-01-10T00:00:00"/>
    <s v="10"/>
    <s v="TAN"/>
    <s v="OR"/>
    <d v="2017-01-05T00:00:00"/>
    <s v="MI"/>
    <s v="US"/>
    <s v="ZR"/>
    <d v="2017-01-05T00:00:00"/>
  </r>
  <r>
    <x v="1"/>
    <x v="0"/>
    <x v="3434"/>
    <x v="29"/>
    <s v="Standard order"/>
    <x v="2331"/>
    <x v="2129"/>
    <s v="122N"/>
    <s v="BTS 12RR2N"/>
    <s v="5002310"/>
    <s v="122N BTS T20 Kabina P200"/>
    <n v="16"/>
    <n v="0"/>
    <n v="16"/>
    <x v="0"/>
    <s v="4TBG"/>
    <s v="PRO 200"/>
    <s v="380"/>
    <s v="4.0 UN"/>
    <s v="STANDARD"/>
    <s v="N"/>
    <s v="N"/>
    <s v="Y"/>
    <s v="T20"/>
    <s v="N"/>
    <s v="N"/>
    <s v="N"/>
    <s v="N"/>
    <s v="B005"/>
    <d v="2017-01-10T00:00:00"/>
    <s v="10"/>
    <s v="TAN"/>
    <s v="OR"/>
    <d v="2017-01-05T00:00:00"/>
    <s v="MI"/>
    <s v="US"/>
    <s v="ZR"/>
    <d v="2017-01-05T00:00:00"/>
  </r>
  <r>
    <x v="1"/>
    <x v="2"/>
    <x v="3435"/>
    <x v="27"/>
    <s v="Standard order"/>
    <x v="3299"/>
    <x v="2683"/>
    <s v="64SN"/>
    <s v="BTS 64SN"/>
    <s v="5002422"/>
    <s v="64SN BTS T20 PB SYSTIVA P50"/>
    <n v="40"/>
    <n v="0"/>
    <n v="40"/>
    <x v="2"/>
    <s v="DVNB"/>
    <s v="PRO 50"/>
    <s v="322"/>
    <s v="4.0 UN"/>
    <s v="STANDARD"/>
    <s v="N"/>
    <s v="N"/>
    <s v="N"/>
    <s v="T20"/>
    <s v="Y"/>
    <s v="N"/>
    <s v="Y"/>
    <s v="N"/>
    <s v="B019"/>
    <d v="2017-01-10T00:00:00"/>
    <s v="20"/>
    <s v="TAN"/>
    <s v="OR"/>
    <d v="2017-01-05T00:00:00"/>
    <s v="NE"/>
    <s v="US"/>
    <s v="ZR"/>
    <d v="2017-01-05T00:00:00"/>
  </r>
  <r>
    <x v="1"/>
    <x v="2"/>
    <x v="3436"/>
    <x v="6"/>
    <s v="Standard order"/>
    <x v="3300"/>
    <x v="1285"/>
    <s v="628N"/>
    <s v="BTS 62RR8N"/>
    <s v="5002683"/>
    <s v="628N BTS T20 PB SYSTIVA P100"/>
    <n v="88"/>
    <n v="0"/>
    <n v="88"/>
    <x v="2"/>
    <s v="BL73"/>
    <s v="PRO 100"/>
    <s v="322"/>
    <s v="4.0 UN"/>
    <s v="STANDARD"/>
    <s v="N"/>
    <s v="N"/>
    <s v="N"/>
    <s v="T20"/>
    <s v="Y"/>
    <s v="N"/>
    <s v="Y"/>
    <s v="N"/>
    <s v="B025"/>
    <d v="2017-01-10T00:00:00"/>
    <s v="10"/>
    <s v="TAN"/>
    <s v="OR"/>
    <d v="2017-01-05T00:00:00"/>
    <s v="NE"/>
    <s v="US"/>
    <s v="ZR"/>
    <d v="2017-01-05T00:00:00"/>
  </r>
  <r>
    <x v="1"/>
    <x v="2"/>
    <x v="3436"/>
    <x v="6"/>
    <s v="Standard order"/>
    <x v="3300"/>
    <x v="1285"/>
    <s v="6027"/>
    <s v="BTS 60RR27"/>
    <s v="5002645"/>
    <s v="6027 BTS T20 PB SYSTIVA P100 WSS"/>
    <n v="100"/>
    <n v="0"/>
    <n v="100"/>
    <x v="2"/>
    <s v="APMC"/>
    <s v="PRO 100"/>
    <s v="322"/>
    <s v="4.0 UN"/>
    <s v="STANDARD"/>
    <s v="N"/>
    <s v="N"/>
    <s v="N"/>
    <s v="T20"/>
    <s v="Y"/>
    <s v="N"/>
    <s v="Y"/>
    <s v="N"/>
    <s v="B025"/>
    <d v="2017-01-10T00:00:00"/>
    <s v="20"/>
    <s v="TAN"/>
    <s v="OR"/>
    <d v="2017-01-05T00:00:00"/>
    <s v="NE"/>
    <s v="US"/>
    <s v="ZR"/>
    <d v="2017-01-05T00:00:00"/>
  </r>
  <r>
    <x v="1"/>
    <x v="0"/>
    <x v="3437"/>
    <x v="42"/>
    <s v="Standard order"/>
    <x v="3301"/>
    <x v="2684"/>
    <s v="122N"/>
    <s v="BTS 12RR2N"/>
    <s v="5002309"/>
    <s v="122N BTS T20 Kabina MP"/>
    <n v="52"/>
    <n v="0"/>
    <n v="52"/>
    <x v="0"/>
    <s v="4TBG"/>
    <s v="MP"/>
    <s v="380"/>
    <s v="4.0 UN"/>
    <s v="STANDARD"/>
    <s v="N"/>
    <s v="N"/>
    <s v="Y"/>
    <s v="T20"/>
    <s v="N"/>
    <s v="N"/>
    <s v="N"/>
    <s v="N"/>
    <s v="B007"/>
    <d v="2017-01-11T00:00:00"/>
    <s v="10"/>
    <s v="TAN"/>
    <s v="OR"/>
    <d v="2017-01-07T00:00:00"/>
    <s v="MI"/>
    <s v="US"/>
    <s v="ZR"/>
    <d v="2017-01-07T00:00:00"/>
  </r>
  <r>
    <x v="1"/>
    <x v="7"/>
    <x v="3438"/>
    <x v="36"/>
    <s v="Standard order"/>
    <x v="3302"/>
    <x v="2685"/>
    <s v="8500"/>
    <s v="BTS 8500"/>
    <s v="5002856"/>
    <s v="8500 BTS T35 PB SYSTIVA RP"/>
    <n v="60"/>
    <n v="0"/>
    <n v="60"/>
    <x v="7"/>
    <s v="FTND"/>
    <s v="RP"/>
    <s v="333"/>
    <s v="4.0 UN"/>
    <s v="STANDARD"/>
    <s v="N"/>
    <s v="Y"/>
    <s v="N"/>
    <s v="T35"/>
    <s v="Y"/>
    <s v="N"/>
    <s v="Y"/>
    <s v="N"/>
    <s v="B027"/>
    <d v="2017-01-12T00:00:00"/>
    <s v="10"/>
    <s v="TAN"/>
    <s v="OR"/>
    <d v="2017-01-09T00:00:00"/>
    <s v="MN"/>
    <s v="US"/>
    <s v="ZR"/>
    <d v="2017-01-09T00:00:00"/>
  </r>
  <r>
    <x v="1"/>
    <x v="0"/>
    <x v="3439"/>
    <x v="30"/>
    <s v="Standard order"/>
    <x v="3303"/>
    <x v="2686"/>
    <s v="1399"/>
    <s v="BTS 1399"/>
    <s v="5002348"/>
    <s v="1399 BTS T20 Kabina RP"/>
    <n v="8"/>
    <n v="0"/>
    <n v="8"/>
    <x v="0"/>
    <s v="EG74"/>
    <s v="RP"/>
    <s v="380"/>
    <s v="4.0 UN"/>
    <s v="STANDARD"/>
    <s v="N"/>
    <s v="N"/>
    <s v="Y"/>
    <s v="T20"/>
    <s v="N"/>
    <s v="N"/>
    <s v="N"/>
    <s v="N"/>
    <s v="B001"/>
    <d v="2017-01-12T00:00:00"/>
    <s v="10"/>
    <s v="TAN"/>
    <s v="OR"/>
    <d v="2017-01-09T00:00:00"/>
    <s v="MI"/>
    <s v="US"/>
    <s v="ZR"/>
    <d v="2017-01-09T00:00:00"/>
  </r>
  <r>
    <x v="1"/>
    <x v="4"/>
    <x v="3440"/>
    <x v="53"/>
    <s v="Standard order"/>
    <x v="3304"/>
    <x v="1284"/>
    <s v="2523"/>
    <s v="BTS 2523"/>
    <s v="5002543"/>
    <s v="2523 BTS T20 PB MP"/>
    <n v="52"/>
    <n v="0"/>
    <n v="52"/>
    <x v="4"/>
    <s v="EZPC"/>
    <s v="MP"/>
    <s v="308"/>
    <s v="4.0 UN"/>
    <s v="STANDARD"/>
    <s v="N"/>
    <s v="Y"/>
    <s v="N"/>
    <s v="T20"/>
    <s v="N"/>
    <s v="N"/>
    <s v="N"/>
    <s v="N"/>
    <s v="B051"/>
    <d v="2017-01-13T00:00:00"/>
    <s v="10"/>
    <s v="TAN"/>
    <s v="OR"/>
    <d v="2017-01-10T00:00:00"/>
    <s v="ID"/>
    <s v="US"/>
    <s v="ZR"/>
    <d v="2017-01-10T00:00:00"/>
  </r>
  <r>
    <x v="1"/>
    <x v="0"/>
    <x v="3441"/>
    <x v="45"/>
    <s v="Standard order"/>
    <x v="2149"/>
    <x v="2038"/>
    <s v="122N"/>
    <s v="BTS 12RR2N"/>
    <s v="5002310"/>
    <s v="122N BTS T20 Kabina P200"/>
    <n v="72"/>
    <n v="0"/>
    <n v="72"/>
    <x v="0"/>
    <s v="4TBG"/>
    <s v="PRO 200"/>
    <s v="380"/>
    <s v="4.0 UN"/>
    <s v="STANDARD"/>
    <s v="N"/>
    <s v="N"/>
    <s v="Y"/>
    <s v="T20"/>
    <s v="N"/>
    <s v="N"/>
    <s v="N"/>
    <s v="N"/>
    <s v="B003"/>
    <d v="2017-01-13T00:00:00"/>
    <s v="10"/>
    <s v="TAN"/>
    <s v="OR"/>
    <d v="2017-01-10T00:00:00"/>
    <s v="MI"/>
    <s v="US"/>
    <s v="ZR"/>
    <d v="2017-01-10T00:00:00"/>
  </r>
  <r>
    <x v="1"/>
    <x v="0"/>
    <x v="3442"/>
    <x v="43"/>
    <s v="Standard order"/>
    <x v="3305"/>
    <x v="2687"/>
    <s v="1399"/>
    <s v="BTS 1399"/>
    <s v="5002346"/>
    <s v="1399 BTS T20 Kabina MP"/>
    <n v="12"/>
    <n v="0"/>
    <n v="12"/>
    <x v="0"/>
    <s v="EG74"/>
    <s v="MP"/>
    <s v="380"/>
    <s v="4.0 UN"/>
    <s v="STANDARD"/>
    <s v="N"/>
    <s v="N"/>
    <s v="Y"/>
    <s v="T20"/>
    <s v="N"/>
    <s v="N"/>
    <s v="N"/>
    <s v="N"/>
    <s v="B006"/>
    <d v="2017-01-13T00:00:00"/>
    <s v="10"/>
    <s v="TAN"/>
    <s v="OR"/>
    <d v="2017-01-10T00:00:00"/>
    <s v="MI"/>
    <s v="US"/>
    <s v="ZR"/>
    <d v="2017-01-10T00:00:00"/>
  </r>
  <r>
    <x v="1"/>
    <x v="4"/>
    <x v="3443"/>
    <x v="52"/>
    <s v="Standard order"/>
    <x v="3306"/>
    <x v="1303"/>
    <s v="225N"/>
    <s v="BTS 22RR5N"/>
    <s v="5002106"/>
    <s v="225N BTS PB Kabina LRG"/>
    <n v="20"/>
    <n v="0"/>
    <n v="20"/>
    <x v="4"/>
    <s v="4TBD"/>
    <s v="LARGE"/>
    <s v="384"/>
    <s v="4.0 UN"/>
    <s v="STANDARD"/>
    <s v="N"/>
    <s v="Y"/>
    <s v="Y"/>
    <s v="N"/>
    <s v="N"/>
    <s v="N"/>
    <s v="N"/>
    <s v="N"/>
    <s v="B048"/>
    <d v="2017-01-17T00:00:00"/>
    <s v="10"/>
    <s v="TAN"/>
    <s v="OR"/>
    <d v="2017-01-10T00:00:00"/>
    <s v="ID"/>
    <s v="US"/>
    <s v="ZR"/>
    <d v="2017-01-11T00:00:00"/>
  </r>
  <r>
    <x v="1"/>
    <x v="4"/>
    <x v="3443"/>
    <x v="52"/>
    <s v="Standard order"/>
    <x v="3306"/>
    <x v="1303"/>
    <s v="251N"/>
    <s v="BTS 251N"/>
    <s v="5002503"/>
    <s v="251N BTS PB Kabina LRG"/>
    <n v="32"/>
    <n v="0"/>
    <n v="32"/>
    <x v="4"/>
    <s v="5HBR"/>
    <s v="LARGE"/>
    <s v="384"/>
    <s v="4.0 UN"/>
    <s v="STANDARD"/>
    <s v="N"/>
    <s v="Y"/>
    <s v="Y"/>
    <s v="N"/>
    <s v="N"/>
    <s v="N"/>
    <s v="N"/>
    <s v="N"/>
    <s v="B048"/>
    <d v="2017-01-17T00:00:00"/>
    <s v="20"/>
    <s v="TAN"/>
    <s v="OR"/>
    <d v="2017-01-10T00:00:00"/>
    <s v="ID"/>
    <s v="US"/>
    <s v="ZR"/>
    <d v="2017-01-11T00:00:00"/>
  </r>
  <r>
    <x v="1"/>
    <x v="0"/>
    <x v="3444"/>
    <x v="56"/>
    <s v="Standard order"/>
    <x v="3307"/>
    <x v="2688"/>
    <s v="1399"/>
    <s v="BTS 1399"/>
    <s v="5002338"/>
    <s v="1399 BTS CM Vibrance RP"/>
    <n v="4"/>
    <n v="0"/>
    <n v="4"/>
    <x v="0"/>
    <s v="EG74"/>
    <s v="RP"/>
    <s v="366"/>
    <s v="4.0 UN"/>
    <s v="STANDARD"/>
    <s v="Y"/>
    <s v="N"/>
    <s v="N"/>
    <s v="N"/>
    <s v="N"/>
    <s v="N"/>
    <s v="N"/>
    <s v="Y"/>
    <s v="B010"/>
    <d v="2017-01-17T00:00:00"/>
    <s v="10"/>
    <s v="TAN"/>
    <s v="OR"/>
    <d v="2017-01-11T00:00:00"/>
    <s v="ON"/>
    <s v="CA"/>
    <s v="ZR"/>
    <d v="2017-01-11T00:00:00"/>
  </r>
  <r>
    <x v="1"/>
    <x v="0"/>
    <x v="3445"/>
    <x v="56"/>
    <s v="Standard order"/>
    <x v="3308"/>
    <x v="1206"/>
    <s v="1399"/>
    <s v="BTS 1399"/>
    <s v="5002338"/>
    <s v="1399 BTS CM Vibrance RP"/>
    <n v="24"/>
    <n v="0"/>
    <n v="24"/>
    <x v="0"/>
    <s v="EG74"/>
    <s v="RP"/>
    <s v="366"/>
    <s v="4.0 UN"/>
    <s v="STANDARD"/>
    <s v="Y"/>
    <s v="N"/>
    <s v="N"/>
    <s v="N"/>
    <s v="N"/>
    <s v="N"/>
    <s v="N"/>
    <s v="Y"/>
    <s v="B010"/>
    <d v="2017-01-17T00:00:00"/>
    <s v="10"/>
    <s v="TAN"/>
    <s v="OR"/>
    <d v="2017-01-11T00:00:00"/>
    <s v="ON"/>
    <s v="CA"/>
    <s v="ZR"/>
    <d v="2017-01-11T00:00:00"/>
  </r>
  <r>
    <x v="1"/>
    <x v="0"/>
    <x v="3446"/>
    <x v="29"/>
    <s v="Standard order"/>
    <x v="2524"/>
    <x v="1320"/>
    <s v="122N"/>
    <s v="BTS 12RR2N"/>
    <s v="5002310"/>
    <s v="122N BTS T20 Kabina P200"/>
    <n v="52"/>
    <n v="0"/>
    <n v="52"/>
    <x v="0"/>
    <s v="4TBG"/>
    <s v="PRO 200"/>
    <s v="380"/>
    <s v="4.0 UN"/>
    <s v="STANDARD"/>
    <s v="N"/>
    <s v="N"/>
    <s v="Y"/>
    <s v="T20"/>
    <s v="N"/>
    <s v="N"/>
    <s v="N"/>
    <s v="N"/>
    <s v="B005"/>
    <d v="2017-01-18T00:00:00"/>
    <s v="10"/>
    <s v="TAN"/>
    <s v="OR"/>
    <d v="2017-01-12T00:00:00"/>
    <s v="MI"/>
    <s v="US"/>
    <s v="ZR"/>
    <d v="2017-01-12T00:00:00"/>
  </r>
  <r>
    <x v="1"/>
    <x v="7"/>
    <x v="3447"/>
    <x v="31"/>
    <s v="Standard order"/>
    <x v="3309"/>
    <x v="2689"/>
    <s v="8052"/>
    <s v="BTS 80RR52"/>
    <s v="5002722"/>
    <s v="8052 BTS T20 PB SYSTIVA MP"/>
    <n v="60"/>
    <n v="0"/>
    <n v="60"/>
    <x v="7"/>
    <s v="AP82"/>
    <s v="MP"/>
    <s v="322"/>
    <s v="4.0 UN"/>
    <s v="STANDARD"/>
    <s v="N"/>
    <s v="N"/>
    <s v="N"/>
    <s v="T20"/>
    <s v="Y"/>
    <s v="N"/>
    <s v="Y"/>
    <s v="N"/>
    <s v="B028"/>
    <d v="2017-01-19T00:00:00"/>
    <s v="10"/>
    <s v="TAN"/>
    <s v="OR"/>
    <d v="2017-01-13T00:00:00"/>
    <s v="ND"/>
    <s v="US"/>
    <s v="ZR"/>
    <d v="2017-01-13T00:00:00"/>
  </r>
  <r>
    <x v="1"/>
    <x v="7"/>
    <x v="3447"/>
    <x v="31"/>
    <s v="Standard order"/>
    <x v="3309"/>
    <x v="2689"/>
    <s v="8337"/>
    <s v="BTS 8337"/>
    <s v="5002782"/>
    <s v="8337 BTS T20 PB SYSTIVA MP"/>
    <n v="60"/>
    <n v="0"/>
    <n v="60"/>
    <x v="7"/>
    <s v="DHMC"/>
    <s v="MP"/>
    <s v="322"/>
    <s v="4.0 UN"/>
    <s v="STANDARD"/>
    <s v="N"/>
    <s v="N"/>
    <s v="N"/>
    <s v="T20"/>
    <s v="Y"/>
    <s v="N"/>
    <s v="Y"/>
    <s v="N"/>
    <s v="B028"/>
    <d v="2017-01-19T00:00:00"/>
    <s v="20"/>
    <s v="TAN"/>
    <s v="OR"/>
    <d v="2017-01-13T00:00:00"/>
    <s v="ND"/>
    <s v="US"/>
    <s v="ZR"/>
    <d v="2017-01-13T00:00:00"/>
  </r>
  <r>
    <x v="1"/>
    <x v="2"/>
    <x v="3448"/>
    <x v="3"/>
    <s v="Standard order"/>
    <x v="2955"/>
    <x v="909"/>
    <s v="6027"/>
    <s v="BTS 60RR27"/>
    <s v="5002646"/>
    <s v="6027 BTS T20 PB SYSTIVA P200 WSS"/>
    <n v="64"/>
    <n v="0"/>
    <n v="64"/>
    <x v="2"/>
    <s v="APMC"/>
    <s v="PRO 200"/>
    <s v="322"/>
    <s v="4.0 UN"/>
    <s v="STANDARD"/>
    <s v="N"/>
    <s v="N"/>
    <s v="N"/>
    <s v="T20"/>
    <s v="Y"/>
    <s v="N"/>
    <s v="Y"/>
    <s v="N"/>
    <s v="B024"/>
    <d v="2017-01-19T00:00:00"/>
    <s v="10"/>
    <s v="TAN"/>
    <s v="OR"/>
    <d v="2017-01-16T00:00:00"/>
    <s v="NE"/>
    <s v="US"/>
    <s v="ZR"/>
    <d v="2017-01-16T00:00:00"/>
  </r>
  <r>
    <x v="1"/>
    <x v="7"/>
    <x v="3449"/>
    <x v="36"/>
    <s v="Standard order"/>
    <x v="3310"/>
    <x v="2690"/>
    <s v="8500"/>
    <s v="BTS 8500"/>
    <s v="5002855"/>
    <s v="8500 BTS T35 PB SYSTIVA P200"/>
    <n v="80"/>
    <n v="0"/>
    <n v="80"/>
    <x v="7"/>
    <s v="FTND"/>
    <s v="PRO 200"/>
    <s v="333"/>
    <s v="4.0 UN"/>
    <s v="STANDARD"/>
    <s v="N"/>
    <s v="Y"/>
    <s v="N"/>
    <s v="T35"/>
    <s v="Y"/>
    <s v="N"/>
    <s v="Y"/>
    <s v="N"/>
    <s v="B027"/>
    <d v="2017-01-23T00:00:00"/>
    <s v="10"/>
    <s v="TAN"/>
    <s v="OR"/>
    <d v="2017-01-18T00:00:00"/>
    <s v="MN"/>
    <s v="US"/>
    <s v="ZR"/>
    <d v="2017-01-18T00:00:00"/>
  </r>
  <r>
    <x v="1"/>
    <x v="7"/>
    <x v="3449"/>
    <x v="36"/>
    <s v="Standard order"/>
    <x v="3310"/>
    <x v="2690"/>
    <s v="8512"/>
    <s v="BTS 8512"/>
    <s v="5002875"/>
    <s v="8512 BTS T35 PB SYSTIVA P200"/>
    <n v="40"/>
    <n v="0"/>
    <n v="40"/>
    <x v="7"/>
    <s v="FX73"/>
    <s v="PRO 200"/>
    <s v="333"/>
    <s v="4.0 UN"/>
    <s v="STANDARD"/>
    <s v="N"/>
    <s v="Y"/>
    <s v="N"/>
    <s v="T35"/>
    <s v="Y"/>
    <s v="N"/>
    <s v="Y"/>
    <s v="N"/>
    <s v="B027"/>
    <d v="2017-01-23T00:00:00"/>
    <s v="20"/>
    <s v="TAN"/>
    <s v="OR"/>
    <d v="2017-01-18T00:00:00"/>
    <s v="MN"/>
    <s v="US"/>
    <s v="ZR"/>
    <d v="2017-01-18T00:00:00"/>
  </r>
  <r>
    <x v="1"/>
    <x v="0"/>
    <x v="3450"/>
    <x v="55"/>
    <s v="Standard order"/>
    <x v="2946"/>
    <x v="2485"/>
    <s v="122N"/>
    <s v="BTS 12RR2N"/>
    <s v="5002311"/>
    <s v="122N BTS T20 Kabina RP"/>
    <n v="56"/>
    <n v="0"/>
    <n v="56"/>
    <x v="0"/>
    <s v="4TBG"/>
    <s v="RP"/>
    <s v="380"/>
    <s v="4.0 UN"/>
    <s v="STANDARD"/>
    <s v="N"/>
    <s v="N"/>
    <s v="Y"/>
    <s v="T20"/>
    <s v="N"/>
    <s v="N"/>
    <s v="N"/>
    <s v="N"/>
    <s v="B009"/>
    <d v="2017-01-23T00:00:00"/>
    <s v="10"/>
    <s v="TAN"/>
    <s v="OR"/>
    <d v="2017-01-18T00:00:00"/>
    <s v="MI"/>
    <s v="US"/>
    <s v="ZR"/>
    <d v="2017-01-18T00:00:00"/>
  </r>
  <r>
    <x v="1"/>
    <x v="8"/>
    <x v="3451"/>
    <x v="34"/>
    <s v="Returns Standard SAP"/>
    <x v="1381"/>
    <x v="1376"/>
    <s v="5499"/>
    <s v="BTS 5499"/>
    <s v="5002606"/>
    <s v="5499 P50"/>
    <n v="-2"/>
    <n v="-2"/>
    <n v="0"/>
    <x v="8"/>
    <s v="DRMG"/>
    <s v="PRO 50"/>
    <s v="306"/>
    <s v="4.0 UN"/>
    <s v="STANDARD"/>
    <s v="N"/>
    <s v="N"/>
    <s v="N"/>
    <s v="N"/>
    <s v="N"/>
    <s v="N"/>
    <s v="N"/>
    <s v="N"/>
    <s v=""/>
    <m/>
    <s v="10"/>
    <s v="ZSRE"/>
    <s v="ZSRE"/>
    <d v="2017-01-20T00:00:00"/>
    <s v="CA"/>
    <s v="US"/>
    <s v="ZR"/>
    <d v="2017-01-20T00:00:00"/>
  </r>
  <r>
    <x v="1"/>
    <x v="0"/>
    <x v="3452"/>
    <x v="57"/>
    <s v="Standard order"/>
    <x v="3311"/>
    <x v="2691"/>
    <s v="149N"/>
    <s v="BTS 149N"/>
    <s v="5002368"/>
    <s v="149N BTS T20 Kabina RP"/>
    <n v="32"/>
    <n v="0"/>
    <n v="32"/>
    <x v="0"/>
    <s v="EEND"/>
    <s v="RP"/>
    <s v="380"/>
    <s v="4.0 UN"/>
    <s v="STANDARD"/>
    <s v="N"/>
    <s v="N"/>
    <s v="Y"/>
    <s v="T20"/>
    <s v="N"/>
    <s v="N"/>
    <s v="N"/>
    <s v="N"/>
    <s v="B008"/>
    <d v="2017-01-25T00:00:00"/>
    <s v="10"/>
    <s v="TAN"/>
    <s v="OR"/>
    <d v="2017-01-20T00:00:00"/>
    <s v="MI"/>
    <s v="US"/>
    <s v="ZR"/>
    <d v="2017-01-20T00:00:00"/>
  </r>
  <r>
    <x v="0"/>
    <x v="0"/>
    <x v="3453"/>
    <x v="10"/>
    <s v="Standard order"/>
    <x v="3312"/>
    <x v="1881"/>
    <s v="G515"/>
    <s v="CRYSTAL G515"/>
    <s v="5003012"/>
    <s v="G515 ACH T20 Kabina B48 MP"/>
    <n v="144"/>
    <n v="0"/>
    <n v="144"/>
    <x v="0"/>
    <s v="APND"/>
    <s v="MP"/>
    <s v="387"/>
    <s v="48.0 UN"/>
    <s v="BULK"/>
    <s v="N"/>
    <s v="N"/>
    <s v="Y"/>
    <s v="T20"/>
    <s v="N"/>
    <s v="N"/>
    <s v="N"/>
    <s v="N"/>
    <s v="A036"/>
    <d v="2016-12-02T00:00:00"/>
    <s v="10"/>
    <s v="TAN"/>
    <s v="OR"/>
    <d v="2016-11-29T00:00:00"/>
    <s v="MI"/>
    <s v="US"/>
    <s v="ZR"/>
    <d v="2016-11-29T00:00:00"/>
  </r>
  <r>
    <x v="0"/>
    <x v="0"/>
    <x v="3453"/>
    <x v="10"/>
    <s v="Standard order"/>
    <x v="3312"/>
    <x v="1881"/>
    <s v="R059"/>
    <s v="CRYSTAL RR059"/>
    <s v="5003532"/>
    <s v="R059 ACH T20 SYSTIVA B48 MP"/>
    <n v="624"/>
    <n v="0"/>
    <n v="624"/>
    <x v="0"/>
    <s v="AP73"/>
    <s v="MP"/>
    <s v="328"/>
    <s v="48.0 UN"/>
    <s v="BULK"/>
    <s v="N"/>
    <s v="N"/>
    <s v="N"/>
    <s v="T20"/>
    <s v="Y"/>
    <s v="N"/>
    <s v="Y"/>
    <s v="N"/>
    <s v="A036"/>
    <d v="2016-12-02T00:00:00"/>
    <s v="20"/>
    <s v="TAN"/>
    <s v="OR"/>
    <d v="2016-11-29T00:00:00"/>
    <s v="MI"/>
    <s v="US"/>
    <s v="ZR"/>
    <d v="2016-11-29T00:00:00"/>
  </r>
  <r>
    <x v="0"/>
    <x v="0"/>
    <x v="3454"/>
    <x v="2"/>
    <s v="Standard order"/>
    <x v="3313"/>
    <x v="2692"/>
    <s v="R059"/>
    <s v="CRYSTAL RR059"/>
    <s v="5003531"/>
    <s v="R059 ACH T20 SYSTIVA B48 ELS"/>
    <n v="96"/>
    <n v="0"/>
    <n v="96"/>
    <x v="0"/>
    <s v="AP73"/>
    <s v="ELS"/>
    <s v="328"/>
    <s v="48.0 UN"/>
    <s v="BULK"/>
    <s v="N"/>
    <s v="N"/>
    <s v="N"/>
    <s v="T20"/>
    <s v="Y"/>
    <s v="N"/>
    <s v="Y"/>
    <s v="N"/>
    <s v="A034"/>
    <d v="2016-12-06T00:00:00"/>
    <s v="10"/>
    <s v="TAN"/>
    <s v="OR"/>
    <d v="2016-11-30T00:00:00"/>
    <s v="MI"/>
    <s v="US"/>
    <s v="ZR"/>
    <d v="2016-12-01T00:00:00"/>
  </r>
  <r>
    <x v="0"/>
    <x v="0"/>
    <x v="3454"/>
    <x v="2"/>
    <s v="Standard order"/>
    <x v="3313"/>
    <x v="2692"/>
    <s v="R059"/>
    <s v="CRYSTAL RR059"/>
    <s v="5003522"/>
    <s v="R059 ACH T20 Kabina B48 ELS"/>
    <n v="240"/>
    <n v="0"/>
    <n v="240"/>
    <x v="0"/>
    <s v="AP73"/>
    <s v="ELS"/>
    <s v="387"/>
    <s v="48.0 UN"/>
    <s v="BULK"/>
    <s v="N"/>
    <s v="N"/>
    <s v="Y"/>
    <s v="T20"/>
    <s v="N"/>
    <s v="N"/>
    <s v="N"/>
    <s v="N"/>
    <s v="A034"/>
    <d v="2016-12-06T00:00:00"/>
    <s v="20"/>
    <s v="TAN"/>
    <s v="OR"/>
    <d v="2016-11-30T00:00:00"/>
    <s v="MI"/>
    <s v="US"/>
    <s v="ZR"/>
    <d v="2016-12-01T00:00:00"/>
  </r>
  <r>
    <x v="0"/>
    <x v="0"/>
    <x v="3454"/>
    <x v="2"/>
    <s v="Standard order"/>
    <x v="3313"/>
    <x v="2692"/>
    <s v="G333"/>
    <s v="CRYSTAL G333NT"/>
    <s v="5003370"/>
    <s v="G333 ACH T20 Kabina B48 ELS"/>
    <n v="96"/>
    <n v="0"/>
    <n v="96"/>
    <x v="0"/>
    <s v="EE73"/>
    <s v="ELS"/>
    <s v="387"/>
    <s v="48.0 UN"/>
    <s v="BULK"/>
    <s v="N"/>
    <s v="N"/>
    <s v="Y"/>
    <s v="T20"/>
    <s v="N"/>
    <s v="N"/>
    <s v="N"/>
    <s v="N"/>
    <s v="A034"/>
    <d v="2016-12-06T00:00:00"/>
    <s v="30"/>
    <s v="TAN"/>
    <s v="OR"/>
    <d v="2016-11-30T00:00:00"/>
    <s v="MI"/>
    <s v="US"/>
    <s v="ZR"/>
    <d v="2016-12-01T00:00:00"/>
  </r>
  <r>
    <x v="0"/>
    <x v="0"/>
    <x v="3454"/>
    <x v="2"/>
    <s v="Standard order"/>
    <x v="3313"/>
    <x v="2692"/>
    <s v="G351"/>
    <s v="CRYSTAL G351NT"/>
    <s v="5003390"/>
    <s v="G351 ACH T20 Kabina B48 ELS"/>
    <n v="96"/>
    <n v="0"/>
    <n v="96"/>
    <x v="0"/>
    <s v="DA73"/>
    <s v="ELS"/>
    <s v="387"/>
    <s v="48.0 UN"/>
    <s v="BULK"/>
    <s v="N"/>
    <s v="N"/>
    <s v="Y"/>
    <s v="T20"/>
    <s v="N"/>
    <s v="N"/>
    <s v="N"/>
    <s v="N"/>
    <s v="A034"/>
    <d v="2016-12-06T00:00:00"/>
    <s v="40"/>
    <s v="TAN"/>
    <s v="OR"/>
    <d v="2016-11-30T00:00:00"/>
    <s v="MI"/>
    <s v="US"/>
    <s v="ZR"/>
    <d v="2016-12-01T00:00:00"/>
  </r>
  <r>
    <x v="0"/>
    <x v="0"/>
    <x v="3455"/>
    <x v="2"/>
    <s v="Standard order"/>
    <x v="3314"/>
    <x v="2693"/>
    <s v="R059"/>
    <s v="CRYSTAL RR059"/>
    <s v="5003522"/>
    <s v="R059 ACH T20 Kabina B48 ELS"/>
    <n v="192"/>
    <n v="0"/>
    <n v="192"/>
    <x v="0"/>
    <s v="AP73"/>
    <s v="ELS"/>
    <s v="387"/>
    <s v="48.0 UN"/>
    <s v="BULK"/>
    <s v="N"/>
    <s v="N"/>
    <s v="Y"/>
    <s v="T20"/>
    <s v="N"/>
    <s v="N"/>
    <s v="N"/>
    <s v="N"/>
    <s v="A034"/>
    <d v="2016-12-07T00:00:00"/>
    <s v="10"/>
    <s v="TAN"/>
    <s v="OR"/>
    <d v="2016-12-02T00:00:00"/>
    <s v="MI"/>
    <s v="US"/>
    <s v="ZR"/>
    <d v="2016-12-02T00:00:00"/>
  </r>
  <r>
    <x v="0"/>
    <x v="0"/>
    <x v="312"/>
    <x v="4"/>
    <s v="Standard order"/>
    <x v="297"/>
    <x v="297"/>
    <s v="R059"/>
    <s v="CRYSTAL RR059"/>
    <s v="5003522"/>
    <s v="R059 ACH T20 Kabina B48 ELS"/>
    <n v="192"/>
    <n v="0"/>
    <n v="192"/>
    <x v="0"/>
    <s v="AP73"/>
    <s v="ELS"/>
    <s v="387"/>
    <s v="48.0 UN"/>
    <s v="BULK"/>
    <s v="N"/>
    <s v="N"/>
    <s v="Y"/>
    <s v="T20"/>
    <s v="N"/>
    <s v="N"/>
    <s v="N"/>
    <s v="N"/>
    <s v="A035"/>
    <d v="2016-12-09T00:00:00"/>
    <s v="10"/>
    <s v="TAN"/>
    <s v="OR"/>
    <d v="2016-12-06T00:00:00"/>
    <s v="MI"/>
    <s v="US"/>
    <s v="ZR"/>
    <d v="2016-12-06T00:00:00"/>
  </r>
  <r>
    <x v="0"/>
    <x v="0"/>
    <x v="352"/>
    <x v="4"/>
    <s v="Standard order"/>
    <x v="337"/>
    <x v="337"/>
    <s v="R059"/>
    <s v="CRYSTAL RR059"/>
    <s v="5003522"/>
    <s v="R059 ACH T20 Kabina B48 ELS"/>
    <n v="48"/>
    <n v="0"/>
    <n v="48"/>
    <x v="0"/>
    <s v="AP73"/>
    <s v="ELS"/>
    <s v="387"/>
    <s v="48.0 UN"/>
    <s v="BULK"/>
    <s v="N"/>
    <s v="N"/>
    <s v="Y"/>
    <s v="T20"/>
    <s v="N"/>
    <s v="N"/>
    <s v="N"/>
    <s v="N"/>
    <s v="A035"/>
    <d v="2016-12-12T00:00:00"/>
    <s v="30"/>
    <s v="TAN"/>
    <s v="OR"/>
    <d v="2016-12-07T00:00:00"/>
    <s v="MI"/>
    <s v="US"/>
    <s v="ZR"/>
    <d v="2016-12-07T00:00:00"/>
  </r>
  <r>
    <x v="0"/>
    <x v="0"/>
    <x v="352"/>
    <x v="4"/>
    <s v="Standard order"/>
    <x v="337"/>
    <x v="337"/>
    <s v="G333"/>
    <s v="CRYSTAL G333NT"/>
    <s v="5003370"/>
    <s v="G333 ACH T20 Kabina B48 ELS"/>
    <n v="48"/>
    <n v="0"/>
    <n v="48"/>
    <x v="0"/>
    <s v="EE73"/>
    <s v="ELS"/>
    <s v="387"/>
    <s v="48.0 UN"/>
    <s v="BULK"/>
    <s v="N"/>
    <s v="N"/>
    <s v="Y"/>
    <s v="T20"/>
    <s v="N"/>
    <s v="N"/>
    <s v="N"/>
    <s v="N"/>
    <s v="A035"/>
    <d v="2016-12-12T00:00:00"/>
    <s v="60"/>
    <s v="TAN"/>
    <s v="OR"/>
    <d v="2016-12-07T00:00:00"/>
    <s v="MI"/>
    <s v="US"/>
    <s v="ZR"/>
    <d v="2016-12-07T00:00:00"/>
  </r>
  <r>
    <x v="0"/>
    <x v="0"/>
    <x v="408"/>
    <x v="4"/>
    <s v="Standard order"/>
    <x v="393"/>
    <x v="393"/>
    <s v="R059"/>
    <s v="CRYSTAL RR059"/>
    <s v="5003522"/>
    <s v="R059 ACH T20 Kabina B48 ELS"/>
    <n v="96"/>
    <n v="0"/>
    <n v="96"/>
    <x v="0"/>
    <s v="AP73"/>
    <s v="ELS"/>
    <s v="387"/>
    <s v="48.0 UN"/>
    <s v="BULK"/>
    <s v="N"/>
    <s v="N"/>
    <s v="Y"/>
    <s v="T20"/>
    <s v="N"/>
    <s v="N"/>
    <s v="N"/>
    <s v="N"/>
    <s v="A035"/>
    <d v="2016-12-13T00:00:00"/>
    <s v="10"/>
    <s v="TAN"/>
    <s v="OR"/>
    <d v="2016-12-07T00:00:00"/>
    <s v="MI"/>
    <s v="US"/>
    <s v="ZR"/>
    <d v="2016-12-08T00:00:00"/>
  </r>
  <r>
    <x v="0"/>
    <x v="0"/>
    <x v="408"/>
    <x v="4"/>
    <s v="Standard order"/>
    <x v="393"/>
    <x v="393"/>
    <s v="G351"/>
    <s v="CRYSTAL G351NT"/>
    <s v="5003390"/>
    <s v="G351 ACH T20 Kabina B48 ELS"/>
    <n v="48"/>
    <n v="0"/>
    <n v="48"/>
    <x v="0"/>
    <s v="DA73"/>
    <s v="ELS"/>
    <s v="387"/>
    <s v="48.0 UN"/>
    <s v="BULK"/>
    <s v="N"/>
    <s v="N"/>
    <s v="Y"/>
    <s v="T20"/>
    <s v="N"/>
    <s v="N"/>
    <s v="N"/>
    <s v="N"/>
    <s v="A035"/>
    <d v="2016-12-13T00:00:00"/>
    <s v="20"/>
    <s v="TAN"/>
    <s v="OR"/>
    <d v="2016-12-07T00:00:00"/>
    <s v="MI"/>
    <s v="US"/>
    <s v="ZR"/>
    <d v="2016-12-08T00:00:00"/>
  </r>
  <r>
    <x v="0"/>
    <x v="0"/>
    <x v="555"/>
    <x v="2"/>
    <s v="Standard order"/>
    <x v="539"/>
    <x v="539"/>
    <s v="R059"/>
    <s v="CRYSTAL RR059"/>
    <s v="5003524"/>
    <s v="R059 ACH T20 Kabina B48 RP"/>
    <n v="48"/>
    <n v="0"/>
    <n v="48"/>
    <x v="0"/>
    <s v="AP73"/>
    <s v="RP"/>
    <s v="387"/>
    <s v="48.0 UN"/>
    <s v="BULK"/>
    <s v="N"/>
    <s v="N"/>
    <s v="Y"/>
    <s v="T20"/>
    <s v="N"/>
    <s v="N"/>
    <s v="N"/>
    <s v="N"/>
    <s v="A034"/>
    <d v="2016-12-14T00:00:00"/>
    <s v="10"/>
    <s v="TAN"/>
    <s v="OR"/>
    <d v="2016-12-09T00:00:00"/>
    <s v="MI"/>
    <s v="US"/>
    <s v="ZR"/>
    <d v="2016-12-09T00:00:00"/>
  </r>
  <r>
    <x v="0"/>
    <x v="0"/>
    <x v="555"/>
    <x v="2"/>
    <s v="Standard order"/>
    <x v="539"/>
    <x v="539"/>
    <s v="G333"/>
    <s v="CRYSTAL G333NT"/>
    <s v="5003372"/>
    <s v="G333 ACH T20 Kabina B48 RP"/>
    <n v="240"/>
    <n v="0"/>
    <n v="240"/>
    <x v="0"/>
    <s v="EE73"/>
    <s v="RP"/>
    <s v="387"/>
    <s v="48.0 UN"/>
    <s v="BULK"/>
    <s v="N"/>
    <s v="N"/>
    <s v="Y"/>
    <s v="T20"/>
    <s v="N"/>
    <s v="N"/>
    <s v="N"/>
    <s v="N"/>
    <s v="A034"/>
    <d v="2016-12-14T00:00:00"/>
    <s v="30"/>
    <s v="TAN"/>
    <s v="OR"/>
    <d v="2016-12-09T00:00:00"/>
    <s v="MI"/>
    <s v="US"/>
    <s v="ZR"/>
    <d v="2016-12-09T00:00:00"/>
  </r>
  <r>
    <x v="0"/>
    <x v="0"/>
    <x v="555"/>
    <x v="2"/>
    <s v="Standard order"/>
    <x v="539"/>
    <x v="539"/>
    <s v="G351"/>
    <s v="CRYSTAL G351NT"/>
    <s v="5003392"/>
    <s v="G351 ACH T20 Kabina B48 RP"/>
    <n v="144"/>
    <n v="0"/>
    <n v="144"/>
    <x v="0"/>
    <s v="DA73"/>
    <s v="RP"/>
    <s v="387"/>
    <s v="48.0 UN"/>
    <s v="BULK"/>
    <s v="N"/>
    <s v="N"/>
    <s v="Y"/>
    <s v="T20"/>
    <s v="N"/>
    <s v="N"/>
    <s v="N"/>
    <s v="N"/>
    <s v="A034"/>
    <d v="2016-12-14T00:00:00"/>
    <s v="50"/>
    <s v="TAN"/>
    <s v="OR"/>
    <d v="2016-12-09T00:00:00"/>
    <s v="MI"/>
    <s v="US"/>
    <s v="ZR"/>
    <d v="2016-12-09T00:00:00"/>
  </r>
  <r>
    <x v="0"/>
    <x v="2"/>
    <x v="587"/>
    <x v="24"/>
    <s v="Standard order"/>
    <x v="571"/>
    <x v="571"/>
    <s v="R014"/>
    <s v="CRYSTAL RR014"/>
    <s v="5003089"/>
    <s v="R014 ACH T20 PB SYSTIVA B48 G50"/>
    <n v="288"/>
    <n v="0"/>
    <n v="288"/>
    <x v="2"/>
    <s v="AP82"/>
    <s v="GEM 50"/>
    <s v="324"/>
    <s v="48.0 UN"/>
    <s v="BULK"/>
    <s v="N"/>
    <s v="Y"/>
    <s v="N"/>
    <s v="T20"/>
    <s v="Y"/>
    <s v="N"/>
    <s v="Y"/>
    <s v="N"/>
    <s v="A022"/>
    <d v="2016-12-14T00:00:00"/>
    <s v="10"/>
    <s v="TAN"/>
    <s v="OR"/>
    <d v="2016-12-09T00:00:00"/>
    <s v="CO"/>
    <s v="US"/>
    <s v="ZR"/>
    <d v="2016-12-10T00:00:00"/>
  </r>
  <r>
    <x v="0"/>
    <x v="0"/>
    <x v="3456"/>
    <x v="10"/>
    <s v="Standard order"/>
    <x v="3315"/>
    <x v="2232"/>
    <s v="R059"/>
    <s v="CRYSTAL RR059"/>
    <s v="5003524"/>
    <s v="R059 ACH T20 Kabina B48 RP"/>
    <n v="192"/>
    <n v="0"/>
    <n v="192"/>
    <x v="0"/>
    <s v="AP73"/>
    <s v="RP"/>
    <s v="387"/>
    <s v="48.0 UN"/>
    <s v="BULK"/>
    <s v="N"/>
    <s v="N"/>
    <s v="Y"/>
    <s v="T20"/>
    <s v="N"/>
    <s v="N"/>
    <s v="N"/>
    <s v="N"/>
    <s v="A036"/>
    <d v="2016-12-14T00:00:00"/>
    <s v="30"/>
    <s v="TAN"/>
    <s v="OR"/>
    <d v="2016-12-09T00:00:00"/>
    <s v="MI"/>
    <s v="US"/>
    <s v="ZR"/>
    <d v="2016-12-10T00:00:00"/>
  </r>
  <r>
    <x v="0"/>
    <x v="0"/>
    <x v="3456"/>
    <x v="10"/>
    <s v="Standard order"/>
    <x v="3315"/>
    <x v="2232"/>
    <s v="R059"/>
    <s v="CRYSTAL RR059"/>
    <s v="5003524"/>
    <s v="R059 ACH T20 Kabina B48 RP"/>
    <n v="192"/>
    <n v="0"/>
    <n v="192"/>
    <x v="0"/>
    <s v="AP73"/>
    <s v="RP"/>
    <s v="387"/>
    <s v="48.0 UN"/>
    <s v="BULK"/>
    <s v="N"/>
    <s v="N"/>
    <s v="Y"/>
    <s v="T20"/>
    <s v="N"/>
    <s v="N"/>
    <s v="N"/>
    <s v="N"/>
    <s v="A036"/>
    <d v="2016-12-14T00:00:00"/>
    <s v="20"/>
    <s v="TAN"/>
    <s v="OR"/>
    <d v="2016-12-09T00:00:00"/>
    <s v="MI"/>
    <s v="US"/>
    <s v="ZR"/>
    <d v="2016-12-10T00:00:00"/>
  </r>
  <r>
    <x v="0"/>
    <x v="0"/>
    <x v="701"/>
    <x v="10"/>
    <s v="Standard order"/>
    <x v="685"/>
    <x v="685"/>
    <s v="R059"/>
    <s v="CRYSTAL RR059"/>
    <s v="5003523"/>
    <s v="R059 ACH T20 Kabina B48 MP"/>
    <n v="240"/>
    <n v="0"/>
    <n v="240"/>
    <x v="0"/>
    <s v="AP73"/>
    <s v="MP"/>
    <s v="387"/>
    <s v="48.0 UN"/>
    <s v="BULK"/>
    <s v="N"/>
    <s v="N"/>
    <s v="Y"/>
    <s v="T20"/>
    <s v="N"/>
    <s v="N"/>
    <s v="N"/>
    <s v="N"/>
    <s v="A036"/>
    <d v="2016-12-16T00:00:00"/>
    <s v="10"/>
    <s v="TAN"/>
    <s v="OR"/>
    <d v="2016-12-13T00:00:00"/>
    <s v="MI"/>
    <s v="US"/>
    <s v="ZR"/>
    <d v="2016-12-13T00:00:00"/>
  </r>
  <r>
    <x v="0"/>
    <x v="2"/>
    <x v="3457"/>
    <x v="23"/>
    <s v="Standard order"/>
    <x v="3316"/>
    <x v="2368"/>
    <s v="W322"/>
    <s v="CRYSTAL W322NT"/>
    <s v="5003486"/>
    <s v="W322 ACH T20 PB SYSTIVA B48 G50"/>
    <n v="48"/>
    <n v="0"/>
    <n v="48"/>
    <x v="2"/>
    <s v="EE73"/>
    <s v="GEM 50"/>
    <s v="324"/>
    <s v="48.0 UN"/>
    <s v="BULK"/>
    <s v="N"/>
    <s v="Y"/>
    <s v="N"/>
    <s v="T20"/>
    <s v="Y"/>
    <s v="N"/>
    <s v="Y"/>
    <s v="N"/>
    <s v="A055"/>
    <d v="2016-12-19T00:00:00"/>
    <s v="10"/>
    <s v="TAN"/>
    <s v="OR"/>
    <d v="2016-12-14T00:00:00"/>
    <s v="WY"/>
    <s v="US"/>
    <s v="ZR"/>
    <d v="2016-12-14T00:00:00"/>
  </r>
  <r>
    <x v="0"/>
    <x v="0"/>
    <x v="3458"/>
    <x v="10"/>
    <s v="Standard order"/>
    <x v="3317"/>
    <x v="2694"/>
    <s v="R059"/>
    <s v="CRYSTAL RR059"/>
    <s v="5003524"/>
    <s v="R059 ACH T20 Kabina B48 RP"/>
    <n v="96"/>
    <n v="0"/>
    <n v="96"/>
    <x v="0"/>
    <s v="AP73"/>
    <s v="RP"/>
    <s v="387"/>
    <s v="48.0 UN"/>
    <s v="BULK"/>
    <s v="N"/>
    <s v="N"/>
    <s v="Y"/>
    <s v="T20"/>
    <s v="N"/>
    <s v="N"/>
    <s v="N"/>
    <s v="N"/>
    <s v="A036"/>
    <d v="2016-12-20T00:00:00"/>
    <s v="10"/>
    <s v="TAN"/>
    <s v="OR"/>
    <d v="2016-12-14T00:00:00"/>
    <s v="MI"/>
    <s v="US"/>
    <s v="ZR"/>
    <d v="2016-12-15T00:00:00"/>
  </r>
  <r>
    <x v="0"/>
    <x v="0"/>
    <x v="3458"/>
    <x v="10"/>
    <s v="Standard order"/>
    <x v="3317"/>
    <x v="2694"/>
    <s v="G515"/>
    <s v="CRYSTAL G515"/>
    <s v="5003013"/>
    <s v="G515 ACH T20 Kabina B48 RP"/>
    <n v="96"/>
    <n v="0"/>
    <n v="96"/>
    <x v="0"/>
    <s v="APND"/>
    <s v="RP"/>
    <s v="387"/>
    <s v="48.0 UN"/>
    <s v="BULK"/>
    <s v="N"/>
    <s v="N"/>
    <s v="Y"/>
    <s v="T20"/>
    <s v="N"/>
    <s v="N"/>
    <s v="N"/>
    <s v="N"/>
    <s v="A036"/>
    <d v="2016-12-20T00:00:00"/>
    <s v="20"/>
    <s v="TAN"/>
    <s v="OR"/>
    <d v="2016-12-14T00:00:00"/>
    <s v="MI"/>
    <s v="US"/>
    <s v="ZR"/>
    <d v="2016-12-15T00:00:00"/>
  </r>
  <r>
    <x v="0"/>
    <x v="0"/>
    <x v="870"/>
    <x v="10"/>
    <s v="Standard order"/>
    <x v="852"/>
    <x v="852"/>
    <s v="R059"/>
    <s v="CRYSTAL RR059"/>
    <s v="5003522"/>
    <s v="R059 ACH T20 Kabina B48 ELS"/>
    <n v="48"/>
    <n v="0"/>
    <n v="48"/>
    <x v="0"/>
    <s v="AP73"/>
    <s v="ELS"/>
    <s v="387"/>
    <s v="48.0 UN"/>
    <s v="BULK"/>
    <s v="N"/>
    <s v="N"/>
    <s v="Y"/>
    <s v="T20"/>
    <s v="N"/>
    <s v="N"/>
    <s v="N"/>
    <s v="N"/>
    <s v="A036"/>
    <d v="2016-12-21T00:00:00"/>
    <s v="10"/>
    <s v="TAN"/>
    <s v="OR"/>
    <d v="2016-12-16T00:00:00"/>
    <s v="MI"/>
    <s v="US"/>
    <s v="ZR"/>
    <d v="2016-12-16T00:00:00"/>
  </r>
  <r>
    <x v="0"/>
    <x v="0"/>
    <x v="870"/>
    <x v="10"/>
    <s v="Standard order"/>
    <x v="852"/>
    <x v="852"/>
    <s v="G515"/>
    <s v="CRYSTAL G515"/>
    <s v="5003011"/>
    <s v="G515 ACH T20 Kabina B48 ELS"/>
    <n v="48"/>
    <n v="0"/>
    <n v="48"/>
    <x v="0"/>
    <s v="APND"/>
    <s v="ELS"/>
    <s v="387"/>
    <s v="48.0 UN"/>
    <s v="BULK"/>
    <s v="N"/>
    <s v="N"/>
    <s v="Y"/>
    <s v="T20"/>
    <s v="N"/>
    <s v="N"/>
    <s v="N"/>
    <s v="N"/>
    <s v="A036"/>
    <d v="2016-12-21T00:00:00"/>
    <s v="20"/>
    <s v="TAN"/>
    <s v="OR"/>
    <d v="2016-12-16T00:00:00"/>
    <s v="MI"/>
    <s v="US"/>
    <s v="ZR"/>
    <d v="2016-12-16T00:00:00"/>
  </r>
  <r>
    <x v="0"/>
    <x v="2"/>
    <x v="976"/>
    <x v="6"/>
    <s v="Standard order"/>
    <x v="957"/>
    <x v="957"/>
    <s v="W322"/>
    <s v="CRYSTAL W322NT"/>
    <s v="5003485"/>
    <s v="W322 ACH T20 PB SYSTIVA B48 G100"/>
    <n v="96"/>
    <n v="0"/>
    <n v="96"/>
    <x v="2"/>
    <s v="EE73"/>
    <s v="GEM 100"/>
    <s v="324"/>
    <s v="48.0 UN"/>
    <s v="BULK"/>
    <s v="N"/>
    <s v="Y"/>
    <s v="N"/>
    <s v="T20"/>
    <s v="Y"/>
    <s v="N"/>
    <s v="Y"/>
    <s v="N"/>
    <s v="A025"/>
    <d v="2016-12-23T00:00:00"/>
    <s v="10"/>
    <s v="TAN"/>
    <s v="OR"/>
    <d v="2016-12-19T00:00:00"/>
    <s v="NE"/>
    <s v="US"/>
    <s v="ZR"/>
    <d v="2016-12-20T00:00:00"/>
  </r>
  <r>
    <x v="0"/>
    <x v="2"/>
    <x v="976"/>
    <x v="6"/>
    <s v="Standard order"/>
    <x v="957"/>
    <x v="957"/>
    <s v="R014"/>
    <s v="CRYSTAL RR014"/>
    <s v="5003088"/>
    <s v="R014 ACH T20 PB SYSTIVA B48 G100"/>
    <n v="288"/>
    <n v="0"/>
    <n v="288"/>
    <x v="2"/>
    <s v="AP82"/>
    <s v="GEM 100"/>
    <s v="324"/>
    <s v="48.0 UN"/>
    <s v="BULK"/>
    <s v="N"/>
    <s v="Y"/>
    <s v="N"/>
    <s v="T20"/>
    <s v="Y"/>
    <s v="N"/>
    <s v="Y"/>
    <s v="N"/>
    <s v="A025"/>
    <d v="2016-12-23T00:00:00"/>
    <s v="30"/>
    <s v="TAN"/>
    <s v="OR"/>
    <d v="2016-12-19T00:00:00"/>
    <s v="NE"/>
    <s v="US"/>
    <s v="ZR"/>
    <d v="2016-12-20T00:00:00"/>
  </r>
  <r>
    <x v="0"/>
    <x v="0"/>
    <x v="1041"/>
    <x v="10"/>
    <s v="Standard order"/>
    <x v="1022"/>
    <x v="1022"/>
    <s v="R059"/>
    <s v="CRYSTAL RR059"/>
    <s v="5003524"/>
    <s v="R059 ACH T20 Kabina B48 RP"/>
    <n v="288"/>
    <n v="0"/>
    <n v="288"/>
    <x v="0"/>
    <s v="AP73"/>
    <s v="RP"/>
    <s v="387"/>
    <s v="48.0 UN"/>
    <s v="BULK"/>
    <s v="N"/>
    <s v="N"/>
    <s v="Y"/>
    <s v="T20"/>
    <s v="N"/>
    <s v="N"/>
    <s v="N"/>
    <s v="N"/>
    <s v="A036"/>
    <d v="2016-12-26T00:00:00"/>
    <s v="10"/>
    <s v="TAN"/>
    <s v="OR"/>
    <d v="2016-12-21T00:00:00"/>
    <s v="MI"/>
    <s v="US"/>
    <s v="ZR"/>
    <d v="2016-12-21T00:00:00"/>
  </r>
  <r>
    <x v="0"/>
    <x v="0"/>
    <x v="1041"/>
    <x v="10"/>
    <s v="Standard order"/>
    <x v="1022"/>
    <x v="1022"/>
    <s v="G333"/>
    <s v="CRYSTAL G333NT"/>
    <s v="5003372"/>
    <s v="G333 ACH T20 Kabina B48 RP"/>
    <n v="288"/>
    <n v="0"/>
    <n v="288"/>
    <x v="0"/>
    <s v="EE73"/>
    <s v="RP"/>
    <s v="387"/>
    <s v="48.0 UN"/>
    <s v="BULK"/>
    <s v="N"/>
    <s v="N"/>
    <s v="Y"/>
    <s v="T20"/>
    <s v="N"/>
    <s v="N"/>
    <s v="N"/>
    <s v="N"/>
    <s v="A036"/>
    <d v="2016-12-26T00:00:00"/>
    <s v="30"/>
    <s v="TAN"/>
    <s v="OR"/>
    <d v="2016-12-21T00:00:00"/>
    <s v="MI"/>
    <s v="US"/>
    <s v="ZR"/>
    <d v="2016-12-21T00:00:00"/>
  </r>
  <r>
    <x v="0"/>
    <x v="0"/>
    <x v="1048"/>
    <x v="10"/>
    <s v="Standard order"/>
    <x v="1029"/>
    <x v="1029"/>
    <s v="R059"/>
    <s v="CRYSTAL RR059"/>
    <s v="5003524"/>
    <s v="R059 ACH T20 Kabina B48 RP"/>
    <n v="48"/>
    <n v="0"/>
    <n v="48"/>
    <x v="0"/>
    <s v="AP73"/>
    <s v="RP"/>
    <s v="387"/>
    <s v="48.0 UN"/>
    <s v="BULK"/>
    <s v="N"/>
    <s v="N"/>
    <s v="Y"/>
    <s v="T20"/>
    <s v="N"/>
    <s v="N"/>
    <s v="N"/>
    <s v="N"/>
    <s v="A036"/>
    <d v="2016-12-26T00:00:00"/>
    <s v="10"/>
    <s v="TAN"/>
    <s v="OR"/>
    <d v="2016-12-20T00:00:00"/>
    <s v="MI"/>
    <s v="US"/>
    <s v="ZR"/>
    <d v="2016-12-21T00:00:00"/>
  </r>
  <r>
    <x v="0"/>
    <x v="0"/>
    <x v="3459"/>
    <x v="10"/>
    <s v="Standard order"/>
    <x v="3318"/>
    <x v="2695"/>
    <s v="G333"/>
    <s v="CRYSTAL G333NT"/>
    <s v="5003371"/>
    <s v="G333 ACH T20 Kabina B48 MP"/>
    <n v="96"/>
    <n v="0"/>
    <n v="96"/>
    <x v="0"/>
    <s v="EE73"/>
    <s v="MP"/>
    <s v="387"/>
    <s v="48.0 UN"/>
    <s v="BULK"/>
    <s v="N"/>
    <s v="N"/>
    <s v="Y"/>
    <s v="T20"/>
    <s v="N"/>
    <s v="N"/>
    <s v="N"/>
    <s v="N"/>
    <s v="A036"/>
    <d v="2016-12-30T00:00:00"/>
    <s v="10"/>
    <s v="TAN"/>
    <s v="OR"/>
    <d v="2016-12-27T00:00:00"/>
    <s v="MI"/>
    <s v="US"/>
    <s v="ZR"/>
    <d v="2016-12-27T00:00:00"/>
  </r>
  <r>
    <x v="0"/>
    <x v="2"/>
    <x v="1197"/>
    <x v="23"/>
    <s v="Standard order"/>
    <x v="1173"/>
    <x v="1172"/>
    <s v="R014"/>
    <s v="CRYSTAL RR014"/>
    <s v="5003089"/>
    <s v="R014 ACH T20 PB SYSTIVA B48 G50"/>
    <n v="48"/>
    <n v="0"/>
    <n v="48"/>
    <x v="2"/>
    <s v="AP82"/>
    <s v="GEM 50"/>
    <s v="324"/>
    <s v="48.0 UN"/>
    <s v="BULK"/>
    <s v="N"/>
    <s v="Y"/>
    <s v="N"/>
    <s v="T20"/>
    <s v="Y"/>
    <s v="N"/>
    <s v="Y"/>
    <s v="N"/>
    <s v="A055"/>
    <d v="2017-01-02T00:00:00"/>
    <s v="10"/>
    <s v="TAN"/>
    <s v="OR"/>
    <d v="2016-12-28T00:00:00"/>
    <s v="WY"/>
    <s v="US"/>
    <s v="ZR"/>
    <d v="2016-12-28T00:00:00"/>
  </r>
  <r>
    <x v="0"/>
    <x v="2"/>
    <x v="1197"/>
    <x v="23"/>
    <s v="Standard order"/>
    <x v="1173"/>
    <x v="1172"/>
    <s v="R272"/>
    <s v="CRYSTAL RR272"/>
    <s v="5003627"/>
    <s v="R272 ACH T20 PB SYSTIVA B48 G50"/>
    <n v="48"/>
    <n v="0"/>
    <n v="48"/>
    <x v="2"/>
    <s v="DG73"/>
    <s v="GEM 50"/>
    <s v="324"/>
    <s v="48.0 UN"/>
    <s v="BULK"/>
    <s v="N"/>
    <s v="Y"/>
    <s v="N"/>
    <s v="T20"/>
    <s v="Y"/>
    <s v="N"/>
    <s v="Y"/>
    <s v="N"/>
    <s v="A055"/>
    <d v="2017-01-02T00:00:00"/>
    <s v="20"/>
    <s v="TAN"/>
    <s v="OR"/>
    <d v="2016-12-28T00:00:00"/>
    <s v="WY"/>
    <s v="US"/>
    <s v="ZR"/>
    <d v="2016-12-28T00:00:00"/>
  </r>
  <r>
    <x v="0"/>
    <x v="0"/>
    <x v="3460"/>
    <x v="4"/>
    <s v="Standard order"/>
    <x v="3319"/>
    <x v="2659"/>
    <s v="R059"/>
    <s v="CRYSTAL RR059"/>
    <s v="5003522"/>
    <s v="R059 ACH T20 Kabina B48 ELS"/>
    <n v="96"/>
    <n v="0"/>
    <n v="96"/>
    <x v="0"/>
    <s v="AP73"/>
    <s v="ELS"/>
    <s v="387"/>
    <s v="48.0 UN"/>
    <s v="BULK"/>
    <s v="N"/>
    <s v="N"/>
    <s v="Y"/>
    <s v="T20"/>
    <s v="N"/>
    <s v="N"/>
    <s v="N"/>
    <s v="N"/>
    <s v="A035"/>
    <d v="2017-01-03T00:00:00"/>
    <s v="10"/>
    <s v="TAN"/>
    <s v="OR"/>
    <d v="2016-12-29T00:00:00"/>
    <s v="MI"/>
    <s v="US"/>
    <s v="ZR"/>
    <d v="2016-12-29T00:00:00"/>
  </r>
  <r>
    <x v="0"/>
    <x v="0"/>
    <x v="3460"/>
    <x v="4"/>
    <s v="Standard order"/>
    <x v="3319"/>
    <x v="2659"/>
    <s v="G351"/>
    <s v="CRYSTAL G351NT"/>
    <s v="5003390"/>
    <s v="G351 ACH T20 Kabina B48 ELS"/>
    <n v="48"/>
    <n v="0"/>
    <n v="48"/>
    <x v="0"/>
    <s v="DA73"/>
    <s v="ELS"/>
    <s v="387"/>
    <s v="48.0 UN"/>
    <s v="BULK"/>
    <s v="N"/>
    <s v="N"/>
    <s v="Y"/>
    <s v="T20"/>
    <s v="N"/>
    <s v="N"/>
    <s v="N"/>
    <s v="N"/>
    <s v="A035"/>
    <d v="2017-01-03T00:00:00"/>
    <s v="20"/>
    <s v="TAN"/>
    <s v="OR"/>
    <d v="2016-12-29T00:00:00"/>
    <s v="MI"/>
    <s v="US"/>
    <s v="ZR"/>
    <d v="2016-12-29T00:00:00"/>
  </r>
  <r>
    <x v="0"/>
    <x v="0"/>
    <x v="1235"/>
    <x v="4"/>
    <s v="Standard order"/>
    <x v="1210"/>
    <x v="1209"/>
    <s v="R059"/>
    <s v="CRYSTAL RR059"/>
    <s v="5003522"/>
    <s v="R059 ACH T20 Kabina B48 ELS"/>
    <n v="96"/>
    <n v="0"/>
    <n v="96"/>
    <x v="0"/>
    <s v="AP73"/>
    <s v="ELS"/>
    <s v="387"/>
    <s v="48.0 UN"/>
    <s v="BULK"/>
    <s v="N"/>
    <s v="N"/>
    <s v="Y"/>
    <s v="T20"/>
    <s v="N"/>
    <s v="N"/>
    <s v="N"/>
    <s v="N"/>
    <s v="A035"/>
    <d v="2017-01-03T00:00:00"/>
    <s v="10"/>
    <s v="TAN"/>
    <s v="OR"/>
    <d v="2016-12-29T00:00:00"/>
    <s v="MI"/>
    <s v="US"/>
    <s v="ZR"/>
    <d v="2016-12-29T00:00:00"/>
  </r>
  <r>
    <x v="0"/>
    <x v="2"/>
    <x v="3461"/>
    <x v="27"/>
    <s v="Standard order"/>
    <x v="3320"/>
    <x v="2663"/>
    <s v="R014"/>
    <s v="CRYSTAL RR014"/>
    <s v="5003088"/>
    <s v="R014 ACH T20 PB SYSTIVA B48 G100"/>
    <n v="144"/>
    <n v="0"/>
    <n v="144"/>
    <x v="2"/>
    <s v="AP82"/>
    <s v="GEM 100"/>
    <s v="324"/>
    <s v="48.0 UN"/>
    <s v="BULK"/>
    <s v="N"/>
    <s v="Y"/>
    <s v="N"/>
    <s v="T20"/>
    <s v="Y"/>
    <s v="N"/>
    <s v="Y"/>
    <s v="N"/>
    <s v="A019"/>
    <d v="2017-01-04T00:00:00"/>
    <s v="10"/>
    <s v="TAN"/>
    <s v="OR"/>
    <d v="2016-12-29T00:00:00"/>
    <s v="CO"/>
    <s v="US"/>
    <s v="ZR"/>
    <d v="2016-12-30T00:00:00"/>
  </r>
  <r>
    <x v="0"/>
    <x v="2"/>
    <x v="3461"/>
    <x v="27"/>
    <s v="Standard order"/>
    <x v="3320"/>
    <x v="2663"/>
    <s v="W322"/>
    <s v="CRYSTAL W322NT"/>
    <s v="5003485"/>
    <s v="W322 ACH T20 PB SYSTIVA B48 G100"/>
    <n v="96"/>
    <n v="0"/>
    <n v="96"/>
    <x v="2"/>
    <s v="EE73"/>
    <s v="GEM 100"/>
    <s v="324"/>
    <s v="48.0 UN"/>
    <s v="BULK"/>
    <s v="N"/>
    <s v="Y"/>
    <s v="N"/>
    <s v="T20"/>
    <s v="Y"/>
    <s v="N"/>
    <s v="Y"/>
    <s v="N"/>
    <s v="A019"/>
    <d v="2017-01-04T00:00:00"/>
    <s v="20"/>
    <s v="TAN"/>
    <s v="OR"/>
    <d v="2016-12-29T00:00:00"/>
    <s v="CO"/>
    <s v="US"/>
    <s v="ZR"/>
    <d v="2016-12-30T00:00:00"/>
  </r>
  <r>
    <x v="0"/>
    <x v="2"/>
    <x v="3462"/>
    <x v="27"/>
    <s v="Standard order"/>
    <x v="3321"/>
    <x v="2683"/>
    <s v="R272"/>
    <s v="CRYSTAL RR272"/>
    <s v="5003627"/>
    <s v="R272 ACH T20 PB SYSTIVA B48 G50"/>
    <n v="192"/>
    <n v="0"/>
    <n v="192"/>
    <x v="2"/>
    <s v="DG73"/>
    <s v="GEM 50"/>
    <s v="324"/>
    <s v="48.0 UN"/>
    <s v="BULK"/>
    <s v="N"/>
    <s v="Y"/>
    <s v="N"/>
    <s v="T20"/>
    <s v="Y"/>
    <s v="N"/>
    <s v="Y"/>
    <s v="N"/>
    <s v="A019"/>
    <d v="2017-01-04T00:00:00"/>
    <s v="40"/>
    <s v="TAN"/>
    <s v="OR"/>
    <d v="2016-12-29T00:00:00"/>
    <s v="NE"/>
    <s v="US"/>
    <s v="ZR"/>
    <d v="2016-12-30T00:00:00"/>
  </r>
  <r>
    <x v="0"/>
    <x v="2"/>
    <x v="3462"/>
    <x v="27"/>
    <s v="Standard order"/>
    <x v="3321"/>
    <x v="2683"/>
    <s v="W322"/>
    <s v="CRYSTAL W322NT"/>
    <s v="5003486"/>
    <s v="W322 ACH T20 PB SYSTIVA B48 G50"/>
    <n v="96"/>
    <n v="0"/>
    <n v="96"/>
    <x v="2"/>
    <s v="EE73"/>
    <s v="GEM 50"/>
    <s v="324"/>
    <s v="48.0 UN"/>
    <s v="BULK"/>
    <s v="N"/>
    <s v="Y"/>
    <s v="N"/>
    <s v="T20"/>
    <s v="Y"/>
    <s v="N"/>
    <s v="Y"/>
    <s v="N"/>
    <s v="A019"/>
    <d v="2017-01-04T00:00:00"/>
    <s v="50"/>
    <s v="TAN"/>
    <s v="OR"/>
    <d v="2016-12-29T00:00:00"/>
    <s v="NE"/>
    <s v="US"/>
    <s v="ZR"/>
    <d v="2016-12-30T00:00:00"/>
  </r>
  <r>
    <x v="0"/>
    <x v="2"/>
    <x v="3462"/>
    <x v="27"/>
    <s v="Standard order"/>
    <x v="3321"/>
    <x v="2683"/>
    <s v="R014"/>
    <s v="CRYSTAL RR014"/>
    <s v="5003089"/>
    <s v="R014 ACH T20 PB SYSTIVA B48 G50"/>
    <n v="96"/>
    <n v="0"/>
    <n v="96"/>
    <x v="2"/>
    <s v="AP82"/>
    <s v="GEM 50"/>
    <s v="324"/>
    <s v="48.0 UN"/>
    <s v="BULK"/>
    <s v="N"/>
    <s v="Y"/>
    <s v="N"/>
    <s v="T20"/>
    <s v="Y"/>
    <s v="N"/>
    <s v="Y"/>
    <s v="N"/>
    <s v="A019"/>
    <d v="2017-01-04T00:00:00"/>
    <s v="60"/>
    <s v="TAN"/>
    <s v="OR"/>
    <d v="2016-12-29T00:00:00"/>
    <s v="NE"/>
    <s v="US"/>
    <s v="ZR"/>
    <d v="2016-12-30T00:00:00"/>
  </r>
  <r>
    <x v="0"/>
    <x v="0"/>
    <x v="1339"/>
    <x v="4"/>
    <s v="Standard order"/>
    <x v="1312"/>
    <x v="1311"/>
    <s v="R059"/>
    <s v="CRYSTAL RR059"/>
    <s v="5003522"/>
    <s v="R059 ACH T20 Kabina B48 ELS"/>
    <n v="96"/>
    <n v="0"/>
    <n v="96"/>
    <x v="0"/>
    <s v="AP73"/>
    <s v="ELS"/>
    <s v="387"/>
    <s v="48.0 UN"/>
    <s v="BULK"/>
    <s v="N"/>
    <s v="N"/>
    <s v="Y"/>
    <s v="T20"/>
    <s v="N"/>
    <s v="N"/>
    <s v="N"/>
    <s v="N"/>
    <s v="A035"/>
    <d v="2017-01-18T00:00:00"/>
    <s v="10"/>
    <s v="TAN"/>
    <s v="OR"/>
    <d v="2017-01-11T00:00:00"/>
    <s v="MI"/>
    <s v="US"/>
    <s v="ZR"/>
    <d v="2017-01-12T00:00:00"/>
  </r>
  <r>
    <x v="0"/>
    <x v="0"/>
    <x v="1339"/>
    <x v="4"/>
    <s v="Standard order"/>
    <x v="1312"/>
    <x v="1311"/>
    <s v="G333"/>
    <s v="CRYSTAL G333NT"/>
    <s v="5003370"/>
    <s v="G333 ACH T20 Kabina B48 ELS"/>
    <n v="96"/>
    <n v="0"/>
    <n v="96"/>
    <x v="0"/>
    <s v="EE73"/>
    <s v="ELS"/>
    <s v="387"/>
    <s v="48.0 UN"/>
    <s v="BULK"/>
    <s v="N"/>
    <s v="N"/>
    <s v="Y"/>
    <s v="T20"/>
    <s v="N"/>
    <s v="N"/>
    <s v="N"/>
    <s v="N"/>
    <s v="A035"/>
    <d v="2017-01-18T00:00:00"/>
    <s v="20"/>
    <s v="TAN"/>
    <s v="OR"/>
    <d v="2017-01-11T00:00:00"/>
    <s v="MI"/>
    <s v="US"/>
    <s v="ZR"/>
    <d v="2017-01-12T00:00:00"/>
  </r>
  <r>
    <x v="1"/>
    <x v="0"/>
    <x v="3463"/>
    <x v="45"/>
    <s v="Standard order"/>
    <x v="3322"/>
    <x v="2692"/>
    <s v="1399"/>
    <s v="BTS 1399"/>
    <s v="5002342"/>
    <s v="1399 BTS T20 Kabina B48 P200"/>
    <n v="336"/>
    <n v="0"/>
    <n v="336"/>
    <x v="0"/>
    <s v="EG74"/>
    <s v="PRO 200"/>
    <s v="380"/>
    <s v="48.0 UN"/>
    <s v="BULK"/>
    <s v="N"/>
    <s v="N"/>
    <s v="Y"/>
    <s v="T20"/>
    <s v="N"/>
    <s v="N"/>
    <s v="N"/>
    <s v="N"/>
    <s v="B003"/>
    <d v="2016-11-30T00:00:00"/>
    <s v="10"/>
    <s v="TAN"/>
    <s v="OR"/>
    <d v="2016-11-25T00:00:00"/>
    <s v="MI"/>
    <s v="US"/>
    <s v="ZR"/>
    <d v="2016-11-25T00:00:00"/>
  </r>
  <r>
    <x v="1"/>
    <x v="0"/>
    <x v="2023"/>
    <x v="29"/>
    <s v="Standard order"/>
    <x v="1910"/>
    <x v="1881"/>
    <s v="1399"/>
    <s v="BTS 1399"/>
    <s v="5002341"/>
    <s v="1399 BTS T20 Kabina B48 MP"/>
    <n v="576"/>
    <n v="0"/>
    <n v="576"/>
    <x v="0"/>
    <s v="EG74"/>
    <s v="MP"/>
    <s v="380"/>
    <s v="48.0 UN"/>
    <s v="BULK"/>
    <s v="N"/>
    <s v="N"/>
    <s v="Y"/>
    <s v="T20"/>
    <s v="N"/>
    <s v="N"/>
    <s v="N"/>
    <s v="N"/>
    <s v="B005"/>
    <d v="2016-12-05T00:00:00"/>
    <s v="30"/>
    <s v="TAN"/>
    <s v="OR"/>
    <d v="2016-11-30T00:00:00"/>
    <s v="MI"/>
    <s v="US"/>
    <s v="ZR"/>
    <d v="2016-11-30T00:00:00"/>
  </r>
  <r>
    <x v="1"/>
    <x v="0"/>
    <x v="2138"/>
    <x v="42"/>
    <s v="Standard order"/>
    <x v="2020"/>
    <x v="1964"/>
    <s v="149N"/>
    <s v="BTS 149N"/>
    <s v="5002363"/>
    <s v="149N BTS T20 Kabina B48 RP"/>
    <n v="144"/>
    <n v="0"/>
    <n v="144"/>
    <x v="0"/>
    <s v="EEND"/>
    <s v="RP"/>
    <s v="380"/>
    <s v="48.0 UN"/>
    <s v="BULK"/>
    <s v="N"/>
    <s v="N"/>
    <s v="Y"/>
    <s v="T20"/>
    <s v="N"/>
    <s v="N"/>
    <s v="N"/>
    <s v="N"/>
    <s v="B007"/>
    <d v="2016-12-06T00:00:00"/>
    <s v="20"/>
    <s v="TAN"/>
    <s v="OR"/>
    <d v="2016-11-30T00:00:00"/>
    <s v="MI"/>
    <s v="US"/>
    <s v="ZR"/>
    <d v="2016-12-01T00:00:00"/>
  </r>
  <r>
    <x v="1"/>
    <x v="0"/>
    <x v="3464"/>
    <x v="42"/>
    <s v="Standard order"/>
    <x v="3323"/>
    <x v="2696"/>
    <s v="1399"/>
    <s v="BTS 1399"/>
    <s v="5002341"/>
    <s v="1399 BTS T20 Kabina B48 MP"/>
    <n v="192"/>
    <n v="0"/>
    <n v="192"/>
    <x v="0"/>
    <s v="EG74"/>
    <s v="MP"/>
    <s v="380"/>
    <s v="48.0 UN"/>
    <s v="BULK"/>
    <s v="N"/>
    <s v="N"/>
    <s v="Y"/>
    <s v="T20"/>
    <s v="N"/>
    <s v="N"/>
    <s v="N"/>
    <s v="N"/>
    <s v="B007"/>
    <d v="2016-12-06T00:00:00"/>
    <s v="10"/>
    <s v="TAN"/>
    <s v="OR"/>
    <d v="2016-11-30T00:00:00"/>
    <s v="MI"/>
    <s v="US"/>
    <s v="ZR"/>
    <d v="2016-12-01T00:00:00"/>
  </r>
  <r>
    <x v="1"/>
    <x v="0"/>
    <x v="3465"/>
    <x v="43"/>
    <s v="Standard order"/>
    <x v="3324"/>
    <x v="2697"/>
    <s v="122N"/>
    <s v="BTS 12RR2N"/>
    <s v="5002305"/>
    <s v="122N BTS T20 Kabina B48 P200"/>
    <n v="144"/>
    <n v="0"/>
    <n v="144"/>
    <x v="0"/>
    <s v="4TBG"/>
    <s v="PRO 200"/>
    <s v="380"/>
    <s v="48.0 UN"/>
    <s v="BULK"/>
    <s v="N"/>
    <s v="N"/>
    <s v="Y"/>
    <s v="T20"/>
    <s v="N"/>
    <s v="N"/>
    <s v="N"/>
    <s v="N"/>
    <s v="B006"/>
    <d v="2016-12-07T00:00:00"/>
    <s v="10"/>
    <s v="TAN"/>
    <s v="OR"/>
    <d v="2016-12-03T00:00:00"/>
    <s v="MI"/>
    <s v="US"/>
    <s v="ZR"/>
    <d v="2016-12-03T00:00:00"/>
  </r>
  <r>
    <x v="1"/>
    <x v="0"/>
    <x v="3465"/>
    <x v="43"/>
    <s v="Standard order"/>
    <x v="3324"/>
    <x v="2697"/>
    <s v="149N"/>
    <s v="BTS 149N"/>
    <s v="5002362"/>
    <s v="149N BTS T20 Kabina B48 P200"/>
    <n v="96"/>
    <n v="0"/>
    <n v="96"/>
    <x v="0"/>
    <s v="EEND"/>
    <s v="PRO 200"/>
    <s v="380"/>
    <s v="48.0 UN"/>
    <s v="BULK"/>
    <s v="N"/>
    <s v="N"/>
    <s v="Y"/>
    <s v="T20"/>
    <s v="N"/>
    <s v="N"/>
    <s v="N"/>
    <s v="N"/>
    <s v="B006"/>
    <d v="2016-12-07T00:00:00"/>
    <s v="20"/>
    <s v="TAN"/>
    <s v="OR"/>
    <d v="2016-12-03T00:00:00"/>
    <s v="MI"/>
    <s v="US"/>
    <s v="ZR"/>
    <d v="2016-12-03T00:00:00"/>
  </r>
  <r>
    <x v="1"/>
    <x v="0"/>
    <x v="2245"/>
    <x v="42"/>
    <s v="Standard order"/>
    <x v="2125"/>
    <x v="685"/>
    <s v="122N"/>
    <s v="BTS 12RR2N"/>
    <s v="5002304"/>
    <s v="122N BTS T20 Kabina B48 MP"/>
    <n v="144"/>
    <n v="0"/>
    <n v="144"/>
    <x v="0"/>
    <s v="4TBG"/>
    <s v="MP"/>
    <s v="380"/>
    <s v="48.0 UN"/>
    <s v="BULK"/>
    <s v="N"/>
    <s v="N"/>
    <s v="Y"/>
    <s v="T20"/>
    <s v="N"/>
    <s v="N"/>
    <s v="N"/>
    <s v="N"/>
    <s v="B007"/>
    <d v="2016-12-08T00:00:00"/>
    <s v="10"/>
    <s v="TAN"/>
    <s v="OR"/>
    <d v="2016-12-05T00:00:00"/>
    <s v="MI"/>
    <s v="US"/>
    <s v="ZR"/>
    <d v="2016-12-05T00:00:00"/>
  </r>
  <r>
    <x v="1"/>
    <x v="0"/>
    <x v="2245"/>
    <x v="42"/>
    <s v="Standard order"/>
    <x v="2125"/>
    <x v="685"/>
    <s v="1399"/>
    <s v="BTS 1399"/>
    <s v="5002341"/>
    <s v="1399 BTS T20 Kabina B48 MP"/>
    <n v="48"/>
    <n v="0"/>
    <n v="48"/>
    <x v="0"/>
    <s v="EG74"/>
    <s v="MP"/>
    <s v="380"/>
    <s v="48.0 UN"/>
    <s v="BULK"/>
    <s v="N"/>
    <s v="N"/>
    <s v="Y"/>
    <s v="T20"/>
    <s v="N"/>
    <s v="N"/>
    <s v="N"/>
    <s v="N"/>
    <s v="B007"/>
    <d v="2016-12-08T00:00:00"/>
    <s v="20"/>
    <s v="TAN"/>
    <s v="OR"/>
    <d v="2016-12-05T00:00:00"/>
    <s v="MI"/>
    <s v="US"/>
    <s v="ZR"/>
    <d v="2016-12-05T00:00:00"/>
  </r>
  <r>
    <x v="1"/>
    <x v="0"/>
    <x v="3466"/>
    <x v="30"/>
    <s v="Standard order"/>
    <x v="3325"/>
    <x v="2698"/>
    <s v="149N"/>
    <s v="BTS 149N"/>
    <s v="5002362"/>
    <s v="149N BTS T20 Kabina B48 P200"/>
    <n v="96"/>
    <n v="0"/>
    <n v="96"/>
    <x v="0"/>
    <s v="EEND"/>
    <s v="PRO 200"/>
    <s v="380"/>
    <s v="48.0 UN"/>
    <s v="BULK"/>
    <s v="N"/>
    <s v="N"/>
    <s v="Y"/>
    <s v="T20"/>
    <s v="N"/>
    <s v="N"/>
    <s v="N"/>
    <s v="N"/>
    <s v="B001"/>
    <d v="2016-12-13T00:00:00"/>
    <s v="10"/>
    <s v="TAN"/>
    <s v="OR"/>
    <d v="2016-12-08T00:00:00"/>
    <s v="MI"/>
    <s v="US"/>
    <s v="ZR"/>
    <d v="2016-12-08T00:00:00"/>
  </r>
  <r>
    <x v="1"/>
    <x v="0"/>
    <x v="3466"/>
    <x v="30"/>
    <s v="Standard order"/>
    <x v="3325"/>
    <x v="2698"/>
    <s v="1399"/>
    <s v="BTS 1399"/>
    <s v="5002342"/>
    <s v="1399 BTS T20 Kabina B48 P200"/>
    <n v="48"/>
    <n v="0"/>
    <n v="48"/>
    <x v="0"/>
    <s v="EG74"/>
    <s v="PRO 200"/>
    <s v="380"/>
    <s v="48.0 UN"/>
    <s v="BULK"/>
    <s v="N"/>
    <s v="N"/>
    <s v="Y"/>
    <s v="T20"/>
    <s v="N"/>
    <s v="N"/>
    <s v="N"/>
    <s v="N"/>
    <s v="B001"/>
    <d v="2016-12-13T00:00:00"/>
    <s v="20"/>
    <s v="TAN"/>
    <s v="OR"/>
    <d v="2016-12-08T00:00:00"/>
    <s v="MI"/>
    <s v="US"/>
    <s v="ZR"/>
    <d v="2016-12-08T00:00:00"/>
  </r>
  <r>
    <x v="1"/>
    <x v="0"/>
    <x v="2564"/>
    <x v="42"/>
    <s v="Standard order"/>
    <x v="2442"/>
    <x v="2187"/>
    <s v="1399"/>
    <s v="BTS 1399"/>
    <s v="5002343"/>
    <s v="1399 BTS T20 Kabina B48 RP"/>
    <n v="192"/>
    <n v="0"/>
    <n v="192"/>
    <x v="0"/>
    <s v="EG74"/>
    <s v="RP"/>
    <s v="380"/>
    <s v="48.0 UN"/>
    <s v="BULK"/>
    <s v="N"/>
    <s v="N"/>
    <s v="Y"/>
    <s v="T20"/>
    <s v="N"/>
    <s v="N"/>
    <s v="N"/>
    <s v="N"/>
    <s v="B007"/>
    <d v="2016-12-14T00:00:00"/>
    <s v="20"/>
    <s v="TAN"/>
    <s v="OR"/>
    <d v="2016-12-09T00:00:00"/>
    <s v="MI"/>
    <s v="US"/>
    <s v="ZR"/>
    <d v="2016-12-09T00:00:00"/>
  </r>
  <r>
    <x v="1"/>
    <x v="0"/>
    <x v="2621"/>
    <x v="45"/>
    <s v="Standard order"/>
    <x v="2499"/>
    <x v="539"/>
    <s v="149N"/>
    <s v="BTS 149N"/>
    <s v="5002363"/>
    <s v="149N BTS T20 Kabina B48 RP"/>
    <n v="240"/>
    <n v="0"/>
    <n v="240"/>
    <x v="0"/>
    <s v="EEND"/>
    <s v="RP"/>
    <s v="380"/>
    <s v="48.0 UN"/>
    <s v="BULK"/>
    <s v="N"/>
    <s v="N"/>
    <s v="Y"/>
    <s v="T20"/>
    <s v="N"/>
    <s v="N"/>
    <s v="N"/>
    <s v="N"/>
    <s v="B003"/>
    <d v="2016-12-14T00:00:00"/>
    <s v="10"/>
    <s v="TAN"/>
    <s v="OR"/>
    <d v="2016-12-09T00:00:00"/>
    <s v="MI"/>
    <s v="US"/>
    <s v="ZR"/>
    <d v="2016-12-09T00:00:00"/>
  </r>
  <r>
    <x v="1"/>
    <x v="0"/>
    <x v="2621"/>
    <x v="45"/>
    <s v="Standard order"/>
    <x v="2499"/>
    <x v="539"/>
    <s v="122N"/>
    <s v="BTS 12RR2N"/>
    <s v="5002306"/>
    <s v="122N BTS T20 Kabina B48 RP"/>
    <n v="240"/>
    <n v="0"/>
    <n v="240"/>
    <x v="0"/>
    <s v="4TBG"/>
    <s v="RP"/>
    <s v="380"/>
    <s v="48.0 UN"/>
    <s v="BULK"/>
    <s v="N"/>
    <s v="N"/>
    <s v="Y"/>
    <s v="T20"/>
    <s v="N"/>
    <s v="N"/>
    <s v="N"/>
    <s v="N"/>
    <s v="B003"/>
    <d v="2016-12-14T00:00:00"/>
    <s v="30"/>
    <s v="TAN"/>
    <s v="OR"/>
    <d v="2016-12-09T00:00:00"/>
    <s v="MI"/>
    <s v="US"/>
    <s v="ZR"/>
    <d v="2016-12-09T00:00:00"/>
  </r>
  <r>
    <x v="1"/>
    <x v="0"/>
    <x v="2629"/>
    <x v="42"/>
    <s v="Standard order"/>
    <x v="2507"/>
    <x v="2228"/>
    <s v="1399"/>
    <s v="BTS 1399"/>
    <s v="5002343"/>
    <s v="1399 BTS T20 Kabina B48 RP"/>
    <n v="144"/>
    <n v="0"/>
    <n v="144"/>
    <x v="0"/>
    <s v="EG74"/>
    <s v="RP"/>
    <s v="380"/>
    <s v="48.0 UN"/>
    <s v="BULK"/>
    <s v="N"/>
    <s v="N"/>
    <s v="Y"/>
    <s v="T20"/>
    <s v="N"/>
    <s v="N"/>
    <s v="N"/>
    <s v="N"/>
    <s v="B007"/>
    <d v="2016-12-14T00:00:00"/>
    <s v="20"/>
    <s v="TAN"/>
    <s v="OR"/>
    <d v="2016-12-09T00:00:00"/>
    <s v="MI"/>
    <s v="US"/>
    <s v="ZR"/>
    <d v="2016-12-09T00:00:00"/>
  </r>
  <r>
    <x v="1"/>
    <x v="0"/>
    <x v="2636"/>
    <x v="29"/>
    <s v="Standard order"/>
    <x v="2514"/>
    <x v="2232"/>
    <s v="1399"/>
    <s v="BTS 1399"/>
    <s v="5002343"/>
    <s v="1399 BTS T20 Kabina B48 RP"/>
    <n v="528"/>
    <n v="0"/>
    <n v="528"/>
    <x v="0"/>
    <s v="EG74"/>
    <s v="RP"/>
    <s v="380"/>
    <s v="48.0 UN"/>
    <s v="BULK"/>
    <s v="N"/>
    <s v="N"/>
    <s v="Y"/>
    <s v="T20"/>
    <s v="N"/>
    <s v="N"/>
    <s v="N"/>
    <s v="N"/>
    <s v="B005"/>
    <d v="2016-12-14T00:00:00"/>
    <s v="10"/>
    <s v="TAN"/>
    <s v="OR"/>
    <d v="2016-12-08T00:00:00"/>
    <s v="MI"/>
    <s v="US"/>
    <s v="ZR"/>
    <d v="2016-12-09T00:00:00"/>
  </r>
  <r>
    <x v="1"/>
    <x v="0"/>
    <x v="2636"/>
    <x v="29"/>
    <s v="Standard order"/>
    <x v="2514"/>
    <x v="2232"/>
    <s v="122N"/>
    <s v="BTS 12RR2N"/>
    <s v="5002306"/>
    <s v="122N BTS T20 Kabina B48 RP"/>
    <n v="96"/>
    <n v="0"/>
    <n v="96"/>
    <x v="0"/>
    <s v="4TBG"/>
    <s v="RP"/>
    <s v="380"/>
    <s v="48.0 UN"/>
    <s v="BULK"/>
    <s v="N"/>
    <s v="N"/>
    <s v="Y"/>
    <s v="T20"/>
    <s v="N"/>
    <s v="N"/>
    <s v="N"/>
    <s v="N"/>
    <s v="B005"/>
    <d v="2016-12-14T00:00:00"/>
    <s v="30"/>
    <s v="TAN"/>
    <s v="OR"/>
    <d v="2016-12-08T00:00:00"/>
    <s v="MI"/>
    <s v="US"/>
    <s v="ZR"/>
    <d v="2016-12-09T00:00:00"/>
  </r>
  <r>
    <x v="1"/>
    <x v="0"/>
    <x v="2690"/>
    <x v="29"/>
    <s v="Standard order"/>
    <x v="2568"/>
    <x v="2266"/>
    <s v="122N"/>
    <s v="BTS 12RR2N"/>
    <s v="5002306"/>
    <s v="122N BTS T20 Kabina B48 RP"/>
    <n v="192"/>
    <n v="0"/>
    <n v="192"/>
    <x v="0"/>
    <s v="4TBG"/>
    <s v="RP"/>
    <s v="380"/>
    <s v="48.0 UN"/>
    <s v="BULK"/>
    <s v="N"/>
    <s v="N"/>
    <s v="Y"/>
    <s v="T20"/>
    <s v="N"/>
    <s v="N"/>
    <s v="N"/>
    <s v="N"/>
    <s v="B005"/>
    <d v="2016-12-14T00:00:00"/>
    <s v="10"/>
    <s v="TAN"/>
    <s v="OR"/>
    <d v="2016-12-10T00:00:00"/>
    <s v="MI"/>
    <s v="US"/>
    <s v="ZR"/>
    <d v="2016-12-11T00:00:00"/>
  </r>
  <r>
    <x v="1"/>
    <x v="0"/>
    <x v="2690"/>
    <x v="29"/>
    <s v="Standard order"/>
    <x v="2568"/>
    <x v="2266"/>
    <s v="1399"/>
    <s v="BTS 1399"/>
    <s v="5002342"/>
    <s v="1399 BTS T20 Kabina B48 P200"/>
    <n v="96"/>
    <n v="0"/>
    <n v="96"/>
    <x v="0"/>
    <s v="EG74"/>
    <s v="PRO 200"/>
    <s v="380"/>
    <s v="48.0 UN"/>
    <s v="BULK"/>
    <s v="N"/>
    <s v="N"/>
    <s v="Y"/>
    <s v="T20"/>
    <s v="N"/>
    <s v="N"/>
    <s v="N"/>
    <s v="N"/>
    <s v="B005"/>
    <d v="2016-12-14T00:00:00"/>
    <s v="30"/>
    <s v="TAN"/>
    <s v="OR"/>
    <d v="2016-12-10T00:00:00"/>
    <s v="MI"/>
    <s v="US"/>
    <s v="ZR"/>
    <d v="2016-12-11T00:00:00"/>
  </r>
  <r>
    <x v="1"/>
    <x v="0"/>
    <x v="2690"/>
    <x v="29"/>
    <s v="Standard order"/>
    <x v="2568"/>
    <x v="2266"/>
    <s v="149N"/>
    <s v="BTS 149N"/>
    <s v="5002362"/>
    <s v="149N BTS T20 Kabina B48 P200"/>
    <n v="144"/>
    <n v="0"/>
    <n v="144"/>
    <x v="0"/>
    <s v="EEND"/>
    <s v="PRO 200"/>
    <s v="380"/>
    <s v="48.0 UN"/>
    <s v="BULK"/>
    <s v="N"/>
    <s v="N"/>
    <s v="Y"/>
    <s v="T20"/>
    <s v="N"/>
    <s v="N"/>
    <s v="N"/>
    <s v="N"/>
    <s v="B005"/>
    <d v="2016-12-14T00:00:00"/>
    <s v="40"/>
    <s v="TAN"/>
    <s v="OR"/>
    <d v="2016-12-10T00:00:00"/>
    <s v="MI"/>
    <s v="US"/>
    <s v="ZR"/>
    <d v="2016-12-11T00:00:00"/>
  </r>
  <r>
    <x v="1"/>
    <x v="2"/>
    <x v="2871"/>
    <x v="23"/>
    <s v="Standard order"/>
    <x v="2748"/>
    <x v="2368"/>
    <s v="6027"/>
    <s v="BTS 60RR27"/>
    <s v="5002643"/>
    <s v="6027 BTS T20 PB SYSTIVA B48 P50 WSS"/>
    <n v="48"/>
    <n v="0"/>
    <n v="48"/>
    <x v="2"/>
    <s v="APMC"/>
    <s v="PRO 50"/>
    <s v="322"/>
    <s v="48.0 UN"/>
    <s v="BULK"/>
    <s v="N"/>
    <s v="N"/>
    <s v="N"/>
    <s v="T20"/>
    <s v="Y"/>
    <s v="N"/>
    <s v="Y"/>
    <s v="N"/>
    <s v="B055"/>
    <d v="2016-12-19T00:00:00"/>
    <s v="20"/>
    <s v="TAN"/>
    <s v="OR"/>
    <d v="2016-12-14T00:00:00"/>
    <s v="WY"/>
    <s v="US"/>
    <s v="ZR"/>
    <d v="2016-12-14T00:00:00"/>
  </r>
  <r>
    <x v="1"/>
    <x v="2"/>
    <x v="2871"/>
    <x v="23"/>
    <s v="Standard order"/>
    <x v="2748"/>
    <x v="2368"/>
    <s v="630N"/>
    <s v="BTS 630N"/>
    <s v="5002401"/>
    <s v="630N BTS T20 PB SYSTIVA B48 P50"/>
    <n v="48"/>
    <n v="0"/>
    <n v="48"/>
    <x v="2"/>
    <s v="DW73"/>
    <s v="PRO 50"/>
    <s v="322"/>
    <s v="48.0 UN"/>
    <s v="BULK"/>
    <s v="N"/>
    <s v="N"/>
    <s v="N"/>
    <s v="T20"/>
    <s v="Y"/>
    <s v="N"/>
    <s v="Y"/>
    <s v="N"/>
    <s v="B055"/>
    <d v="2016-12-19T00:00:00"/>
    <s v="30"/>
    <s v="TAN"/>
    <s v="OR"/>
    <d v="2016-12-14T00:00:00"/>
    <s v="WY"/>
    <s v="US"/>
    <s v="ZR"/>
    <d v="2016-12-14T00:00:00"/>
  </r>
  <r>
    <x v="1"/>
    <x v="2"/>
    <x v="3131"/>
    <x v="6"/>
    <s v="Standard order"/>
    <x v="3003"/>
    <x v="957"/>
    <s v="6027"/>
    <s v="BTS 60RR27"/>
    <s v="5002641"/>
    <s v="6027 BTS T20 PB SYSTIVA B48 P100 WSS"/>
    <n v="288"/>
    <n v="0"/>
    <n v="288"/>
    <x v="2"/>
    <s v="APMC"/>
    <s v="PRO 100"/>
    <s v="322"/>
    <s v="48.0 UN"/>
    <s v="BULK"/>
    <s v="N"/>
    <s v="N"/>
    <s v="N"/>
    <s v="T20"/>
    <s v="Y"/>
    <s v="N"/>
    <s v="Y"/>
    <s v="N"/>
    <s v="B025"/>
    <d v="2016-12-23T00:00:00"/>
    <s v="10"/>
    <s v="TAN"/>
    <s v="OR"/>
    <d v="2016-12-19T00:00:00"/>
    <s v="NE"/>
    <s v="US"/>
    <s v="ZR"/>
    <d v="2016-12-20T00:00:00"/>
  </r>
  <r>
    <x v="1"/>
    <x v="2"/>
    <x v="3131"/>
    <x v="6"/>
    <s v="Standard order"/>
    <x v="3003"/>
    <x v="957"/>
    <s v="64SN"/>
    <s v="BTS 64SN"/>
    <s v="5002417"/>
    <s v="64SN BTS T20 PB SYSTIVA B48 P100"/>
    <n v="48"/>
    <n v="0"/>
    <n v="48"/>
    <x v="2"/>
    <s v="DVNB"/>
    <s v="PRO 100"/>
    <s v="322"/>
    <s v="48.0 UN"/>
    <s v="BULK"/>
    <s v="N"/>
    <s v="N"/>
    <s v="N"/>
    <s v="T20"/>
    <s v="Y"/>
    <s v="N"/>
    <s v="Y"/>
    <s v="N"/>
    <s v="B025"/>
    <d v="2016-12-23T00:00:00"/>
    <s v="30"/>
    <s v="TAN"/>
    <s v="OR"/>
    <d v="2016-12-19T00:00:00"/>
    <s v="NE"/>
    <s v="US"/>
    <s v="ZR"/>
    <d v="2016-12-20T00:00:00"/>
  </r>
  <r>
    <x v="1"/>
    <x v="0"/>
    <x v="3467"/>
    <x v="42"/>
    <s v="Standard order"/>
    <x v="3326"/>
    <x v="2699"/>
    <s v="122N"/>
    <s v="BTS 12RR2N"/>
    <s v="5002306"/>
    <s v="122N BTS T20 Kabina B48 RP"/>
    <n v="192"/>
    <n v="0"/>
    <n v="192"/>
    <x v="0"/>
    <s v="4TBG"/>
    <s v="RP"/>
    <s v="380"/>
    <s v="48.0 UN"/>
    <s v="BULK"/>
    <s v="N"/>
    <s v="N"/>
    <s v="Y"/>
    <s v="T20"/>
    <s v="N"/>
    <s v="N"/>
    <s v="N"/>
    <s v="N"/>
    <s v="B007"/>
    <d v="2016-12-26T00:00:00"/>
    <s v="10"/>
    <s v="TAN"/>
    <s v="OR"/>
    <d v="2016-12-21T00:00:00"/>
    <s v="MI"/>
    <s v="US"/>
    <s v="ZR"/>
    <d v="2016-12-21T00:00:00"/>
  </r>
  <r>
    <x v="1"/>
    <x v="0"/>
    <x v="3467"/>
    <x v="42"/>
    <s v="Standard order"/>
    <x v="3326"/>
    <x v="2699"/>
    <s v="149N"/>
    <s v="BTS 149N"/>
    <s v="5002363"/>
    <s v="149N BTS T20 Kabina B48 RP"/>
    <n v="192"/>
    <n v="0"/>
    <n v="192"/>
    <x v="0"/>
    <s v="EEND"/>
    <s v="RP"/>
    <s v="380"/>
    <s v="48.0 UN"/>
    <s v="BULK"/>
    <s v="N"/>
    <s v="N"/>
    <s v="Y"/>
    <s v="T20"/>
    <s v="N"/>
    <s v="N"/>
    <s v="N"/>
    <s v="N"/>
    <s v="B007"/>
    <d v="2016-12-26T00:00:00"/>
    <s v="20"/>
    <s v="TAN"/>
    <s v="OR"/>
    <d v="2016-12-21T00:00:00"/>
    <s v="MI"/>
    <s v="US"/>
    <s v="ZR"/>
    <d v="2016-12-21T00:00:00"/>
  </r>
  <r>
    <x v="1"/>
    <x v="0"/>
    <x v="3468"/>
    <x v="29"/>
    <s v="Standard order"/>
    <x v="3327"/>
    <x v="2695"/>
    <s v="122N"/>
    <s v="BTS 12RR2N"/>
    <s v="5002306"/>
    <s v="122N BTS T20 Kabina B48 RP"/>
    <n v="96"/>
    <n v="0"/>
    <n v="96"/>
    <x v="0"/>
    <s v="4TBG"/>
    <s v="RP"/>
    <s v="380"/>
    <s v="48.0 UN"/>
    <s v="BULK"/>
    <s v="N"/>
    <s v="N"/>
    <s v="Y"/>
    <s v="T20"/>
    <s v="N"/>
    <s v="N"/>
    <s v="N"/>
    <s v="N"/>
    <s v="B005"/>
    <d v="2016-12-28T00:00:00"/>
    <s v="10"/>
    <s v="TAN"/>
    <s v="OR"/>
    <d v="2016-12-23T00:00:00"/>
    <s v="MI"/>
    <s v="US"/>
    <s v="ZR"/>
    <d v="2016-12-23T00:00:00"/>
  </r>
  <r>
    <x v="1"/>
    <x v="0"/>
    <x v="3469"/>
    <x v="29"/>
    <s v="Standard order"/>
    <x v="1332"/>
    <x v="1022"/>
    <s v="1399"/>
    <s v="BTS 1399"/>
    <s v="5002343"/>
    <s v="1399 BTS T20 Kabina B48 RP"/>
    <n v="48"/>
    <n v="0"/>
    <n v="48"/>
    <x v="0"/>
    <s v="EG74"/>
    <s v="RP"/>
    <s v="380"/>
    <s v="48.0 UN"/>
    <s v="BULK"/>
    <s v="N"/>
    <s v="N"/>
    <s v="Y"/>
    <s v="T20"/>
    <s v="N"/>
    <s v="N"/>
    <s v="N"/>
    <s v="N"/>
    <s v="B005"/>
    <d v="2016-12-28T00:00:00"/>
    <s v="10"/>
    <s v="TAN"/>
    <s v="OR"/>
    <d v="2016-12-24T00:00:00"/>
    <s v="MI"/>
    <s v="US"/>
    <s v="ZR"/>
    <d v="2016-12-24T00:00:00"/>
  </r>
  <r>
    <x v="1"/>
    <x v="0"/>
    <x v="3469"/>
    <x v="29"/>
    <s v="Standard order"/>
    <x v="1332"/>
    <x v="1022"/>
    <s v="122N"/>
    <s v="BTS 12RR2N"/>
    <s v="5002306"/>
    <s v="122N BTS T20 Kabina B48 RP"/>
    <n v="336"/>
    <n v="0"/>
    <n v="336"/>
    <x v="0"/>
    <s v="4TBG"/>
    <s v="RP"/>
    <s v="380"/>
    <s v="48.0 UN"/>
    <s v="BULK"/>
    <s v="N"/>
    <s v="N"/>
    <s v="Y"/>
    <s v="T20"/>
    <s v="N"/>
    <s v="N"/>
    <s v="N"/>
    <s v="N"/>
    <s v="B005"/>
    <d v="2016-12-28T00:00:00"/>
    <s v="20"/>
    <s v="TAN"/>
    <s v="OR"/>
    <d v="2016-12-24T00:00:00"/>
    <s v="MI"/>
    <s v="US"/>
    <s v="ZR"/>
    <d v="2016-12-24T00:00:00"/>
  </r>
  <r>
    <x v="1"/>
    <x v="0"/>
    <x v="3305"/>
    <x v="29"/>
    <s v="Standard order"/>
    <x v="3175"/>
    <x v="2613"/>
    <s v="122N"/>
    <s v="BTS 12RR2N"/>
    <s v="5002306"/>
    <s v="122N BTS T20 Kabina B48 RP"/>
    <n v="96"/>
    <n v="0"/>
    <n v="96"/>
    <x v="0"/>
    <s v="4TBG"/>
    <s v="RP"/>
    <s v="380"/>
    <s v="48.0 UN"/>
    <s v="BULK"/>
    <s v="N"/>
    <s v="N"/>
    <s v="Y"/>
    <s v="T20"/>
    <s v="N"/>
    <s v="N"/>
    <s v="N"/>
    <s v="N"/>
    <s v="B005"/>
    <d v="2016-12-29T00:00:00"/>
    <s v="10"/>
    <s v="TAN"/>
    <s v="OR"/>
    <d v="2016-12-26T00:00:00"/>
    <s v="MI"/>
    <s v="US"/>
    <s v="ZR"/>
    <d v="2016-12-26T00:00:00"/>
  </r>
  <r>
    <x v="1"/>
    <x v="0"/>
    <x v="3326"/>
    <x v="29"/>
    <s v="Standard order"/>
    <x v="3196"/>
    <x v="2626"/>
    <s v="122N"/>
    <s v="BTS 12RR2N"/>
    <s v="5002305"/>
    <s v="122N BTS T20 Kabina B48 P200"/>
    <n v="96"/>
    <n v="0"/>
    <n v="96"/>
    <x v="0"/>
    <s v="4TBG"/>
    <s v="PRO 200"/>
    <s v="380"/>
    <s v="48.0 UN"/>
    <s v="BULK"/>
    <s v="N"/>
    <s v="N"/>
    <s v="Y"/>
    <s v="T20"/>
    <s v="N"/>
    <s v="N"/>
    <s v="N"/>
    <s v="N"/>
    <s v="B005"/>
    <d v="2016-12-30T00:00:00"/>
    <s v="10"/>
    <s v="TAN"/>
    <s v="OR"/>
    <d v="2016-12-27T00:00:00"/>
    <s v="MI"/>
    <s v="US"/>
    <s v="ZR"/>
    <d v="2016-12-27T00:00:00"/>
  </r>
  <r>
    <x v="1"/>
    <x v="0"/>
    <x v="3470"/>
    <x v="30"/>
    <s v="Standard order"/>
    <x v="3328"/>
    <x v="2700"/>
    <s v="1399"/>
    <s v="BTS 1399"/>
    <s v="5002342"/>
    <s v="1399 BTS T20 Kabina B48 P200"/>
    <n v="48"/>
    <n v="0"/>
    <n v="48"/>
    <x v="0"/>
    <s v="EG74"/>
    <s v="PRO 200"/>
    <s v="380"/>
    <s v="48.0 UN"/>
    <s v="BULK"/>
    <s v="N"/>
    <s v="N"/>
    <s v="Y"/>
    <s v="T20"/>
    <s v="N"/>
    <s v="N"/>
    <s v="N"/>
    <s v="N"/>
    <s v="B001"/>
    <d v="2017-01-03T00:00:00"/>
    <s v="10"/>
    <s v="TAN"/>
    <s v="OR"/>
    <d v="2016-12-29T00:00:00"/>
    <s v="MI"/>
    <s v="US"/>
    <s v="ZR"/>
    <d v="2016-12-29T00:00:00"/>
  </r>
  <r>
    <x v="1"/>
    <x v="0"/>
    <x v="3366"/>
    <x v="30"/>
    <s v="Standard order"/>
    <x v="3233"/>
    <x v="2648"/>
    <s v="149N"/>
    <s v="BTS 149N"/>
    <s v="5002362"/>
    <s v="149N BTS T20 Kabina B48 P200"/>
    <n v="48"/>
    <n v="0"/>
    <n v="48"/>
    <x v="0"/>
    <s v="EEND"/>
    <s v="PRO 200"/>
    <s v="380"/>
    <s v="48.0 UN"/>
    <s v="BULK"/>
    <s v="N"/>
    <s v="N"/>
    <s v="Y"/>
    <s v="T20"/>
    <s v="N"/>
    <s v="N"/>
    <s v="N"/>
    <s v="N"/>
    <s v="B001"/>
    <d v="2017-01-03T00:00:00"/>
    <s v="10"/>
    <s v="TAN"/>
    <s v="OR"/>
    <d v="2016-12-29T00:00:00"/>
    <s v="MI"/>
    <s v="US"/>
    <s v="ZR"/>
    <d v="2016-12-29T00:00:00"/>
  </r>
  <r>
    <x v="1"/>
    <x v="0"/>
    <x v="3366"/>
    <x v="30"/>
    <s v="Standard order"/>
    <x v="3233"/>
    <x v="2648"/>
    <s v="122N"/>
    <s v="BTS 12RR2N"/>
    <s v="5002305"/>
    <s v="122N BTS T20 Kabina B48 P200"/>
    <n v="48"/>
    <n v="0"/>
    <n v="48"/>
    <x v="0"/>
    <s v="4TBG"/>
    <s v="PRO 200"/>
    <s v="380"/>
    <s v="48.0 UN"/>
    <s v="BULK"/>
    <s v="N"/>
    <s v="N"/>
    <s v="Y"/>
    <s v="T20"/>
    <s v="N"/>
    <s v="N"/>
    <s v="N"/>
    <s v="N"/>
    <s v="B001"/>
    <d v="2017-01-03T00:00:00"/>
    <s v="20"/>
    <s v="TAN"/>
    <s v="OR"/>
    <d v="2016-12-29T00:00:00"/>
    <s v="MI"/>
    <s v="US"/>
    <s v="ZR"/>
    <d v="2016-12-29T00:00:00"/>
  </r>
  <r>
    <x v="1"/>
    <x v="0"/>
    <x v="3471"/>
    <x v="30"/>
    <s v="Standard order"/>
    <x v="3329"/>
    <x v="1209"/>
    <s v="149N"/>
    <s v="BTS 149N"/>
    <s v="5002362"/>
    <s v="149N BTS T20 Kabina B48 P200"/>
    <n v="48"/>
    <n v="0"/>
    <n v="48"/>
    <x v="0"/>
    <s v="EEND"/>
    <s v="PRO 200"/>
    <s v="380"/>
    <s v="48.0 UN"/>
    <s v="BULK"/>
    <s v="N"/>
    <s v="N"/>
    <s v="Y"/>
    <s v="T20"/>
    <s v="N"/>
    <s v="N"/>
    <s v="N"/>
    <s v="N"/>
    <s v="B001"/>
    <d v="2017-01-03T00:00:00"/>
    <s v="10"/>
    <s v="TAN"/>
    <s v="OR"/>
    <d v="2016-12-29T00:00:00"/>
    <s v="MI"/>
    <s v="US"/>
    <s v="ZR"/>
    <d v="2016-12-29T00:00:00"/>
  </r>
  <r>
    <x v="1"/>
    <x v="2"/>
    <x v="3390"/>
    <x v="27"/>
    <s v="Standard order"/>
    <x v="3256"/>
    <x v="2663"/>
    <s v="64SN"/>
    <s v="BTS 64SN"/>
    <s v="5002417"/>
    <s v="64SN BTS T20 PB SYSTIVA B48 P100"/>
    <n v="96"/>
    <n v="0"/>
    <n v="96"/>
    <x v="2"/>
    <s v="DVNB"/>
    <s v="PRO 100"/>
    <s v="322"/>
    <s v="48.0 UN"/>
    <s v="BULK"/>
    <s v="N"/>
    <s v="N"/>
    <s v="N"/>
    <s v="T20"/>
    <s v="Y"/>
    <s v="N"/>
    <s v="Y"/>
    <s v="N"/>
    <s v="B019"/>
    <d v="2017-01-04T00:00:00"/>
    <s v="10"/>
    <s v="TAN"/>
    <s v="OR"/>
    <d v="2016-12-29T00:00:00"/>
    <s v="CO"/>
    <s v="US"/>
    <s v="ZR"/>
    <d v="2016-12-30T00:00:00"/>
  </r>
  <r>
    <x v="1"/>
    <x v="9"/>
    <x v="1437"/>
    <x v="35"/>
    <s v="Standard order"/>
    <x v="1362"/>
    <x v="1357"/>
    <s v="9230"/>
    <s v="BTS 92RR30"/>
    <s v="5003228"/>
    <s v="92RR30 P200 BetaShield PLUS LP"/>
    <n v="40"/>
    <n v="0"/>
    <n v="40"/>
    <x v="1"/>
    <s v="DH73"/>
    <s v="PRO 200"/>
    <s v="381"/>
    <s v="96.0 UN"/>
    <s v="BULK"/>
    <s v="N"/>
    <s v="N"/>
    <s v="Y"/>
    <s v="T45"/>
    <s v="N"/>
    <s v="N"/>
    <s v="N"/>
    <s v="N"/>
    <s v=""/>
    <d v="2016-09-14T00:00:00"/>
    <s v="10"/>
    <s v="TAN"/>
    <s v="OR"/>
    <d v="2016-09-26T00:00:00"/>
    <s v="AZ"/>
    <s v="US"/>
    <s v="ZR"/>
    <d v="2016-09-14T00:00:00"/>
  </r>
  <r>
    <x v="1"/>
    <x v="7"/>
    <x v="1734"/>
    <x v="39"/>
    <s v="Standard order"/>
    <x v="1631"/>
    <x v="874"/>
    <s v="8524"/>
    <s v="BTS 8524"/>
    <s v="5002897"/>
    <s v="8524 BTS T35 SYSTIVA B96 P200"/>
    <n v="96"/>
    <n v="0"/>
    <n v="96"/>
    <x v="7"/>
    <s v="FWND"/>
    <s v="PRO 200"/>
    <s v="334"/>
    <s v="96.0 UN"/>
    <s v="BULK"/>
    <s v="N"/>
    <s v="N"/>
    <s v="N"/>
    <s v="T35"/>
    <s v="Y"/>
    <s v="N"/>
    <s v="Y"/>
    <s v="N"/>
    <s v="B030"/>
    <d v="2016-11-16T00:00:00"/>
    <s v="80"/>
    <s v="TAN"/>
    <s v="OR"/>
    <d v="2016-11-11T00:00:00"/>
    <s v="MN"/>
    <s v="US"/>
    <s v="ZR"/>
    <d v="2016-11-11T00:00:00"/>
  </r>
  <r>
    <x v="1"/>
    <x v="7"/>
    <x v="3472"/>
    <x v="36"/>
    <s v="Standard order"/>
    <x v="1400"/>
    <x v="1395"/>
    <s v="8363"/>
    <s v="BTS 8363"/>
    <s v="5002813"/>
    <s v="8363 BTS T35 PB SYSTIVA B96 P200"/>
    <n v="192"/>
    <n v="0"/>
    <n v="192"/>
    <x v="7"/>
    <s v="DMMZ"/>
    <s v="PRO 200"/>
    <s v="333"/>
    <s v="96.0 UN"/>
    <s v="BULK"/>
    <s v="N"/>
    <s v="Y"/>
    <s v="N"/>
    <s v="T35"/>
    <s v="Y"/>
    <s v="N"/>
    <s v="Y"/>
    <s v="N"/>
    <s v="B027"/>
    <d v="2016-11-18T00:00:00"/>
    <s v="10"/>
    <s v="TAN"/>
    <s v="OR"/>
    <d v="2016-11-14T00:00:00"/>
    <s v="ND"/>
    <s v="US"/>
    <s v="ZR"/>
    <d v="2016-11-15T00:00:00"/>
  </r>
  <r>
    <x v="1"/>
    <x v="7"/>
    <x v="3472"/>
    <x v="36"/>
    <s v="Standard order"/>
    <x v="1400"/>
    <x v="1395"/>
    <s v="8524"/>
    <s v="BTS 8524"/>
    <s v="5002893"/>
    <s v="8524 BTS T35 PB SYSTIVA B96 P200"/>
    <n v="96"/>
    <n v="0"/>
    <n v="96"/>
    <x v="7"/>
    <s v="FWND"/>
    <s v="PRO 200"/>
    <s v="333"/>
    <s v="96.0 UN"/>
    <s v="BULK"/>
    <s v="N"/>
    <s v="Y"/>
    <s v="N"/>
    <s v="T35"/>
    <s v="Y"/>
    <s v="N"/>
    <s v="Y"/>
    <s v="N"/>
    <s v="B027"/>
    <d v="2016-11-18T00:00:00"/>
    <s v="20"/>
    <s v="TAN"/>
    <s v="OR"/>
    <d v="2016-11-14T00:00:00"/>
    <s v="ND"/>
    <s v="US"/>
    <s v="ZR"/>
    <d v="2016-11-15T00:00:00"/>
  </r>
  <r>
    <x v="1"/>
    <x v="7"/>
    <x v="1766"/>
    <x v="36"/>
    <s v="Standard order"/>
    <x v="1399"/>
    <x v="1394"/>
    <s v="8500"/>
    <s v="BTS 8500"/>
    <s v="5002853"/>
    <s v="8500 BTS T35 PB SYSTIVA B96 P200"/>
    <n v="96"/>
    <n v="0"/>
    <n v="96"/>
    <x v="7"/>
    <s v="FTND"/>
    <s v="PRO 200"/>
    <s v="333"/>
    <s v="96.0 UN"/>
    <s v="BULK"/>
    <s v="N"/>
    <s v="Y"/>
    <s v="N"/>
    <s v="T35"/>
    <s v="Y"/>
    <s v="N"/>
    <s v="Y"/>
    <s v="N"/>
    <s v="B027"/>
    <d v="2016-11-18T00:00:00"/>
    <s v="10"/>
    <s v="TAN"/>
    <s v="OR"/>
    <d v="2016-11-14T00:00:00"/>
    <s v="MN"/>
    <s v="US"/>
    <s v="ZR"/>
    <d v="2016-11-15T00:00:00"/>
  </r>
  <r>
    <x v="1"/>
    <x v="7"/>
    <x v="1766"/>
    <x v="36"/>
    <s v="Standard order"/>
    <x v="1399"/>
    <x v="1394"/>
    <s v="8052"/>
    <s v="BTS 80RR52"/>
    <s v="5002732"/>
    <s v="8052 BTS T35 PB SYSTIVA B96 P200"/>
    <n v="96"/>
    <n v="0"/>
    <n v="96"/>
    <x v="7"/>
    <s v="AP82"/>
    <s v="PRO 200"/>
    <s v="333"/>
    <s v="96.0 UN"/>
    <s v="BULK"/>
    <s v="N"/>
    <s v="Y"/>
    <s v="N"/>
    <s v="T35"/>
    <s v="Y"/>
    <s v="N"/>
    <s v="Y"/>
    <s v="N"/>
    <s v="B027"/>
    <d v="2016-11-18T00:00:00"/>
    <s v="20"/>
    <s v="TAN"/>
    <s v="OR"/>
    <d v="2016-11-14T00:00:00"/>
    <s v="MN"/>
    <s v="US"/>
    <s v="ZR"/>
    <d v="2016-11-15T00:00:00"/>
  </r>
  <r>
    <x v="1"/>
    <x v="7"/>
    <x v="1813"/>
    <x v="41"/>
    <s v="Standard order"/>
    <x v="1702"/>
    <x v="1696"/>
    <s v="8500"/>
    <s v="BTS 8500"/>
    <s v="5002854"/>
    <s v="8500 BTS T35 PB SYSTIVA B96 RP"/>
    <n v="288"/>
    <n v="0"/>
    <n v="288"/>
    <x v="7"/>
    <s v="FTND"/>
    <s v="RP"/>
    <s v="333"/>
    <s v="96.0 UN"/>
    <s v="BULK"/>
    <s v="N"/>
    <s v="Y"/>
    <s v="N"/>
    <s v="T35"/>
    <s v="Y"/>
    <s v="N"/>
    <s v="Y"/>
    <s v="N"/>
    <s v="B032"/>
    <d v="2016-11-21T00:00:00"/>
    <s v="10"/>
    <s v="TAN"/>
    <s v="OR"/>
    <d v="2016-11-16T00:00:00"/>
    <s v="ND"/>
    <s v="US"/>
    <s v="ZR"/>
    <d v="2016-11-16T00:00:00"/>
  </r>
  <r>
    <x v="1"/>
    <x v="7"/>
    <x v="1813"/>
    <x v="41"/>
    <s v="Standard order"/>
    <x v="1702"/>
    <x v="1696"/>
    <s v="8524"/>
    <s v="BTS 8524"/>
    <s v="5002894"/>
    <s v="8524 BTS T35 PB SYSTIVA B96 RP"/>
    <n v="96"/>
    <n v="0"/>
    <n v="96"/>
    <x v="7"/>
    <s v="FWND"/>
    <s v="RP"/>
    <s v="333"/>
    <s v="96.0 UN"/>
    <s v="BULK"/>
    <s v="N"/>
    <s v="Y"/>
    <s v="N"/>
    <s v="T35"/>
    <s v="Y"/>
    <s v="N"/>
    <s v="Y"/>
    <s v="N"/>
    <s v="B032"/>
    <d v="2016-11-21T00:00:00"/>
    <s v="30"/>
    <s v="TAN"/>
    <s v="OR"/>
    <d v="2016-11-16T00:00:00"/>
    <s v="ND"/>
    <s v="US"/>
    <s v="ZR"/>
    <d v="2016-11-16T00:00:00"/>
  </r>
  <r>
    <x v="1"/>
    <x v="7"/>
    <x v="1813"/>
    <x v="41"/>
    <s v="Standard order"/>
    <x v="1702"/>
    <x v="1696"/>
    <s v="8572"/>
    <s v="BTS 8572"/>
    <s v="5003213"/>
    <s v="8572 BTS T35 PB SYSTIVA B96 RP"/>
    <n v="96"/>
    <n v="0"/>
    <n v="96"/>
    <x v="7"/>
    <s v="FENB"/>
    <s v="RP"/>
    <s v="333"/>
    <s v="96.0 UN"/>
    <s v="BULK"/>
    <s v="N"/>
    <s v="Y"/>
    <s v="N"/>
    <s v="T35"/>
    <s v="Y"/>
    <s v="N"/>
    <s v="Y"/>
    <s v="N"/>
    <s v="B032"/>
    <d v="2016-11-21T00:00:00"/>
    <s v="50"/>
    <s v="TAN"/>
    <s v="OR"/>
    <d v="2016-11-16T00:00:00"/>
    <s v="ND"/>
    <s v="US"/>
    <s v="ZR"/>
    <d v="2016-11-16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O34:O54" firstHeaderRow="1" firstDataRow="1" firstDataCol="1"/>
  <pivotFields count="38">
    <pivotField axis="axisRow" showAll="0">
      <items count="3">
        <item x="0"/>
        <item x="1"/>
        <item t="default"/>
      </items>
    </pivotField>
    <pivotField axis="axisRow" showAll="0">
      <items count="11">
        <item x="7"/>
        <item x="9"/>
        <item x="4"/>
        <item x="8"/>
        <item x="0"/>
        <item x="3"/>
        <item x="1"/>
        <item x="6"/>
        <item x="2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numFmtId="14" showAll="0"/>
  </pivotFields>
  <rowFields count="2">
    <field x="0"/>
    <field x="1"/>
  </rowFields>
  <rowItems count="20">
    <i>
      <x/>
    </i>
    <i r="1">
      <x v="2"/>
    </i>
    <i r="1">
      <x v="4"/>
    </i>
    <i r="1">
      <x v="5"/>
    </i>
    <i r="1">
      <x v="6"/>
    </i>
    <i r="1">
      <x v="7"/>
    </i>
    <i r="1">
      <x v="8"/>
    </i>
    <i r="1">
      <x v="9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J1:J11" totalsRowShown="0" headerRowDxfId="2" headerRowBorderDxfId="1" tableBorderDxfId="0">
  <autoFilter ref="J1:J11" xr:uid="{00000000-0009-0000-0100-000001000000}"/>
  <tableColumns count="1">
    <tableColumn id="1" xr3:uid="{00000000-0010-0000-0000-000001000000}" name="Sales Offic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57"/>
  <sheetViews>
    <sheetView tabSelected="1" zoomScale="110" zoomScaleNormal="110" workbookViewId="0">
      <selection activeCell="B12" sqref="B12"/>
    </sheetView>
  </sheetViews>
  <sheetFormatPr defaultRowHeight="13.2" x14ac:dyDescent="0.25"/>
  <cols>
    <col min="1" max="1" width="10.109375" customWidth="1"/>
  </cols>
  <sheetData>
    <row r="1" spans="1:13" x14ac:dyDescent="0.25">
      <c r="A1" s="10" t="s">
        <v>505</v>
      </c>
    </row>
    <row r="2" spans="1:13" x14ac:dyDescent="0.25">
      <c r="A2" s="10" t="s">
        <v>655</v>
      </c>
    </row>
    <row r="3" spans="1:13" x14ac:dyDescent="0.25">
      <c r="A3" s="17">
        <v>42801</v>
      </c>
    </row>
    <row r="5" spans="1:13" x14ac:dyDescent="0.25">
      <c r="C5" s="11" t="s">
        <v>513</v>
      </c>
    </row>
    <row r="6" spans="1:13" x14ac:dyDescent="0.25">
      <c r="C6" s="11"/>
    </row>
    <row r="7" spans="1:13" x14ac:dyDescent="0.25">
      <c r="C7" s="16" t="s">
        <v>515</v>
      </c>
      <c r="F7" s="16"/>
      <c r="G7" s="16"/>
      <c r="H7" s="16"/>
      <c r="I7" s="16"/>
      <c r="J7" s="16"/>
      <c r="K7" s="16"/>
      <c r="L7" s="16"/>
      <c r="M7" s="16"/>
    </row>
    <row r="8" spans="1:13" x14ac:dyDescent="0.25">
      <c r="C8" s="11" t="s">
        <v>514</v>
      </c>
    </row>
    <row r="11" spans="1:13" x14ac:dyDescent="0.25">
      <c r="C11" s="10" t="s">
        <v>516</v>
      </c>
    </row>
    <row r="12" spans="1:13" x14ac:dyDescent="0.25">
      <c r="C12">
        <v>1</v>
      </c>
      <c r="D12" s="11" t="s">
        <v>506</v>
      </c>
    </row>
    <row r="13" spans="1:13" x14ac:dyDescent="0.25">
      <c r="C13">
        <v>2</v>
      </c>
      <c r="D13" s="11" t="s">
        <v>507</v>
      </c>
      <c r="K13" s="5"/>
    </row>
    <row r="14" spans="1:13" x14ac:dyDescent="0.25">
      <c r="C14">
        <v>3</v>
      </c>
      <c r="D14" s="11" t="s">
        <v>517</v>
      </c>
    </row>
    <row r="15" spans="1:13" x14ac:dyDescent="0.25">
      <c r="D15" s="11" t="s">
        <v>518</v>
      </c>
    </row>
    <row r="16" spans="1:13" x14ac:dyDescent="0.25">
      <c r="C16">
        <v>4</v>
      </c>
      <c r="D16" s="11" t="s">
        <v>508</v>
      </c>
    </row>
    <row r="17" spans="3:11" x14ac:dyDescent="0.25">
      <c r="C17">
        <v>5</v>
      </c>
      <c r="D17" s="11" t="s">
        <v>509</v>
      </c>
    </row>
    <row r="24" spans="3:11" x14ac:dyDescent="0.25">
      <c r="K24" s="19"/>
    </row>
    <row r="25" spans="3:11" x14ac:dyDescent="0.25">
      <c r="K25" s="18"/>
    </row>
    <row r="41" spans="3:4" x14ac:dyDescent="0.25">
      <c r="C41">
        <v>6</v>
      </c>
      <c r="D41" s="11" t="s">
        <v>510</v>
      </c>
    </row>
    <row r="42" spans="3:4" x14ac:dyDescent="0.25">
      <c r="C42">
        <v>7</v>
      </c>
      <c r="D42" s="11" t="s">
        <v>511</v>
      </c>
    </row>
    <row r="57" spans="3:4" x14ac:dyDescent="0.25">
      <c r="C57" s="11">
        <v>8</v>
      </c>
      <c r="D57" s="11" t="s">
        <v>512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6245"/>
  <sheetViews>
    <sheetView workbookViewId="0">
      <selection sqref="A1:AL200"/>
    </sheetView>
  </sheetViews>
  <sheetFormatPr defaultRowHeight="13.2" x14ac:dyDescent="0.25"/>
  <cols>
    <col min="1" max="1" width="13" customWidth="1"/>
    <col min="2" max="2" width="14" customWidth="1"/>
    <col min="3" max="3" width="16" customWidth="1"/>
    <col min="4" max="4" width="23" customWidth="1"/>
    <col min="5" max="5" width="22" customWidth="1"/>
    <col min="6" max="6" width="12" customWidth="1"/>
    <col min="7" max="7" width="32" customWidth="1"/>
    <col min="8" max="8" width="14" customWidth="1"/>
    <col min="9" max="9" width="17" customWidth="1"/>
    <col min="10" max="10" width="10" customWidth="1"/>
    <col min="11" max="11" width="42" customWidth="1"/>
    <col min="12" max="12" width="16" customWidth="1"/>
    <col min="13" max="13" width="6" customWidth="1"/>
    <col min="14" max="14" width="7" customWidth="1"/>
    <col min="15" max="15" width="11" customWidth="1"/>
    <col min="16" max="16" width="13" customWidth="1"/>
    <col min="17" max="17" width="9" customWidth="1"/>
    <col min="18" max="18" width="14" customWidth="1"/>
    <col min="19" max="20" width="18" customWidth="1"/>
    <col min="21" max="21" width="12" customWidth="1"/>
    <col min="22" max="22" width="10" customWidth="1"/>
    <col min="23" max="23" width="11" customWidth="1"/>
    <col min="24" max="24" width="5" customWidth="1"/>
    <col min="25" max="27" width="12" customWidth="1"/>
    <col min="28" max="28" width="8" customWidth="1"/>
    <col min="29" max="29" width="6" customWidth="1"/>
    <col min="30" max="30" width="22" customWidth="1"/>
    <col min="31" max="31" width="11" customWidth="1"/>
    <col min="32" max="32" width="15" customWidth="1"/>
    <col min="33" max="33" width="6" customWidth="1"/>
    <col min="34" max="34" width="15" customWidth="1"/>
    <col min="35" max="35" width="11" customWidth="1"/>
    <col min="36" max="36" width="12" customWidth="1"/>
    <col min="37" max="37" width="10" customWidth="1"/>
    <col min="38" max="38" width="21" customWidth="1"/>
  </cols>
  <sheetData>
    <row r="1" spans="1:38" ht="66" x14ac:dyDescent="0.25">
      <c r="A1" s="4" t="s">
        <v>441</v>
      </c>
      <c r="B1" s="1" t="s">
        <v>442</v>
      </c>
      <c r="C1" s="1" t="s">
        <v>443</v>
      </c>
      <c r="D1" s="1" t="s">
        <v>444</v>
      </c>
      <c r="E1" s="1" t="s">
        <v>445</v>
      </c>
      <c r="F1" s="1" t="s">
        <v>446</v>
      </c>
      <c r="G1" s="1" t="s">
        <v>447</v>
      </c>
      <c r="H1" s="4" t="s">
        <v>448</v>
      </c>
      <c r="I1" s="4" t="s">
        <v>449</v>
      </c>
      <c r="J1" s="1" t="s">
        <v>450</v>
      </c>
      <c r="K1" s="1" t="s">
        <v>451</v>
      </c>
      <c r="L1" s="1" t="s">
        <v>452</v>
      </c>
      <c r="M1" s="4" t="s">
        <v>453</v>
      </c>
      <c r="N1" s="4" t="s">
        <v>454</v>
      </c>
      <c r="O1" s="1" t="s">
        <v>455</v>
      </c>
      <c r="P1" s="1" t="s">
        <v>456</v>
      </c>
      <c r="Q1" s="4" t="s">
        <v>457</v>
      </c>
      <c r="R1" s="1" t="s">
        <v>458</v>
      </c>
      <c r="S1" s="1" t="s">
        <v>459</v>
      </c>
      <c r="T1" s="1" t="s">
        <v>459</v>
      </c>
      <c r="U1" s="1" t="s">
        <v>460</v>
      </c>
      <c r="V1" s="4" t="s">
        <v>461</v>
      </c>
      <c r="W1" s="1" t="s">
        <v>462</v>
      </c>
      <c r="X1" s="4" t="s">
        <v>463</v>
      </c>
      <c r="Y1" s="1" t="s">
        <v>464</v>
      </c>
      <c r="Z1" s="1" t="s">
        <v>465</v>
      </c>
      <c r="AA1" s="1" t="s">
        <v>466</v>
      </c>
      <c r="AB1" s="4" t="s">
        <v>467</v>
      </c>
      <c r="AC1" s="4" t="s">
        <v>468</v>
      </c>
      <c r="AD1" s="1" t="s">
        <v>469</v>
      </c>
      <c r="AE1" s="1" t="s">
        <v>470</v>
      </c>
      <c r="AF1" s="1" t="s">
        <v>471</v>
      </c>
      <c r="AG1" s="4" t="s">
        <v>445</v>
      </c>
      <c r="AH1" s="1" t="s">
        <v>472</v>
      </c>
      <c r="AI1" s="1" t="s">
        <v>473</v>
      </c>
      <c r="AJ1" s="1" t="s">
        <v>474</v>
      </c>
      <c r="AK1" s="1" t="s">
        <v>475</v>
      </c>
      <c r="AL1" s="1" t="s">
        <v>476</v>
      </c>
    </row>
    <row r="2" spans="1:38" x14ac:dyDescent="0.25">
      <c r="A2" t="s">
        <v>140</v>
      </c>
      <c r="B2" t="s">
        <v>1</v>
      </c>
      <c r="C2" t="s">
        <v>434</v>
      </c>
      <c r="D2" t="s">
        <v>656</v>
      </c>
      <c r="E2" t="s">
        <v>3</v>
      </c>
      <c r="F2" t="s">
        <v>435</v>
      </c>
      <c r="G2" t="s">
        <v>676</v>
      </c>
      <c r="H2" t="s">
        <v>352</v>
      </c>
      <c r="I2" t="s">
        <v>353</v>
      </c>
      <c r="J2" t="s">
        <v>409</v>
      </c>
      <c r="K2" t="s">
        <v>410</v>
      </c>
      <c r="L2" s="2">
        <v>12</v>
      </c>
      <c r="M2" s="2">
        <v>0</v>
      </c>
      <c r="N2" s="2">
        <v>12</v>
      </c>
      <c r="O2" t="s">
        <v>9</v>
      </c>
      <c r="P2" t="s">
        <v>354</v>
      </c>
      <c r="Q2" t="s">
        <v>11</v>
      </c>
      <c r="R2" t="s">
        <v>405</v>
      </c>
      <c r="S2" t="s">
        <v>13</v>
      </c>
      <c r="T2" t="s">
        <v>14</v>
      </c>
      <c r="U2" t="s">
        <v>16</v>
      </c>
      <c r="V2" t="s">
        <v>15</v>
      </c>
      <c r="W2" t="s">
        <v>15</v>
      </c>
      <c r="X2" t="s">
        <v>15</v>
      </c>
      <c r="Y2" t="s">
        <v>15</v>
      </c>
      <c r="Z2" t="s">
        <v>15</v>
      </c>
      <c r="AA2" t="s">
        <v>15</v>
      </c>
      <c r="AB2" t="s">
        <v>16</v>
      </c>
      <c r="AC2" t="s">
        <v>17</v>
      </c>
      <c r="AD2" s="3">
        <v>42717</v>
      </c>
      <c r="AE2" t="s">
        <v>35</v>
      </c>
      <c r="AF2" t="s">
        <v>19</v>
      </c>
      <c r="AG2" t="s">
        <v>20</v>
      </c>
      <c r="AH2" s="3">
        <v>42712</v>
      </c>
      <c r="AI2" t="s">
        <v>21</v>
      </c>
      <c r="AJ2" t="s">
        <v>22</v>
      </c>
      <c r="AK2" t="s">
        <v>23</v>
      </c>
      <c r="AL2" s="3">
        <v>42712</v>
      </c>
    </row>
    <row r="3" spans="1:38" x14ac:dyDescent="0.25">
      <c r="A3" t="s">
        <v>140</v>
      </c>
      <c r="B3" t="s">
        <v>141</v>
      </c>
      <c r="C3" t="s">
        <v>344</v>
      </c>
      <c r="D3" t="s">
        <v>657</v>
      </c>
      <c r="E3" t="s">
        <v>25</v>
      </c>
      <c r="F3" t="s">
        <v>345</v>
      </c>
      <c r="G3" t="s">
        <v>677</v>
      </c>
      <c r="H3" t="s">
        <v>230</v>
      </c>
      <c r="I3" t="s">
        <v>231</v>
      </c>
      <c r="J3" t="s">
        <v>342</v>
      </c>
      <c r="K3" t="s">
        <v>343</v>
      </c>
      <c r="L3" s="2">
        <v>-24</v>
      </c>
      <c r="M3" s="2">
        <v>-24</v>
      </c>
      <c r="N3" s="2">
        <v>0</v>
      </c>
      <c r="O3" t="s">
        <v>142</v>
      </c>
      <c r="P3" t="s">
        <v>234</v>
      </c>
      <c r="Q3" t="s">
        <v>170</v>
      </c>
      <c r="R3" t="s">
        <v>143</v>
      </c>
      <c r="S3" t="s">
        <v>13</v>
      </c>
      <c r="T3" t="s">
        <v>14</v>
      </c>
      <c r="U3" t="s">
        <v>15</v>
      </c>
      <c r="V3" t="s">
        <v>16</v>
      </c>
      <c r="W3" t="s">
        <v>16</v>
      </c>
      <c r="X3" t="s">
        <v>144</v>
      </c>
      <c r="Y3" t="s">
        <v>15</v>
      </c>
      <c r="Z3" t="s">
        <v>15</v>
      </c>
      <c r="AA3" t="s">
        <v>15</v>
      </c>
      <c r="AB3" t="s">
        <v>15</v>
      </c>
      <c r="AC3" t="s">
        <v>17</v>
      </c>
      <c r="AD3" s="3">
        <v>42677</v>
      </c>
      <c r="AE3" t="s">
        <v>34</v>
      </c>
      <c r="AF3" t="s">
        <v>27</v>
      </c>
      <c r="AG3" t="s">
        <v>27</v>
      </c>
      <c r="AH3" s="3">
        <v>42677</v>
      </c>
      <c r="AI3" t="s">
        <v>32</v>
      </c>
      <c r="AJ3" t="s">
        <v>33</v>
      </c>
      <c r="AK3" t="s">
        <v>23</v>
      </c>
      <c r="AL3" s="3">
        <v>42677</v>
      </c>
    </row>
    <row r="4" spans="1:38" x14ac:dyDescent="0.25">
      <c r="A4" t="s">
        <v>140</v>
      </c>
      <c r="B4" t="s">
        <v>141</v>
      </c>
      <c r="C4" t="s">
        <v>344</v>
      </c>
      <c r="D4" t="s">
        <v>657</v>
      </c>
      <c r="E4" t="s">
        <v>25</v>
      </c>
      <c r="F4" t="s">
        <v>345</v>
      </c>
      <c r="G4" t="s">
        <v>677</v>
      </c>
      <c r="H4" t="s">
        <v>153</v>
      </c>
      <c r="I4" t="s">
        <v>154</v>
      </c>
      <c r="J4" t="s">
        <v>171</v>
      </c>
      <c r="K4" t="s">
        <v>172</v>
      </c>
      <c r="L4" s="2">
        <v>-260</v>
      </c>
      <c r="M4" s="2">
        <v>-260</v>
      </c>
      <c r="N4" s="2">
        <v>0</v>
      </c>
      <c r="O4" t="s">
        <v>142</v>
      </c>
      <c r="P4" t="s">
        <v>157</v>
      </c>
      <c r="Q4" t="s">
        <v>170</v>
      </c>
      <c r="R4" t="s">
        <v>143</v>
      </c>
      <c r="S4" t="s">
        <v>13</v>
      </c>
      <c r="T4" t="s">
        <v>14</v>
      </c>
      <c r="U4" t="s">
        <v>15</v>
      </c>
      <c r="V4" t="s">
        <v>16</v>
      </c>
      <c r="W4" t="s">
        <v>16</v>
      </c>
      <c r="X4" t="s">
        <v>144</v>
      </c>
      <c r="Y4" t="s">
        <v>15</v>
      </c>
      <c r="Z4" t="s">
        <v>15</v>
      </c>
      <c r="AA4" t="s">
        <v>15</v>
      </c>
      <c r="AB4" t="s">
        <v>15</v>
      </c>
      <c r="AC4" t="s">
        <v>17</v>
      </c>
      <c r="AD4" s="3">
        <v>42677</v>
      </c>
      <c r="AE4" t="s">
        <v>18</v>
      </c>
      <c r="AF4" t="s">
        <v>27</v>
      </c>
      <c r="AG4" t="s">
        <v>27</v>
      </c>
      <c r="AH4" s="3">
        <v>42677</v>
      </c>
      <c r="AI4" t="s">
        <v>32</v>
      </c>
      <c r="AJ4" t="s">
        <v>33</v>
      </c>
      <c r="AK4" t="s">
        <v>23</v>
      </c>
      <c r="AL4" s="3">
        <v>42677</v>
      </c>
    </row>
    <row r="5" spans="1:38" x14ac:dyDescent="0.25">
      <c r="A5" t="s">
        <v>0</v>
      </c>
      <c r="B5" t="s">
        <v>52</v>
      </c>
      <c r="C5" t="s">
        <v>100</v>
      </c>
      <c r="D5" t="s">
        <v>658</v>
      </c>
      <c r="E5" t="s">
        <v>43</v>
      </c>
      <c r="F5" t="s">
        <v>101</v>
      </c>
      <c r="G5" t="s">
        <v>677</v>
      </c>
      <c r="H5" t="s">
        <v>55</v>
      </c>
      <c r="I5" t="s">
        <v>56</v>
      </c>
      <c r="J5" t="s">
        <v>102</v>
      </c>
      <c r="K5" t="s">
        <v>103</v>
      </c>
      <c r="L5" s="2">
        <v>12</v>
      </c>
      <c r="M5" s="2">
        <v>12</v>
      </c>
      <c r="N5" s="2">
        <v>0</v>
      </c>
      <c r="O5" t="s">
        <v>59</v>
      </c>
      <c r="P5" t="s">
        <v>51</v>
      </c>
      <c r="Q5" t="s">
        <v>36</v>
      </c>
      <c r="R5" t="s">
        <v>61</v>
      </c>
      <c r="S5" t="s">
        <v>13</v>
      </c>
      <c r="T5" t="s">
        <v>14</v>
      </c>
      <c r="U5" t="s">
        <v>15</v>
      </c>
      <c r="V5" t="s">
        <v>16</v>
      </c>
      <c r="W5" t="s">
        <v>16</v>
      </c>
      <c r="X5" t="s">
        <v>41</v>
      </c>
      <c r="Y5" t="s">
        <v>15</v>
      </c>
      <c r="Z5" t="s">
        <v>15</v>
      </c>
      <c r="AA5" t="s">
        <v>15</v>
      </c>
      <c r="AB5" t="s">
        <v>15</v>
      </c>
      <c r="AC5" t="s">
        <v>17</v>
      </c>
      <c r="AD5" s="3">
        <v>42629</v>
      </c>
      <c r="AE5" t="s">
        <v>18</v>
      </c>
      <c r="AF5" t="s">
        <v>19</v>
      </c>
      <c r="AG5" t="s">
        <v>44</v>
      </c>
      <c r="AH5" s="3">
        <v>42629</v>
      </c>
      <c r="AI5" t="s">
        <v>104</v>
      </c>
      <c r="AJ5" t="s">
        <v>33</v>
      </c>
      <c r="AK5" t="s">
        <v>23</v>
      </c>
      <c r="AL5" s="3">
        <v>42600</v>
      </c>
    </row>
    <row r="6" spans="1:38" x14ac:dyDescent="0.25">
      <c r="A6" t="s">
        <v>0</v>
      </c>
      <c r="B6" t="s">
        <v>52</v>
      </c>
      <c r="C6" t="s">
        <v>105</v>
      </c>
      <c r="D6" t="s">
        <v>658</v>
      </c>
      <c r="E6" t="s">
        <v>25</v>
      </c>
      <c r="F6" t="s">
        <v>101</v>
      </c>
      <c r="G6" t="s">
        <v>677</v>
      </c>
      <c r="H6" t="s">
        <v>55</v>
      </c>
      <c r="I6" t="s">
        <v>56</v>
      </c>
      <c r="J6" t="s">
        <v>102</v>
      </c>
      <c r="K6" t="s">
        <v>103</v>
      </c>
      <c r="L6" s="2">
        <v>-12</v>
      </c>
      <c r="M6" s="2">
        <v>-12</v>
      </c>
      <c r="N6" s="2">
        <v>0</v>
      </c>
      <c r="O6" t="s">
        <v>59</v>
      </c>
      <c r="P6" t="s">
        <v>51</v>
      </c>
      <c r="Q6" t="s">
        <v>36</v>
      </c>
      <c r="R6" t="s">
        <v>61</v>
      </c>
      <c r="S6" t="s">
        <v>13</v>
      </c>
      <c r="T6" t="s">
        <v>14</v>
      </c>
      <c r="U6" t="s">
        <v>15</v>
      </c>
      <c r="V6" t="s">
        <v>16</v>
      </c>
      <c r="W6" t="s">
        <v>16</v>
      </c>
      <c r="X6" t="s">
        <v>41</v>
      </c>
      <c r="Y6" t="s">
        <v>15</v>
      </c>
      <c r="Z6" t="s">
        <v>15</v>
      </c>
      <c r="AA6" t="s">
        <v>15</v>
      </c>
      <c r="AB6" t="s">
        <v>15</v>
      </c>
      <c r="AC6" t="s">
        <v>17</v>
      </c>
      <c r="AD6" s="3"/>
      <c r="AE6" t="s">
        <v>18</v>
      </c>
      <c r="AF6" t="s">
        <v>27</v>
      </c>
      <c r="AG6" t="s">
        <v>27</v>
      </c>
      <c r="AH6" s="3">
        <v>42629</v>
      </c>
      <c r="AI6" t="s">
        <v>104</v>
      </c>
      <c r="AJ6" t="s">
        <v>33</v>
      </c>
      <c r="AK6" t="s">
        <v>23</v>
      </c>
      <c r="AL6" s="3">
        <v>42600</v>
      </c>
    </row>
    <row r="7" spans="1:38" x14ac:dyDescent="0.25">
      <c r="A7" t="s">
        <v>140</v>
      </c>
      <c r="B7" t="s">
        <v>121</v>
      </c>
      <c r="C7" t="s">
        <v>422</v>
      </c>
      <c r="D7" t="s">
        <v>659</v>
      </c>
      <c r="E7" t="s">
        <v>3</v>
      </c>
      <c r="F7" t="s">
        <v>423</v>
      </c>
      <c r="G7" t="s">
        <v>677</v>
      </c>
      <c r="H7" t="s">
        <v>369</v>
      </c>
      <c r="I7" t="s">
        <v>370</v>
      </c>
      <c r="J7" t="s">
        <v>387</v>
      </c>
      <c r="K7" t="s">
        <v>388</v>
      </c>
      <c r="L7" s="2">
        <v>72</v>
      </c>
      <c r="M7" s="2">
        <v>0</v>
      </c>
      <c r="N7" s="2">
        <v>72</v>
      </c>
      <c r="O7" t="s">
        <v>122</v>
      </c>
      <c r="P7" t="s">
        <v>373</v>
      </c>
      <c r="Q7" t="s">
        <v>85</v>
      </c>
      <c r="R7" t="s">
        <v>324</v>
      </c>
      <c r="S7" t="s">
        <v>13</v>
      </c>
      <c r="T7" t="s">
        <v>14</v>
      </c>
      <c r="U7" t="s">
        <v>15</v>
      </c>
      <c r="V7" t="s">
        <v>16</v>
      </c>
      <c r="W7" t="s">
        <v>15</v>
      </c>
      <c r="X7" t="s">
        <v>41</v>
      </c>
      <c r="Y7" t="s">
        <v>16</v>
      </c>
      <c r="Z7" t="s">
        <v>15</v>
      </c>
      <c r="AA7" t="s">
        <v>15</v>
      </c>
      <c r="AB7" t="s">
        <v>15</v>
      </c>
      <c r="AC7" t="s">
        <v>17</v>
      </c>
      <c r="AD7" s="3">
        <v>42713</v>
      </c>
      <c r="AE7" t="s">
        <v>128</v>
      </c>
      <c r="AF7" t="s">
        <v>19</v>
      </c>
      <c r="AG7" t="s">
        <v>20</v>
      </c>
      <c r="AH7" s="3">
        <v>42710</v>
      </c>
      <c r="AI7" t="s">
        <v>124</v>
      </c>
      <c r="AJ7" t="s">
        <v>33</v>
      </c>
      <c r="AK7" t="s">
        <v>23</v>
      </c>
      <c r="AL7" s="3">
        <v>42710</v>
      </c>
    </row>
    <row r="8" spans="1:38" x14ac:dyDescent="0.25">
      <c r="A8" t="s">
        <v>140</v>
      </c>
      <c r="B8" t="s">
        <v>250</v>
      </c>
      <c r="C8" t="s">
        <v>299</v>
      </c>
      <c r="D8" t="s">
        <v>660</v>
      </c>
      <c r="E8" t="s">
        <v>3</v>
      </c>
      <c r="F8" t="s">
        <v>295</v>
      </c>
      <c r="G8" t="s">
        <v>677</v>
      </c>
      <c r="H8" t="s">
        <v>300</v>
      </c>
      <c r="I8" t="s">
        <v>301</v>
      </c>
      <c r="J8" t="s">
        <v>302</v>
      </c>
      <c r="K8" t="s">
        <v>303</v>
      </c>
      <c r="L8" s="2">
        <v>132</v>
      </c>
      <c r="M8" s="2">
        <v>132</v>
      </c>
      <c r="N8" s="2">
        <v>0</v>
      </c>
      <c r="O8" t="s">
        <v>255</v>
      </c>
      <c r="P8" t="s">
        <v>133</v>
      </c>
      <c r="Q8" t="s">
        <v>170</v>
      </c>
      <c r="R8" t="s">
        <v>256</v>
      </c>
      <c r="S8" t="s">
        <v>13</v>
      </c>
      <c r="T8" t="s">
        <v>14</v>
      </c>
      <c r="U8" t="s">
        <v>15</v>
      </c>
      <c r="V8" t="s">
        <v>16</v>
      </c>
      <c r="W8" t="s">
        <v>15</v>
      </c>
      <c r="X8" t="s">
        <v>41</v>
      </c>
      <c r="Y8" t="s">
        <v>15</v>
      </c>
      <c r="Z8" t="s">
        <v>15</v>
      </c>
      <c r="AA8" t="s">
        <v>15</v>
      </c>
      <c r="AB8" t="s">
        <v>15</v>
      </c>
      <c r="AC8" t="s">
        <v>17</v>
      </c>
      <c r="AD8" s="3">
        <v>42649</v>
      </c>
      <c r="AE8" t="s">
        <v>18</v>
      </c>
      <c r="AF8" t="s">
        <v>19</v>
      </c>
      <c r="AG8" t="s">
        <v>20</v>
      </c>
      <c r="AH8" s="3">
        <v>42669</v>
      </c>
      <c r="AI8" t="s">
        <v>257</v>
      </c>
      <c r="AJ8" t="s">
        <v>33</v>
      </c>
      <c r="AK8" t="s">
        <v>23</v>
      </c>
      <c r="AL8" s="3">
        <v>42640</v>
      </c>
    </row>
    <row r="9" spans="1:38" x14ac:dyDescent="0.25">
      <c r="A9" t="s">
        <v>140</v>
      </c>
      <c r="B9" t="s">
        <v>173</v>
      </c>
      <c r="C9" t="s">
        <v>322</v>
      </c>
      <c r="D9" t="s">
        <v>661</v>
      </c>
      <c r="E9" t="s">
        <v>43</v>
      </c>
      <c r="F9" t="s">
        <v>286</v>
      </c>
      <c r="G9" t="s">
        <v>677</v>
      </c>
      <c r="H9" t="s">
        <v>174</v>
      </c>
      <c r="I9" t="s">
        <v>175</v>
      </c>
      <c r="J9" t="s">
        <v>180</v>
      </c>
      <c r="K9" t="s">
        <v>181</v>
      </c>
      <c r="L9" s="2">
        <v>120</v>
      </c>
      <c r="M9" s="2">
        <v>120</v>
      </c>
      <c r="N9" s="2">
        <v>0</v>
      </c>
      <c r="O9" t="s">
        <v>177</v>
      </c>
      <c r="P9" t="s">
        <v>178</v>
      </c>
      <c r="Q9" t="s">
        <v>182</v>
      </c>
      <c r="R9" t="s">
        <v>179</v>
      </c>
      <c r="S9" t="s">
        <v>13</v>
      </c>
      <c r="T9" t="s">
        <v>14</v>
      </c>
      <c r="U9" t="s">
        <v>15</v>
      </c>
      <c r="V9" t="s">
        <v>15</v>
      </c>
      <c r="W9" t="s">
        <v>15</v>
      </c>
      <c r="X9" t="s">
        <v>15</v>
      </c>
      <c r="Y9" t="s">
        <v>15</v>
      </c>
      <c r="Z9" t="s">
        <v>15</v>
      </c>
      <c r="AA9" t="s">
        <v>15</v>
      </c>
      <c r="AB9" t="s">
        <v>15</v>
      </c>
      <c r="AC9" t="s">
        <v>17</v>
      </c>
      <c r="AD9" s="3">
        <v>42667</v>
      </c>
      <c r="AE9" t="s">
        <v>18</v>
      </c>
      <c r="AF9" t="s">
        <v>19</v>
      </c>
      <c r="AG9" t="s">
        <v>44</v>
      </c>
      <c r="AH9" s="3">
        <v>42671</v>
      </c>
      <c r="AI9" t="s">
        <v>22</v>
      </c>
      <c r="AJ9" t="s">
        <v>33</v>
      </c>
      <c r="AK9" t="s">
        <v>23</v>
      </c>
      <c r="AL9" s="3">
        <v>42667</v>
      </c>
    </row>
    <row r="10" spans="1:38" x14ac:dyDescent="0.25">
      <c r="A10" t="s">
        <v>140</v>
      </c>
      <c r="B10" t="s">
        <v>141</v>
      </c>
      <c r="C10" t="s">
        <v>235</v>
      </c>
      <c r="D10" t="s">
        <v>662</v>
      </c>
      <c r="E10" t="s">
        <v>43</v>
      </c>
      <c r="F10" t="s">
        <v>236</v>
      </c>
      <c r="G10" t="s">
        <v>677</v>
      </c>
      <c r="H10" t="s">
        <v>226</v>
      </c>
      <c r="I10" t="s">
        <v>227</v>
      </c>
      <c r="J10" t="s">
        <v>237</v>
      </c>
      <c r="K10" t="s">
        <v>238</v>
      </c>
      <c r="L10" s="2">
        <v>8</v>
      </c>
      <c r="M10" s="2">
        <v>8</v>
      </c>
      <c r="N10" s="2">
        <v>0</v>
      </c>
      <c r="O10" t="s">
        <v>142</v>
      </c>
      <c r="P10" t="s">
        <v>126</v>
      </c>
      <c r="Q10" t="s">
        <v>11</v>
      </c>
      <c r="R10" t="s">
        <v>239</v>
      </c>
      <c r="S10" t="s">
        <v>13</v>
      </c>
      <c r="T10" t="s">
        <v>14</v>
      </c>
      <c r="U10" t="s">
        <v>15</v>
      </c>
      <c r="V10" t="s">
        <v>15</v>
      </c>
      <c r="W10" t="s">
        <v>16</v>
      </c>
      <c r="X10" t="s">
        <v>144</v>
      </c>
      <c r="Y10" t="s">
        <v>15</v>
      </c>
      <c r="Z10" t="s">
        <v>15</v>
      </c>
      <c r="AA10" t="s">
        <v>15</v>
      </c>
      <c r="AB10" t="s">
        <v>15</v>
      </c>
      <c r="AC10" t="s">
        <v>17</v>
      </c>
      <c r="AD10" s="3">
        <v>42557</v>
      </c>
      <c r="AE10" t="s">
        <v>18</v>
      </c>
      <c r="AF10" t="s">
        <v>19</v>
      </c>
      <c r="AG10" t="s">
        <v>44</v>
      </c>
      <c r="AH10" s="3">
        <v>42608</v>
      </c>
      <c r="AI10" t="s">
        <v>73</v>
      </c>
      <c r="AJ10" t="s">
        <v>33</v>
      </c>
      <c r="AK10" t="s">
        <v>23</v>
      </c>
      <c r="AL10" s="3">
        <v>42557</v>
      </c>
    </row>
    <row r="11" spans="1:38" x14ac:dyDescent="0.25">
      <c r="A11" t="s">
        <v>140</v>
      </c>
      <c r="B11" t="s">
        <v>141</v>
      </c>
      <c r="C11" t="s">
        <v>245</v>
      </c>
      <c r="D11" t="s">
        <v>662</v>
      </c>
      <c r="E11" t="s">
        <v>25</v>
      </c>
      <c r="F11" t="s">
        <v>236</v>
      </c>
      <c r="G11" t="s">
        <v>677</v>
      </c>
      <c r="H11" t="s">
        <v>226</v>
      </c>
      <c r="I11" t="s">
        <v>227</v>
      </c>
      <c r="J11" t="s">
        <v>237</v>
      </c>
      <c r="K11" t="s">
        <v>238</v>
      </c>
      <c r="L11" s="2">
        <v>-8</v>
      </c>
      <c r="M11" s="2">
        <v>-8</v>
      </c>
      <c r="N11" s="2">
        <v>0</v>
      </c>
      <c r="O11" t="s">
        <v>142</v>
      </c>
      <c r="P11" t="s">
        <v>126</v>
      </c>
      <c r="Q11" t="s">
        <v>11</v>
      </c>
      <c r="R11" t="s">
        <v>239</v>
      </c>
      <c r="S11" t="s">
        <v>13</v>
      </c>
      <c r="T11" t="s">
        <v>14</v>
      </c>
      <c r="U11" t="s">
        <v>15</v>
      </c>
      <c r="V11" t="s">
        <v>15</v>
      </c>
      <c r="W11" t="s">
        <v>16</v>
      </c>
      <c r="X11" t="s">
        <v>144</v>
      </c>
      <c r="Y11" t="s">
        <v>15</v>
      </c>
      <c r="Z11" t="s">
        <v>15</v>
      </c>
      <c r="AA11" t="s">
        <v>15</v>
      </c>
      <c r="AB11" t="s">
        <v>15</v>
      </c>
      <c r="AC11" t="s">
        <v>17</v>
      </c>
      <c r="AD11" s="3">
        <v>42557</v>
      </c>
      <c r="AE11" t="s">
        <v>18</v>
      </c>
      <c r="AF11" t="s">
        <v>27</v>
      </c>
      <c r="AG11" t="s">
        <v>27</v>
      </c>
      <c r="AH11" s="3">
        <v>42608</v>
      </c>
      <c r="AI11" t="s">
        <v>73</v>
      </c>
      <c r="AJ11" t="s">
        <v>33</v>
      </c>
      <c r="AK11" t="s">
        <v>23</v>
      </c>
      <c r="AL11" s="3">
        <v>42557</v>
      </c>
    </row>
    <row r="12" spans="1:38" x14ac:dyDescent="0.25">
      <c r="A12" t="s">
        <v>140</v>
      </c>
      <c r="B12" t="s">
        <v>173</v>
      </c>
      <c r="C12" t="s">
        <v>207</v>
      </c>
      <c r="D12" t="s">
        <v>661</v>
      </c>
      <c r="E12" t="s">
        <v>3</v>
      </c>
      <c r="F12" t="s">
        <v>208</v>
      </c>
      <c r="G12" t="s">
        <v>678</v>
      </c>
      <c r="H12" t="s">
        <v>174</v>
      </c>
      <c r="I12" t="s">
        <v>175</v>
      </c>
      <c r="J12" t="s">
        <v>176</v>
      </c>
      <c r="K12" t="s">
        <v>209</v>
      </c>
      <c r="L12" s="2">
        <v>468</v>
      </c>
      <c r="M12" s="2">
        <v>468</v>
      </c>
      <c r="N12" s="2">
        <v>0</v>
      </c>
      <c r="O12" t="s">
        <v>177</v>
      </c>
      <c r="P12" t="s">
        <v>178</v>
      </c>
      <c r="Q12" t="s">
        <v>166</v>
      </c>
      <c r="R12" t="s">
        <v>179</v>
      </c>
      <c r="S12" t="s">
        <v>13</v>
      </c>
      <c r="T12" t="s">
        <v>14</v>
      </c>
      <c r="U12" t="s">
        <v>15</v>
      </c>
      <c r="V12" t="s">
        <v>15</v>
      </c>
      <c r="W12" t="s">
        <v>15</v>
      </c>
      <c r="X12" t="s">
        <v>15</v>
      </c>
      <c r="Y12" t="s">
        <v>15</v>
      </c>
      <c r="Z12" t="s">
        <v>15</v>
      </c>
      <c r="AA12" t="s">
        <v>15</v>
      </c>
      <c r="AB12" t="s">
        <v>15</v>
      </c>
      <c r="AC12" t="s">
        <v>17</v>
      </c>
      <c r="AD12" s="3">
        <v>42566</v>
      </c>
      <c r="AE12" t="s">
        <v>18</v>
      </c>
      <c r="AF12" t="s">
        <v>19</v>
      </c>
      <c r="AG12" t="s">
        <v>20</v>
      </c>
      <c r="AH12" s="3">
        <v>42566</v>
      </c>
      <c r="AI12" t="s">
        <v>22</v>
      </c>
      <c r="AJ12" t="s">
        <v>33</v>
      </c>
      <c r="AK12" t="s">
        <v>23</v>
      </c>
      <c r="AL12" s="3">
        <v>42556</v>
      </c>
    </row>
    <row r="13" spans="1:38" x14ac:dyDescent="0.25">
      <c r="A13" t="s">
        <v>140</v>
      </c>
      <c r="B13" t="s">
        <v>121</v>
      </c>
      <c r="C13" t="s">
        <v>383</v>
      </c>
      <c r="D13" t="s">
        <v>662</v>
      </c>
      <c r="E13" t="s">
        <v>3</v>
      </c>
      <c r="F13" t="s">
        <v>384</v>
      </c>
      <c r="G13" t="s">
        <v>678</v>
      </c>
      <c r="H13" t="s">
        <v>369</v>
      </c>
      <c r="I13" t="s">
        <v>370</v>
      </c>
      <c r="J13" t="s">
        <v>371</v>
      </c>
      <c r="K13" t="s">
        <v>372</v>
      </c>
      <c r="L13" s="2">
        <v>28</v>
      </c>
      <c r="M13" s="2">
        <v>0</v>
      </c>
      <c r="N13" s="2">
        <v>28</v>
      </c>
      <c r="O13" t="s">
        <v>122</v>
      </c>
      <c r="P13" t="s">
        <v>373</v>
      </c>
      <c r="Q13" t="s">
        <v>11</v>
      </c>
      <c r="R13" t="s">
        <v>324</v>
      </c>
      <c r="S13" t="s">
        <v>13</v>
      </c>
      <c r="T13" t="s">
        <v>14</v>
      </c>
      <c r="U13" t="s">
        <v>15</v>
      </c>
      <c r="V13" t="s">
        <v>16</v>
      </c>
      <c r="W13" t="s">
        <v>15</v>
      </c>
      <c r="X13" t="s">
        <v>41</v>
      </c>
      <c r="Y13" t="s">
        <v>16</v>
      </c>
      <c r="Z13" t="s">
        <v>15</v>
      </c>
      <c r="AA13" t="s">
        <v>15</v>
      </c>
      <c r="AB13" t="s">
        <v>15</v>
      </c>
      <c r="AC13" t="s">
        <v>17</v>
      </c>
      <c r="AD13" s="3">
        <v>42709</v>
      </c>
      <c r="AE13" t="s">
        <v>35</v>
      </c>
      <c r="AF13" t="s">
        <v>19</v>
      </c>
      <c r="AG13" t="s">
        <v>20</v>
      </c>
      <c r="AH13" s="3">
        <v>42704</v>
      </c>
      <c r="AI13" t="s">
        <v>127</v>
      </c>
      <c r="AJ13" t="s">
        <v>33</v>
      </c>
      <c r="AK13" t="s">
        <v>23</v>
      </c>
      <c r="AL13" s="3">
        <v>42704</v>
      </c>
    </row>
    <row r="14" spans="1:38" x14ac:dyDescent="0.25">
      <c r="A14" t="s">
        <v>140</v>
      </c>
      <c r="B14" t="s">
        <v>121</v>
      </c>
      <c r="C14" t="s">
        <v>430</v>
      </c>
      <c r="D14" t="s">
        <v>663</v>
      </c>
      <c r="E14" t="s">
        <v>3</v>
      </c>
      <c r="F14" t="s">
        <v>431</v>
      </c>
      <c r="G14" t="s">
        <v>678</v>
      </c>
      <c r="H14" t="s">
        <v>369</v>
      </c>
      <c r="I14" t="s">
        <v>370</v>
      </c>
      <c r="J14" t="s">
        <v>371</v>
      </c>
      <c r="K14" t="s">
        <v>372</v>
      </c>
      <c r="L14" s="2">
        <v>56</v>
      </c>
      <c r="M14" s="2">
        <v>0</v>
      </c>
      <c r="N14" s="2">
        <v>56</v>
      </c>
      <c r="O14" t="s">
        <v>122</v>
      </c>
      <c r="P14" t="s">
        <v>373</v>
      </c>
      <c r="Q14" t="s">
        <v>11</v>
      </c>
      <c r="R14" t="s">
        <v>324</v>
      </c>
      <c r="S14" t="s">
        <v>13</v>
      </c>
      <c r="T14" t="s">
        <v>14</v>
      </c>
      <c r="U14" t="s">
        <v>15</v>
      </c>
      <c r="V14" t="s">
        <v>16</v>
      </c>
      <c r="W14" t="s">
        <v>15</v>
      </c>
      <c r="X14" t="s">
        <v>41</v>
      </c>
      <c r="Y14" t="s">
        <v>16</v>
      </c>
      <c r="Z14" t="s">
        <v>15</v>
      </c>
      <c r="AA14" t="s">
        <v>15</v>
      </c>
      <c r="AB14" t="s">
        <v>15</v>
      </c>
      <c r="AC14" t="s">
        <v>17</v>
      </c>
      <c r="AD14" s="3">
        <v>42717</v>
      </c>
      <c r="AE14" t="s">
        <v>35</v>
      </c>
      <c r="AF14" t="s">
        <v>19</v>
      </c>
      <c r="AG14" t="s">
        <v>20</v>
      </c>
      <c r="AH14" s="3">
        <v>42712</v>
      </c>
      <c r="AI14" t="s">
        <v>127</v>
      </c>
      <c r="AJ14" t="s">
        <v>33</v>
      </c>
      <c r="AK14" t="s">
        <v>23</v>
      </c>
      <c r="AL14" s="3">
        <v>42712</v>
      </c>
    </row>
    <row r="15" spans="1:38" x14ac:dyDescent="0.25">
      <c r="A15" t="s">
        <v>140</v>
      </c>
      <c r="B15" t="s">
        <v>1</v>
      </c>
      <c r="C15" t="s">
        <v>407</v>
      </c>
      <c r="D15" t="s">
        <v>656</v>
      </c>
      <c r="E15" t="s">
        <v>3</v>
      </c>
      <c r="F15" t="s">
        <v>408</v>
      </c>
      <c r="G15" t="s">
        <v>676</v>
      </c>
      <c r="H15" t="s">
        <v>352</v>
      </c>
      <c r="I15" t="s">
        <v>353</v>
      </c>
      <c r="J15" t="s">
        <v>409</v>
      </c>
      <c r="K15" t="s">
        <v>410</v>
      </c>
      <c r="L15" s="2">
        <v>12</v>
      </c>
      <c r="M15" s="2">
        <v>0</v>
      </c>
      <c r="N15" s="2">
        <v>12</v>
      </c>
      <c r="O15" t="s">
        <v>9</v>
      </c>
      <c r="P15" t="s">
        <v>354</v>
      </c>
      <c r="Q15" t="s">
        <v>11</v>
      </c>
      <c r="R15" t="s">
        <v>405</v>
      </c>
      <c r="S15" t="s">
        <v>13</v>
      </c>
      <c r="T15" t="s">
        <v>14</v>
      </c>
      <c r="U15" t="s">
        <v>16</v>
      </c>
      <c r="V15" t="s">
        <v>15</v>
      </c>
      <c r="W15" t="s">
        <v>15</v>
      </c>
      <c r="X15" t="s">
        <v>15</v>
      </c>
      <c r="Y15" t="s">
        <v>15</v>
      </c>
      <c r="Z15" t="s">
        <v>15</v>
      </c>
      <c r="AA15" t="s">
        <v>15</v>
      </c>
      <c r="AB15" t="s">
        <v>16</v>
      </c>
      <c r="AC15" t="s">
        <v>17</v>
      </c>
      <c r="AD15" s="3">
        <v>42712</v>
      </c>
      <c r="AE15" t="s">
        <v>34</v>
      </c>
      <c r="AF15" t="s">
        <v>19</v>
      </c>
      <c r="AG15" t="s">
        <v>20</v>
      </c>
      <c r="AH15" s="3">
        <v>42709</v>
      </c>
      <c r="AI15" t="s">
        <v>21</v>
      </c>
      <c r="AJ15" t="s">
        <v>22</v>
      </c>
      <c r="AK15" t="s">
        <v>23</v>
      </c>
      <c r="AL15" s="3">
        <v>42709</v>
      </c>
    </row>
    <row r="16" spans="1:38" x14ac:dyDescent="0.25">
      <c r="A16" t="s">
        <v>0</v>
      </c>
      <c r="B16" t="s">
        <v>1</v>
      </c>
      <c r="C16" t="s">
        <v>113</v>
      </c>
      <c r="D16" t="s">
        <v>664</v>
      </c>
      <c r="E16" t="s">
        <v>25</v>
      </c>
      <c r="F16" t="s">
        <v>114</v>
      </c>
      <c r="G16" t="s">
        <v>676</v>
      </c>
      <c r="H16" t="s">
        <v>47</v>
      </c>
      <c r="I16" t="s">
        <v>48</v>
      </c>
      <c r="J16" t="s">
        <v>118</v>
      </c>
      <c r="K16" t="s">
        <v>119</v>
      </c>
      <c r="L16" s="2">
        <v>-8</v>
      </c>
      <c r="M16" s="2">
        <v>-8</v>
      </c>
      <c r="N16" s="2">
        <v>0</v>
      </c>
      <c r="O16" t="s">
        <v>9</v>
      </c>
      <c r="P16" t="s">
        <v>51</v>
      </c>
      <c r="Q16" t="s">
        <v>11</v>
      </c>
      <c r="R16" t="s">
        <v>117</v>
      </c>
      <c r="S16" t="s">
        <v>13</v>
      </c>
      <c r="T16" t="s">
        <v>14</v>
      </c>
      <c r="U16" t="s">
        <v>16</v>
      </c>
      <c r="V16" t="s">
        <v>15</v>
      </c>
      <c r="W16" t="s">
        <v>15</v>
      </c>
      <c r="X16" t="s">
        <v>15</v>
      </c>
      <c r="Y16" t="s">
        <v>15</v>
      </c>
      <c r="Z16" t="s">
        <v>15</v>
      </c>
      <c r="AA16" t="s">
        <v>15</v>
      </c>
      <c r="AB16" t="s">
        <v>16</v>
      </c>
      <c r="AC16" t="s">
        <v>17</v>
      </c>
      <c r="AD16" s="3">
        <v>42677</v>
      </c>
      <c r="AE16" t="s">
        <v>34</v>
      </c>
      <c r="AF16" t="s">
        <v>27</v>
      </c>
      <c r="AG16" t="s">
        <v>27</v>
      </c>
      <c r="AH16" s="3">
        <v>42677</v>
      </c>
      <c r="AI16" t="s">
        <v>21</v>
      </c>
      <c r="AJ16" t="s">
        <v>22</v>
      </c>
      <c r="AK16" t="s">
        <v>23</v>
      </c>
      <c r="AL16" s="3">
        <v>42677</v>
      </c>
    </row>
    <row r="17" spans="1:38" x14ac:dyDescent="0.25">
      <c r="A17" t="s">
        <v>0</v>
      </c>
      <c r="B17" t="s">
        <v>1</v>
      </c>
      <c r="C17" t="s">
        <v>113</v>
      </c>
      <c r="D17" t="s">
        <v>664</v>
      </c>
      <c r="E17" t="s">
        <v>25</v>
      </c>
      <c r="F17" t="s">
        <v>114</v>
      </c>
      <c r="G17" t="s">
        <v>676</v>
      </c>
      <c r="H17" t="s">
        <v>5</v>
      </c>
      <c r="I17" t="s">
        <v>6</v>
      </c>
      <c r="J17" t="s">
        <v>115</v>
      </c>
      <c r="K17" t="s">
        <v>116</v>
      </c>
      <c r="L17" s="2">
        <v>-24</v>
      </c>
      <c r="M17" s="2">
        <v>-24</v>
      </c>
      <c r="N17" s="2">
        <v>0</v>
      </c>
      <c r="O17" t="s">
        <v>9</v>
      </c>
      <c r="P17" t="s">
        <v>10</v>
      </c>
      <c r="Q17" t="s">
        <v>11</v>
      </c>
      <c r="R17" t="s">
        <v>117</v>
      </c>
      <c r="S17" t="s">
        <v>13</v>
      </c>
      <c r="T17" t="s">
        <v>14</v>
      </c>
      <c r="U17" t="s">
        <v>16</v>
      </c>
      <c r="V17" t="s">
        <v>15</v>
      </c>
      <c r="W17" t="s">
        <v>15</v>
      </c>
      <c r="X17" t="s">
        <v>15</v>
      </c>
      <c r="Y17" t="s">
        <v>15</v>
      </c>
      <c r="Z17" t="s">
        <v>15</v>
      </c>
      <c r="AA17" t="s">
        <v>15</v>
      </c>
      <c r="AB17" t="s">
        <v>16</v>
      </c>
      <c r="AC17" t="s">
        <v>17</v>
      </c>
      <c r="AD17" s="3">
        <v>42677</v>
      </c>
      <c r="AE17" t="s">
        <v>18</v>
      </c>
      <c r="AF17" t="s">
        <v>27</v>
      </c>
      <c r="AG17" t="s">
        <v>27</v>
      </c>
      <c r="AH17" s="3">
        <v>42677</v>
      </c>
      <c r="AI17" t="s">
        <v>21</v>
      </c>
      <c r="AJ17" t="s">
        <v>22</v>
      </c>
      <c r="AK17" t="s">
        <v>23</v>
      </c>
      <c r="AL17" s="3">
        <v>42677</v>
      </c>
    </row>
    <row r="18" spans="1:38" x14ac:dyDescent="0.25">
      <c r="A18" t="s">
        <v>140</v>
      </c>
      <c r="B18" t="s">
        <v>121</v>
      </c>
      <c r="C18" t="s">
        <v>374</v>
      </c>
      <c r="D18" t="s">
        <v>659</v>
      </c>
      <c r="E18" t="s">
        <v>3</v>
      </c>
      <c r="F18" t="s">
        <v>375</v>
      </c>
      <c r="G18" t="s">
        <v>676</v>
      </c>
      <c r="H18" t="s">
        <v>369</v>
      </c>
      <c r="I18" t="s">
        <v>370</v>
      </c>
      <c r="J18" t="s">
        <v>376</v>
      </c>
      <c r="K18" t="s">
        <v>377</v>
      </c>
      <c r="L18" s="2">
        <v>32</v>
      </c>
      <c r="M18" s="2">
        <v>0</v>
      </c>
      <c r="N18" s="2">
        <v>32</v>
      </c>
      <c r="O18" t="s">
        <v>122</v>
      </c>
      <c r="P18" t="s">
        <v>373</v>
      </c>
      <c r="Q18" t="s">
        <v>170</v>
      </c>
      <c r="R18" t="s">
        <v>324</v>
      </c>
      <c r="S18" t="s">
        <v>13</v>
      </c>
      <c r="T18" t="s">
        <v>14</v>
      </c>
      <c r="U18" t="s">
        <v>15</v>
      </c>
      <c r="V18" t="s">
        <v>16</v>
      </c>
      <c r="W18" t="s">
        <v>15</v>
      </c>
      <c r="X18" t="s">
        <v>41</v>
      </c>
      <c r="Y18" t="s">
        <v>16</v>
      </c>
      <c r="Z18" t="s">
        <v>15</v>
      </c>
      <c r="AA18" t="s">
        <v>15</v>
      </c>
      <c r="AB18" t="s">
        <v>15</v>
      </c>
      <c r="AC18" t="s">
        <v>17</v>
      </c>
      <c r="AD18" s="3">
        <v>42705</v>
      </c>
      <c r="AE18" t="s">
        <v>35</v>
      </c>
      <c r="AF18" t="s">
        <v>19</v>
      </c>
      <c r="AG18" t="s">
        <v>20</v>
      </c>
      <c r="AH18" s="3">
        <v>42702</v>
      </c>
      <c r="AI18" t="s">
        <v>124</v>
      </c>
      <c r="AJ18" t="s">
        <v>33</v>
      </c>
      <c r="AK18" t="s">
        <v>23</v>
      </c>
      <c r="AL18" s="3">
        <v>42702</v>
      </c>
    </row>
    <row r="19" spans="1:38" x14ac:dyDescent="0.25">
      <c r="A19" t="s">
        <v>140</v>
      </c>
      <c r="B19" t="s">
        <v>173</v>
      </c>
      <c r="C19" t="s">
        <v>314</v>
      </c>
      <c r="D19" t="s">
        <v>661</v>
      </c>
      <c r="E19" t="s">
        <v>43</v>
      </c>
      <c r="F19" t="s">
        <v>247</v>
      </c>
      <c r="G19" t="s">
        <v>676</v>
      </c>
      <c r="H19" t="s">
        <v>212</v>
      </c>
      <c r="I19" t="s">
        <v>213</v>
      </c>
      <c r="J19" t="s">
        <v>214</v>
      </c>
      <c r="K19" t="s">
        <v>215</v>
      </c>
      <c r="L19" s="2">
        <v>48</v>
      </c>
      <c r="M19" s="2">
        <v>48</v>
      </c>
      <c r="N19" s="2">
        <v>0</v>
      </c>
      <c r="O19" t="s">
        <v>177</v>
      </c>
      <c r="P19" t="s">
        <v>216</v>
      </c>
      <c r="Q19" t="s">
        <v>182</v>
      </c>
      <c r="R19" t="s">
        <v>179</v>
      </c>
      <c r="S19" t="s">
        <v>13</v>
      </c>
      <c r="T19" t="s">
        <v>14</v>
      </c>
      <c r="U19" t="s">
        <v>15</v>
      </c>
      <c r="V19" t="s">
        <v>15</v>
      </c>
      <c r="W19" t="s">
        <v>15</v>
      </c>
      <c r="X19" t="s">
        <v>15</v>
      </c>
      <c r="Y19" t="s">
        <v>15</v>
      </c>
      <c r="Z19" t="s">
        <v>15</v>
      </c>
      <c r="AA19" t="s">
        <v>15</v>
      </c>
      <c r="AB19" t="s">
        <v>15</v>
      </c>
      <c r="AC19" t="s">
        <v>17</v>
      </c>
      <c r="AD19" s="3">
        <v>42667</v>
      </c>
      <c r="AE19" t="s">
        <v>18</v>
      </c>
      <c r="AF19" t="s">
        <v>19</v>
      </c>
      <c r="AG19" t="s">
        <v>44</v>
      </c>
      <c r="AH19" s="3">
        <v>42667</v>
      </c>
      <c r="AI19" t="s">
        <v>22</v>
      </c>
      <c r="AJ19" t="s">
        <v>33</v>
      </c>
      <c r="AK19" t="s">
        <v>23</v>
      </c>
      <c r="AL19" s="3">
        <v>42655</v>
      </c>
    </row>
    <row r="20" spans="1:38" x14ac:dyDescent="0.25">
      <c r="A20" t="s">
        <v>140</v>
      </c>
      <c r="B20" t="s">
        <v>173</v>
      </c>
      <c r="C20" t="s">
        <v>246</v>
      </c>
      <c r="D20" t="s">
        <v>661</v>
      </c>
      <c r="E20" t="s">
        <v>3</v>
      </c>
      <c r="F20" t="s">
        <v>247</v>
      </c>
      <c r="G20" t="s">
        <v>676</v>
      </c>
      <c r="H20" t="s">
        <v>212</v>
      </c>
      <c r="I20" t="s">
        <v>213</v>
      </c>
      <c r="J20" t="s">
        <v>214</v>
      </c>
      <c r="K20" t="s">
        <v>215</v>
      </c>
      <c r="L20" s="2">
        <v>88</v>
      </c>
      <c r="M20" s="2">
        <v>88</v>
      </c>
      <c r="N20" s="2">
        <v>0</v>
      </c>
      <c r="O20" t="s">
        <v>177</v>
      </c>
      <c r="P20" t="s">
        <v>216</v>
      </c>
      <c r="Q20" t="s">
        <v>182</v>
      </c>
      <c r="R20" t="s">
        <v>179</v>
      </c>
      <c r="S20" t="s">
        <v>13</v>
      </c>
      <c r="T20" t="s">
        <v>14</v>
      </c>
      <c r="U20" t="s">
        <v>15</v>
      </c>
      <c r="V20" t="s">
        <v>15</v>
      </c>
      <c r="W20" t="s">
        <v>15</v>
      </c>
      <c r="X20" t="s">
        <v>15</v>
      </c>
      <c r="Y20" t="s">
        <v>15</v>
      </c>
      <c r="Z20" t="s">
        <v>15</v>
      </c>
      <c r="AA20" t="s">
        <v>15</v>
      </c>
      <c r="AB20" t="s">
        <v>15</v>
      </c>
      <c r="AC20" t="s">
        <v>17</v>
      </c>
      <c r="AD20" s="3">
        <v>42566</v>
      </c>
      <c r="AE20" t="s">
        <v>34</v>
      </c>
      <c r="AF20" t="s">
        <v>19</v>
      </c>
      <c r="AG20" t="s">
        <v>20</v>
      </c>
      <c r="AH20" s="3">
        <v>42566</v>
      </c>
      <c r="AI20" t="s">
        <v>22</v>
      </c>
      <c r="AJ20" t="s">
        <v>33</v>
      </c>
      <c r="AK20" t="s">
        <v>23</v>
      </c>
      <c r="AL20" s="3">
        <v>42559</v>
      </c>
    </row>
    <row r="21" spans="1:38" x14ac:dyDescent="0.25">
      <c r="A21" t="s">
        <v>140</v>
      </c>
      <c r="B21" t="s">
        <v>173</v>
      </c>
      <c r="C21" t="s">
        <v>313</v>
      </c>
      <c r="D21" t="s">
        <v>661</v>
      </c>
      <c r="E21" t="s">
        <v>25</v>
      </c>
      <c r="F21" t="s">
        <v>247</v>
      </c>
      <c r="G21" t="s">
        <v>676</v>
      </c>
      <c r="H21" t="s">
        <v>174</v>
      </c>
      <c r="I21" t="s">
        <v>175</v>
      </c>
      <c r="J21" t="s">
        <v>180</v>
      </c>
      <c r="K21" t="s">
        <v>181</v>
      </c>
      <c r="L21" s="2">
        <v>-48</v>
      </c>
      <c r="M21" s="2">
        <v>-48</v>
      </c>
      <c r="N21" s="2">
        <v>0</v>
      </c>
      <c r="O21" t="s">
        <v>177</v>
      </c>
      <c r="P21" t="s">
        <v>178</v>
      </c>
      <c r="Q21" t="s">
        <v>182</v>
      </c>
      <c r="R21" t="s">
        <v>179</v>
      </c>
      <c r="S21" t="s">
        <v>13</v>
      </c>
      <c r="T21" t="s">
        <v>14</v>
      </c>
      <c r="U21" t="s">
        <v>15</v>
      </c>
      <c r="V21" t="s">
        <v>15</v>
      </c>
      <c r="W21" t="s">
        <v>15</v>
      </c>
      <c r="X21" t="s">
        <v>15</v>
      </c>
      <c r="Y21" t="s">
        <v>15</v>
      </c>
      <c r="Z21" t="s">
        <v>15</v>
      </c>
      <c r="AA21" t="s">
        <v>15</v>
      </c>
      <c r="AB21" t="s">
        <v>15</v>
      </c>
      <c r="AC21" t="s">
        <v>17</v>
      </c>
      <c r="AD21" s="3"/>
      <c r="AE21" t="s">
        <v>18</v>
      </c>
      <c r="AF21" t="s">
        <v>27</v>
      </c>
      <c r="AG21" t="s">
        <v>27</v>
      </c>
      <c r="AH21" s="3">
        <v>42667</v>
      </c>
      <c r="AI21" t="s">
        <v>22</v>
      </c>
      <c r="AJ21" t="s">
        <v>33</v>
      </c>
      <c r="AK21" t="s">
        <v>23</v>
      </c>
      <c r="AL21" s="3">
        <v>42655</v>
      </c>
    </row>
    <row r="22" spans="1:38" x14ac:dyDescent="0.25">
      <c r="A22" t="s">
        <v>140</v>
      </c>
      <c r="B22" t="s">
        <v>173</v>
      </c>
      <c r="C22" t="s">
        <v>330</v>
      </c>
      <c r="D22" t="s">
        <v>661</v>
      </c>
      <c r="E22" t="s">
        <v>25</v>
      </c>
      <c r="F22" t="s">
        <v>247</v>
      </c>
      <c r="G22" t="s">
        <v>676</v>
      </c>
      <c r="H22" t="s">
        <v>174</v>
      </c>
      <c r="I22" t="s">
        <v>175</v>
      </c>
      <c r="J22" t="s">
        <v>180</v>
      </c>
      <c r="K22" t="s">
        <v>181</v>
      </c>
      <c r="L22" s="2">
        <v>-32</v>
      </c>
      <c r="M22" s="2">
        <v>-32</v>
      </c>
      <c r="N22" s="2">
        <v>0</v>
      </c>
      <c r="O22" t="s">
        <v>177</v>
      </c>
      <c r="P22" t="s">
        <v>178</v>
      </c>
      <c r="Q22" t="s">
        <v>182</v>
      </c>
      <c r="R22" t="s">
        <v>179</v>
      </c>
      <c r="S22" t="s">
        <v>13</v>
      </c>
      <c r="T22" t="s">
        <v>14</v>
      </c>
      <c r="U22" t="s">
        <v>15</v>
      </c>
      <c r="V22" t="s">
        <v>15</v>
      </c>
      <c r="W22" t="s">
        <v>15</v>
      </c>
      <c r="X22" t="s">
        <v>15</v>
      </c>
      <c r="Y22" t="s">
        <v>15</v>
      </c>
      <c r="Z22" t="s">
        <v>15</v>
      </c>
      <c r="AA22" t="s">
        <v>15</v>
      </c>
      <c r="AB22" t="s">
        <v>15</v>
      </c>
      <c r="AC22" t="s">
        <v>17</v>
      </c>
      <c r="AD22" s="3"/>
      <c r="AE22" t="s">
        <v>18</v>
      </c>
      <c r="AF22" t="s">
        <v>27</v>
      </c>
      <c r="AG22" t="s">
        <v>27</v>
      </c>
      <c r="AH22" s="3">
        <v>42688</v>
      </c>
      <c r="AI22" t="s">
        <v>22</v>
      </c>
      <c r="AJ22" t="s">
        <v>33</v>
      </c>
      <c r="AK22" t="s">
        <v>23</v>
      </c>
      <c r="AL22" s="3">
        <v>42675</v>
      </c>
    </row>
    <row r="23" spans="1:38" x14ac:dyDescent="0.25">
      <c r="A23" t="s">
        <v>140</v>
      </c>
      <c r="B23" t="s">
        <v>173</v>
      </c>
      <c r="C23" t="s">
        <v>246</v>
      </c>
      <c r="D23" t="s">
        <v>661</v>
      </c>
      <c r="E23" t="s">
        <v>3</v>
      </c>
      <c r="F23" t="s">
        <v>247</v>
      </c>
      <c r="G23" t="s">
        <v>676</v>
      </c>
      <c r="H23" t="s">
        <v>174</v>
      </c>
      <c r="I23" t="s">
        <v>175</v>
      </c>
      <c r="J23" t="s">
        <v>180</v>
      </c>
      <c r="K23" t="s">
        <v>181</v>
      </c>
      <c r="L23" s="2">
        <v>256</v>
      </c>
      <c r="M23" s="2">
        <v>256</v>
      </c>
      <c r="N23" s="2">
        <v>0</v>
      </c>
      <c r="O23" t="s">
        <v>177</v>
      </c>
      <c r="P23" t="s">
        <v>178</v>
      </c>
      <c r="Q23" t="s">
        <v>182</v>
      </c>
      <c r="R23" t="s">
        <v>179</v>
      </c>
      <c r="S23" t="s">
        <v>13</v>
      </c>
      <c r="T23" t="s">
        <v>14</v>
      </c>
      <c r="U23" t="s">
        <v>15</v>
      </c>
      <c r="V23" t="s">
        <v>15</v>
      </c>
      <c r="W23" t="s">
        <v>15</v>
      </c>
      <c r="X23" t="s">
        <v>15</v>
      </c>
      <c r="Y23" t="s">
        <v>15</v>
      </c>
      <c r="Z23" t="s">
        <v>15</v>
      </c>
      <c r="AA23" t="s">
        <v>15</v>
      </c>
      <c r="AB23" t="s">
        <v>15</v>
      </c>
      <c r="AC23" t="s">
        <v>17</v>
      </c>
      <c r="AD23" s="3">
        <v>42566</v>
      </c>
      <c r="AE23" t="s">
        <v>18</v>
      </c>
      <c r="AF23" t="s">
        <v>19</v>
      </c>
      <c r="AG23" t="s">
        <v>20</v>
      </c>
      <c r="AH23" s="3">
        <v>42566</v>
      </c>
      <c r="AI23" t="s">
        <v>22</v>
      </c>
      <c r="AJ23" t="s">
        <v>33</v>
      </c>
      <c r="AK23" t="s">
        <v>23</v>
      </c>
      <c r="AL23" s="3">
        <v>42559</v>
      </c>
    </row>
    <row r="24" spans="1:38" x14ac:dyDescent="0.25">
      <c r="A24" t="s">
        <v>0</v>
      </c>
      <c r="B24" t="s">
        <v>1</v>
      </c>
      <c r="C24" t="s">
        <v>45</v>
      </c>
      <c r="D24" t="s">
        <v>665</v>
      </c>
      <c r="E24" t="s">
        <v>43</v>
      </c>
      <c r="F24" t="s">
        <v>46</v>
      </c>
      <c r="G24" t="s">
        <v>676</v>
      </c>
      <c r="H24" t="s">
        <v>47</v>
      </c>
      <c r="I24" t="s">
        <v>48</v>
      </c>
      <c r="J24" t="s">
        <v>49</v>
      </c>
      <c r="K24" t="s">
        <v>50</v>
      </c>
      <c r="L24" s="2">
        <v>8</v>
      </c>
      <c r="M24" s="2">
        <v>8</v>
      </c>
      <c r="N24" s="2">
        <v>0</v>
      </c>
      <c r="O24" t="s">
        <v>9</v>
      </c>
      <c r="P24" t="s">
        <v>51</v>
      </c>
      <c r="Q24" t="s">
        <v>11</v>
      </c>
      <c r="R24" t="s">
        <v>40</v>
      </c>
      <c r="S24" t="s">
        <v>13</v>
      </c>
      <c r="T24" t="s">
        <v>14</v>
      </c>
      <c r="U24" t="s">
        <v>15</v>
      </c>
      <c r="V24" t="s">
        <v>15</v>
      </c>
      <c r="W24" t="s">
        <v>16</v>
      </c>
      <c r="X24" t="s">
        <v>41</v>
      </c>
      <c r="Y24" t="s">
        <v>15</v>
      </c>
      <c r="Z24" t="s">
        <v>15</v>
      </c>
      <c r="AA24" t="s">
        <v>15</v>
      </c>
      <c r="AB24" t="s">
        <v>15</v>
      </c>
      <c r="AC24" t="s">
        <v>17</v>
      </c>
      <c r="AD24" s="3">
        <v>42542</v>
      </c>
      <c r="AE24" t="s">
        <v>18</v>
      </c>
      <c r="AF24" t="s">
        <v>19</v>
      </c>
      <c r="AG24" t="s">
        <v>44</v>
      </c>
      <c r="AH24" s="3">
        <v>42647</v>
      </c>
      <c r="AI24" t="s">
        <v>42</v>
      </c>
      <c r="AJ24" t="s">
        <v>33</v>
      </c>
      <c r="AK24" t="s">
        <v>23</v>
      </c>
      <c r="AL24" s="3">
        <v>42542</v>
      </c>
    </row>
    <row r="25" spans="1:38" x14ac:dyDescent="0.25">
      <c r="A25" t="s">
        <v>140</v>
      </c>
      <c r="B25" t="s">
        <v>250</v>
      </c>
      <c r="C25" t="s">
        <v>277</v>
      </c>
      <c r="D25" t="s">
        <v>660</v>
      </c>
      <c r="E25" t="s">
        <v>3</v>
      </c>
      <c r="F25" t="s">
        <v>278</v>
      </c>
      <c r="G25" t="s">
        <v>676</v>
      </c>
      <c r="H25" t="s">
        <v>251</v>
      </c>
      <c r="I25" t="s">
        <v>252</v>
      </c>
      <c r="J25" t="s">
        <v>253</v>
      </c>
      <c r="K25" t="s">
        <v>254</v>
      </c>
      <c r="L25" s="2">
        <v>40</v>
      </c>
      <c r="M25" s="2">
        <v>40</v>
      </c>
      <c r="N25" s="2">
        <v>0</v>
      </c>
      <c r="O25" t="s">
        <v>255</v>
      </c>
      <c r="P25" t="s">
        <v>216</v>
      </c>
      <c r="Q25" t="s">
        <v>170</v>
      </c>
      <c r="R25" t="s">
        <v>256</v>
      </c>
      <c r="S25" t="s">
        <v>13</v>
      </c>
      <c r="T25" t="s">
        <v>14</v>
      </c>
      <c r="U25" t="s">
        <v>15</v>
      </c>
      <c r="V25" t="s">
        <v>16</v>
      </c>
      <c r="W25" t="s">
        <v>15</v>
      </c>
      <c r="X25" t="s">
        <v>41</v>
      </c>
      <c r="Y25" t="s">
        <v>15</v>
      </c>
      <c r="Z25" t="s">
        <v>15</v>
      </c>
      <c r="AA25" t="s">
        <v>15</v>
      </c>
      <c r="AB25" t="s">
        <v>15</v>
      </c>
      <c r="AC25" t="s">
        <v>17</v>
      </c>
      <c r="AD25" s="3">
        <v>42625</v>
      </c>
      <c r="AE25" t="s">
        <v>34</v>
      </c>
      <c r="AF25" t="s">
        <v>19</v>
      </c>
      <c r="AG25" t="s">
        <v>20</v>
      </c>
      <c r="AH25" s="3">
        <v>42625</v>
      </c>
      <c r="AI25" t="s">
        <v>257</v>
      </c>
      <c r="AJ25" t="s">
        <v>33</v>
      </c>
      <c r="AK25" t="s">
        <v>23</v>
      </c>
      <c r="AL25" s="3">
        <v>42571</v>
      </c>
    </row>
    <row r="26" spans="1:38" x14ac:dyDescent="0.25">
      <c r="A26" t="s">
        <v>140</v>
      </c>
      <c r="B26" t="s">
        <v>250</v>
      </c>
      <c r="C26" t="s">
        <v>298</v>
      </c>
      <c r="D26" t="s">
        <v>660</v>
      </c>
      <c r="E26" t="s">
        <v>3</v>
      </c>
      <c r="F26" t="s">
        <v>278</v>
      </c>
      <c r="G26" t="s">
        <v>676</v>
      </c>
      <c r="H26" t="s">
        <v>251</v>
      </c>
      <c r="I26" t="s">
        <v>252</v>
      </c>
      <c r="J26" t="s">
        <v>253</v>
      </c>
      <c r="K26" t="s">
        <v>254</v>
      </c>
      <c r="L26" s="2">
        <v>20</v>
      </c>
      <c r="M26" s="2">
        <v>20</v>
      </c>
      <c r="N26" s="2">
        <v>0</v>
      </c>
      <c r="O26" t="s">
        <v>255</v>
      </c>
      <c r="P26" t="s">
        <v>216</v>
      </c>
      <c r="Q26" t="s">
        <v>170</v>
      </c>
      <c r="R26" t="s">
        <v>256</v>
      </c>
      <c r="S26" t="s">
        <v>13</v>
      </c>
      <c r="T26" t="s">
        <v>14</v>
      </c>
      <c r="U26" t="s">
        <v>15</v>
      </c>
      <c r="V26" t="s">
        <v>16</v>
      </c>
      <c r="W26" t="s">
        <v>15</v>
      </c>
      <c r="X26" t="s">
        <v>41</v>
      </c>
      <c r="Y26" t="s">
        <v>15</v>
      </c>
      <c r="Z26" t="s">
        <v>15</v>
      </c>
      <c r="AA26" t="s">
        <v>15</v>
      </c>
      <c r="AB26" t="s">
        <v>15</v>
      </c>
      <c r="AC26" t="s">
        <v>17</v>
      </c>
      <c r="AD26" s="3">
        <v>42627</v>
      </c>
      <c r="AE26" t="s">
        <v>34</v>
      </c>
      <c r="AF26" t="s">
        <v>19</v>
      </c>
      <c r="AG26" t="s">
        <v>20</v>
      </c>
      <c r="AH26" s="3">
        <v>42639</v>
      </c>
      <c r="AI26" t="s">
        <v>257</v>
      </c>
      <c r="AJ26" t="s">
        <v>33</v>
      </c>
      <c r="AK26" t="s">
        <v>23</v>
      </c>
      <c r="AL26" s="3">
        <v>42627</v>
      </c>
    </row>
    <row r="27" spans="1:38" x14ac:dyDescent="0.25">
      <c r="A27" t="s">
        <v>140</v>
      </c>
      <c r="B27" t="s">
        <v>250</v>
      </c>
      <c r="C27" t="s">
        <v>325</v>
      </c>
      <c r="D27" t="s">
        <v>666</v>
      </c>
      <c r="E27" t="s">
        <v>25</v>
      </c>
      <c r="F27" t="s">
        <v>278</v>
      </c>
      <c r="G27" t="s">
        <v>676</v>
      </c>
      <c r="H27" t="s">
        <v>258</v>
      </c>
      <c r="I27" t="s">
        <v>259</v>
      </c>
      <c r="J27" t="s">
        <v>260</v>
      </c>
      <c r="K27" t="s">
        <v>261</v>
      </c>
      <c r="L27" s="2">
        <v>-4</v>
      </c>
      <c r="M27" s="2">
        <v>-4</v>
      </c>
      <c r="N27" s="2">
        <v>0</v>
      </c>
      <c r="O27" t="s">
        <v>255</v>
      </c>
      <c r="P27" t="s">
        <v>223</v>
      </c>
      <c r="Q27" t="s">
        <v>11</v>
      </c>
      <c r="R27" t="s">
        <v>256</v>
      </c>
      <c r="S27" t="s">
        <v>13</v>
      </c>
      <c r="T27" t="s">
        <v>14</v>
      </c>
      <c r="U27" t="s">
        <v>15</v>
      </c>
      <c r="V27" t="s">
        <v>16</v>
      </c>
      <c r="W27" t="s">
        <v>15</v>
      </c>
      <c r="X27" t="s">
        <v>41</v>
      </c>
      <c r="Y27" t="s">
        <v>15</v>
      </c>
      <c r="Z27" t="s">
        <v>15</v>
      </c>
      <c r="AA27" t="s">
        <v>15</v>
      </c>
      <c r="AB27" t="s">
        <v>15</v>
      </c>
      <c r="AC27" t="s">
        <v>17</v>
      </c>
      <c r="AD27" s="3"/>
      <c r="AE27" t="s">
        <v>18</v>
      </c>
      <c r="AF27" t="s">
        <v>27</v>
      </c>
      <c r="AG27" t="s">
        <v>27</v>
      </c>
      <c r="AH27" s="3">
        <v>42669</v>
      </c>
      <c r="AI27" t="s">
        <v>257</v>
      </c>
      <c r="AJ27" t="s">
        <v>33</v>
      </c>
      <c r="AK27" t="s">
        <v>23</v>
      </c>
      <c r="AL27" s="3">
        <v>42669</v>
      </c>
    </row>
    <row r="28" spans="1:38" x14ac:dyDescent="0.25">
      <c r="A28" t="s">
        <v>140</v>
      </c>
      <c r="B28" t="s">
        <v>250</v>
      </c>
      <c r="C28" t="s">
        <v>277</v>
      </c>
      <c r="D28" t="s">
        <v>660</v>
      </c>
      <c r="E28" t="s">
        <v>3</v>
      </c>
      <c r="F28" t="s">
        <v>278</v>
      </c>
      <c r="G28" t="s">
        <v>676</v>
      </c>
      <c r="H28" t="s">
        <v>258</v>
      </c>
      <c r="I28" t="s">
        <v>259</v>
      </c>
      <c r="J28" t="s">
        <v>260</v>
      </c>
      <c r="K28" t="s">
        <v>261</v>
      </c>
      <c r="L28" s="2">
        <v>80</v>
      </c>
      <c r="M28" s="2">
        <v>80</v>
      </c>
      <c r="N28" s="2">
        <v>0</v>
      </c>
      <c r="O28" t="s">
        <v>255</v>
      </c>
      <c r="P28" t="s">
        <v>223</v>
      </c>
      <c r="Q28" t="s">
        <v>11</v>
      </c>
      <c r="R28" t="s">
        <v>256</v>
      </c>
      <c r="S28" t="s">
        <v>13</v>
      </c>
      <c r="T28" t="s">
        <v>14</v>
      </c>
      <c r="U28" t="s">
        <v>15</v>
      </c>
      <c r="V28" t="s">
        <v>16</v>
      </c>
      <c r="W28" t="s">
        <v>15</v>
      </c>
      <c r="X28" t="s">
        <v>41</v>
      </c>
      <c r="Y28" t="s">
        <v>15</v>
      </c>
      <c r="Z28" t="s">
        <v>15</v>
      </c>
      <c r="AA28" t="s">
        <v>15</v>
      </c>
      <c r="AB28" t="s">
        <v>15</v>
      </c>
      <c r="AC28" t="s">
        <v>17</v>
      </c>
      <c r="AD28" s="3">
        <v>42625</v>
      </c>
      <c r="AE28" t="s">
        <v>35</v>
      </c>
      <c r="AF28" t="s">
        <v>19</v>
      </c>
      <c r="AG28" t="s">
        <v>20</v>
      </c>
      <c r="AH28" s="3">
        <v>42625</v>
      </c>
      <c r="AI28" t="s">
        <v>257</v>
      </c>
      <c r="AJ28" t="s">
        <v>33</v>
      </c>
      <c r="AK28" t="s">
        <v>23</v>
      </c>
      <c r="AL28" s="3">
        <v>42571</v>
      </c>
    </row>
    <row r="29" spans="1:38" x14ac:dyDescent="0.25">
      <c r="A29" t="s">
        <v>0</v>
      </c>
      <c r="B29" t="s">
        <v>52</v>
      </c>
      <c r="C29" t="s">
        <v>106</v>
      </c>
      <c r="D29" t="s">
        <v>663</v>
      </c>
      <c r="E29" t="s">
        <v>25</v>
      </c>
      <c r="F29" t="s">
        <v>107</v>
      </c>
      <c r="G29" t="s">
        <v>679</v>
      </c>
      <c r="H29" t="s">
        <v>108</v>
      </c>
      <c r="I29" t="s">
        <v>109</v>
      </c>
      <c r="J29" t="s">
        <v>110</v>
      </c>
      <c r="K29" t="s">
        <v>111</v>
      </c>
      <c r="L29" s="2">
        <v>-52</v>
      </c>
      <c r="M29" s="2">
        <v>-52</v>
      </c>
      <c r="N29" s="2">
        <v>0</v>
      </c>
      <c r="O29" t="s">
        <v>59</v>
      </c>
      <c r="P29" t="s">
        <v>112</v>
      </c>
      <c r="Q29" t="s">
        <v>36</v>
      </c>
      <c r="R29" t="s">
        <v>61</v>
      </c>
      <c r="S29" t="s">
        <v>13</v>
      </c>
      <c r="T29" t="s">
        <v>14</v>
      </c>
      <c r="U29" t="s">
        <v>15</v>
      </c>
      <c r="V29" t="s">
        <v>16</v>
      </c>
      <c r="W29" t="s">
        <v>16</v>
      </c>
      <c r="X29" t="s">
        <v>41</v>
      </c>
      <c r="Y29" t="s">
        <v>15</v>
      </c>
      <c r="Z29" t="s">
        <v>15</v>
      </c>
      <c r="AA29" t="s">
        <v>15</v>
      </c>
      <c r="AB29" t="s">
        <v>15</v>
      </c>
      <c r="AC29" t="s">
        <v>17</v>
      </c>
      <c r="AD29" s="3"/>
      <c r="AE29" t="s">
        <v>18</v>
      </c>
      <c r="AF29" t="s">
        <v>27</v>
      </c>
      <c r="AG29" t="s">
        <v>27</v>
      </c>
      <c r="AH29" s="3">
        <v>42667</v>
      </c>
      <c r="AI29" t="s">
        <v>62</v>
      </c>
      <c r="AJ29" t="s">
        <v>33</v>
      </c>
      <c r="AK29" t="s">
        <v>23</v>
      </c>
      <c r="AL29" s="3">
        <v>42667</v>
      </c>
    </row>
    <row r="30" spans="1:38" x14ac:dyDescent="0.25">
      <c r="A30" t="s">
        <v>140</v>
      </c>
      <c r="B30" t="s">
        <v>141</v>
      </c>
      <c r="C30" t="s">
        <v>332</v>
      </c>
      <c r="D30" t="s">
        <v>667</v>
      </c>
      <c r="E30" t="s">
        <v>25</v>
      </c>
      <c r="F30" t="s">
        <v>333</v>
      </c>
      <c r="G30" t="s">
        <v>679</v>
      </c>
      <c r="H30" t="s">
        <v>230</v>
      </c>
      <c r="I30" t="s">
        <v>231</v>
      </c>
      <c r="J30" t="s">
        <v>232</v>
      </c>
      <c r="K30" t="s">
        <v>233</v>
      </c>
      <c r="L30" s="2">
        <v>-144</v>
      </c>
      <c r="M30" s="2">
        <v>-144</v>
      </c>
      <c r="N30" s="2">
        <v>0</v>
      </c>
      <c r="O30" t="s">
        <v>142</v>
      </c>
      <c r="P30" t="s">
        <v>234</v>
      </c>
      <c r="Q30" t="s">
        <v>11</v>
      </c>
      <c r="R30" t="s">
        <v>143</v>
      </c>
      <c r="S30" t="s">
        <v>13</v>
      </c>
      <c r="T30" t="s">
        <v>14</v>
      </c>
      <c r="U30" t="s">
        <v>15</v>
      </c>
      <c r="V30" t="s">
        <v>16</v>
      </c>
      <c r="W30" t="s">
        <v>16</v>
      </c>
      <c r="X30" t="s">
        <v>144</v>
      </c>
      <c r="Y30" t="s">
        <v>15</v>
      </c>
      <c r="Z30" t="s">
        <v>15</v>
      </c>
      <c r="AA30" t="s">
        <v>15</v>
      </c>
      <c r="AB30" t="s">
        <v>15</v>
      </c>
      <c r="AC30" t="s">
        <v>17</v>
      </c>
      <c r="AD30" s="3">
        <v>42676</v>
      </c>
      <c r="AE30" t="s">
        <v>18</v>
      </c>
      <c r="AF30" t="s">
        <v>27</v>
      </c>
      <c r="AG30" t="s">
        <v>27</v>
      </c>
      <c r="AH30" s="3">
        <v>42676</v>
      </c>
      <c r="AI30" t="s">
        <v>32</v>
      </c>
      <c r="AJ30" t="s">
        <v>33</v>
      </c>
      <c r="AK30" t="s">
        <v>23</v>
      </c>
      <c r="AL30" s="3">
        <v>42676</v>
      </c>
    </row>
    <row r="31" spans="1:38" x14ac:dyDescent="0.25">
      <c r="A31" t="s">
        <v>0</v>
      </c>
      <c r="B31" t="s">
        <v>1</v>
      </c>
      <c r="C31" t="s">
        <v>24</v>
      </c>
      <c r="D31" t="s">
        <v>664</v>
      </c>
      <c r="E31" t="s">
        <v>25</v>
      </c>
      <c r="F31" t="s">
        <v>26</v>
      </c>
      <c r="G31" t="s">
        <v>679</v>
      </c>
      <c r="H31" t="s">
        <v>5</v>
      </c>
      <c r="I31" t="s">
        <v>6</v>
      </c>
      <c r="J31" t="s">
        <v>7</v>
      </c>
      <c r="K31" t="s">
        <v>8</v>
      </c>
      <c r="L31" s="2">
        <v>-4</v>
      </c>
      <c r="M31" s="2">
        <v>-4</v>
      </c>
      <c r="N31" s="2">
        <v>0</v>
      </c>
      <c r="O31" t="s">
        <v>9</v>
      </c>
      <c r="P31" t="s">
        <v>10</v>
      </c>
      <c r="Q31" t="s">
        <v>11</v>
      </c>
      <c r="R31" t="s">
        <v>12</v>
      </c>
      <c r="S31" t="s">
        <v>13</v>
      </c>
      <c r="T31" t="s">
        <v>14</v>
      </c>
      <c r="U31" t="s">
        <v>15</v>
      </c>
      <c r="V31" t="s">
        <v>15</v>
      </c>
      <c r="W31" t="s">
        <v>15</v>
      </c>
      <c r="X31" t="s">
        <v>15</v>
      </c>
      <c r="Y31" t="s">
        <v>15</v>
      </c>
      <c r="Z31" t="s">
        <v>15</v>
      </c>
      <c r="AA31" t="s">
        <v>15</v>
      </c>
      <c r="AB31" t="s">
        <v>16</v>
      </c>
      <c r="AC31" t="s">
        <v>17</v>
      </c>
      <c r="AD31" s="3"/>
      <c r="AE31" t="s">
        <v>18</v>
      </c>
      <c r="AF31" t="s">
        <v>27</v>
      </c>
      <c r="AG31" t="s">
        <v>27</v>
      </c>
      <c r="AH31" s="3">
        <v>42627</v>
      </c>
      <c r="AI31" t="s">
        <v>21</v>
      </c>
      <c r="AJ31" t="s">
        <v>22</v>
      </c>
      <c r="AK31" t="s">
        <v>23</v>
      </c>
      <c r="AL31" s="3">
        <v>42522</v>
      </c>
    </row>
    <row r="32" spans="1:38" x14ac:dyDescent="0.25">
      <c r="A32" t="s">
        <v>140</v>
      </c>
      <c r="B32" t="s">
        <v>121</v>
      </c>
      <c r="C32" t="s">
        <v>403</v>
      </c>
      <c r="D32" t="s">
        <v>659</v>
      </c>
      <c r="E32" t="s">
        <v>3</v>
      </c>
      <c r="F32" t="s">
        <v>404</v>
      </c>
      <c r="G32" t="s">
        <v>679</v>
      </c>
      <c r="H32" t="s">
        <v>369</v>
      </c>
      <c r="I32" t="s">
        <v>370</v>
      </c>
      <c r="J32" t="s">
        <v>376</v>
      </c>
      <c r="K32" t="s">
        <v>377</v>
      </c>
      <c r="L32" s="2">
        <v>24</v>
      </c>
      <c r="M32" s="2">
        <v>0</v>
      </c>
      <c r="N32" s="2">
        <v>24</v>
      </c>
      <c r="O32" t="s">
        <v>122</v>
      </c>
      <c r="P32" t="s">
        <v>373</v>
      </c>
      <c r="Q32" t="s">
        <v>170</v>
      </c>
      <c r="R32" t="s">
        <v>324</v>
      </c>
      <c r="S32" t="s">
        <v>13</v>
      </c>
      <c r="T32" t="s">
        <v>14</v>
      </c>
      <c r="U32" t="s">
        <v>15</v>
      </c>
      <c r="V32" t="s">
        <v>16</v>
      </c>
      <c r="W32" t="s">
        <v>15</v>
      </c>
      <c r="X32" t="s">
        <v>41</v>
      </c>
      <c r="Y32" t="s">
        <v>16</v>
      </c>
      <c r="Z32" t="s">
        <v>15</v>
      </c>
      <c r="AA32" t="s">
        <v>15</v>
      </c>
      <c r="AB32" t="s">
        <v>15</v>
      </c>
      <c r="AC32" t="s">
        <v>17</v>
      </c>
      <c r="AD32" s="3">
        <v>42711</v>
      </c>
      <c r="AE32" t="s">
        <v>37</v>
      </c>
      <c r="AF32" t="s">
        <v>19</v>
      </c>
      <c r="AG32" t="s">
        <v>20</v>
      </c>
      <c r="AH32" s="3">
        <v>42705</v>
      </c>
      <c r="AI32" t="s">
        <v>124</v>
      </c>
      <c r="AJ32" t="s">
        <v>33</v>
      </c>
      <c r="AK32" t="s">
        <v>23</v>
      </c>
      <c r="AL32" s="3">
        <v>42706</v>
      </c>
    </row>
    <row r="33" spans="1:38" x14ac:dyDescent="0.25">
      <c r="A33" t="s">
        <v>140</v>
      </c>
      <c r="B33" t="s">
        <v>141</v>
      </c>
      <c r="C33" t="s">
        <v>341</v>
      </c>
      <c r="D33" t="s">
        <v>668</v>
      </c>
      <c r="E33" t="s">
        <v>25</v>
      </c>
      <c r="F33" t="s">
        <v>334</v>
      </c>
      <c r="G33" t="s">
        <v>680</v>
      </c>
      <c r="H33" t="s">
        <v>230</v>
      </c>
      <c r="I33" t="s">
        <v>231</v>
      </c>
      <c r="J33" t="s">
        <v>335</v>
      </c>
      <c r="K33" t="s">
        <v>336</v>
      </c>
      <c r="L33" s="2">
        <v>-38</v>
      </c>
      <c r="M33" s="2">
        <v>-38</v>
      </c>
      <c r="N33" s="2">
        <v>0</v>
      </c>
      <c r="O33" t="s">
        <v>142</v>
      </c>
      <c r="P33" t="s">
        <v>234</v>
      </c>
      <c r="Q33" t="s">
        <v>85</v>
      </c>
      <c r="R33" t="s">
        <v>158</v>
      </c>
      <c r="S33" t="s">
        <v>13</v>
      </c>
      <c r="T33" t="s">
        <v>14</v>
      </c>
      <c r="U33" t="s">
        <v>15</v>
      </c>
      <c r="V33" t="s">
        <v>16</v>
      </c>
      <c r="W33" t="s">
        <v>16</v>
      </c>
      <c r="X33" t="s">
        <v>41</v>
      </c>
      <c r="Y33" t="s">
        <v>15</v>
      </c>
      <c r="Z33" t="s">
        <v>15</v>
      </c>
      <c r="AA33" t="s">
        <v>15</v>
      </c>
      <c r="AB33" t="s">
        <v>15</v>
      </c>
      <c r="AC33" t="s">
        <v>17</v>
      </c>
      <c r="AD33" s="3"/>
      <c r="AE33" t="s">
        <v>37</v>
      </c>
      <c r="AF33" t="s">
        <v>27</v>
      </c>
      <c r="AG33" t="s">
        <v>27</v>
      </c>
      <c r="AH33" s="3">
        <v>42676</v>
      </c>
      <c r="AI33" t="s">
        <v>32</v>
      </c>
      <c r="AJ33" t="s">
        <v>33</v>
      </c>
      <c r="AK33" t="s">
        <v>23</v>
      </c>
      <c r="AL33" s="3">
        <v>42676</v>
      </c>
    </row>
    <row r="34" spans="1:38" x14ac:dyDescent="0.25">
      <c r="A34" t="s">
        <v>140</v>
      </c>
      <c r="B34" t="s">
        <v>141</v>
      </c>
      <c r="C34" t="s">
        <v>341</v>
      </c>
      <c r="D34" t="s">
        <v>668</v>
      </c>
      <c r="E34" t="s">
        <v>25</v>
      </c>
      <c r="F34" t="s">
        <v>334</v>
      </c>
      <c r="G34" t="s">
        <v>680</v>
      </c>
      <c r="H34" t="s">
        <v>153</v>
      </c>
      <c r="I34" t="s">
        <v>154</v>
      </c>
      <c r="J34" t="s">
        <v>155</v>
      </c>
      <c r="K34" t="s">
        <v>156</v>
      </c>
      <c r="L34" s="2">
        <v>-214</v>
      </c>
      <c r="M34" s="2">
        <v>-214</v>
      </c>
      <c r="N34" s="2">
        <v>0</v>
      </c>
      <c r="O34" t="s">
        <v>142</v>
      </c>
      <c r="P34" t="s">
        <v>157</v>
      </c>
      <c r="Q34" t="s">
        <v>85</v>
      </c>
      <c r="R34" t="s">
        <v>158</v>
      </c>
      <c r="S34" t="s">
        <v>13</v>
      </c>
      <c r="T34" t="s">
        <v>14</v>
      </c>
      <c r="U34" t="s">
        <v>15</v>
      </c>
      <c r="V34" t="s">
        <v>16</v>
      </c>
      <c r="W34" t="s">
        <v>16</v>
      </c>
      <c r="X34" t="s">
        <v>41</v>
      </c>
      <c r="Y34" t="s">
        <v>15</v>
      </c>
      <c r="Z34" t="s">
        <v>15</v>
      </c>
      <c r="AA34" t="s">
        <v>15</v>
      </c>
      <c r="AB34" t="s">
        <v>15</v>
      </c>
      <c r="AC34" t="s">
        <v>17</v>
      </c>
      <c r="AD34" s="3"/>
      <c r="AE34" t="s">
        <v>129</v>
      </c>
      <c r="AF34" t="s">
        <v>27</v>
      </c>
      <c r="AG34" t="s">
        <v>27</v>
      </c>
      <c r="AH34" s="3">
        <v>42676</v>
      </c>
      <c r="AI34" t="s">
        <v>32</v>
      </c>
      <c r="AJ34" t="s">
        <v>33</v>
      </c>
      <c r="AK34" t="s">
        <v>23</v>
      </c>
      <c r="AL34" s="3">
        <v>42676</v>
      </c>
    </row>
    <row r="35" spans="1:38" x14ac:dyDescent="0.25">
      <c r="A35" t="s">
        <v>140</v>
      </c>
      <c r="B35" t="s">
        <v>141</v>
      </c>
      <c r="C35" t="s">
        <v>341</v>
      </c>
      <c r="D35" t="s">
        <v>668</v>
      </c>
      <c r="E35" t="s">
        <v>25</v>
      </c>
      <c r="F35" t="s">
        <v>334</v>
      </c>
      <c r="G35" t="s">
        <v>680</v>
      </c>
      <c r="H35" t="s">
        <v>337</v>
      </c>
      <c r="I35" t="s">
        <v>338</v>
      </c>
      <c r="J35" t="s">
        <v>339</v>
      </c>
      <c r="K35" t="s">
        <v>340</v>
      </c>
      <c r="L35" s="2">
        <v>-48</v>
      </c>
      <c r="M35" s="2">
        <v>-48</v>
      </c>
      <c r="N35" s="2">
        <v>0</v>
      </c>
      <c r="O35" t="s">
        <v>142</v>
      </c>
      <c r="P35" t="s">
        <v>71</v>
      </c>
      <c r="Q35" t="s">
        <v>85</v>
      </c>
      <c r="R35" t="s">
        <v>158</v>
      </c>
      <c r="S35" t="s">
        <v>13</v>
      </c>
      <c r="T35" t="s">
        <v>14</v>
      </c>
      <c r="U35" t="s">
        <v>15</v>
      </c>
      <c r="V35" t="s">
        <v>16</v>
      </c>
      <c r="W35" t="s">
        <v>16</v>
      </c>
      <c r="X35" t="s">
        <v>41</v>
      </c>
      <c r="Y35" t="s">
        <v>15</v>
      </c>
      <c r="Z35" t="s">
        <v>15</v>
      </c>
      <c r="AA35" t="s">
        <v>15</v>
      </c>
      <c r="AB35" t="s">
        <v>15</v>
      </c>
      <c r="AC35" t="s">
        <v>17</v>
      </c>
      <c r="AD35" s="3"/>
      <c r="AE35" t="s">
        <v>128</v>
      </c>
      <c r="AF35" t="s">
        <v>27</v>
      </c>
      <c r="AG35" t="s">
        <v>27</v>
      </c>
      <c r="AH35" s="3">
        <v>42676</v>
      </c>
      <c r="AI35" t="s">
        <v>32</v>
      </c>
      <c r="AJ35" t="s">
        <v>33</v>
      </c>
      <c r="AK35" t="s">
        <v>23</v>
      </c>
      <c r="AL35" s="3">
        <v>42676</v>
      </c>
    </row>
    <row r="36" spans="1:38" x14ac:dyDescent="0.25">
      <c r="A36" t="s">
        <v>0</v>
      </c>
      <c r="B36" t="s">
        <v>1</v>
      </c>
      <c r="C36" t="s">
        <v>2</v>
      </c>
      <c r="D36" t="s">
        <v>664</v>
      </c>
      <c r="E36" t="s">
        <v>3</v>
      </c>
      <c r="F36" t="s">
        <v>4</v>
      </c>
      <c r="G36" t="s">
        <v>681</v>
      </c>
      <c r="H36" t="s">
        <v>5</v>
      </c>
      <c r="I36" t="s">
        <v>6</v>
      </c>
      <c r="J36" t="s">
        <v>7</v>
      </c>
      <c r="K36" t="s">
        <v>8</v>
      </c>
      <c r="L36" s="2">
        <v>4</v>
      </c>
      <c r="M36" s="2">
        <v>4</v>
      </c>
      <c r="N36" s="2">
        <v>0</v>
      </c>
      <c r="O36" t="s">
        <v>9</v>
      </c>
      <c r="P36" t="s">
        <v>10</v>
      </c>
      <c r="Q36" t="s">
        <v>11</v>
      </c>
      <c r="R36" t="s">
        <v>12</v>
      </c>
      <c r="S36" t="s">
        <v>13</v>
      </c>
      <c r="T36" t="s">
        <v>14</v>
      </c>
      <c r="U36" t="s">
        <v>15</v>
      </c>
      <c r="V36" t="s">
        <v>15</v>
      </c>
      <c r="W36" t="s">
        <v>15</v>
      </c>
      <c r="X36" t="s">
        <v>15</v>
      </c>
      <c r="Y36" t="s">
        <v>15</v>
      </c>
      <c r="Z36" t="s">
        <v>15</v>
      </c>
      <c r="AA36" t="s">
        <v>15</v>
      </c>
      <c r="AB36" t="s">
        <v>16</v>
      </c>
      <c r="AC36" t="s">
        <v>17</v>
      </c>
      <c r="AD36" s="3">
        <v>42627</v>
      </c>
      <c r="AE36" t="s">
        <v>18</v>
      </c>
      <c r="AF36" t="s">
        <v>19</v>
      </c>
      <c r="AG36" t="s">
        <v>20</v>
      </c>
      <c r="AH36" s="3">
        <v>42627</v>
      </c>
      <c r="AI36" t="s">
        <v>21</v>
      </c>
      <c r="AJ36" t="s">
        <v>22</v>
      </c>
      <c r="AK36" t="s">
        <v>23</v>
      </c>
      <c r="AL36" s="3">
        <v>42522</v>
      </c>
    </row>
    <row r="37" spans="1:38" x14ac:dyDescent="0.25">
      <c r="A37" t="s">
        <v>140</v>
      </c>
      <c r="B37" t="s">
        <v>121</v>
      </c>
      <c r="C37" t="s">
        <v>393</v>
      </c>
      <c r="D37" t="s">
        <v>669</v>
      </c>
      <c r="E37" t="s">
        <v>3</v>
      </c>
      <c r="F37" t="s">
        <v>394</v>
      </c>
      <c r="G37" t="s">
        <v>681</v>
      </c>
      <c r="H37" t="s">
        <v>369</v>
      </c>
      <c r="I37" t="s">
        <v>370</v>
      </c>
      <c r="J37" t="s">
        <v>371</v>
      </c>
      <c r="K37" t="s">
        <v>372</v>
      </c>
      <c r="L37" s="2">
        <v>56</v>
      </c>
      <c r="M37" s="2">
        <v>0</v>
      </c>
      <c r="N37" s="2">
        <v>56</v>
      </c>
      <c r="O37" t="s">
        <v>122</v>
      </c>
      <c r="P37" t="s">
        <v>373</v>
      </c>
      <c r="Q37" t="s">
        <v>11</v>
      </c>
      <c r="R37" t="s">
        <v>324</v>
      </c>
      <c r="S37" t="s">
        <v>13</v>
      </c>
      <c r="T37" t="s">
        <v>14</v>
      </c>
      <c r="U37" t="s">
        <v>15</v>
      </c>
      <c r="V37" t="s">
        <v>16</v>
      </c>
      <c r="W37" t="s">
        <v>15</v>
      </c>
      <c r="X37" t="s">
        <v>41</v>
      </c>
      <c r="Y37" t="s">
        <v>16</v>
      </c>
      <c r="Z37" t="s">
        <v>15</v>
      </c>
      <c r="AA37" t="s">
        <v>15</v>
      </c>
      <c r="AB37" t="s">
        <v>15</v>
      </c>
      <c r="AC37" t="s">
        <v>17</v>
      </c>
      <c r="AD37" s="3">
        <v>42710</v>
      </c>
      <c r="AE37" t="s">
        <v>37</v>
      </c>
      <c r="AF37" t="s">
        <v>19</v>
      </c>
      <c r="AG37" t="s">
        <v>20</v>
      </c>
      <c r="AH37" s="3">
        <v>42705</v>
      </c>
      <c r="AI37" t="s">
        <v>127</v>
      </c>
      <c r="AJ37" t="s">
        <v>33</v>
      </c>
      <c r="AK37" t="s">
        <v>23</v>
      </c>
      <c r="AL37" s="3">
        <v>42705</v>
      </c>
    </row>
    <row r="38" spans="1:38" x14ac:dyDescent="0.25">
      <c r="A38" t="s">
        <v>140</v>
      </c>
      <c r="B38" t="s">
        <v>1</v>
      </c>
      <c r="C38" t="s">
        <v>411</v>
      </c>
      <c r="D38" t="s">
        <v>656</v>
      </c>
      <c r="E38" t="s">
        <v>3</v>
      </c>
      <c r="F38" t="s">
        <v>412</v>
      </c>
      <c r="G38" t="s">
        <v>681</v>
      </c>
      <c r="H38" t="s">
        <v>352</v>
      </c>
      <c r="I38" t="s">
        <v>353</v>
      </c>
      <c r="J38" t="s">
        <v>409</v>
      </c>
      <c r="K38" t="s">
        <v>410</v>
      </c>
      <c r="L38" s="2">
        <v>144</v>
      </c>
      <c r="M38" s="2">
        <v>0</v>
      </c>
      <c r="N38" s="2">
        <v>144</v>
      </c>
      <c r="O38" t="s">
        <v>9</v>
      </c>
      <c r="P38" t="s">
        <v>354</v>
      </c>
      <c r="Q38" t="s">
        <v>11</v>
      </c>
      <c r="R38" t="s">
        <v>405</v>
      </c>
      <c r="S38" t="s">
        <v>13</v>
      </c>
      <c r="T38" t="s">
        <v>14</v>
      </c>
      <c r="U38" t="s">
        <v>16</v>
      </c>
      <c r="V38" t="s">
        <v>15</v>
      </c>
      <c r="W38" t="s">
        <v>15</v>
      </c>
      <c r="X38" t="s">
        <v>15</v>
      </c>
      <c r="Y38" t="s">
        <v>15</v>
      </c>
      <c r="Z38" t="s">
        <v>15</v>
      </c>
      <c r="AA38" t="s">
        <v>15</v>
      </c>
      <c r="AB38" t="s">
        <v>16</v>
      </c>
      <c r="AC38" t="s">
        <v>17</v>
      </c>
      <c r="AD38" s="3">
        <v>42712</v>
      </c>
      <c r="AE38" t="s">
        <v>35</v>
      </c>
      <c r="AF38" t="s">
        <v>19</v>
      </c>
      <c r="AG38" t="s">
        <v>20</v>
      </c>
      <c r="AH38" s="3">
        <v>42709</v>
      </c>
      <c r="AI38" t="s">
        <v>21</v>
      </c>
      <c r="AJ38" t="s">
        <v>22</v>
      </c>
      <c r="AK38" t="s">
        <v>23</v>
      </c>
      <c r="AL38" s="3">
        <v>42709</v>
      </c>
    </row>
    <row r="39" spans="1:38" x14ac:dyDescent="0.25">
      <c r="A39" t="s">
        <v>140</v>
      </c>
      <c r="B39" t="s">
        <v>173</v>
      </c>
      <c r="C39" t="s">
        <v>397</v>
      </c>
      <c r="D39" t="s">
        <v>661</v>
      </c>
      <c r="E39" t="s">
        <v>25</v>
      </c>
      <c r="F39" t="s">
        <v>211</v>
      </c>
      <c r="G39" t="s">
        <v>681</v>
      </c>
      <c r="H39" t="s">
        <v>212</v>
      </c>
      <c r="I39" t="s">
        <v>213</v>
      </c>
      <c r="J39" t="s">
        <v>214</v>
      </c>
      <c r="K39" t="s">
        <v>215</v>
      </c>
      <c r="L39" s="2">
        <v>-12</v>
      </c>
      <c r="M39" s="2">
        <v>-12</v>
      </c>
      <c r="N39" s="2">
        <v>0</v>
      </c>
      <c r="O39" t="s">
        <v>177</v>
      </c>
      <c r="P39" t="s">
        <v>216</v>
      </c>
      <c r="Q39" t="s">
        <v>182</v>
      </c>
      <c r="R39" t="s">
        <v>179</v>
      </c>
      <c r="S39" t="s">
        <v>13</v>
      </c>
      <c r="T39" t="s">
        <v>14</v>
      </c>
      <c r="U39" t="s">
        <v>15</v>
      </c>
      <c r="V39" t="s">
        <v>15</v>
      </c>
      <c r="W39" t="s">
        <v>15</v>
      </c>
      <c r="X39" t="s">
        <v>15</v>
      </c>
      <c r="Y39" t="s">
        <v>15</v>
      </c>
      <c r="Z39" t="s">
        <v>15</v>
      </c>
      <c r="AA39" t="s">
        <v>15</v>
      </c>
      <c r="AB39" t="s">
        <v>15</v>
      </c>
      <c r="AC39" t="s">
        <v>17</v>
      </c>
      <c r="AD39" s="3">
        <v>42705</v>
      </c>
      <c r="AE39" t="s">
        <v>34</v>
      </c>
      <c r="AF39" t="s">
        <v>27</v>
      </c>
      <c r="AG39" t="s">
        <v>27</v>
      </c>
      <c r="AH39" s="3">
        <v>42738</v>
      </c>
      <c r="AI39" t="s">
        <v>22</v>
      </c>
      <c r="AJ39" t="s">
        <v>33</v>
      </c>
      <c r="AK39" t="s">
        <v>23</v>
      </c>
      <c r="AL39" s="3">
        <v>42705</v>
      </c>
    </row>
    <row r="40" spans="1:38" x14ac:dyDescent="0.25">
      <c r="A40" t="s">
        <v>140</v>
      </c>
      <c r="B40" t="s">
        <v>173</v>
      </c>
      <c r="C40" t="s">
        <v>210</v>
      </c>
      <c r="D40" t="s">
        <v>661</v>
      </c>
      <c r="E40" t="s">
        <v>3</v>
      </c>
      <c r="F40" t="s">
        <v>211</v>
      </c>
      <c r="G40" t="s">
        <v>681</v>
      </c>
      <c r="H40" t="s">
        <v>212</v>
      </c>
      <c r="I40" t="s">
        <v>213</v>
      </c>
      <c r="J40" t="s">
        <v>214</v>
      </c>
      <c r="K40" t="s">
        <v>215</v>
      </c>
      <c r="L40" s="2">
        <v>144</v>
      </c>
      <c r="M40" s="2">
        <v>144</v>
      </c>
      <c r="N40" s="2">
        <v>0</v>
      </c>
      <c r="O40" t="s">
        <v>177</v>
      </c>
      <c r="P40" t="s">
        <v>216</v>
      </c>
      <c r="Q40" t="s">
        <v>182</v>
      </c>
      <c r="R40" t="s">
        <v>179</v>
      </c>
      <c r="S40" t="s">
        <v>13</v>
      </c>
      <c r="T40" t="s">
        <v>14</v>
      </c>
      <c r="U40" t="s">
        <v>15</v>
      </c>
      <c r="V40" t="s">
        <v>15</v>
      </c>
      <c r="W40" t="s">
        <v>15</v>
      </c>
      <c r="X40" t="s">
        <v>15</v>
      </c>
      <c r="Y40" t="s">
        <v>15</v>
      </c>
      <c r="Z40" t="s">
        <v>15</v>
      </c>
      <c r="AA40" t="s">
        <v>15</v>
      </c>
      <c r="AB40" t="s">
        <v>15</v>
      </c>
      <c r="AC40" t="s">
        <v>17</v>
      </c>
      <c r="AD40" s="3">
        <v>42566</v>
      </c>
      <c r="AE40" t="s">
        <v>129</v>
      </c>
      <c r="AF40" t="s">
        <v>19</v>
      </c>
      <c r="AG40" t="s">
        <v>20</v>
      </c>
      <c r="AH40" s="3">
        <v>42566</v>
      </c>
      <c r="AI40" t="s">
        <v>22</v>
      </c>
      <c r="AJ40" t="s">
        <v>33</v>
      </c>
      <c r="AK40" t="s">
        <v>23</v>
      </c>
      <c r="AL40" s="3">
        <v>42556</v>
      </c>
    </row>
    <row r="41" spans="1:38" x14ac:dyDescent="0.25">
      <c r="A41" t="s">
        <v>140</v>
      </c>
      <c r="B41" t="s">
        <v>173</v>
      </c>
      <c r="C41" t="s">
        <v>397</v>
      </c>
      <c r="D41" t="s">
        <v>661</v>
      </c>
      <c r="E41" t="s">
        <v>25</v>
      </c>
      <c r="F41" t="s">
        <v>211</v>
      </c>
      <c r="G41" t="s">
        <v>681</v>
      </c>
      <c r="H41" t="s">
        <v>174</v>
      </c>
      <c r="I41" t="s">
        <v>175</v>
      </c>
      <c r="J41" t="s">
        <v>180</v>
      </c>
      <c r="K41" t="s">
        <v>181</v>
      </c>
      <c r="L41" s="2">
        <v>-4</v>
      </c>
      <c r="M41" s="2">
        <v>-4</v>
      </c>
      <c r="N41" s="2">
        <v>0</v>
      </c>
      <c r="O41" t="s">
        <v>177</v>
      </c>
      <c r="P41" t="s">
        <v>178</v>
      </c>
      <c r="Q41" t="s">
        <v>182</v>
      </c>
      <c r="R41" t="s">
        <v>179</v>
      </c>
      <c r="S41" t="s">
        <v>13</v>
      </c>
      <c r="T41" t="s">
        <v>14</v>
      </c>
      <c r="U41" t="s">
        <v>15</v>
      </c>
      <c r="V41" t="s">
        <v>15</v>
      </c>
      <c r="W41" t="s">
        <v>15</v>
      </c>
      <c r="X41" t="s">
        <v>15</v>
      </c>
      <c r="Y41" t="s">
        <v>15</v>
      </c>
      <c r="Z41" t="s">
        <v>15</v>
      </c>
      <c r="AA41" t="s">
        <v>15</v>
      </c>
      <c r="AB41" t="s">
        <v>15</v>
      </c>
      <c r="AC41" t="s">
        <v>17</v>
      </c>
      <c r="AD41" s="3">
        <v>42705</v>
      </c>
      <c r="AE41" t="s">
        <v>18</v>
      </c>
      <c r="AF41" t="s">
        <v>27</v>
      </c>
      <c r="AG41" t="s">
        <v>27</v>
      </c>
      <c r="AH41" s="3">
        <v>42738</v>
      </c>
      <c r="AI41" t="s">
        <v>22</v>
      </c>
      <c r="AJ41" t="s">
        <v>33</v>
      </c>
      <c r="AK41" t="s">
        <v>23</v>
      </c>
      <c r="AL41" s="3">
        <v>42705</v>
      </c>
    </row>
    <row r="42" spans="1:38" x14ac:dyDescent="0.25">
      <c r="A42" t="s">
        <v>140</v>
      </c>
      <c r="B42" t="s">
        <v>173</v>
      </c>
      <c r="C42" t="s">
        <v>210</v>
      </c>
      <c r="D42" t="s">
        <v>661</v>
      </c>
      <c r="E42" t="s">
        <v>3</v>
      </c>
      <c r="F42" t="s">
        <v>211</v>
      </c>
      <c r="G42" t="s">
        <v>681</v>
      </c>
      <c r="H42" t="s">
        <v>174</v>
      </c>
      <c r="I42" t="s">
        <v>175</v>
      </c>
      <c r="J42" t="s">
        <v>180</v>
      </c>
      <c r="K42" t="s">
        <v>181</v>
      </c>
      <c r="L42" s="2">
        <v>224</v>
      </c>
      <c r="M42" s="2">
        <v>224</v>
      </c>
      <c r="N42" s="2">
        <v>0</v>
      </c>
      <c r="O42" t="s">
        <v>177</v>
      </c>
      <c r="P42" t="s">
        <v>178</v>
      </c>
      <c r="Q42" t="s">
        <v>182</v>
      </c>
      <c r="R42" t="s">
        <v>179</v>
      </c>
      <c r="S42" t="s">
        <v>13</v>
      </c>
      <c r="T42" t="s">
        <v>14</v>
      </c>
      <c r="U42" t="s">
        <v>15</v>
      </c>
      <c r="V42" t="s">
        <v>15</v>
      </c>
      <c r="W42" t="s">
        <v>15</v>
      </c>
      <c r="X42" t="s">
        <v>15</v>
      </c>
      <c r="Y42" t="s">
        <v>15</v>
      </c>
      <c r="Z42" t="s">
        <v>15</v>
      </c>
      <c r="AA42" t="s">
        <v>15</v>
      </c>
      <c r="AB42" t="s">
        <v>15</v>
      </c>
      <c r="AC42" t="s">
        <v>17</v>
      </c>
      <c r="AD42" s="3">
        <v>42566</v>
      </c>
      <c r="AE42" t="s">
        <v>128</v>
      </c>
      <c r="AF42" t="s">
        <v>19</v>
      </c>
      <c r="AG42" t="s">
        <v>20</v>
      </c>
      <c r="AH42" s="3">
        <v>42566</v>
      </c>
      <c r="AI42" t="s">
        <v>22</v>
      </c>
      <c r="AJ42" t="s">
        <v>33</v>
      </c>
      <c r="AK42" t="s">
        <v>23</v>
      </c>
      <c r="AL42" s="3">
        <v>42556</v>
      </c>
    </row>
    <row r="43" spans="1:38" x14ac:dyDescent="0.25">
      <c r="A43" t="s">
        <v>140</v>
      </c>
      <c r="B43" t="s">
        <v>173</v>
      </c>
      <c r="C43" t="s">
        <v>351</v>
      </c>
      <c r="D43" t="s">
        <v>661</v>
      </c>
      <c r="E43" t="s">
        <v>25</v>
      </c>
      <c r="F43" t="s">
        <v>270</v>
      </c>
      <c r="G43" t="s">
        <v>681</v>
      </c>
      <c r="H43" t="s">
        <v>212</v>
      </c>
      <c r="I43" t="s">
        <v>213</v>
      </c>
      <c r="J43" t="s">
        <v>224</v>
      </c>
      <c r="K43" t="s">
        <v>225</v>
      </c>
      <c r="L43" s="2">
        <v>-20</v>
      </c>
      <c r="M43" s="2">
        <v>-20</v>
      </c>
      <c r="N43" s="2">
        <v>0</v>
      </c>
      <c r="O43" t="s">
        <v>177</v>
      </c>
      <c r="P43" t="s">
        <v>216</v>
      </c>
      <c r="Q43" t="s">
        <v>166</v>
      </c>
      <c r="R43" t="s">
        <v>179</v>
      </c>
      <c r="S43" t="s">
        <v>13</v>
      </c>
      <c r="T43" t="s">
        <v>14</v>
      </c>
      <c r="U43" t="s">
        <v>15</v>
      </c>
      <c r="V43" t="s">
        <v>15</v>
      </c>
      <c r="W43" t="s">
        <v>15</v>
      </c>
      <c r="X43" t="s">
        <v>15</v>
      </c>
      <c r="Y43" t="s">
        <v>15</v>
      </c>
      <c r="Z43" t="s">
        <v>15</v>
      </c>
      <c r="AA43" t="s">
        <v>15</v>
      </c>
      <c r="AB43" t="s">
        <v>15</v>
      </c>
      <c r="AC43" t="s">
        <v>17</v>
      </c>
      <c r="AD43" s="3"/>
      <c r="AE43" t="s">
        <v>18</v>
      </c>
      <c r="AF43" t="s">
        <v>27</v>
      </c>
      <c r="AG43" t="s">
        <v>27</v>
      </c>
      <c r="AH43" s="3">
        <v>42704</v>
      </c>
      <c r="AI43" t="s">
        <v>22</v>
      </c>
      <c r="AJ43" t="s">
        <v>33</v>
      </c>
      <c r="AK43" t="s">
        <v>23</v>
      </c>
      <c r="AL43" s="3">
        <v>42690</v>
      </c>
    </row>
    <row r="44" spans="1:38" x14ac:dyDescent="0.25">
      <c r="A44" t="s">
        <v>140</v>
      </c>
      <c r="B44" t="s">
        <v>173</v>
      </c>
      <c r="C44" t="s">
        <v>315</v>
      </c>
      <c r="D44" t="s">
        <v>661</v>
      </c>
      <c r="E44" t="s">
        <v>3</v>
      </c>
      <c r="F44" t="s">
        <v>270</v>
      </c>
      <c r="G44" t="s">
        <v>681</v>
      </c>
      <c r="H44" t="s">
        <v>212</v>
      </c>
      <c r="I44" t="s">
        <v>213</v>
      </c>
      <c r="J44" t="s">
        <v>224</v>
      </c>
      <c r="K44" t="s">
        <v>225</v>
      </c>
      <c r="L44" s="2">
        <v>20</v>
      </c>
      <c r="M44" s="2">
        <v>20</v>
      </c>
      <c r="N44" s="2">
        <v>0</v>
      </c>
      <c r="O44" t="s">
        <v>177</v>
      </c>
      <c r="P44" t="s">
        <v>216</v>
      </c>
      <c r="Q44" t="s">
        <v>166</v>
      </c>
      <c r="R44" t="s">
        <v>179</v>
      </c>
      <c r="S44" t="s">
        <v>13</v>
      </c>
      <c r="T44" t="s">
        <v>14</v>
      </c>
      <c r="U44" t="s">
        <v>15</v>
      </c>
      <c r="V44" t="s">
        <v>15</v>
      </c>
      <c r="W44" t="s">
        <v>15</v>
      </c>
      <c r="X44" t="s">
        <v>15</v>
      </c>
      <c r="Y44" t="s">
        <v>15</v>
      </c>
      <c r="Z44" t="s">
        <v>15</v>
      </c>
      <c r="AA44" t="s">
        <v>15</v>
      </c>
      <c r="AB44" t="s">
        <v>15</v>
      </c>
      <c r="AC44" t="s">
        <v>17</v>
      </c>
      <c r="AD44" s="3">
        <v>42655</v>
      </c>
      <c r="AE44" t="s">
        <v>18</v>
      </c>
      <c r="AF44" t="s">
        <v>19</v>
      </c>
      <c r="AG44" t="s">
        <v>20</v>
      </c>
      <c r="AH44" s="3">
        <v>42662</v>
      </c>
      <c r="AI44" t="s">
        <v>22</v>
      </c>
      <c r="AJ44" t="s">
        <v>33</v>
      </c>
      <c r="AK44" t="s">
        <v>23</v>
      </c>
      <c r="AL44" s="3">
        <v>42655</v>
      </c>
    </row>
    <row r="45" spans="1:38" x14ac:dyDescent="0.25">
      <c r="A45" t="s">
        <v>140</v>
      </c>
      <c r="B45" t="s">
        <v>173</v>
      </c>
      <c r="C45" t="s">
        <v>269</v>
      </c>
      <c r="D45" t="s">
        <v>661</v>
      </c>
      <c r="E45" t="s">
        <v>3</v>
      </c>
      <c r="F45" t="s">
        <v>270</v>
      </c>
      <c r="G45" t="s">
        <v>681</v>
      </c>
      <c r="H45" t="s">
        <v>174</v>
      </c>
      <c r="I45" t="s">
        <v>175</v>
      </c>
      <c r="J45" t="s">
        <v>176</v>
      </c>
      <c r="K45" t="s">
        <v>209</v>
      </c>
      <c r="L45" s="2">
        <v>436</v>
      </c>
      <c r="M45" s="2">
        <v>436</v>
      </c>
      <c r="N45" s="2">
        <v>0</v>
      </c>
      <c r="O45" t="s">
        <v>177</v>
      </c>
      <c r="P45" t="s">
        <v>178</v>
      </c>
      <c r="Q45" t="s">
        <v>166</v>
      </c>
      <c r="R45" t="s">
        <v>179</v>
      </c>
      <c r="S45" t="s">
        <v>13</v>
      </c>
      <c r="T45" t="s">
        <v>14</v>
      </c>
      <c r="U45" t="s">
        <v>15</v>
      </c>
      <c r="V45" t="s">
        <v>15</v>
      </c>
      <c r="W45" t="s">
        <v>15</v>
      </c>
      <c r="X45" t="s">
        <v>15</v>
      </c>
      <c r="Y45" t="s">
        <v>15</v>
      </c>
      <c r="Z45" t="s">
        <v>15</v>
      </c>
      <c r="AA45" t="s">
        <v>15</v>
      </c>
      <c r="AB45" t="s">
        <v>15</v>
      </c>
      <c r="AC45" t="s">
        <v>17</v>
      </c>
      <c r="AD45" s="3">
        <v>42573</v>
      </c>
      <c r="AE45" t="s">
        <v>37</v>
      </c>
      <c r="AF45" t="s">
        <v>19</v>
      </c>
      <c r="AG45" t="s">
        <v>20</v>
      </c>
      <c r="AH45" s="3">
        <v>42573</v>
      </c>
      <c r="AI45" t="s">
        <v>22</v>
      </c>
      <c r="AJ45" t="s">
        <v>33</v>
      </c>
      <c r="AK45" t="s">
        <v>23</v>
      </c>
      <c r="AL45" s="3">
        <v>42571</v>
      </c>
    </row>
    <row r="46" spans="1:38" x14ac:dyDescent="0.25">
      <c r="A46" t="s">
        <v>140</v>
      </c>
      <c r="B46" t="s">
        <v>121</v>
      </c>
      <c r="C46" t="s">
        <v>428</v>
      </c>
      <c r="D46" t="s">
        <v>663</v>
      </c>
      <c r="E46" t="s">
        <v>3</v>
      </c>
      <c r="F46" t="s">
        <v>429</v>
      </c>
      <c r="G46" t="s">
        <v>682</v>
      </c>
      <c r="H46" t="s">
        <v>369</v>
      </c>
      <c r="I46" t="s">
        <v>370</v>
      </c>
      <c r="J46" t="s">
        <v>371</v>
      </c>
      <c r="K46" t="s">
        <v>372</v>
      </c>
      <c r="L46" s="2">
        <v>56</v>
      </c>
      <c r="M46" s="2">
        <v>0</v>
      </c>
      <c r="N46" s="2">
        <v>56</v>
      </c>
      <c r="O46" t="s">
        <v>122</v>
      </c>
      <c r="P46" t="s">
        <v>373</v>
      </c>
      <c r="Q46" t="s">
        <v>11</v>
      </c>
      <c r="R46" t="s">
        <v>324</v>
      </c>
      <c r="S46" t="s">
        <v>13</v>
      </c>
      <c r="T46" t="s">
        <v>14</v>
      </c>
      <c r="U46" t="s">
        <v>15</v>
      </c>
      <c r="V46" t="s">
        <v>16</v>
      </c>
      <c r="W46" t="s">
        <v>15</v>
      </c>
      <c r="X46" t="s">
        <v>41</v>
      </c>
      <c r="Y46" t="s">
        <v>16</v>
      </c>
      <c r="Z46" t="s">
        <v>15</v>
      </c>
      <c r="AA46" t="s">
        <v>15</v>
      </c>
      <c r="AB46" t="s">
        <v>15</v>
      </c>
      <c r="AC46" t="s">
        <v>17</v>
      </c>
      <c r="AD46" s="3">
        <v>42717</v>
      </c>
      <c r="AE46" t="s">
        <v>34</v>
      </c>
      <c r="AF46" t="s">
        <v>19</v>
      </c>
      <c r="AG46" t="s">
        <v>20</v>
      </c>
      <c r="AH46" s="3">
        <v>42712</v>
      </c>
      <c r="AI46" t="s">
        <v>127</v>
      </c>
      <c r="AJ46" t="s">
        <v>33</v>
      </c>
      <c r="AK46" t="s">
        <v>23</v>
      </c>
      <c r="AL46" s="3">
        <v>42712</v>
      </c>
    </row>
    <row r="47" spans="1:38" x14ac:dyDescent="0.25">
      <c r="A47" t="s">
        <v>140</v>
      </c>
      <c r="B47" t="s">
        <v>173</v>
      </c>
      <c r="C47" t="s">
        <v>347</v>
      </c>
      <c r="D47" t="s">
        <v>661</v>
      </c>
      <c r="E47" t="s">
        <v>25</v>
      </c>
      <c r="F47" t="s">
        <v>285</v>
      </c>
      <c r="G47" t="s">
        <v>682</v>
      </c>
      <c r="H47" t="s">
        <v>219</v>
      </c>
      <c r="I47" t="s">
        <v>220</v>
      </c>
      <c r="J47" t="s">
        <v>248</v>
      </c>
      <c r="K47" t="s">
        <v>249</v>
      </c>
      <c r="L47" s="2">
        <v>-32</v>
      </c>
      <c r="M47" s="2">
        <v>-32</v>
      </c>
      <c r="N47" s="2">
        <v>0</v>
      </c>
      <c r="O47" t="s">
        <v>177</v>
      </c>
      <c r="P47" t="s">
        <v>223</v>
      </c>
      <c r="Q47" t="s">
        <v>182</v>
      </c>
      <c r="R47" t="s">
        <v>179</v>
      </c>
      <c r="S47" t="s">
        <v>13</v>
      </c>
      <c r="T47" t="s">
        <v>14</v>
      </c>
      <c r="U47" t="s">
        <v>15</v>
      </c>
      <c r="V47" t="s">
        <v>15</v>
      </c>
      <c r="W47" t="s">
        <v>15</v>
      </c>
      <c r="X47" t="s">
        <v>15</v>
      </c>
      <c r="Y47" t="s">
        <v>15</v>
      </c>
      <c r="Z47" t="s">
        <v>15</v>
      </c>
      <c r="AA47" t="s">
        <v>15</v>
      </c>
      <c r="AB47" t="s">
        <v>15</v>
      </c>
      <c r="AC47" t="s">
        <v>17</v>
      </c>
      <c r="AD47" s="3"/>
      <c r="AE47" t="s">
        <v>18</v>
      </c>
      <c r="AF47" t="s">
        <v>27</v>
      </c>
      <c r="AG47" t="s">
        <v>27</v>
      </c>
      <c r="AH47" s="3">
        <v>42688</v>
      </c>
      <c r="AI47" t="s">
        <v>22</v>
      </c>
      <c r="AJ47" t="s">
        <v>33</v>
      </c>
      <c r="AK47" t="s">
        <v>23</v>
      </c>
      <c r="AL47" s="3">
        <v>42681</v>
      </c>
    </row>
    <row r="48" spans="1:38" x14ac:dyDescent="0.25">
      <c r="A48" t="s">
        <v>140</v>
      </c>
      <c r="B48" t="s">
        <v>173</v>
      </c>
      <c r="C48" t="s">
        <v>284</v>
      </c>
      <c r="D48" t="s">
        <v>661</v>
      </c>
      <c r="E48" t="s">
        <v>3</v>
      </c>
      <c r="F48" t="s">
        <v>285</v>
      </c>
      <c r="G48" t="s">
        <v>682</v>
      </c>
      <c r="H48" t="s">
        <v>219</v>
      </c>
      <c r="I48" t="s">
        <v>220</v>
      </c>
      <c r="J48" t="s">
        <v>248</v>
      </c>
      <c r="K48" t="s">
        <v>249</v>
      </c>
      <c r="L48" s="2">
        <v>52</v>
      </c>
      <c r="M48" s="2">
        <v>52</v>
      </c>
      <c r="N48" s="2">
        <v>0</v>
      </c>
      <c r="O48" t="s">
        <v>177</v>
      </c>
      <c r="P48" t="s">
        <v>223</v>
      </c>
      <c r="Q48" t="s">
        <v>182</v>
      </c>
      <c r="R48" t="s">
        <v>179</v>
      </c>
      <c r="S48" t="s">
        <v>13</v>
      </c>
      <c r="T48" t="s">
        <v>14</v>
      </c>
      <c r="U48" t="s">
        <v>15</v>
      </c>
      <c r="V48" t="s">
        <v>15</v>
      </c>
      <c r="W48" t="s">
        <v>15</v>
      </c>
      <c r="X48" t="s">
        <v>15</v>
      </c>
      <c r="Y48" t="s">
        <v>15</v>
      </c>
      <c r="Z48" t="s">
        <v>15</v>
      </c>
      <c r="AA48" t="s">
        <v>15</v>
      </c>
      <c r="AB48" t="s">
        <v>15</v>
      </c>
      <c r="AC48" t="s">
        <v>17</v>
      </c>
      <c r="AD48" s="3">
        <v>42573</v>
      </c>
      <c r="AE48" t="s">
        <v>34</v>
      </c>
      <c r="AF48" t="s">
        <v>19</v>
      </c>
      <c r="AG48" t="s">
        <v>20</v>
      </c>
      <c r="AH48" s="3">
        <v>42573</v>
      </c>
      <c r="AI48" t="s">
        <v>22</v>
      </c>
      <c r="AJ48" t="s">
        <v>33</v>
      </c>
      <c r="AK48" t="s">
        <v>23</v>
      </c>
      <c r="AL48" s="3">
        <v>42573</v>
      </c>
    </row>
    <row r="49" spans="1:38" x14ac:dyDescent="0.25">
      <c r="A49" t="s">
        <v>140</v>
      </c>
      <c r="B49" t="s">
        <v>173</v>
      </c>
      <c r="C49" t="s">
        <v>284</v>
      </c>
      <c r="D49" t="s">
        <v>661</v>
      </c>
      <c r="E49" t="s">
        <v>3</v>
      </c>
      <c r="F49" t="s">
        <v>285</v>
      </c>
      <c r="G49" t="s">
        <v>682</v>
      </c>
      <c r="H49" t="s">
        <v>174</v>
      </c>
      <c r="I49" t="s">
        <v>175</v>
      </c>
      <c r="J49" t="s">
        <v>180</v>
      </c>
      <c r="K49" t="s">
        <v>181</v>
      </c>
      <c r="L49" s="2">
        <v>216</v>
      </c>
      <c r="M49" s="2">
        <v>216</v>
      </c>
      <c r="N49" s="2">
        <v>0</v>
      </c>
      <c r="O49" t="s">
        <v>177</v>
      </c>
      <c r="P49" t="s">
        <v>178</v>
      </c>
      <c r="Q49" t="s">
        <v>182</v>
      </c>
      <c r="R49" t="s">
        <v>179</v>
      </c>
      <c r="S49" t="s">
        <v>13</v>
      </c>
      <c r="T49" t="s">
        <v>14</v>
      </c>
      <c r="U49" t="s">
        <v>15</v>
      </c>
      <c r="V49" t="s">
        <v>15</v>
      </c>
      <c r="W49" t="s">
        <v>15</v>
      </c>
      <c r="X49" t="s">
        <v>15</v>
      </c>
      <c r="Y49" t="s">
        <v>15</v>
      </c>
      <c r="Z49" t="s">
        <v>15</v>
      </c>
      <c r="AA49" t="s">
        <v>15</v>
      </c>
      <c r="AB49" t="s">
        <v>15</v>
      </c>
      <c r="AC49" t="s">
        <v>17</v>
      </c>
      <c r="AD49" s="3">
        <v>42573</v>
      </c>
      <c r="AE49" t="s">
        <v>18</v>
      </c>
      <c r="AF49" t="s">
        <v>19</v>
      </c>
      <c r="AG49" t="s">
        <v>20</v>
      </c>
      <c r="AH49" s="3">
        <v>42573</v>
      </c>
      <c r="AI49" t="s">
        <v>22</v>
      </c>
      <c r="AJ49" t="s">
        <v>33</v>
      </c>
      <c r="AK49" t="s">
        <v>23</v>
      </c>
      <c r="AL49" s="3">
        <v>42573</v>
      </c>
    </row>
    <row r="50" spans="1:38" x14ac:dyDescent="0.25">
      <c r="A50" t="s">
        <v>140</v>
      </c>
      <c r="B50" t="s">
        <v>121</v>
      </c>
      <c r="C50" t="s">
        <v>436</v>
      </c>
      <c r="D50" t="s">
        <v>669</v>
      </c>
      <c r="E50" t="s">
        <v>3</v>
      </c>
      <c r="F50" t="s">
        <v>437</v>
      </c>
      <c r="G50" t="s">
        <v>682</v>
      </c>
      <c r="H50" t="s">
        <v>369</v>
      </c>
      <c r="I50" t="s">
        <v>370</v>
      </c>
      <c r="J50" t="s">
        <v>371</v>
      </c>
      <c r="K50" t="s">
        <v>372</v>
      </c>
      <c r="L50" s="2">
        <v>60</v>
      </c>
      <c r="M50" s="2">
        <v>0</v>
      </c>
      <c r="N50" s="2">
        <v>60</v>
      </c>
      <c r="O50" t="s">
        <v>122</v>
      </c>
      <c r="P50" t="s">
        <v>373</v>
      </c>
      <c r="Q50" t="s">
        <v>11</v>
      </c>
      <c r="R50" t="s">
        <v>324</v>
      </c>
      <c r="S50" t="s">
        <v>13</v>
      </c>
      <c r="T50" t="s">
        <v>14</v>
      </c>
      <c r="U50" t="s">
        <v>15</v>
      </c>
      <c r="V50" t="s">
        <v>16</v>
      </c>
      <c r="W50" t="s">
        <v>15</v>
      </c>
      <c r="X50" t="s">
        <v>41</v>
      </c>
      <c r="Y50" t="s">
        <v>16</v>
      </c>
      <c r="Z50" t="s">
        <v>15</v>
      </c>
      <c r="AA50" t="s">
        <v>15</v>
      </c>
      <c r="AB50" t="s">
        <v>15</v>
      </c>
      <c r="AC50" t="s">
        <v>17</v>
      </c>
      <c r="AD50" s="3">
        <v>42718</v>
      </c>
      <c r="AE50" t="s">
        <v>37</v>
      </c>
      <c r="AF50" t="s">
        <v>19</v>
      </c>
      <c r="AG50" t="s">
        <v>20</v>
      </c>
      <c r="AH50" s="3">
        <v>42713</v>
      </c>
      <c r="AI50" t="s">
        <v>127</v>
      </c>
      <c r="AJ50" t="s">
        <v>33</v>
      </c>
      <c r="AK50" t="s">
        <v>23</v>
      </c>
      <c r="AL50" s="3">
        <v>42713</v>
      </c>
    </row>
    <row r="51" spans="1:38" x14ac:dyDescent="0.25">
      <c r="A51" t="s">
        <v>140</v>
      </c>
      <c r="B51" t="s">
        <v>1</v>
      </c>
      <c r="C51" t="s">
        <v>240</v>
      </c>
      <c r="D51" t="s">
        <v>670</v>
      </c>
      <c r="E51" t="s">
        <v>43</v>
      </c>
      <c r="F51" t="s">
        <v>241</v>
      </c>
      <c r="G51" t="s">
        <v>682</v>
      </c>
      <c r="H51" t="s">
        <v>148</v>
      </c>
      <c r="I51" t="s">
        <v>149</v>
      </c>
      <c r="J51" t="s">
        <v>242</v>
      </c>
      <c r="K51" t="s">
        <v>243</v>
      </c>
      <c r="L51" s="2">
        <v>60</v>
      </c>
      <c r="M51" s="2">
        <v>0</v>
      </c>
      <c r="N51" s="2">
        <v>60</v>
      </c>
      <c r="O51" t="s">
        <v>9</v>
      </c>
      <c r="P51" t="s">
        <v>152</v>
      </c>
      <c r="Q51" t="s">
        <v>11</v>
      </c>
      <c r="R51" t="s">
        <v>145</v>
      </c>
      <c r="S51" t="s">
        <v>13</v>
      </c>
      <c r="T51" t="s">
        <v>14</v>
      </c>
      <c r="U51" t="s">
        <v>15</v>
      </c>
      <c r="V51" t="s">
        <v>15</v>
      </c>
      <c r="W51" t="s">
        <v>16</v>
      </c>
      <c r="X51" t="s">
        <v>41</v>
      </c>
      <c r="Y51" t="s">
        <v>15</v>
      </c>
      <c r="Z51" t="s">
        <v>15</v>
      </c>
      <c r="AA51" t="s">
        <v>15</v>
      </c>
      <c r="AB51" t="s">
        <v>15</v>
      </c>
      <c r="AC51" t="s">
        <v>17</v>
      </c>
      <c r="AD51" s="3">
        <v>42557</v>
      </c>
      <c r="AE51" t="s">
        <v>18</v>
      </c>
      <c r="AF51" t="s">
        <v>19</v>
      </c>
      <c r="AG51" t="s">
        <v>44</v>
      </c>
      <c r="AH51" s="3">
        <v>42608</v>
      </c>
      <c r="AI51" t="s">
        <v>42</v>
      </c>
      <c r="AJ51" t="s">
        <v>33</v>
      </c>
      <c r="AK51" t="s">
        <v>23</v>
      </c>
      <c r="AL51" s="3">
        <v>42557</v>
      </c>
    </row>
    <row r="52" spans="1:38" x14ac:dyDescent="0.25">
      <c r="A52" t="s">
        <v>140</v>
      </c>
      <c r="B52" t="s">
        <v>250</v>
      </c>
      <c r="C52" t="s">
        <v>406</v>
      </c>
      <c r="D52" t="s">
        <v>660</v>
      </c>
      <c r="E52" t="s">
        <v>43</v>
      </c>
      <c r="F52" t="s">
        <v>319</v>
      </c>
      <c r="G52" t="s">
        <v>682</v>
      </c>
      <c r="H52" t="s">
        <v>251</v>
      </c>
      <c r="I52" t="s">
        <v>252</v>
      </c>
      <c r="J52" t="s">
        <v>253</v>
      </c>
      <c r="K52" t="s">
        <v>254</v>
      </c>
      <c r="L52" s="2">
        <v>20</v>
      </c>
      <c r="M52" s="2">
        <v>20</v>
      </c>
      <c r="N52" s="2">
        <v>0</v>
      </c>
      <c r="O52" t="s">
        <v>255</v>
      </c>
      <c r="P52" t="s">
        <v>216</v>
      </c>
      <c r="Q52" t="s">
        <v>170</v>
      </c>
      <c r="R52" t="s">
        <v>256</v>
      </c>
      <c r="S52" t="s">
        <v>13</v>
      </c>
      <c r="T52" t="s">
        <v>14</v>
      </c>
      <c r="U52" t="s">
        <v>15</v>
      </c>
      <c r="V52" t="s">
        <v>16</v>
      </c>
      <c r="W52" t="s">
        <v>15</v>
      </c>
      <c r="X52" t="s">
        <v>41</v>
      </c>
      <c r="Y52" t="s">
        <v>15</v>
      </c>
      <c r="Z52" t="s">
        <v>15</v>
      </c>
      <c r="AA52" t="s">
        <v>15</v>
      </c>
      <c r="AB52" t="s">
        <v>15</v>
      </c>
      <c r="AC52" t="s">
        <v>17</v>
      </c>
      <c r="AD52" s="3">
        <v>42709</v>
      </c>
      <c r="AE52" t="s">
        <v>34</v>
      </c>
      <c r="AF52" t="s">
        <v>19</v>
      </c>
      <c r="AG52" t="s">
        <v>44</v>
      </c>
      <c r="AH52" s="3">
        <v>42744</v>
      </c>
      <c r="AI52" t="s">
        <v>257</v>
      </c>
      <c r="AJ52" t="s">
        <v>33</v>
      </c>
      <c r="AK52" t="s">
        <v>23</v>
      </c>
      <c r="AL52" s="3">
        <v>42709</v>
      </c>
    </row>
    <row r="53" spans="1:38" x14ac:dyDescent="0.25">
      <c r="A53" t="s">
        <v>140</v>
      </c>
      <c r="B53" t="s">
        <v>250</v>
      </c>
      <c r="C53" t="s">
        <v>440</v>
      </c>
      <c r="D53" t="s">
        <v>660</v>
      </c>
      <c r="E53" t="s">
        <v>43</v>
      </c>
      <c r="F53" t="s">
        <v>319</v>
      </c>
      <c r="G53" t="s">
        <v>682</v>
      </c>
      <c r="H53" t="s">
        <v>251</v>
      </c>
      <c r="I53" t="s">
        <v>252</v>
      </c>
      <c r="J53" t="s">
        <v>253</v>
      </c>
      <c r="K53" t="s">
        <v>254</v>
      </c>
      <c r="L53" s="2">
        <v>4</v>
      </c>
      <c r="M53" s="2">
        <v>4</v>
      </c>
      <c r="N53" s="2">
        <v>0</v>
      </c>
      <c r="O53" t="s">
        <v>255</v>
      </c>
      <c r="P53" t="s">
        <v>216</v>
      </c>
      <c r="Q53" t="s">
        <v>170</v>
      </c>
      <c r="R53" t="s">
        <v>256</v>
      </c>
      <c r="S53" t="s">
        <v>13</v>
      </c>
      <c r="T53" t="s">
        <v>14</v>
      </c>
      <c r="U53" t="s">
        <v>15</v>
      </c>
      <c r="V53" t="s">
        <v>16</v>
      </c>
      <c r="W53" t="s">
        <v>15</v>
      </c>
      <c r="X53" t="s">
        <v>41</v>
      </c>
      <c r="Y53" t="s">
        <v>15</v>
      </c>
      <c r="Z53" t="s">
        <v>15</v>
      </c>
      <c r="AA53" t="s">
        <v>15</v>
      </c>
      <c r="AB53" t="s">
        <v>15</v>
      </c>
      <c r="AC53" t="s">
        <v>17</v>
      </c>
      <c r="AD53" s="3">
        <v>42725</v>
      </c>
      <c r="AE53" t="s">
        <v>34</v>
      </c>
      <c r="AF53" t="s">
        <v>19</v>
      </c>
      <c r="AG53" t="s">
        <v>44</v>
      </c>
      <c r="AH53" s="3">
        <v>42744</v>
      </c>
      <c r="AI53" t="s">
        <v>257</v>
      </c>
      <c r="AJ53" t="s">
        <v>33</v>
      </c>
      <c r="AK53" t="s">
        <v>23</v>
      </c>
      <c r="AL53" s="3">
        <v>42725</v>
      </c>
    </row>
    <row r="54" spans="1:38" x14ac:dyDescent="0.25">
      <c r="A54" t="s">
        <v>140</v>
      </c>
      <c r="B54" t="s">
        <v>250</v>
      </c>
      <c r="C54" t="s">
        <v>318</v>
      </c>
      <c r="D54" t="s">
        <v>660</v>
      </c>
      <c r="E54" t="s">
        <v>3</v>
      </c>
      <c r="F54" t="s">
        <v>319</v>
      </c>
      <c r="G54" t="s">
        <v>682</v>
      </c>
      <c r="H54" t="s">
        <v>258</v>
      </c>
      <c r="I54" t="s">
        <v>259</v>
      </c>
      <c r="J54" t="s">
        <v>293</v>
      </c>
      <c r="K54" t="s">
        <v>294</v>
      </c>
      <c r="L54" s="2">
        <v>60</v>
      </c>
      <c r="M54" s="2">
        <v>60</v>
      </c>
      <c r="N54" s="2">
        <v>0</v>
      </c>
      <c r="O54" t="s">
        <v>255</v>
      </c>
      <c r="P54" t="s">
        <v>223</v>
      </c>
      <c r="Q54" t="s">
        <v>170</v>
      </c>
      <c r="R54" t="s">
        <v>256</v>
      </c>
      <c r="S54" t="s">
        <v>13</v>
      </c>
      <c r="T54" t="s">
        <v>14</v>
      </c>
      <c r="U54" t="s">
        <v>15</v>
      </c>
      <c r="V54" t="s">
        <v>16</v>
      </c>
      <c r="W54" t="s">
        <v>15</v>
      </c>
      <c r="X54" t="s">
        <v>41</v>
      </c>
      <c r="Y54" t="s">
        <v>15</v>
      </c>
      <c r="Z54" t="s">
        <v>15</v>
      </c>
      <c r="AA54" t="s">
        <v>15</v>
      </c>
      <c r="AB54" t="s">
        <v>15</v>
      </c>
      <c r="AC54" t="s">
        <v>17</v>
      </c>
      <c r="AD54" s="3">
        <v>42657</v>
      </c>
      <c r="AE54" t="s">
        <v>18</v>
      </c>
      <c r="AF54" t="s">
        <v>19</v>
      </c>
      <c r="AG54" t="s">
        <v>20</v>
      </c>
      <c r="AH54" s="3">
        <v>42669</v>
      </c>
      <c r="AI54" t="s">
        <v>257</v>
      </c>
      <c r="AJ54" t="s">
        <v>33</v>
      </c>
      <c r="AK54" t="s">
        <v>23</v>
      </c>
      <c r="AL54" s="3">
        <v>42657</v>
      </c>
    </row>
    <row r="55" spans="1:38" x14ac:dyDescent="0.25">
      <c r="A55" t="s">
        <v>140</v>
      </c>
      <c r="B55" t="s">
        <v>250</v>
      </c>
      <c r="C55" t="s">
        <v>406</v>
      </c>
      <c r="D55" t="s">
        <v>660</v>
      </c>
      <c r="E55" t="s">
        <v>43</v>
      </c>
      <c r="F55" t="s">
        <v>319</v>
      </c>
      <c r="G55" t="s">
        <v>682</v>
      </c>
      <c r="H55" t="s">
        <v>258</v>
      </c>
      <c r="I55" t="s">
        <v>259</v>
      </c>
      <c r="J55" t="s">
        <v>293</v>
      </c>
      <c r="K55" t="s">
        <v>294</v>
      </c>
      <c r="L55" s="2">
        <v>20</v>
      </c>
      <c r="M55" s="2">
        <v>20</v>
      </c>
      <c r="N55" s="2">
        <v>0</v>
      </c>
      <c r="O55" t="s">
        <v>255</v>
      </c>
      <c r="P55" t="s">
        <v>223</v>
      </c>
      <c r="Q55" t="s">
        <v>170</v>
      </c>
      <c r="R55" t="s">
        <v>256</v>
      </c>
      <c r="S55" t="s">
        <v>13</v>
      </c>
      <c r="T55" t="s">
        <v>14</v>
      </c>
      <c r="U55" t="s">
        <v>15</v>
      </c>
      <c r="V55" t="s">
        <v>16</v>
      </c>
      <c r="W55" t="s">
        <v>15</v>
      </c>
      <c r="X55" t="s">
        <v>41</v>
      </c>
      <c r="Y55" t="s">
        <v>15</v>
      </c>
      <c r="Z55" t="s">
        <v>15</v>
      </c>
      <c r="AA55" t="s">
        <v>15</v>
      </c>
      <c r="AB55" t="s">
        <v>15</v>
      </c>
      <c r="AC55" t="s">
        <v>17</v>
      </c>
      <c r="AD55" s="3">
        <v>42709</v>
      </c>
      <c r="AE55" t="s">
        <v>18</v>
      </c>
      <c r="AF55" t="s">
        <v>19</v>
      </c>
      <c r="AG55" t="s">
        <v>44</v>
      </c>
      <c r="AH55" s="3">
        <v>42744</v>
      </c>
      <c r="AI55" t="s">
        <v>257</v>
      </c>
      <c r="AJ55" t="s">
        <v>33</v>
      </c>
      <c r="AK55" t="s">
        <v>23</v>
      </c>
      <c r="AL55" s="3">
        <v>42709</v>
      </c>
    </row>
    <row r="56" spans="1:38" x14ac:dyDescent="0.25">
      <c r="A56" t="s">
        <v>140</v>
      </c>
      <c r="B56" t="s">
        <v>250</v>
      </c>
      <c r="C56" t="s">
        <v>440</v>
      </c>
      <c r="D56" t="s">
        <v>660</v>
      </c>
      <c r="E56" t="s">
        <v>43</v>
      </c>
      <c r="F56" t="s">
        <v>319</v>
      </c>
      <c r="G56" t="s">
        <v>682</v>
      </c>
      <c r="H56" t="s">
        <v>258</v>
      </c>
      <c r="I56" t="s">
        <v>259</v>
      </c>
      <c r="J56" t="s">
        <v>260</v>
      </c>
      <c r="K56" t="s">
        <v>261</v>
      </c>
      <c r="L56" s="2">
        <v>4</v>
      </c>
      <c r="M56" s="2">
        <v>4</v>
      </c>
      <c r="N56" s="2">
        <v>0</v>
      </c>
      <c r="O56" t="s">
        <v>255</v>
      </c>
      <c r="P56" t="s">
        <v>223</v>
      </c>
      <c r="Q56" t="s">
        <v>11</v>
      </c>
      <c r="R56" t="s">
        <v>256</v>
      </c>
      <c r="S56" t="s">
        <v>13</v>
      </c>
      <c r="T56" t="s">
        <v>14</v>
      </c>
      <c r="U56" t="s">
        <v>15</v>
      </c>
      <c r="V56" t="s">
        <v>16</v>
      </c>
      <c r="W56" t="s">
        <v>15</v>
      </c>
      <c r="X56" t="s">
        <v>41</v>
      </c>
      <c r="Y56" t="s">
        <v>15</v>
      </c>
      <c r="Z56" t="s">
        <v>15</v>
      </c>
      <c r="AA56" t="s">
        <v>15</v>
      </c>
      <c r="AB56" t="s">
        <v>15</v>
      </c>
      <c r="AC56" t="s">
        <v>17</v>
      </c>
      <c r="AD56" s="3">
        <v>42725</v>
      </c>
      <c r="AE56" t="s">
        <v>18</v>
      </c>
      <c r="AF56" t="s">
        <v>19</v>
      </c>
      <c r="AG56" t="s">
        <v>44</v>
      </c>
      <c r="AH56" s="3">
        <v>42744</v>
      </c>
      <c r="AI56" t="s">
        <v>257</v>
      </c>
      <c r="AJ56" t="s">
        <v>33</v>
      </c>
      <c r="AK56" t="s">
        <v>23</v>
      </c>
      <c r="AL56" s="3">
        <v>42725</v>
      </c>
    </row>
    <row r="57" spans="1:38" x14ac:dyDescent="0.25">
      <c r="A57" t="s">
        <v>140</v>
      </c>
      <c r="B57" t="s">
        <v>141</v>
      </c>
      <c r="C57" t="s">
        <v>365</v>
      </c>
      <c r="D57" t="s">
        <v>671</v>
      </c>
      <c r="E57" t="s">
        <v>3</v>
      </c>
      <c r="F57" t="s">
        <v>366</v>
      </c>
      <c r="G57" t="s">
        <v>682</v>
      </c>
      <c r="H57" t="s">
        <v>167</v>
      </c>
      <c r="I57" t="s">
        <v>168</v>
      </c>
      <c r="J57" t="s">
        <v>378</v>
      </c>
      <c r="K57" t="s">
        <v>169</v>
      </c>
      <c r="L57" s="2">
        <v>12</v>
      </c>
      <c r="M57" s="2">
        <v>0</v>
      </c>
      <c r="N57" s="2">
        <v>12</v>
      </c>
      <c r="O57" t="s">
        <v>142</v>
      </c>
      <c r="P57" t="s">
        <v>51</v>
      </c>
      <c r="Q57" t="s">
        <v>170</v>
      </c>
      <c r="R57" t="s">
        <v>311</v>
      </c>
      <c r="S57" t="s">
        <v>13</v>
      </c>
      <c r="T57" t="s">
        <v>14</v>
      </c>
      <c r="U57" t="s">
        <v>15</v>
      </c>
      <c r="V57" t="s">
        <v>16</v>
      </c>
      <c r="W57" t="s">
        <v>15</v>
      </c>
      <c r="X57" t="s">
        <v>144</v>
      </c>
      <c r="Y57" t="s">
        <v>16</v>
      </c>
      <c r="Z57" t="s">
        <v>15</v>
      </c>
      <c r="AA57" t="s">
        <v>16</v>
      </c>
      <c r="AB57" t="s">
        <v>15</v>
      </c>
      <c r="AC57" t="s">
        <v>17</v>
      </c>
      <c r="AD57" s="3">
        <v>42703</v>
      </c>
      <c r="AE57" t="s">
        <v>35</v>
      </c>
      <c r="AF57" t="s">
        <v>19</v>
      </c>
      <c r="AG57" t="s">
        <v>20</v>
      </c>
      <c r="AH57" s="3">
        <v>42696</v>
      </c>
      <c r="AI57" t="s">
        <v>32</v>
      </c>
      <c r="AJ57" t="s">
        <v>33</v>
      </c>
      <c r="AK57" t="s">
        <v>23</v>
      </c>
      <c r="AL57" s="3">
        <v>42697</v>
      </c>
    </row>
    <row r="58" spans="1:38" x14ac:dyDescent="0.25">
      <c r="A58" t="s">
        <v>140</v>
      </c>
      <c r="B58" t="s">
        <v>1</v>
      </c>
      <c r="C58" t="s">
        <v>420</v>
      </c>
      <c r="D58" t="s">
        <v>656</v>
      </c>
      <c r="E58" t="s">
        <v>3</v>
      </c>
      <c r="F58" t="s">
        <v>421</v>
      </c>
      <c r="G58" t="s">
        <v>682</v>
      </c>
      <c r="H58" t="s">
        <v>148</v>
      </c>
      <c r="I58" t="s">
        <v>149</v>
      </c>
      <c r="J58" t="s">
        <v>417</v>
      </c>
      <c r="K58" t="s">
        <v>418</v>
      </c>
      <c r="L58" s="2">
        <v>4</v>
      </c>
      <c r="M58" s="2">
        <v>0</v>
      </c>
      <c r="N58" s="2">
        <v>4</v>
      </c>
      <c r="O58" t="s">
        <v>9</v>
      </c>
      <c r="P58" t="s">
        <v>152</v>
      </c>
      <c r="Q58" t="s">
        <v>11</v>
      </c>
      <c r="R58" t="s">
        <v>419</v>
      </c>
      <c r="S58" t="s">
        <v>13</v>
      </c>
      <c r="T58" t="s">
        <v>14</v>
      </c>
      <c r="U58" t="s">
        <v>15</v>
      </c>
      <c r="V58" t="s">
        <v>15</v>
      </c>
      <c r="W58" t="s">
        <v>15</v>
      </c>
      <c r="X58" t="s">
        <v>15</v>
      </c>
      <c r="Y58" t="s">
        <v>15</v>
      </c>
      <c r="Z58" t="s">
        <v>15</v>
      </c>
      <c r="AA58" t="s">
        <v>15</v>
      </c>
      <c r="AB58" t="s">
        <v>16</v>
      </c>
      <c r="AC58" t="s">
        <v>17</v>
      </c>
      <c r="AD58" s="3">
        <v>42713</v>
      </c>
      <c r="AE58" t="s">
        <v>35</v>
      </c>
      <c r="AF58" t="s">
        <v>19</v>
      </c>
      <c r="AG58" t="s">
        <v>20</v>
      </c>
      <c r="AH58" s="3">
        <v>42709</v>
      </c>
      <c r="AI58" t="s">
        <v>21</v>
      </c>
      <c r="AJ58" t="s">
        <v>22</v>
      </c>
      <c r="AK58" t="s">
        <v>23</v>
      </c>
      <c r="AL58" s="3">
        <v>42710</v>
      </c>
    </row>
    <row r="59" spans="1:38" x14ac:dyDescent="0.25">
      <c r="A59" t="s">
        <v>140</v>
      </c>
      <c r="B59" t="s">
        <v>1</v>
      </c>
      <c r="C59" t="s">
        <v>432</v>
      </c>
      <c r="D59" t="s">
        <v>656</v>
      </c>
      <c r="E59" t="s">
        <v>3</v>
      </c>
      <c r="F59" t="s">
        <v>433</v>
      </c>
      <c r="G59" t="s">
        <v>682</v>
      </c>
      <c r="H59" t="s">
        <v>352</v>
      </c>
      <c r="I59" t="s">
        <v>353</v>
      </c>
      <c r="J59" t="s">
        <v>409</v>
      </c>
      <c r="K59" t="s">
        <v>410</v>
      </c>
      <c r="L59" s="2">
        <v>12</v>
      </c>
      <c r="M59" s="2">
        <v>0</v>
      </c>
      <c r="N59" s="2">
        <v>12</v>
      </c>
      <c r="O59" t="s">
        <v>9</v>
      </c>
      <c r="P59" t="s">
        <v>354</v>
      </c>
      <c r="Q59" t="s">
        <v>11</v>
      </c>
      <c r="R59" t="s">
        <v>405</v>
      </c>
      <c r="S59" t="s">
        <v>13</v>
      </c>
      <c r="T59" t="s">
        <v>14</v>
      </c>
      <c r="U59" t="s">
        <v>16</v>
      </c>
      <c r="V59" t="s">
        <v>15</v>
      </c>
      <c r="W59" t="s">
        <v>15</v>
      </c>
      <c r="X59" t="s">
        <v>15</v>
      </c>
      <c r="Y59" t="s">
        <v>15</v>
      </c>
      <c r="Z59" t="s">
        <v>15</v>
      </c>
      <c r="AA59" t="s">
        <v>15</v>
      </c>
      <c r="AB59" t="s">
        <v>16</v>
      </c>
      <c r="AC59" t="s">
        <v>17</v>
      </c>
      <c r="AD59" s="3">
        <v>42717</v>
      </c>
      <c r="AE59" t="s">
        <v>35</v>
      </c>
      <c r="AF59" t="s">
        <v>19</v>
      </c>
      <c r="AG59" t="s">
        <v>20</v>
      </c>
      <c r="AH59" s="3">
        <v>42712</v>
      </c>
      <c r="AI59" t="s">
        <v>21</v>
      </c>
      <c r="AJ59" t="s">
        <v>22</v>
      </c>
      <c r="AK59" t="s">
        <v>23</v>
      </c>
      <c r="AL59" s="3">
        <v>42712</v>
      </c>
    </row>
    <row r="60" spans="1:38" x14ac:dyDescent="0.25">
      <c r="A60" t="s">
        <v>140</v>
      </c>
      <c r="B60" t="s">
        <v>173</v>
      </c>
      <c r="C60" t="s">
        <v>267</v>
      </c>
      <c r="D60" t="s">
        <v>661</v>
      </c>
      <c r="E60" t="s">
        <v>3</v>
      </c>
      <c r="F60" t="s">
        <v>268</v>
      </c>
      <c r="G60" t="s">
        <v>683</v>
      </c>
      <c r="H60" t="s">
        <v>219</v>
      </c>
      <c r="I60" t="s">
        <v>220</v>
      </c>
      <c r="J60" t="s">
        <v>248</v>
      </c>
      <c r="K60" t="s">
        <v>249</v>
      </c>
      <c r="L60" s="2">
        <v>28</v>
      </c>
      <c r="M60" s="2">
        <v>28</v>
      </c>
      <c r="N60" s="2">
        <v>0</v>
      </c>
      <c r="O60" t="s">
        <v>177</v>
      </c>
      <c r="P60" t="s">
        <v>223</v>
      </c>
      <c r="Q60" t="s">
        <v>182</v>
      </c>
      <c r="R60" t="s">
        <v>179</v>
      </c>
      <c r="S60" t="s">
        <v>13</v>
      </c>
      <c r="T60" t="s">
        <v>14</v>
      </c>
      <c r="U60" t="s">
        <v>15</v>
      </c>
      <c r="V60" t="s">
        <v>15</v>
      </c>
      <c r="W60" t="s">
        <v>15</v>
      </c>
      <c r="X60" t="s">
        <v>15</v>
      </c>
      <c r="Y60" t="s">
        <v>15</v>
      </c>
      <c r="Z60" t="s">
        <v>15</v>
      </c>
      <c r="AA60" t="s">
        <v>15</v>
      </c>
      <c r="AB60" t="s">
        <v>15</v>
      </c>
      <c r="AC60" t="s">
        <v>17</v>
      </c>
      <c r="AD60" s="3">
        <v>42573</v>
      </c>
      <c r="AE60" t="s">
        <v>35</v>
      </c>
      <c r="AF60" t="s">
        <v>19</v>
      </c>
      <c r="AG60" t="s">
        <v>20</v>
      </c>
      <c r="AH60" s="3">
        <v>42573</v>
      </c>
      <c r="AI60" t="s">
        <v>22</v>
      </c>
      <c r="AJ60" t="s">
        <v>33</v>
      </c>
      <c r="AK60" t="s">
        <v>23</v>
      </c>
      <c r="AL60" s="3">
        <v>42571</v>
      </c>
    </row>
    <row r="61" spans="1:38" x14ac:dyDescent="0.25">
      <c r="A61" t="s">
        <v>140</v>
      </c>
      <c r="B61" t="s">
        <v>173</v>
      </c>
      <c r="C61" t="s">
        <v>267</v>
      </c>
      <c r="D61" t="s">
        <v>661</v>
      </c>
      <c r="E61" t="s">
        <v>3</v>
      </c>
      <c r="F61" t="s">
        <v>268</v>
      </c>
      <c r="G61" t="s">
        <v>683</v>
      </c>
      <c r="H61" t="s">
        <v>174</v>
      </c>
      <c r="I61" t="s">
        <v>175</v>
      </c>
      <c r="J61" t="s">
        <v>176</v>
      </c>
      <c r="K61" t="s">
        <v>209</v>
      </c>
      <c r="L61" s="2">
        <v>64</v>
      </c>
      <c r="M61" s="2">
        <v>64</v>
      </c>
      <c r="N61" s="2">
        <v>0</v>
      </c>
      <c r="O61" t="s">
        <v>177</v>
      </c>
      <c r="P61" t="s">
        <v>178</v>
      </c>
      <c r="Q61" t="s">
        <v>166</v>
      </c>
      <c r="R61" t="s">
        <v>179</v>
      </c>
      <c r="S61" t="s">
        <v>13</v>
      </c>
      <c r="T61" t="s">
        <v>14</v>
      </c>
      <c r="U61" t="s">
        <v>15</v>
      </c>
      <c r="V61" t="s">
        <v>15</v>
      </c>
      <c r="W61" t="s">
        <v>15</v>
      </c>
      <c r="X61" t="s">
        <v>15</v>
      </c>
      <c r="Y61" t="s">
        <v>15</v>
      </c>
      <c r="Z61" t="s">
        <v>15</v>
      </c>
      <c r="AA61" t="s">
        <v>15</v>
      </c>
      <c r="AB61" t="s">
        <v>15</v>
      </c>
      <c r="AC61" t="s">
        <v>17</v>
      </c>
      <c r="AD61" s="3">
        <v>42573</v>
      </c>
      <c r="AE61" t="s">
        <v>34</v>
      </c>
      <c r="AF61" t="s">
        <v>19</v>
      </c>
      <c r="AG61" t="s">
        <v>20</v>
      </c>
      <c r="AH61" s="3">
        <v>42573</v>
      </c>
      <c r="AI61" t="s">
        <v>22</v>
      </c>
      <c r="AJ61" t="s">
        <v>33</v>
      </c>
      <c r="AK61" t="s">
        <v>23</v>
      </c>
      <c r="AL61" s="3">
        <v>42571</v>
      </c>
    </row>
    <row r="62" spans="1:38" x14ac:dyDescent="0.25">
      <c r="A62" t="s">
        <v>140</v>
      </c>
      <c r="B62" t="s">
        <v>173</v>
      </c>
      <c r="C62" t="s">
        <v>290</v>
      </c>
      <c r="D62" t="s">
        <v>661</v>
      </c>
      <c r="E62" t="s">
        <v>3</v>
      </c>
      <c r="F62" t="s">
        <v>291</v>
      </c>
      <c r="G62" t="s">
        <v>683</v>
      </c>
      <c r="H62" t="s">
        <v>219</v>
      </c>
      <c r="I62" t="s">
        <v>220</v>
      </c>
      <c r="J62" t="s">
        <v>248</v>
      </c>
      <c r="K62" t="s">
        <v>249</v>
      </c>
      <c r="L62" s="2">
        <v>52</v>
      </c>
      <c r="M62" s="2">
        <v>52</v>
      </c>
      <c r="N62" s="2">
        <v>0</v>
      </c>
      <c r="O62" t="s">
        <v>177</v>
      </c>
      <c r="P62" t="s">
        <v>223</v>
      </c>
      <c r="Q62" t="s">
        <v>182</v>
      </c>
      <c r="R62" t="s">
        <v>179</v>
      </c>
      <c r="S62" t="s">
        <v>13</v>
      </c>
      <c r="T62" t="s">
        <v>14</v>
      </c>
      <c r="U62" t="s">
        <v>15</v>
      </c>
      <c r="V62" t="s">
        <v>15</v>
      </c>
      <c r="W62" t="s">
        <v>15</v>
      </c>
      <c r="X62" t="s">
        <v>15</v>
      </c>
      <c r="Y62" t="s">
        <v>15</v>
      </c>
      <c r="Z62" t="s">
        <v>15</v>
      </c>
      <c r="AA62" t="s">
        <v>15</v>
      </c>
      <c r="AB62" t="s">
        <v>15</v>
      </c>
      <c r="AC62" t="s">
        <v>17</v>
      </c>
      <c r="AD62" s="3">
        <v>42632</v>
      </c>
      <c r="AE62" t="s">
        <v>34</v>
      </c>
      <c r="AF62" t="s">
        <v>19</v>
      </c>
      <c r="AG62" t="s">
        <v>20</v>
      </c>
      <c r="AH62" s="3">
        <v>42593</v>
      </c>
      <c r="AI62" t="s">
        <v>22</v>
      </c>
      <c r="AJ62" t="s">
        <v>33</v>
      </c>
      <c r="AK62" t="s">
        <v>23</v>
      </c>
      <c r="AL62" s="3">
        <v>42593</v>
      </c>
    </row>
    <row r="63" spans="1:38" x14ac:dyDescent="0.25">
      <c r="A63" t="s">
        <v>140</v>
      </c>
      <c r="B63" t="s">
        <v>173</v>
      </c>
      <c r="C63" t="s">
        <v>309</v>
      </c>
      <c r="D63" t="s">
        <v>661</v>
      </c>
      <c r="E63" t="s">
        <v>25</v>
      </c>
      <c r="F63" t="s">
        <v>291</v>
      </c>
      <c r="G63" t="s">
        <v>683</v>
      </c>
      <c r="H63" t="s">
        <v>219</v>
      </c>
      <c r="I63" t="s">
        <v>220</v>
      </c>
      <c r="J63" t="s">
        <v>248</v>
      </c>
      <c r="K63" t="s">
        <v>249</v>
      </c>
      <c r="L63" s="2">
        <v>-4</v>
      </c>
      <c r="M63" s="2">
        <v>-4</v>
      </c>
      <c r="N63" s="2">
        <v>0</v>
      </c>
      <c r="O63" t="s">
        <v>177</v>
      </c>
      <c r="P63" t="s">
        <v>223</v>
      </c>
      <c r="Q63" t="s">
        <v>182</v>
      </c>
      <c r="R63" t="s">
        <v>179</v>
      </c>
      <c r="S63" t="s">
        <v>13</v>
      </c>
      <c r="T63" t="s">
        <v>14</v>
      </c>
      <c r="U63" t="s">
        <v>15</v>
      </c>
      <c r="V63" t="s">
        <v>15</v>
      </c>
      <c r="W63" t="s">
        <v>15</v>
      </c>
      <c r="X63" t="s">
        <v>15</v>
      </c>
      <c r="Y63" t="s">
        <v>15</v>
      </c>
      <c r="Z63" t="s">
        <v>15</v>
      </c>
      <c r="AA63" t="s">
        <v>15</v>
      </c>
      <c r="AB63" t="s">
        <v>15</v>
      </c>
      <c r="AC63" t="s">
        <v>17</v>
      </c>
      <c r="AD63" s="3"/>
      <c r="AE63" t="s">
        <v>34</v>
      </c>
      <c r="AF63" t="s">
        <v>27</v>
      </c>
      <c r="AG63" t="s">
        <v>27</v>
      </c>
      <c r="AH63" s="3">
        <v>42663</v>
      </c>
      <c r="AI63" t="s">
        <v>22</v>
      </c>
      <c r="AJ63" t="s">
        <v>33</v>
      </c>
      <c r="AK63" t="s">
        <v>23</v>
      </c>
      <c r="AL63" s="3">
        <v>42649</v>
      </c>
    </row>
    <row r="64" spans="1:38" x14ac:dyDescent="0.25">
      <c r="A64" t="s">
        <v>140</v>
      </c>
      <c r="B64" t="s">
        <v>173</v>
      </c>
      <c r="C64" t="s">
        <v>290</v>
      </c>
      <c r="D64" t="s">
        <v>661</v>
      </c>
      <c r="E64" t="s">
        <v>3</v>
      </c>
      <c r="F64" t="s">
        <v>291</v>
      </c>
      <c r="G64" t="s">
        <v>683</v>
      </c>
      <c r="H64" t="s">
        <v>212</v>
      </c>
      <c r="I64" t="s">
        <v>213</v>
      </c>
      <c r="J64" t="s">
        <v>214</v>
      </c>
      <c r="K64" t="s">
        <v>215</v>
      </c>
      <c r="L64" s="2">
        <v>16</v>
      </c>
      <c r="M64" s="2">
        <v>16</v>
      </c>
      <c r="N64" s="2">
        <v>0</v>
      </c>
      <c r="O64" t="s">
        <v>177</v>
      </c>
      <c r="P64" t="s">
        <v>216</v>
      </c>
      <c r="Q64" t="s">
        <v>182</v>
      </c>
      <c r="R64" t="s">
        <v>179</v>
      </c>
      <c r="S64" t="s">
        <v>13</v>
      </c>
      <c r="T64" t="s">
        <v>14</v>
      </c>
      <c r="U64" t="s">
        <v>15</v>
      </c>
      <c r="V64" t="s">
        <v>15</v>
      </c>
      <c r="W64" t="s">
        <v>15</v>
      </c>
      <c r="X64" t="s">
        <v>15</v>
      </c>
      <c r="Y64" t="s">
        <v>15</v>
      </c>
      <c r="Z64" t="s">
        <v>15</v>
      </c>
      <c r="AA64" t="s">
        <v>15</v>
      </c>
      <c r="AB64" t="s">
        <v>15</v>
      </c>
      <c r="AC64" t="s">
        <v>17</v>
      </c>
      <c r="AD64" s="3">
        <v>42632</v>
      </c>
      <c r="AE64" t="s">
        <v>35</v>
      </c>
      <c r="AF64" t="s">
        <v>19</v>
      </c>
      <c r="AG64" t="s">
        <v>20</v>
      </c>
      <c r="AH64" s="3">
        <v>42593</v>
      </c>
      <c r="AI64" t="s">
        <v>22</v>
      </c>
      <c r="AJ64" t="s">
        <v>33</v>
      </c>
      <c r="AK64" t="s">
        <v>23</v>
      </c>
      <c r="AL64" s="3">
        <v>42593</v>
      </c>
    </row>
    <row r="65" spans="1:38" x14ac:dyDescent="0.25">
      <c r="A65" t="s">
        <v>140</v>
      </c>
      <c r="B65" t="s">
        <v>173</v>
      </c>
      <c r="C65" t="s">
        <v>309</v>
      </c>
      <c r="D65" t="s">
        <v>661</v>
      </c>
      <c r="E65" t="s">
        <v>25</v>
      </c>
      <c r="F65" t="s">
        <v>291</v>
      </c>
      <c r="G65" t="s">
        <v>683</v>
      </c>
      <c r="H65" t="s">
        <v>212</v>
      </c>
      <c r="I65" t="s">
        <v>213</v>
      </c>
      <c r="J65" t="s">
        <v>214</v>
      </c>
      <c r="K65" t="s">
        <v>215</v>
      </c>
      <c r="L65" s="2">
        <v>-4</v>
      </c>
      <c r="M65" s="2">
        <v>-4</v>
      </c>
      <c r="N65" s="2">
        <v>0</v>
      </c>
      <c r="O65" t="s">
        <v>177</v>
      </c>
      <c r="P65" t="s">
        <v>216</v>
      </c>
      <c r="Q65" t="s">
        <v>182</v>
      </c>
      <c r="R65" t="s">
        <v>179</v>
      </c>
      <c r="S65" t="s">
        <v>13</v>
      </c>
      <c r="T65" t="s">
        <v>14</v>
      </c>
      <c r="U65" t="s">
        <v>15</v>
      </c>
      <c r="V65" t="s">
        <v>15</v>
      </c>
      <c r="W65" t="s">
        <v>15</v>
      </c>
      <c r="X65" t="s">
        <v>15</v>
      </c>
      <c r="Y65" t="s">
        <v>15</v>
      </c>
      <c r="Z65" t="s">
        <v>15</v>
      </c>
      <c r="AA65" t="s">
        <v>15</v>
      </c>
      <c r="AB65" t="s">
        <v>15</v>
      </c>
      <c r="AC65" t="s">
        <v>17</v>
      </c>
      <c r="AD65" s="3"/>
      <c r="AE65" t="s">
        <v>35</v>
      </c>
      <c r="AF65" t="s">
        <v>27</v>
      </c>
      <c r="AG65" t="s">
        <v>27</v>
      </c>
      <c r="AH65" s="3">
        <v>42663</v>
      </c>
      <c r="AI65" t="s">
        <v>22</v>
      </c>
      <c r="AJ65" t="s">
        <v>33</v>
      </c>
      <c r="AK65" t="s">
        <v>23</v>
      </c>
      <c r="AL65" s="3">
        <v>42649</v>
      </c>
    </row>
    <row r="66" spans="1:38" x14ac:dyDescent="0.25">
      <c r="A66" t="s">
        <v>140</v>
      </c>
      <c r="B66" t="s">
        <v>173</v>
      </c>
      <c r="C66" t="s">
        <v>312</v>
      </c>
      <c r="D66" t="s">
        <v>661</v>
      </c>
      <c r="E66" t="s">
        <v>43</v>
      </c>
      <c r="F66" t="s">
        <v>291</v>
      </c>
      <c r="G66" t="s">
        <v>683</v>
      </c>
      <c r="H66" t="s">
        <v>174</v>
      </c>
      <c r="I66" t="s">
        <v>175</v>
      </c>
      <c r="J66" t="s">
        <v>180</v>
      </c>
      <c r="K66" t="s">
        <v>181</v>
      </c>
      <c r="L66" s="2">
        <v>36</v>
      </c>
      <c r="M66" s="2">
        <v>36</v>
      </c>
      <c r="N66" s="2">
        <v>0</v>
      </c>
      <c r="O66" t="s">
        <v>177</v>
      </c>
      <c r="P66" t="s">
        <v>178</v>
      </c>
      <c r="Q66" t="s">
        <v>182</v>
      </c>
      <c r="R66" t="s">
        <v>179</v>
      </c>
      <c r="S66" t="s">
        <v>13</v>
      </c>
      <c r="T66" t="s">
        <v>14</v>
      </c>
      <c r="U66" t="s">
        <v>15</v>
      </c>
      <c r="V66" t="s">
        <v>15</v>
      </c>
      <c r="W66" t="s">
        <v>15</v>
      </c>
      <c r="X66" t="s">
        <v>15</v>
      </c>
      <c r="Y66" t="s">
        <v>15</v>
      </c>
      <c r="Z66" t="s">
        <v>15</v>
      </c>
      <c r="AA66" t="s">
        <v>15</v>
      </c>
      <c r="AB66" t="s">
        <v>15</v>
      </c>
      <c r="AC66" t="s">
        <v>17</v>
      </c>
      <c r="AD66" s="3">
        <v>42650</v>
      </c>
      <c r="AE66" t="s">
        <v>18</v>
      </c>
      <c r="AF66" t="s">
        <v>19</v>
      </c>
      <c r="AG66" t="s">
        <v>44</v>
      </c>
      <c r="AH66" s="3">
        <v>42663</v>
      </c>
      <c r="AI66" t="s">
        <v>22</v>
      </c>
      <c r="AJ66" t="s">
        <v>33</v>
      </c>
      <c r="AK66" t="s">
        <v>23</v>
      </c>
      <c r="AL66" s="3">
        <v>42650</v>
      </c>
    </row>
    <row r="67" spans="1:38" x14ac:dyDescent="0.25">
      <c r="A67" t="s">
        <v>140</v>
      </c>
      <c r="B67" t="s">
        <v>173</v>
      </c>
      <c r="C67" t="s">
        <v>309</v>
      </c>
      <c r="D67" t="s">
        <v>661</v>
      </c>
      <c r="E67" t="s">
        <v>25</v>
      </c>
      <c r="F67" t="s">
        <v>291</v>
      </c>
      <c r="G67" t="s">
        <v>683</v>
      </c>
      <c r="H67" t="s">
        <v>174</v>
      </c>
      <c r="I67" t="s">
        <v>175</v>
      </c>
      <c r="J67" t="s">
        <v>180</v>
      </c>
      <c r="K67" t="s">
        <v>181</v>
      </c>
      <c r="L67" s="2">
        <v>-20</v>
      </c>
      <c r="M67" s="2">
        <v>-20</v>
      </c>
      <c r="N67" s="2">
        <v>0</v>
      </c>
      <c r="O67" t="s">
        <v>177</v>
      </c>
      <c r="P67" t="s">
        <v>178</v>
      </c>
      <c r="Q67" t="s">
        <v>182</v>
      </c>
      <c r="R67" t="s">
        <v>179</v>
      </c>
      <c r="S67" t="s">
        <v>13</v>
      </c>
      <c r="T67" t="s">
        <v>14</v>
      </c>
      <c r="U67" t="s">
        <v>15</v>
      </c>
      <c r="V67" t="s">
        <v>15</v>
      </c>
      <c r="W67" t="s">
        <v>15</v>
      </c>
      <c r="X67" t="s">
        <v>15</v>
      </c>
      <c r="Y67" t="s">
        <v>15</v>
      </c>
      <c r="Z67" t="s">
        <v>15</v>
      </c>
      <c r="AA67" t="s">
        <v>15</v>
      </c>
      <c r="AB67" t="s">
        <v>15</v>
      </c>
      <c r="AC67" t="s">
        <v>17</v>
      </c>
      <c r="AD67" s="3"/>
      <c r="AE67" t="s">
        <v>18</v>
      </c>
      <c r="AF67" t="s">
        <v>27</v>
      </c>
      <c r="AG67" t="s">
        <v>27</v>
      </c>
      <c r="AH67" s="3">
        <v>42663</v>
      </c>
      <c r="AI67" t="s">
        <v>22</v>
      </c>
      <c r="AJ67" t="s">
        <v>33</v>
      </c>
      <c r="AK67" t="s">
        <v>23</v>
      </c>
      <c r="AL67" s="3">
        <v>42649</v>
      </c>
    </row>
    <row r="68" spans="1:38" x14ac:dyDescent="0.25">
      <c r="A68" t="s">
        <v>140</v>
      </c>
      <c r="B68" t="s">
        <v>121</v>
      </c>
      <c r="C68" t="s">
        <v>367</v>
      </c>
      <c r="D68" t="s">
        <v>669</v>
      </c>
      <c r="E68" t="s">
        <v>3</v>
      </c>
      <c r="F68" t="s">
        <v>368</v>
      </c>
      <c r="G68" t="s">
        <v>684</v>
      </c>
      <c r="H68" t="s">
        <v>369</v>
      </c>
      <c r="I68" t="s">
        <v>370</v>
      </c>
      <c r="J68" t="s">
        <v>371</v>
      </c>
      <c r="K68" t="s">
        <v>372</v>
      </c>
      <c r="L68" s="2">
        <v>128</v>
      </c>
      <c r="M68" s="2">
        <v>0</v>
      </c>
      <c r="N68" s="2">
        <v>128</v>
      </c>
      <c r="O68" t="s">
        <v>122</v>
      </c>
      <c r="P68" t="s">
        <v>373</v>
      </c>
      <c r="Q68" t="s">
        <v>11</v>
      </c>
      <c r="R68" t="s">
        <v>324</v>
      </c>
      <c r="S68" t="s">
        <v>13</v>
      </c>
      <c r="T68" t="s">
        <v>14</v>
      </c>
      <c r="U68" t="s">
        <v>15</v>
      </c>
      <c r="V68" t="s">
        <v>16</v>
      </c>
      <c r="W68" t="s">
        <v>15</v>
      </c>
      <c r="X68" t="s">
        <v>41</v>
      </c>
      <c r="Y68" t="s">
        <v>16</v>
      </c>
      <c r="Z68" t="s">
        <v>15</v>
      </c>
      <c r="AA68" t="s">
        <v>15</v>
      </c>
      <c r="AB68" t="s">
        <v>15</v>
      </c>
      <c r="AC68" t="s">
        <v>17</v>
      </c>
      <c r="AD68" s="3">
        <v>42704</v>
      </c>
      <c r="AE68" t="s">
        <v>37</v>
      </c>
      <c r="AF68" t="s">
        <v>19</v>
      </c>
      <c r="AG68" t="s">
        <v>20</v>
      </c>
      <c r="AH68" s="3">
        <v>42700</v>
      </c>
      <c r="AI68" t="s">
        <v>127</v>
      </c>
      <c r="AJ68" t="s">
        <v>33</v>
      </c>
      <c r="AK68" t="s">
        <v>23</v>
      </c>
      <c r="AL68" s="3">
        <v>42701</v>
      </c>
    </row>
    <row r="69" spans="1:38" x14ac:dyDescent="0.25">
      <c r="A69" t="s">
        <v>0</v>
      </c>
      <c r="B69" t="s">
        <v>52</v>
      </c>
      <c r="C69" t="s">
        <v>136</v>
      </c>
      <c r="D69" t="s">
        <v>663</v>
      </c>
      <c r="E69" t="s">
        <v>3</v>
      </c>
      <c r="F69" t="s">
        <v>137</v>
      </c>
      <c r="G69" t="s">
        <v>685</v>
      </c>
      <c r="H69" t="s">
        <v>134</v>
      </c>
      <c r="I69" t="s">
        <v>135</v>
      </c>
      <c r="J69" t="s">
        <v>138</v>
      </c>
      <c r="K69" t="s">
        <v>139</v>
      </c>
      <c r="L69" s="2">
        <v>16</v>
      </c>
      <c r="M69" s="2">
        <v>0</v>
      </c>
      <c r="N69" s="2">
        <v>16</v>
      </c>
      <c r="O69" t="s">
        <v>59</v>
      </c>
      <c r="P69" t="s">
        <v>126</v>
      </c>
      <c r="Q69" t="s">
        <v>36</v>
      </c>
      <c r="R69" t="s">
        <v>123</v>
      </c>
      <c r="S69" t="s">
        <v>13</v>
      </c>
      <c r="T69" t="s">
        <v>14</v>
      </c>
      <c r="U69" t="s">
        <v>15</v>
      </c>
      <c r="V69" t="s">
        <v>16</v>
      </c>
      <c r="W69" t="s">
        <v>15</v>
      </c>
      <c r="X69" t="s">
        <v>41</v>
      </c>
      <c r="Y69" t="s">
        <v>16</v>
      </c>
      <c r="Z69" t="s">
        <v>15</v>
      </c>
      <c r="AA69" t="s">
        <v>16</v>
      </c>
      <c r="AB69" t="s">
        <v>15</v>
      </c>
      <c r="AC69" t="s">
        <v>17</v>
      </c>
      <c r="AD69" s="3">
        <v>42706</v>
      </c>
      <c r="AE69" t="s">
        <v>18</v>
      </c>
      <c r="AF69" t="s">
        <v>19</v>
      </c>
      <c r="AG69" t="s">
        <v>20</v>
      </c>
      <c r="AH69" s="3">
        <v>42706</v>
      </c>
      <c r="AI69" t="s">
        <v>62</v>
      </c>
      <c r="AJ69" t="s">
        <v>33</v>
      </c>
      <c r="AK69" t="s">
        <v>23</v>
      </c>
      <c r="AL69" s="3">
        <v>42706</v>
      </c>
    </row>
    <row r="70" spans="1:38" x14ac:dyDescent="0.25">
      <c r="A70" t="s">
        <v>140</v>
      </c>
      <c r="B70" t="s">
        <v>121</v>
      </c>
      <c r="C70" t="s">
        <v>389</v>
      </c>
      <c r="D70" t="s">
        <v>662</v>
      </c>
      <c r="E70" t="s">
        <v>3</v>
      </c>
      <c r="F70" t="s">
        <v>390</v>
      </c>
      <c r="G70" t="s">
        <v>685</v>
      </c>
      <c r="H70" t="s">
        <v>359</v>
      </c>
      <c r="I70" t="s">
        <v>360</v>
      </c>
      <c r="J70" t="s">
        <v>391</v>
      </c>
      <c r="K70" t="s">
        <v>520</v>
      </c>
      <c r="L70" s="2">
        <v>76</v>
      </c>
      <c r="M70" s="2">
        <v>0</v>
      </c>
      <c r="N70" s="2">
        <v>76</v>
      </c>
      <c r="O70" t="s">
        <v>122</v>
      </c>
      <c r="P70" t="s">
        <v>361</v>
      </c>
      <c r="Q70" t="s">
        <v>85</v>
      </c>
      <c r="R70" t="s">
        <v>324</v>
      </c>
      <c r="S70" t="s">
        <v>13</v>
      </c>
      <c r="T70" t="s">
        <v>14</v>
      </c>
      <c r="U70" t="s">
        <v>15</v>
      </c>
      <c r="V70" t="s">
        <v>15</v>
      </c>
      <c r="W70" t="s">
        <v>15</v>
      </c>
      <c r="X70" t="s">
        <v>41</v>
      </c>
      <c r="Y70" t="s">
        <v>16</v>
      </c>
      <c r="Z70" t="s">
        <v>15</v>
      </c>
      <c r="AA70" t="s">
        <v>15</v>
      </c>
      <c r="AB70" t="s">
        <v>15</v>
      </c>
      <c r="AC70" t="s">
        <v>17</v>
      </c>
      <c r="AD70" s="3">
        <v>42710</v>
      </c>
      <c r="AE70" t="s">
        <v>18</v>
      </c>
      <c r="AF70" t="s">
        <v>19</v>
      </c>
      <c r="AG70" t="s">
        <v>20</v>
      </c>
      <c r="AH70" s="3">
        <v>42705</v>
      </c>
      <c r="AI70" t="s">
        <v>127</v>
      </c>
      <c r="AJ70" t="s">
        <v>33</v>
      </c>
      <c r="AK70" t="s">
        <v>23</v>
      </c>
      <c r="AL70" s="3">
        <v>42705</v>
      </c>
    </row>
    <row r="71" spans="1:38" x14ac:dyDescent="0.25">
      <c r="A71" t="s">
        <v>140</v>
      </c>
      <c r="B71" t="s">
        <v>121</v>
      </c>
      <c r="C71" t="s">
        <v>389</v>
      </c>
      <c r="D71" t="s">
        <v>662</v>
      </c>
      <c r="E71" t="s">
        <v>3</v>
      </c>
      <c r="F71" t="s">
        <v>390</v>
      </c>
      <c r="G71" t="s">
        <v>685</v>
      </c>
      <c r="H71" t="s">
        <v>369</v>
      </c>
      <c r="I71" t="s">
        <v>370</v>
      </c>
      <c r="J71" t="s">
        <v>387</v>
      </c>
      <c r="K71" t="s">
        <v>388</v>
      </c>
      <c r="L71" s="2">
        <v>72</v>
      </c>
      <c r="M71" s="2">
        <v>0</v>
      </c>
      <c r="N71" s="2">
        <v>72</v>
      </c>
      <c r="O71" t="s">
        <v>122</v>
      </c>
      <c r="P71" t="s">
        <v>373</v>
      </c>
      <c r="Q71" t="s">
        <v>85</v>
      </c>
      <c r="R71" t="s">
        <v>324</v>
      </c>
      <c r="S71" t="s">
        <v>13</v>
      </c>
      <c r="T71" t="s">
        <v>14</v>
      </c>
      <c r="U71" t="s">
        <v>15</v>
      </c>
      <c r="V71" t="s">
        <v>16</v>
      </c>
      <c r="W71" t="s">
        <v>15</v>
      </c>
      <c r="X71" t="s">
        <v>41</v>
      </c>
      <c r="Y71" t="s">
        <v>16</v>
      </c>
      <c r="Z71" t="s">
        <v>15</v>
      </c>
      <c r="AA71" t="s">
        <v>15</v>
      </c>
      <c r="AB71" t="s">
        <v>15</v>
      </c>
      <c r="AC71" t="s">
        <v>17</v>
      </c>
      <c r="AD71" s="3">
        <v>42710</v>
      </c>
      <c r="AE71" t="s">
        <v>35</v>
      </c>
      <c r="AF71" t="s">
        <v>19</v>
      </c>
      <c r="AG71" t="s">
        <v>20</v>
      </c>
      <c r="AH71" s="3">
        <v>42705</v>
      </c>
      <c r="AI71" t="s">
        <v>127</v>
      </c>
      <c r="AJ71" t="s">
        <v>33</v>
      </c>
      <c r="AK71" t="s">
        <v>23</v>
      </c>
      <c r="AL71" s="3">
        <v>42705</v>
      </c>
    </row>
    <row r="72" spans="1:38" x14ac:dyDescent="0.25">
      <c r="A72" t="s">
        <v>140</v>
      </c>
      <c r="B72" t="s">
        <v>173</v>
      </c>
      <c r="C72" t="s">
        <v>296</v>
      </c>
      <c r="D72" t="s">
        <v>661</v>
      </c>
      <c r="E72" t="s">
        <v>3</v>
      </c>
      <c r="F72" t="s">
        <v>297</v>
      </c>
      <c r="G72" t="s">
        <v>685</v>
      </c>
      <c r="H72" t="s">
        <v>174</v>
      </c>
      <c r="I72" t="s">
        <v>175</v>
      </c>
      <c r="J72" t="s">
        <v>176</v>
      </c>
      <c r="K72" t="s">
        <v>209</v>
      </c>
      <c r="L72" s="2">
        <v>120</v>
      </c>
      <c r="M72" s="2">
        <v>120</v>
      </c>
      <c r="N72" s="2">
        <v>0</v>
      </c>
      <c r="O72" t="s">
        <v>177</v>
      </c>
      <c r="P72" t="s">
        <v>178</v>
      </c>
      <c r="Q72" t="s">
        <v>166</v>
      </c>
      <c r="R72" t="s">
        <v>179</v>
      </c>
      <c r="S72" t="s">
        <v>13</v>
      </c>
      <c r="T72" t="s">
        <v>14</v>
      </c>
      <c r="U72" t="s">
        <v>15</v>
      </c>
      <c r="V72" t="s">
        <v>15</v>
      </c>
      <c r="W72" t="s">
        <v>15</v>
      </c>
      <c r="X72" t="s">
        <v>15</v>
      </c>
      <c r="Y72" t="s">
        <v>15</v>
      </c>
      <c r="Z72" t="s">
        <v>15</v>
      </c>
      <c r="AA72" t="s">
        <v>15</v>
      </c>
      <c r="AB72" t="s">
        <v>15</v>
      </c>
      <c r="AC72" t="s">
        <v>17</v>
      </c>
      <c r="AD72" s="3">
        <v>42620</v>
      </c>
      <c r="AE72" t="s">
        <v>18</v>
      </c>
      <c r="AF72" t="s">
        <v>19</v>
      </c>
      <c r="AG72" t="s">
        <v>20</v>
      </c>
      <c r="AH72" s="3">
        <v>42648</v>
      </c>
      <c r="AI72" t="s">
        <v>22</v>
      </c>
      <c r="AJ72" t="s">
        <v>33</v>
      </c>
      <c r="AK72" t="s">
        <v>23</v>
      </c>
      <c r="AL72" s="3">
        <v>42620</v>
      </c>
    </row>
    <row r="73" spans="1:38" x14ac:dyDescent="0.25">
      <c r="A73" t="s">
        <v>140</v>
      </c>
      <c r="B73" t="s">
        <v>173</v>
      </c>
      <c r="C73" t="s">
        <v>310</v>
      </c>
      <c r="D73" t="s">
        <v>661</v>
      </c>
      <c r="E73" t="s">
        <v>3</v>
      </c>
      <c r="F73" t="s">
        <v>297</v>
      </c>
      <c r="G73" t="s">
        <v>685</v>
      </c>
      <c r="H73" t="s">
        <v>174</v>
      </c>
      <c r="I73" t="s">
        <v>175</v>
      </c>
      <c r="J73" t="s">
        <v>180</v>
      </c>
      <c r="K73" t="s">
        <v>181</v>
      </c>
      <c r="L73" s="2">
        <v>64</v>
      </c>
      <c r="M73" s="2">
        <v>64</v>
      </c>
      <c r="N73" s="2">
        <v>0</v>
      </c>
      <c r="O73" t="s">
        <v>177</v>
      </c>
      <c r="P73" t="s">
        <v>178</v>
      </c>
      <c r="Q73" t="s">
        <v>182</v>
      </c>
      <c r="R73" t="s">
        <v>179</v>
      </c>
      <c r="S73" t="s">
        <v>13</v>
      </c>
      <c r="T73" t="s">
        <v>14</v>
      </c>
      <c r="U73" t="s">
        <v>15</v>
      </c>
      <c r="V73" t="s">
        <v>15</v>
      </c>
      <c r="W73" t="s">
        <v>15</v>
      </c>
      <c r="X73" t="s">
        <v>15</v>
      </c>
      <c r="Y73" t="s">
        <v>15</v>
      </c>
      <c r="Z73" t="s">
        <v>15</v>
      </c>
      <c r="AA73" t="s">
        <v>15</v>
      </c>
      <c r="AB73" t="s">
        <v>15</v>
      </c>
      <c r="AC73" t="s">
        <v>17</v>
      </c>
      <c r="AD73" s="3">
        <v>42650</v>
      </c>
      <c r="AE73" t="s">
        <v>18</v>
      </c>
      <c r="AF73" t="s">
        <v>19</v>
      </c>
      <c r="AG73" t="s">
        <v>306</v>
      </c>
      <c r="AH73" s="3">
        <v>42667</v>
      </c>
      <c r="AI73" t="s">
        <v>22</v>
      </c>
      <c r="AJ73" t="s">
        <v>33</v>
      </c>
      <c r="AK73" t="s">
        <v>23</v>
      </c>
      <c r="AL73" s="3">
        <v>42650</v>
      </c>
    </row>
    <row r="74" spans="1:38" x14ac:dyDescent="0.25">
      <c r="A74" t="s">
        <v>140</v>
      </c>
      <c r="B74" t="s">
        <v>121</v>
      </c>
      <c r="C74" t="s">
        <v>400</v>
      </c>
      <c r="D74" t="s">
        <v>659</v>
      </c>
      <c r="E74" t="s">
        <v>3</v>
      </c>
      <c r="F74" t="s">
        <v>401</v>
      </c>
      <c r="G74" t="s">
        <v>685</v>
      </c>
      <c r="H74" t="s">
        <v>362</v>
      </c>
      <c r="I74" t="s">
        <v>363</v>
      </c>
      <c r="J74" t="s">
        <v>382</v>
      </c>
      <c r="K74" t="s">
        <v>402</v>
      </c>
      <c r="L74" s="2">
        <v>108</v>
      </c>
      <c r="M74" s="2">
        <v>0</v>
      </c>
      <c r="N74" s="2">
        <v>108</v>
      </c>
      <c r="O74" t="s">
        <v>122</v>
      </c>
      <c r="P74" t="s">
        <v>364</v>
      </c>
      <c r="Q74" t="s">
        <v>11</v>
      </c>
      <c r="R74" t="s">
        <v>324</v>
      </c>
      <c r="S74" t="s">
        <v>13</v>
      </c>
      <c r="T74" t="s">
        <v>14</v>
      </c>
      <c r="U74" t="s">
        <v>15</v>
      </c>
      <c r="V74" t="s">
        <v>16</v>
      </c>
      <c r="W74" t="s">
        <v>15</v>
      </c>
      <c r="X74" t="s">
        <v>41</v>
      </c>
      <c r="Y74" t="s">
        <v>16</v>
      </c>
      <c r="Z74" t="s">
        <v>15</v>
      </c>
      <c r="AA74" t="s">
        <v>15</v>
      </c>
      <c r="AB74" t="s">
        <v>15</v>
      </c>
      <c r="AC74" t="s">
        <v>17</v>
      </c>
      <c r="AD74" s="3">
        <v>42711</v>
      </c>
      <c r="AE74" t="s">
        <v>37</v>
      </c>
      <c r="AF74" t="s">
        <v>19</v>
      </c>
      <c r="AG74" t="s">
        <v>20</v>
      </c>
      <c r="AH74" s="3">
        <v>42705</v>
      </c>
      <c r="AI74" t="s">
        <v>124</v>
      </c>
      <c r="AJ74" t="s">
        <v>33</v>
      </c>
      <c r="AK74" t="s">
        <v>23</v>
      </c>
      <c r="AL74" s="3">
        <v>42706</v>
      </c>
    </row>
    <row r="75" spans="1:38" x14ac:dyDescent="0.25">
      <c r="A75" t="s">
        <v>140</v>
      </c>
      <c r="B75" t="s">
        <v>121</v>
      </c>
      <c r="C75" t="s">
        <v>400</v>
      </c>
      <c r="D75" t="s">
        <v>659</v>
      </c>
      <c r="E75" t="s">
        <v>3</v>
      </c>
      <c r="F75" t="s">
        <v>401</v>
      </c>
      <c r="G75" t="s">
        <v>685</v>
      </c>
      <c r="H75" t="s">
        <v>369</v>
      </c>
      <c r="I75" t="s">
        <v>370</v>
      </c>
      <c r="J75" t="s">
        <v>371</v>
      </c>
      <c r="K75" t="s">
        <v>372</v>
      </c>
      <c r="L75" s="2">
        <v>208</v>
      </c>
      <c r="M75" s="2">
        <v>0</v>
      </c>
      <c r="N75" s="2">
        <v>208</v>
      </c>
      <c r="O75" t="s">
        <v>122</v>
      </c>
      <c r="P75" t="s">
        <v>373</v>
      </c>
      <c r="Q75" t="s">
        <v>11</v>
      </c>
      <c r="R75" t="s">
        <v>324</v>
      </c>
      <c r="S75" t="s">
        <v>13</v>
      </c>
      <c r="T75" t="s">
        <v>14</v>
      </c>
      <c r="U75" t="s">
        <v>15</v>
      </c>
      <c r="V75" t="s">
        <v>16</v>
      </c>
      <c r="W75" t="s">
        <v>15</v>
      </c>
      <c r="X75" t="s">
        <v>41</v>
      </c>
      <c r="Y75" t="s">
        <v>16</v>
      </c>
      <c r="Z75" t="s">
        <v>15</v>
      </c>
      <c r="AA75" t="s">
        <v>15</v>
      </c>
      <c r="AB75" t="s">
        <v>15</v>
      </c>
      <c r="AC75" t="s">
        <v>17</v>
      </c>
      <c r="AD75" s="3">
        <v>42711</v>
      </c>
      <c r="AE75" t="s">
        <v>128</v>
      </c>
      <c r="AF75" t="s">
        <v>19</v>
      </c>
      <c r="AG75" t="s">
        <v>20</v>
      </c>
      <c r="AH75" s="3">
        <v>42705</v>
      </c>
      <c r="AI75" t="s">
        <v>124</v>
      </c>
      <c r="AJ75" t="s">
        <v>33</v>
      </c>
      <c r="AK75" t="s">
        <v>23</v>
      </c>
      <c r="AL75" s="3">
        <v>42706</v>
      </c>
    </row>
    <row r="76" spans="1:38" x14ac:dyDescent="0.25">
      <c r="A76" t="s">
        <v>140</v>
      </c>
      <c r="B76" t="s">
        <v>173</v>
      </c>
      <c r="C76" t="s">
        <v>328</v>
      </c>
      <c r="D76" t="s">
        <v>661</v>
      </c>
      <c r="E76" t="s">
        <v>25</v>
      </c>
      <c r="F76" t="s">
        <v>281</v>
      </c>
      <c r="G76" t="s">
        <v>685</v>
      </c>
      <c r="H76" t="s">
        <v>212</v>
      </c>
      <c r="I76" t="s">
        <v>213</v>
      </c>
      <c r="J76" t="s">
        <v>214</v>
      </c>
      <c r="K76" t="s">
        <v>215</v>
      </c>
      <c r="L76" s="2">
        <v>-20</v>
      </c>
      <c r="M76" s="2">
        <v>-20</v>
      </c>
      <c r="N76" s="2">
        <v>0</v>
      </c>
      <c r="O76" t="s">
        <v>177</v>
      </c>
      <c r="P76" t="s">
        <v>216</v>
      </c>
      <c r="Q76" t="s">
        <v>182</v>
      </c>
      <c r="R76" t="s">
        <v>179</v>
      </c>
      <c r="S76" t="s">
        <v>13</v>
      </c>
      <c r="T76" t="s">
        <v>14</v>
      </c>
      <c r="U76" t="s">
        <v>15</v>
      </c>
      <c r="V76" t="s">
        <v>15</v>
      </c>
      <c r="W76" t="s">
        <v>15</v>
      </c>
      <c r="X76" t="s">
        <v>15</v>
      </c>
      <c r="Y76" t="s">
        <v>15</v>
      </c>
      <c r="Z76" t="s">
        <v>15</v>
      </c>
      <c r="AA76" t="s">
        <v>15</v>
      </c>
      <c r="AB76" t="s">
        <v>15</v>
      </c>
      <c r="AC76" t="s">
        <v>17</v>
      </c>
      <c r="AD76" s="3"/>
      <c r="AE76" t="s">
        <v>18</v>
      </c>
      <c r="AF76" t="s">
        <v>27</v>
      </c>
      <c r="AG76" t="s">
        <v>27</v>
      </c>
      <c r="AH76" s="3">
        <v>42688</v>
      </c>
      <c r="AI76" t="s">
        <v>22</v>
      </c>
      <c r="AJ76" t="s">
        <v>33</v>
      </c>
      <c r="AK76" t="s">
        <v>23</v>
      </c>
      <c r="AL76" s="3">
        <v>42675</v>
      </c>
    </row>
    <row r="77" spans="1:38" x14ac:dyDescent="0.25">
      <c r="A77" t="s">
        <v>140</v>
      </c>
      <c r="B77" t="s">
        <v>173</v>
      </c>
      <c r="C77" t="s">
        <v>280</v>
      </c>
      <c r="D77" t="s">
        <v>661</v>
      </c>
      <c r="E77" t="s">
        <v>3</v>
      </c>
      <c r="F77" t="s">
        <v>281</v>
      </c>
      <c r="G77" t="s">
        <v>685</v>
      </c>
      <c r="H77" t="s">
        <v>212</v>
      </c>
      <c r="I77" t="s">
        <v>213</v>
      </c>
      <c r="J77" t="s">
        <v>214</v>
      </c>
      <c r="K77" t="s">
        <v>215</v>
      </c>
      <c r="L77" s="2">
        <v>72</v>
      </c>
      <c r="M77" s="2">
        <v>72</v>
      </c>
      <c r="N77" s="2">
        <v>0</v>
      </c>
      <c r="O77" t="s">
        <v>177</v>
      </c>
      <c r="P77" t="s">
        <v>216</v>
      </c>
      <c r="Q77" t="s">
        <v>182</v>
      </c>
      <c r="R77" t="s">
        <v>179</v>
      </c>
      <c r="S77" t="s">
        <v>13</v>
      </c>
      <c r="T77" t="s">
        <v>14</v>
      </c>
      <c r="U77" t="s">
        <v>15</v>
      </c>
      <c r="V77" t="s">
        <v>15</v>
      </c>
      <c r="W77" t="s">
        <v>15</v>
      </c>
      <c r="X77" t="s">
        <v>15</v>
      </c>
      <c r="Y77" t="s">
        <v>15</v>
      </c>
      <c r="Z77" t="s">
        <v>15</v>
      </c>
      <c r="AA77" t="s">
        <v>15</v>
      </c>
      <c r="AB77" t="s">
        <v>15</v>
      </c>
      <c r="AC77" t="s">
        <v>17</v>
      </c>
      <c r="AD77" s="3">
        <v>42632</v>
      </c>
      <c r="AE77" t="s">
        <v>34</v>
      </c>
      <c r="AF77" t="s">
        <v>19</v>
      </c>
      <c r="AG77" t="s">
        <v>20</v>
      </c>
      <c r="AH77" s="3">
        <v>42594</v>
      </c>
      <c r="AI77" t="s">
        <v>22</v>
      </c>
      <c r="AJ77" t="s">
        <v>33</v>
      </c>
      <c r="AK77" t="s">
        <v>23</v>
      </c>
      <c r="AL77" s="3">
        <v>42573</v>
      </c>
    </row>
    <row r="78" spans="1:38" x14ac:dyDescent="0.25">
      <c r="A78" t="s">
        <v>140</v>
      </c>
      <c r="B78" t="s">
        <v>173</v>
      </c>
      <c r="C78" t="s">
        <v>280</v>
      </c>
      <c r="D78" t="s">
        <v>661</v>
      </c>
      <c r="E78" t="s">
        <v>3</v>
      </c>
      <c r="F78" t="s">
        <v>281</v>
      </c>
      <c r="G78" t="s">
        <v>685</v>
      </c>
      <c r="H78" t="s">
        <v>174</v>
      </c>
      <c r="I78" t="s">
        <v>175</v>
      </c>
      <c r="J78" t="s">
        <v>180</v>
      </c>
      <c r="K78" t="s">
        <v>181</v>
      </c>
      <c r="L78" s="2">
        <v>100</v>
      </c>
      <c r="M78" s="2">
        <v>100</v>
      </c>
      <c r="N78" s="2">
        <v>0</v>
      </c>
      <c r="O78" t="s">
        <v>177</v>
      </c>
      <c r="P78" t="s">
        <v>178</v>
      </c>
      <c r="Q78" t="s">
        <v>182</v>
      </c>
      <c r="R78" t="s">
        <v>179</v>
      </c>
      <c r="S78" t="s">
        <v>13</v>
      </c>
      <c r="T78" t="s">
        <v>14</v>
      </c>
      <c r="U78" t="s">
        <v>15</v>
      </c>
      <c r="V78" t="s">
        <v>15</v>
      </c>
      <c r="W78" t="s">
        <v>15</v>
      </c>
      <c r="X78" t="s">
        <v>15</v>
      </c>
      <c r="Y78" t="s">
        <v>15</v>
      </c>
      <c r="Z78" t="s">
        <v>15</v>
      </c>
      <c r="AA78" t="s">
        <v>15</v>
      </c>
      <c r="AB78" t="s">
        <v>15</v>
      </c>
      <c r="AC78" t="s">
        <v>17</v>
      </c>
      <c r="AD78" s="3">
        <v>42632</v>
      </c>
      <c r="AE78" t="s">
        <v>18</v>
      </c>
      <c r="AF78" t="s">
        <v>19</v>
      </c>
      <c r="AG78" t="s">
        <v>20</v>
      </c>
      <c r="AH78" s="3">
        <v>42594</v>
      </c>
      <c r="AI78" t="s">
        <v>22</v>
      </c>
      <c r="AJ78" t="s">
        <v>33</v>
      </c>
      <c r="AK78" t="s">
        <v>23</v>
      </c>
      <c r="AL78" s="3">
        <v>42573</v>
      </c>
    </row>
    <row r="79" spans="1:38" x14ac:dyDescent="0.25">
      <c r="A79" t="s">
        <v>140</v>
      </c>
      <c r="B79" t="s">
        <v>173</v>
      </c>
      <c r="C79" t="s">
        <v>273</v>
      </c>
      <c r="D79" t="s">
        <v>661</v>
      </c>
      <c r="E79" t="s">
        <v>3</v>
      </c>
      <c r="F79" t="s">
        <v>274</v>
      </c>
      <c r="G79" t="s">
        <v>685</v>
      </c>
      <c r="H79" t="s">
        <v>174</v>
      </c>
      <c r="I79" t="s">
        <v>175</v>
      </c>
      <c r="J79" t="s">
        <v>176</v>
      </c>
      <c r="K79" t="s">
        <v>209</v>
      </c>
      <c r="L79" s="2">
        <v>40</v>
      </c>
      <c r="M79" s="2">
        <v>40</v>
      </c>
      <c r="N79" s="2">
        <v>0</v>
      </c>
      <c r="O79" t="s">
        <v>177</v>
      </c>
      <c r="P79" t="s">
        <v>178</v>
      </c>
      <c r="Q79" t="s">
        <v>166</v>
      </c>
      <c r="R79" t="s">
        <v>179</v>
      </c>
      <c r="S79" t="s">
        <v>13</v>
      </c>
      <c r="T79" t="s">
        <v>14</v>
      </c>
      <c r="U79" t="s">
        <v>15</v>
      </c>
      <c r="V79" t="s">
        <v>15</v>
      </c>
      <c r="W79" t="s">
        <v>15</v>
      </c>
      <c r="X79" t="s">
        <v>15</v>
      </c>
      <c r="Y79" t="s">
        <v>15</v>
      </c>
      <c r="Z79" t="s">
        <v>15</v>
      </c>
      <c r="AA79" t="s">
        <v>15</v>
      </c>
      <c r="AB79" t="s">
        <v>15</v>
      </c>
      <c r="AC79" t="s">
        <v>17</v>
      </c>
      <c r="AD79" s="3">
        <v>42573</v>
      </c>
      <c r="AE79" t="s">
        <v>34</v>
      </c>
      <c r="AF79" t="s">
        <v>19</v>
      </c>
      <c r="AG79" t="s">
        <v>20</v>
      </c>
      <c r="AH79" s="3">
        <v>42573</v>
      </c>
      <c r="AI79" t="s">
        <v>22</v>
      </c>
      <c r="AJ79" t="s">
        <v>33</v>
      </c>
      <c r="AK79" t="s">
        <v>23</v>
      </c>
      <c r="AL79" s="3">
        <v>42571</v>
      </c>
    </row>
    <row r="80" spans="1:38" x14ac:dyDescent="0.25">
      <c r="A80" t="s">
        <v>140</v>
      </c>
      <c r="B80" t="s">
        <v>173</v>
      </c>
      <c r="C80" t="s">
        <v>349</v>
      </c>
      <c r="D80" t="s">
        <v>661</v>
      </c>
      <c r="E80" t="s">
        <v>25</v>
      </c>
      <c r="F80" t="s">
        <v>274</v>
      </c>
      <c r="G80" t="s">
        <v>685</v>
      </c>
      <c r="H80" t="s">
        <v>174</v>
      </c>
      <c r="I80" t="s">
        <v>175</v>
      </c>
      <c r="J80" t="s">
        <v>180</v>
      </c>
      <c r="K80" t="s">
        <v>181</v>
      </c>
      <c r="L80" s="2">
        <v>-8</v>
      </c>
      <c r="M80" s="2">
        <v>-8</v>
      </c>
      <c r="N80" s="2">
        <v>0</v>
      </c>
      <c r="O80" t="s">
        <v>177</v>
      </c>
      <c r="P80" t="s">
        <v>178</v>
      </c>
      <c r="Q80" t="s">
        <v>182</v>
      </c>
      <c r="R80" t="s">
        <v>179</v>
      </c>
      <c r="S80" t="s">
        <v>13</v>
      </c>
      <c r="T80" t="s">
        <v>14</v>
      </c>
      <c r="U80" t="s">
        <v>15</v>
      </c>
      <c r="V80" t="s">
        <v>15</v>
      </c>
      <c r="W80" t="s">
        <v>15</v>
      </c>
      <c r="X80" t="s">
        <v>15</v>
      </c>
      <c r="Y80" t="s">
        <v>15</v>
      </c>
      <c r="Z80" t="s">
        <v>15</v>
      </c>
      <c r="AA80" t="s">
        <v>15</v>
      </c>
      <c r="AB80" t="s">
        <v>15</v>
      </c>
      <c r="AC80" t="s">
        <v>17</v>
      </c>
      <c r="AD80" s="3"/>
      <c r="AE80" t="s">
        <v>18</v>
      </c>
      <c r="AF80" t="s">
        <v>27</v>
      </c>
      <c r="AG80" t="s">
        <v>27</v>
      </c>
      <c r="AH80" s="3">
        <v>42704</v>
      </c>
      <c r="AI80" t="s">
        <v>22</v>
      </c>
      <c r="AJ80" t="s">
        <v>33</v>
      </c>
      <c r="AK80" t="s">
        <v>23</v>
      </c>
      <c r="AL80" s="3">
        <v>42689</v>
      </c>
    </row>
    <row r="81" spans="1:38" x14ac:dyDescent="0.25">
      <c r="A81" t="s">
        <v>140</v>
      </c>
      <c r="B81" t="s">
        <v>173</v>
      </c>
      <c r="C81" t="s">
        <v>308</v>
      </c>
      <c r="D81" t="s">
        <v>661</v>
      </c>
      <c r="E81" t="s">
        <v>3</v>
      </c>
      <c r="F81" t="s">
        <v>274</v>
      </c>
      <c r="G81" t="s">
        <v>685</v>
      </c>
      <c r="H81" t="s">
        <v>174</v>
      </c>
      <c r="I81" t="s">
        <v>175</v>
      </c>
      <c r="J81" t="s">
        <v>180</v>
      </c>
      <c r="K81" t="s">
        <v>181</v>
      </c>
      <c r="L81" s="2">
        <v>80</v>
      </c>
      <c r="M81" s="2">
        <v>80</v>
      </c>
      <c r="N81" s="2">
        <v>0</v>
      </c>
      <c r="O81" t="s">
        <v>177</v>
      </c>
      <c r="P81" t="s">
        <v>178</v>
      </c>
      <c r="Q81" t="s">
        <v>182</v>
      </c>
      <c r="R81" t="s">
        <v>179</v>
      </c>
      <c r="S81" t="s">
        <v>13</v>
      </c>
      <c r="T81" t="s">
        <v>14</v>
      </c>
      <c r="U81" t="s">
        <v>15</v>
      </c>
      <c r="V81" t="s">
        <v>15</v>
      </c>
      <c r="W81" t="s">
        <v>15</v>
      </c>
      <c r="X81" t="s">
        <v>15</v>
      </c>
      <c r="Y81" t="s">
        <v>15</v>
      </c>
      <c r="Z81" t="s">
        <v>15</v>
      </c>
      <c r="AA81" t="s">
        <v>15</v>
      </c>
      <c r="AB81" t="s">
        <v>15</v>
      </c>
      <c r="AC81" t="s">
        <v>17</v>
      </c>
      <c r="AD81" s="3">
        <v>42644</v>
      </c>
      <c r="AE81" t="s">
        <v>18</v>
      </c>
      <c r="AF81" t="s">
        <v>19</v>
      </c>
      <c r="AG81" t="s">
        <v>20</v>
      </c>
      <c r="AH81" s="3">
        <v>42662</v>
      </c>
      <c r="AI81" t="s">
        <v>22</v>
      </c>
      <c r="AJ81" t="s">
        <v>33</v>
      </c>
      <c r="AK81" t="s">
        <v>23</v>
      </c>
      <c r="AL81" s="3">
        <v>42644</v>
      </c>
    </row>
    <row r="82" spans="1:38" x14ac:dyDescent="0.25">
      <c r="A82" t="s">
        <v>140</v>
      </c>
      <c r="B82" t="s">
        <v>173</v>
      </c>
      <c r="C82" t="s">
        <v>275</v>
      </c>
      <c r="D82" t="s">
        <v>661</v>
      </c>
      <c r="E82" t="s">
        <v>3</v>
      </c>
      <c r="F82" t="s">
        <v>276</v>
      </c>
      <c r="G82" t="s">
        <v>686</v>
      </c>
      <c r="H82" t="s">
        <v>219</v>
      </c>
      <c r="I82" t="s">
        <v>220</v>
      </c>
      <c r="J82" t="s">
        <v>248</v>
      </c>
      <c r="K82" t="s">
        <v>249</v>
      </c>
      <c r="L82" s="2">
        <v>92</v>
      </c>
      <c r="M82" s="2">
        <v>92</v>
      </c>
      <c r="N82" s="2">
        <v>0</v>
      </c>
      <c r="O82" t="s">
        <v>177</v>
      </c>
      <c r="P82" t="s">
        <v>223</v>
      </c>
      <c r="Q82" t="s">
        <v>182</v>
      </c>
      <c r="R82" t="s">
        <v>179</v>
      </c>
      <c r="S82" t="s">
        <v>13</v>
      </c>
      <c r="T82" t="s">
        <v>14</v>
      </c>
      <c r="U82" t="s">
        <v>15</v>
      </c>
      <c r="V82" t="s">
        <v>15</v>
      </c>
      <c r="W82" t="s">
        <v>15</v>
      </c>
      <c r="X82" t="s">
        <v>15</v>
      </c>
      <c r="Y82" t="s">
        <v>15</v>
      </c>
      <c r="Z82" t="s">
        <v>15</v>
      </c>
      <c r="AA82" t="s">
        <v>15</v>
      </c>
      <c r="AB82" t="s">
        <v>15</v>
      </c>
      <c r="AC82" t="s">
        <v>17</v>
      </c>
      <c r="AD82" s="3">
        <v>42573</v>
      </c>
      <c r="AE82" t="s">
        <v>34</v>
      </c>
      <c r="AF82" t="s">
        <v>19</v>
      </c>
      <c r="AG82" t="s">
        <v>20</v>
      </c>
      <c r="AH82" s="3">
        <v>42573</v>
      </c>
      <c r="AI82" t="s">
        <v>22</v>
      </c>
      <c r="AJ82" t="s">
        <v>33</v>
      </c>
      <c r="AK82" t="s">
        <v>23</v>
      </c>
      <c r="AL82" s="3">
        <v>42571</v>
      </c>
    </row>
    <row r="83" spans="1:38" x14ac:dyDescent="0.25">
      <c r="A83" t="s">
        <v>140</v>
      </c>
      <c r="B83" t="s">
        <v>173</v>
      </c>
      <c r="C83" t="s">
        <v>279</v>
      </c>
      <c r="D83" t="s">
        <v>661</v>
      </c>
      <c r="E83" t="s">
        <v>25</v>
      </c>
      <c r="F83" t="s">
        <v>276</v>
      </c>
      <c r="G83" t="s">
        <v>686</v>
      </c>
      <c r="H83" t="s">
        <v>174</v>
      </c>
      <c r="I83" t="s">
        <v>175</v>
      </c>
      <c r="J83" t="s">
        <v>180</v>
      </c>
      <c r="K83" t="s">
        <v>181</v>
      </c>
      <c r="L83" s="2">
        <v>-20</v>
      </c>
      <c r="M83" s="2">
        <v>-20</v>
      </c>
      <c r="N83" s="2">
        <v>0</v>
      </c>
      <c r="O83" t="s">
        <v>177</v>
      </c>
      <c r="P83" t="s">
        <v>178</v>
      </c>
      <c r="Q83" t="s">
        <v>182</v>
      </c>
      <c r="R83" t="s">
        <v>179</v>
      </c>
      <c r="S83" t="s">
        <v>13</v>
      </c>
      <c r="T83" t="s">
        <v>14</v>
      </c>
      <c r="U83" t="s">
        <v>15</v>
      </c>
      <c r="V83" t="s">
        <v>15</v>
      </c>
      <c r="W83" t="s">
        <v>15</v>
      </c>
      <c r="X83" t="s">
        <v>15</v>
      </c>
      <c r="Y83" t="s">
        <v>15</v>
      </c>
      <c r="Z83" t="s">
        <v>15</v>
      </c>
      <c r="AA83" t="s">
        <v>15</v>
      </c>
      <c r="AB83" t="s">
        <v>15</v>
      </c>
      <c r="AC83" t="s">
        <v>17</v>
      </c>
      <c r="AD83" s="3"/>
      <c r="AE83" t="s">
        <v>18</v>
      </c>
      <c r="AF83" t="s">
        <v>27</v>
      </c>
      <c r="AG83" t="s">
        <v>27</v>
      </c>
      <c r="AH83" s="3">
        <v>42664</v>
      </c>
      <c r="AI83" t="s">
        <v>22</v>
      </c>
      <c r="AJ83" t="s">
        <v>33</v>
      </c>
      <c r="AK83" t="s">
        <v>23</v>
      </c>
      <c r="AL83" s="3">
        <v>42573</v>
      </c>
    </row>
    <row r="84" spans="1:38" x14ac:dyDescent="0.25">
      <c r="A84" t="s">
        <v>140</v>
      </c>
      <c r="B84" t="s">
        <v>173</v>
      </c>
      <c r="C84" t="s">
        <v>275</v>
      </c>
      <c r="D84" t="s">
        <v>661</v>
      </c>
      <c r="E84" t="s">
        <v>3</v>
      </c>
      <c r="F84" t="s">
        <v>276</v>
      </c>
      <c r="G84" t="s">
        <v>686</v>
      </c>
      <c r="H84" t="s">
        <v>174</v>
      </c>
      <c r="I84" t="s">
        <v>175</v>
      </c>
      <c r="J84" t="s">
        <v>180</v>
      </c>
      <c r="K84" t="s">
        <v>181</v>
      </c>
      <c r="L84" s="2">
        <v>92</v>
      </c>
      <c r="M84" s="2">
        <v>92</v>
      </c>
      <c r="N84" s="2">
        <v>0</v>
      </c>
      <c r="O84" t="s">
        <v>177</v>
      </c>
      <c r="P84" t="s">
        <v>178</v>
      </c>
      <c r="Q84" t="s">
        <v>182</v>
      </c>
      <c r="R84" t="s">
        <v>179</v>
      </c>
      <c r="S84" t="s">
        <v>13</v>
      </c>
      <c r="T84" t="s">
        <v>14</v>
      </c>
      <c r="U84" t="s">
        <v>15</v>
      </c>
      <c r="V84" t="s">
        <v>15</v>
      </c>
      <c r="W84" t="s">
        <v>15</v>
      </c>
      <c r="X84" t="s">
        <v>15</v>
      </c>
      <c r="Y84" t="s">
        <v>15</v>
      </c>
      <c r="Z84" t="s">
        <v>15</v>
      </c>
      <c r="AA84" t="s">
        <v>15</v>
      </c>
      <c r="AB84" t="s">
        <v>15</v>
      </c>
      <c r="AC84" t="s">
        <v>17</v>
      </c>
      <c r="AD84" s="3">
        <v>42573</v>
      </c>
      <c r="AE84" t="s">
        <v>18</v>
      </c>
      <c r="AF84" t="s">
        <v>19</v>
      </c>
      <c r="AG84" t="s">
        <v>20</v>
      </c>
      <c r="AH84" s="3">
        <v>42573</v>
      </c>
      <c r="AI84" t="s">
        <v>22</v>
      </c>
      <c r="AJ84" t="s">
        <v>33</v>
      </c>
      <c r="AK84" t="s">
        <v>23</v>
      </c>
      <c r="AL84" s="3">
        <v>42571</v>
      </c>
    </row>
    <row r="85" spans="1:38" x14ac:dyDescent="0.25">
      <c r="A85" t="s">
        <v>140</v>
      </c>
      <c r="B85" t="s">
        <v>52</v>
      </c>
      <c r="C85" t="s">
        <v>159</v>
      </c>
      <c r="D85" t="s">
        <v>672</v>
      </c>
      <c r="E85" t="s">
        <v>25</v>
      </c>
      <c r="F85" t="s">
        <v>160</v>
      </c>
      <c r="G85" t="s">
        <v>686</v>
      </c>
      <c r="H85" t="s">
        <v>161</v>
      </c>
      <c r="I85" t="s">
        <v>162</v>
      </c>
      <c r="J85" t="s">
        <v>163</v>
      </c>
      <c r="K85" t="s">
        <v>164</v>
      </c>
      <c r="L85" s="2">
        <v>-4</v>
      </c>
      <c r="M85" s="2">
        <v>-4</v>
      </c>
      <c r="N85" s="2">
        <v>0</v>
      </c>
      <c r="O85" t="s">
        <v>59</v>
      </c>
      <c r="P85" t="s">
        <v>165</v>
      </c>
      <c r="Q85" t="s">
        <v>166</v>
      </c>
      <c r="R85" t="s">
        <v>158</v>
      </c>
      <c r="S85" t="s">
        <v>13</v>
      </c>
      <c r="T85" t="s">
        <v>14</v>
      </c>
      <c r="U85" t="s">
        <v>15</v>
      </c>
      <c r="V85" t="s">
        <v>16</v>
      </c>
      <c r="W85" t="s">
        <v>16</v>
      </c>
      <c r="X85" t="s">
        <v>41</v>
      </c>
      <c r="Y85" t="s">
        <v>15</v>
      </c>
      <c r="Z85" t="s">
        <v>15</v>
      </c>
      <c r="AA85" t="s">
        <v>15</v>
      </c>
      <c r="AB85" t="s">
        <v>15</v>
      </c>
      <c r="AC85" t="s">
        <v>17</v>
      </c>
      <c r="AD85" s="3"/>
      <c r="AE85" t="s">
        <v>18</v>
      </c>
      <c r="AF85" t="s">
        <v>27</v>
      </c>
      <c r="AG85" t="s">
        <v>27</v>
      </c>
      <c r="AH85" s="3">
        <v>42639</v>
      </c>
      <c r="AI85" t="s">
        <v>62</v>
      </c>
      <c r="AJ85" t="s">
        <v>33</v>
      </c>
      <c r="AK85" t="s">
        <v>23</v>
      </c>
      <c r="AL85" s="3">
        <v>42548</v>
      </c>
    </row>
    <row r="86" spans="1:38" x14ac:dyDescent="0.25">
      <c r="A86" t="s">
        <v>0</v>
      </c>
      <c r="B86" t="s">
        <v>52</v>
      </c>
      <c r="C86" t="s">
        <v>53</v>
      </c>
      <c r="D86" t="s">
        <v>672</v>
      </c>
      <c r="E86" t="s">
        <v>25</v>
      </c>
      <c r="F86" t="s">
        <v>54</v>
      </c>
      <c r="G86" t="s">
        <v>686</v>
      </c>
      <c r="H86" t="s">
        <v>55</v>
      </c>
      <c r="I86" t="s">
        <v>56</v>
      </c>
      <c r="J86" t="s">
        <v>57</v>
      </c>
      <c r="K86" t="s">
        <v>58</v>
      </c>
      <c r="L86" s="2">
        <v>-4</v>
      </c>
      <c r="M86" s="2">
        <v>-4</v>
      </c>
      <c r="N86" s="2">
        <v>0</v>
      </c>
      <c r="O86" t="s">
        <v>59</v>
      </c>
      <c r="P86" t="s">
        <v>51</v>
      </c>
      <c r="Q86" t="s">
        <v>60</v>
      </c>
      <c r="R86" t="s">
        <v>61</v>
      </c>
      <c r="S86" t="s">
        <v>13</v>
      </c>
      <c r="T86" t="s">
        <v>14</v>
      </c>
      <c r="U86" t="s">
        <v>15</v>
      </c>
      <c r="V86" t="s">
        <v>16</v>
      </c>
      <c r="W86" t="s">
        <v>16</v>
      </c>
      <c r="X86" t="s">
        <v>41</v>
      </c>
      <c r="Y86" t="s">
        <v>15</v>
      </c>
      <c r="Z86" t="s">
        <v>15</v>
      </c>
      <c r="AA86" t="s">
        <v>15</v>
      </c>
      <c r="AB86" t="s">
        <v>15</v>
      </c>
      <c r="AC86" t="s">
        <v>17</v>
      </c>
      <c r="AD86" s="3"/>
      <c r="AE86" t="s">
        <v>18</v>
      </c>
      <c r="AF86" t="s">
        <v>27</v>
      </c>
      <c r="AG86" t="s">
        <v>27</v>
      </c>
      <c r="AH86" s="3">
        <v>42613</v>
      </c>
      <c r="AI86" t="s">
        <v>62</v>
      </c>
      <c r="AJ86" t="s">
        <v>33</v>
      </c>
      <c r="AK86" t="s">
        <v>23</v>
      </c>
      <c r="AL86" s="3">
        <v>42548</v>
      </c>
    </row>
    <row r="87" spans="1:38" x14ac:dyDescent="0.25">
      <c r="A87" t="s">
        <v>140</v>
      </c>
      <c r="B87" t="s">
        <v>121</v>
      </c>
      <c r="C87" t="s">
        <v>424</v>
      </c>
      <c r="D87" t="s">
        <v>662</v>
      </c>
      <c r="E87" t="s">
        <v>3</v>
      </c>
      <c r="F87" t="s">
        <v>425</v>
      </c>
      <c r="G87" t="s">
        <v>686</v>
      </c>
      <c r="H87" t="s">
        <v>355</v>
      </c>
      <c r="I87" t="s">
        <v>356</v>
      </c>
      <c r="J87" t="s">
        <v>357</v>
      </c>
      <c r="K87" t="s">
        <v>521</v>
      </c>
      <c r="L87" s="2">
        <v>32</v>
      </c>
      <c r="M87" s="2">
        <v>0</v>
      </c>
      <c r="N87" s="2">
        <v>32</v>
      </c>
      <c r="O87" t="s">
        <v>122</v>
      </c>
      <c r="P87" t="s">
        <v>358</v>
      </c>
      <c r="Q87" t="s">
        <v>11</v>
      </c>
      <c r="R87" t="s">
        <v>324</v>
      </c>
      <c r="S87" t="s">
        <v>13</v>
      </c>
      <c r="T87" t="s">
        <v>14</v>
      </c>
      <c r="U87" t="s">
        <v>15</v>
      </c>
      <c r="V87" t="s">
        <v>16</v>
      </c>
      <c r="W87" t="s">
        <v>15</v>
      </c>
      <c r="X87" t="s">
        <v>41</v>
      </c>
      <c r="Y87" t="s">
        <v>16</v>
      </c>
      <c r="Z87" t="s">
        <v>15</v>
      </c>
      <c r="AA87" t="s">
        <v>15</v>
      </c>
      <c r="AB87" t="s">
        <v>15</v>
      </c>
      <c r="AC87" t="s">
        <v>17</v>
      </c>
      <c r="AD87" s="3">
        <v>42716</v>
      </c>
      <c r="AE87" t="s">
        <v>34</v>
      </c>
      <c r="AF87" t="s">
        <v>19</v>
      </c>
      <c r="AG87" t="s">
        <v>20</v>
      </c>
      <c r="AH87" s="3">
        <v>42711</v>
      </c>
      <c r="AI87" t="s">
        <v>127</v>
      </c>
      <c r="AJ87" t="s">
        <v>33</v>
      </c>
      <c r="AK87" t="s">
        <v>23</v>
      </c>
      <c r="AL87" s="3">
        <v>42711</v>
      </c>
    </row>
    <row r="88" spans="1:38" x14ac:dyDescent="0.25">
      <c r="A88" t="s">
        <v>140</v>
      </c>
      <c r="B88" t="s">
        <v>121</v>
      </c>
      <c r="C88" t="s">
        <v>438</v>
      </c>
      <c r="D88" t="s">
        <v>663</v>
      </c>
      <c r="E88" t="s">
        <v>3</v>
      </c>
      <c r="F88" t="s">
        <v>439</v>
      </c>
      <c r="G88" t="s">
        <v>686</v>
      </c>
      <c r="H88" t="s">
        <v>369</v>
      </c>
      <c r="I88" t="s">
        <v>370</v>
      </c>
      <c r="J88" t="s">
        <v>371</v>
      </c>
      <c r="K88" t="s">
        <v>372</v>
      </c>
      <c r="L88" s="2">
        <v>72</v>
      </c>
      <c r="M88" s="2">
        <v>0</v>
      </c>
      <c r="N88" s="2">
        <v>72</v>
      </c>
      <c r="O88" t="s">
        <v>122</v>
      </c>
      <c r="P88" t="s">
        <v>373</v>
      </c>
      <c r="Q88" t="s">
        <v>11</v>
      </c>
      <c r="R88" t="s">
        <v>324</v>
      </c>
      <c r="S88" t="s">
        <v>13</v>
      </c>
      <c r="T88" t="s">
        <v>14</v>
      </c>
      <c r="U88" t="s">
        <v>15</v>
      </c>
      <c r="V88" t="s">
        <v>16</v>
      </c>
      <c r="W88" t="s">
        <v>15</v>
      </c>
      <c r="X88" t="s">
        <v>41</v>
      </c>
      <c r="Y88" t="s">
        <v>16</v>
      </c>
      <c r="Z88" t="s">
        <v>15</v>
      </c>
      <c r="AA88" t="s">
        <v>15</v>
      </c>
      <c r="AB88" t="s">
        <v>15</v>
      </c>
      <c r="AC88" t="s">
        <v>17</v>
      </c>
      <c r="AD88" s="3">
        <v>42719</v>
      </c>
      <c r="AE88" t="s">
        <v>34</v>
      </c>
      <c r="AF88" t="s">
        <v>19</v>
      </c>
      <c r="AG88" t="s">
        <v>20</v>
      </c>
      <c r="AH88" s="3">
        <v>42716</v>
      </c>
      <c r="AI88" t="s">
        <v>127</v>
      </c>
      <c r="AJ88" t="s">
        <v>33</v>
      </c>
      <c r="AK88" t="s">
        <v>23</v>
      </c>
      <c r="AL88" s="3">
        <v>42716</v>
      </c>
    </row>
    <row r="89" spans="1:38" x14ac:dyDescent="0.25">
      <c r="A89" t="s">
        <v>140</v>
      </c>
      <c r="B89" t="s">
        <v>1</v>
      </c>
      <c r="C89" t="s">
        <v>415</v>
      </c>
      <c r="D89" t="s">
        <v>656</v>
      </c>
      <c r="E89" t="s">
        <v>3</v>
      </c>
      <c r="F89" t="s">
        <v>416</v>
      </c>
      <c r="G89" t="s">
        <v>686</v>
      </c>
      <c r="H89" t="s">
        <v>148</v>
      </c>
      <c r="I89" t="s">
        <v>149</v>
      </c>
      <c r="J89" t="s">
        <v>417</v>
      </c>
      <c r="K89" t="s">
        <v>418</v>
      </c>
      <c r="L89" s="2">
        <v>40</v>
      </c>
      <c r="M89" s="2">
        <v>0</v>
      </c>
      <c r="N89" s="2">
        <v>40</v>
      </c>
      <c r="O89" t="s">
        <v>9</v>
      </c>
      <c r="P89" t="s">
        <v>152</v>
      </c>
      <c r="Q89" t="s">
        <v>11</v>
      </c>
      <c r="R89" t="s">
        <v>419</v>
      </c>
      <c r="S89" t="s">
        <v>13</v>
      </c>
      <c r="T89" t="s">
        <v>14</v>
      </c>
      <c r="U89" t="s">
        <v>15</v>
      </c>
      <c r="V89" t="s">
        <v>15</v>
      </c>
      <c r="W89" t="s">
        <v>15</v>
      </c>
      <c r="X89" t="s">
        <v>15</v>
      </c>
      <c r="Y89" t="s">
        <v>15</v>
      </c>
      <c r="Z89" t="s">
        <v>15</v>
      </c>
      <c r="AA89" t="s">
        <v>15</v>
      </c>
      <c r="AB89" t="s">
        <v>16</v>
      </c>
      <c r="AC89" t="s">
        <v>17</v>
      </c>
      <c r="AD89" s="3">
        <v>42713</v>
      </c>
      <c r="AE89" t="s">
        <v>34</v>
      </c>
      <c r="AF89" t="s">
        <v>19</v>
      </c>
      <c r="AG89" t="s">
        <v>20</v>
      </c>
      <c r="AH89" s="3">
        <v>42709</v>
      </c>
      <c r="AI89" t="s">
        <v>21</v>
      </c>
      <c r="AJ89" t="s">
        <v>22</v>
      </c>
      <c r="AK89" t="s">
        <v>23</v>
      </c>
      <c r="AL89" s="3">
        <v>42710</v>
      </c>
    </row>
    <row r="90" spans="1:38" x14ac:dyDescent="0.25">
      <c r="A90" t="s">
        <v>140</v>
      </c>
      <c r="B90" t="s">
        <v>173</v>
      </c>
      <c r="C90" t="s">
        <v>321</v>
      </c>
      <c r="D90" t="s">
        <v>661</v>
      </c>
      <c r="E90" t="s">
        <v>3</v>
      </c>
      <c r="F90" t="s">
        <v>262</v>
      </c>
      <c r="G90" t="s">
        <v>687</v>
      </c>
      <c r="H90" t="s">
        <v>174</v>
      </c>
      <c r="I90" t="s">
        <v>175</v>
      </c>
      <c r="J90" t="s">
        <v>180</v>
      </c>
      <c r="K90" t="s">
        <v>181</v>
      </c>
      <c r="L90" s="2">
        <v>16</v>
      </c>
      <c r="M90" s="2">
        <v>16</v>
      </c>
      <c r="N90" s="2">
        <v>0</v>
      </c>
      <c r="O90" t="s">
        <v>177</v>
      </c>
      <c r="P90" t="s">
        <v>178</v>
      </c>
      <c r="Q90" t="s">
        <v>182</v>
      </c>
      <c r="R90" t="s">
        <v>179</v>
      </c>
      <c r="S90" t="s">
        <v>13</v>
      </c>
      <c r="T90" t="s">
        <v>14</v>
      </c>
      <c r="U90" t="s">
        <v>15</v>
      </c>
      <c r="V90" t="s">
        <v>15</v>
      </c>
      <c r="W90" t="s">
        <v>15</v>
      </c>
      <c r="X90" t="s">
        <v>15</v>
      </c>
      <c r="Y90" t="s">
        <v>15</v>
      </c>
      <c r="Z90" t="s">
        <v>15</v>
      </c>
      <c r="AA90" t="s">
        <v>15</v>
      </c>
      <c r="AB90" t="s">
        <v>15</v>
      </c>
      <c r="AC90" t="s">
        <v>17</v>
      </c>
      <c r="AD90" s="3">
        <v>42664</v>
      </c>
      <c r="AE90" t="s">
        <v>18</v>
      </c>
      <c r="AF90" t="s">
        <v>19</v>
      </c>
      <c r="AG90" t="s">
        <v>20</v>
      </c>
      <c r="AH90" s="3">
        <v>42668</v>
      </c>
      <c r="AI90" t="s">
        <v>22</v>
      </c>
      <c r="AJ90" t="s">
        <v>33</v>
      </c>
      <c r="AK90" t="s">
        <v>23</v>
      </c>
      <c r="AL90" s="3">
        <v>42664</v>
      </c>
    </row>
    <row r="91" spans="1:38" x14ac:dyDescent="0.25">
      <c r="A91" t="s">
        <v>140</v>
      </c>
      <c r="B91" t="s">
        <v>173</v>
      </c>
      <c r="C91" t="s">
        <v>316</v>
      </c>
      <c r="D91" t="s">
        <v>661</v>
      </c>
      <c r="E91" t="s">
        <v>43</v>
      </c>
      <c r="F91" t="s">
        <v>262</v>
      </c>
      <c r="G91" t="s">
        <v>687</v>
      </c>
      <c r="H91" t="s">
        <v>174</v>
      </c>
      <c r="I91" t="s">
        <v>175</v>
      </c>
      <c r="J91" t="s">
        <v>180</v>
      </c>
      <c r="K91" t="s">
        <v>181</v>
      </c>
      <c r="L91" s="2">
        <v>224</v>
      </c>
      <c r="M91" s="2">
        <v>224</v>
      </c>
      <c r="N91" s="2">
        <v>0</v>
      </c>
      <c r="O91" t="s">
        <v>177</v>
      </c>
      <c r="P91" t="s">
        <v>178</v>
      </c>
      <c r="Q91" t="s">
        <v>182</v>
      </c>
      <c r="R91" t="s">
        <v>179</v>
      </c>
      <c r="S91" t="s">
        <v>13</v>
      </c>
      <c r="T91" t="s">
        <v>14</v>
      </c>
      <c r="U91" t="s">
        <v>15</v>
      </c>
      <c r="V91" t="s">
        <v>15</v>
      </c>
      <c r="W91" t="s">
        <v>15</v>
      </c>
      <c r="X91" t="s">
        <v>15</v>
      </c>
      <c r="Y91" t="s">
        <v>15</v>
      </c>
      <c r="Z91" t="s">
        <v>15</v>
      </c>
      <c r="AA91" t="s">
        <v>15</v>
      </c>
      <c r="AB91" t="s">
        <v>15</v>
      </c>
      <c r="AC91" t="s">
        <v>17</v>
      </c>
      <c r="AD91" s="3">
        <v>42655</v>
      </c>
      <c r="AE91" t="s">
        <v>18</v>
      </c>
      <c r="AF91" t="s">
        <v>19</v>
      </c>
      <c r="AG91" t="s">
        <v>44</v>
      </c>
      <c r="AH91" s="3">
        <v>42662</v>
      </c>
      <c r="AI91" t="s">
        <v>22</v>
      </c>
      <c r="AJ91" t="s">
        <v>33</v>
      </c>
      <c r="AK91" t="s">
        <v>23</v>
      </c>
      <c r="AL91" s="3">
        <v>42655</v>
      </c>
    </row>
    <row r="92" spans="1:38" x14ac:dyDescent="0.25">
      <c r="A92" t="s">
        <v>140</v>
      </c>
      <c r="B92" t="s">
        <v>173</v>
      </c>
      <c r="C92" t="s">
        <v>320</v>
      </c>
      <c r="D92" t="s">
        <v>661</v>
      </c>
      <c r="E92" t="s">
        <v>43</v>
      </c>
      <c r="F92" t="s">
        <v>262</v>
      </c>
      <c r="G92" t="s">
        <v>687</v>
      </c>
      <c r="H92" t="s">
        <v>174</v>
      </c>
      <c r="I92" t="s">
        <v>175</v>
      </c>
      <c r="J92" t="s">
        <v>180</v>
      </c>
      <c r="K92" t="s">
        <v>181</v>
      </c>
      <c r="L92" s="2">
        <v>20</v>
      </c>
      <c r="M92" s="2">
        <v>20</v>
      </c>
      <c r="N92" s="2">
        <v>0</v>
      </c>
      <c r="O92" t="s">
        <v>177</v>
      </c>
      <c r="P92" t="s">
        <v>178</v>
      </c>
      <c r="Q92" t="s">
        <v>182</v>
      </c>
      <c r="R92" t="s">
        <v>179</v>
      </c>
      <c r="S92" t="s">
        <v>13</v>
      </c>
      <c r="T92" t="s">
        <v>14</v>
      </c>
      <c r="U92" t="s">
        <v>15</v>
      </c>
      <c r="V92" t="s">
        <v>15</v>
      </c>
      <c r="W92" t="s">
        <v>15</v>
      </c>
      <c r="X92" t="s">
        <v>15</v>
      </c>
      <c r="Y92" t="s">
        <v>15</v>
      </c>
      <c r="Z92" t="s">
        <v>15</v>
      </c>
      <c r="AA92" t="s">
        <v>15</v>
      </c>
      <c r="AB92" t="s">
        <v>15</v>
      </c>
      <c r="AC92" t="s">
        <v>17</v>
      </c>
      <c r="AD92" s="3">
        <v>42657</v>
      </c>
      <c r="AE92" t="s">
        <v>18</v>
      </c>
      <c r="AF92" t="s">
        <v>19</v>
      </c>
      <c r="AG92" t="s">
        <v>44</v>
      </c>
      <c r="AH92" s="3">
        <v>42662</v>
      </c>
      <c r="AI92" t="s">
        <v>22</v>
      </c>
      <c r="AJ92" t="s">
        <v>33</v>
      </c>
      <c r="AK92" t="s">
        <v>23</v>
      </c>
      <c r="AL92" s="3">
        <v>42657</v>
      </c>
    </row>
    <row r="93" spans="1:38" x14ac:dyDescent="0.25">
      <c r="A93" t="s">
        <v>140</v>
      </c>
      <c r="B93" t="s">
        <v>173</v>
      </c>
      <c r="C93" t="s">
        <v>307</v>
      </c>
      <c r="D93" t="s">
        <v>661</v>
      </c>
      <c r="E93" t="s">
        <v>3</v>
      </c>
      <c r="F93" t="s">
        <v>262</v>
      </c>
      <c r="G93" t="s">
        <v>687</v>
      </c>
      <c r="H93" t="s">
        <v>174</v>
      </c>
      <c r="I93" t="s">
        <v>175</v>
      </c>
      <c r="J93" t="s">
        <v>180</v>
      </c>
      <c r="K93" t="s">
        <v>181</v>
      </c>
      <c r="L93" s="2">
        <v>152</v>
      </c>
      <c r="M93" s="2">
        <v>152</v>
      </c>
      <c r="N93" s="2">
        <v>0</v>
      </c>
      <c r="O93" t="s">
        <v>177</v>
      </c>
      <c r="P93" t="s">
        <v>178</v>
      </c>
      <c r="Q93" t="s">
        <v>182</v>
      </c>
      <c r="R93" t="s">
        <v>179</v>
      </c>
      <c r="S93" t="s">
        <v>13</v>
      </c>
      <c r="T93" t="s">
        <v>14</v>
      </c>
      <c r="U93" t="s">
        <v>15</v>
      </c>
      <c r="V93" t="s">
        <v>15</v>
      </c>
      <c r="W93" t="s">
        <v>15</v>
      </c>
      <c r="X93" t="s">
        <v>15</v>
      </c>
      <c r="Y93" t="s">
        <v>15</v>
      </c>
      <c r="Z93" t="s">
        <v>15</v>
      </c>
      <c r="AA93" t="s">
        <v>15</v>
      </c>
      <c r="AB93" t="s">
        <v>15</v>
      </c>
      <c r="AC93" t="s">
        <v>17</v>
      </c>
      <c r="AD93" s="3">
        <v>42644</v>
      </c>
      <c r="AE93" t="s">
        <v>18</v>
      </c>
      <c r="AF93" t="s">
        <v>19</v>
      </c>
      <c r="AG93" t="s">
        <v>20</v>
      </c>
      <c r="AH93" s="3">
        <v>42662</v>
      </c>
      <c r="AI93" t="s">
        <v>22</v>
      </c>
      <c r="AJ93" t="s">
        <v>33</v>
      </c>
      <c r="AK93" t="s">
        <v>23</v>
      </c>
      <c r="AL93" s="3">
        <v>42644</v>
      </c>
    </row>
    <row r="94" spans="1:38" x14ac:dyDescent="0.25">
      <c r="A94" t="s">
        <v>140</v>
      </c>
      <c r="B94" t="s">
        <v>522</v>
      </c>
      <c r="C94" t="s">
        <v>523</v>
      </c>
      <c r="D94" t="s">
        <v>673</v>
      </c>
      <c r="E94" t="s">
        <v>3</v>
      </c>
      <c r="F94" t="s">
        <v>524</v>
      </c>
      <c r="G94" t="s">
        <v>687</v>
      </c>
      <c r="H94" t="s">
        <v>525</v>
      </c>
      <c r="I94" t="s">
        <v>526</v>
      </c>
      <c r="J94" t="s">
        <v>527</v>
      </c>
      <c r="K94" t="s">
        <v>528</v>
      </c>
      <c r="L94" s="2">
        <v>600</v>
      </c>
      <c r="M94" s="2">
        <v>0</v>
      </c>
      <c r="N94" s="2">
        <v>600</v>
      </c>
      <c r="O94" t="s">
        <v>529</v>
      </c>
      <c r="P94" t="s">
        <v>530</v>
      </c>
      <c r="Q94" t="s">
        <v>85</v>
      </c>
      <c r="R94" t="s">
        <v>179</v>
      </c>
      <c r="S94" t="s">
        <v>13</v>
      </c>
      <c r="T94" t="s">
        <v>14</v>
      </c>
      <c r="U94" t="s">
        <v>15</v>
      </c>
      <c r="V94" t="s">
        <v>15</v>
      </c>
      <c r="W94" t="s">
        <v>15</v>
      </c>
      <c r="X94" t="s">
        <v>15</v>
      </c>
      <c r="Y94" t="s">
        <v>15</v>
      </c>
      <c r="Z94" t="s">
        <v>15</v>
      </c>
      <c r="AA94" t="s">
        <v>15</v>
      </c>
      <c r="AB94" t="s">
        <v>15</v>
      </c>
      <c r="AC94" t="s">
        <v>17</v>
      </c>
      <c r="AD94" s="3">
        <v>42809</v>
      </c>
      <c r="AE94" t="s">
        <v>18</v>
      </c>
      <c r="AF94" t="s">
        <v>19</v>
      </c>
      <c r="AG94" t="s">
        <v>20</v>
      </c>
      <c r="AH94" s="3">
        <v>42773</v>
      </c>
      <c r="AI94" t="s">
        <v>17</v>
      </c>
      <c r="AJ94" t="s">
        <v>22</v>
      </c>
      <c r="AK94" t="s">
        <v>23</v>
      </c>
      <c r="AL94" s="3">
        <v>42773</v>
      </c>
    </row>
    <row r="95" spans="1:38" x14ac:dyDescent="0.25">
      <c r="A95" t="s">
        <v>140</v>
      </c>
      <c r="B95" t="s">
        <v>522</v>
      </c>
      <c r="C95" t="s">
        <v>523</v>
      </c>
      <c r="D95" t="s">
        <v>673</v>
      </c>
      <c r="E95" t="s">
        <v>3</v>
      </c>
      <c r="F95" t="s">
        <v>524</v>
      </c>
      <c r="G95" t="s">
        <v>687</v>
      </c>
      <c r="H95" t="s">
        <v>525</v>
      </c>
      <c r="I95" t="s">
        <v>526</v>
      </c>
      <c r="J95" t="s">
        <v>531</v>
      </c>
      <c r="K95" t="s">
        <v>532</v>
      </c>
      <c r="L95" s="2">
        <v>460</v>
      </c>
      <c r="M95" s="2">
        <v>0</v>
      </c>
      <c r="N95" s="2">
        <v>460</v>
      </c>
      <c r="O95" t="s">
        <v>529</v>
      </c>
      <c r="P95" t="s">
        <v>530</v>
      </c>
      <c r="Q95" t="s">
        <v>85</v>
      </c>
      <c r="R95" t="s">
        <v>533</v>
      </c>
      <c r="S95" t="s">
        <v>13</v>
      </c>
      <c r="T95" t="s">
        <v>14</v>
      </c>
      <c r="U95" t="s">
        <v>16</v>
      </c>
      <c r="V95" t="s">
        <v>15</v>
      </c>
      <c r="W95" t="s">
        <v>15</v>
      </c>
      <c r="X95" t="s">
        <v>15</v>
      </c>
      <c r="Y95" t="s">
        <v>15</v>
      </c>
      <c r="Z95" t="s">
        <v>15</v>
      </c>
      <c r="AA95" t="s">
        <v>15</v>
      </c>
      <c r="AB95" t="s">
        <v>15</v>
      </c>
      <c r="AC95" t="s">
        <v>17</v>
      </c>
      <c r="AD95" s="3">
        <v>42809</v>
      </c>
      <c r="AE95" t="s">
        <v>37</v>
      </c>
      <c r="AF95" t="s">
        <v>19</v>
      </c>
      <c r="AG95" t="s">
        <v>20</v>
      </c>
      <c r="AH95" s="3">
        <v>42773</v>
      </c>
      <c r="AI95" t="s">
        <v>17</v>
      </c>
      <c r="AJ95" t="s">
        <v>22</v>
      </c>
      <c r="AK95" t="s">
        <v>23</v>
      </c>
      <c r="AL95" s="3">
        <v>42773</v>
      </c>
    </row>
    <row r="96" spans="1:38" x14ac:dyDescent="0.25">
      <c r="A96" t="s">
        <v>140</v>
      </c>
      <c r="B96" t="s">
        <v>522</v>
      </c>
      <c r="C96" t="s">
        <v>523</v>
      </c>
      <c r="D96" t="s">
        <v>673</v>
      </c>
      <c r="E96" t="s">
        <v>3</v>
      </c>
      <c r="F96" t="s">
        <v>524</v>
      </c>
      <c r="G96" t="s">
        <v>687</v>
      </c>
      <c r="H96" t="s">
        <v>525</v>
      </c>
      <c r="I96" t="s">
        <v>526</v>
      </c>
      <c r="J96" t="s">
        <v>534</v>
      </c>
      <c r="K96" t="s">
        <v>535</v>
      </c>
      <c r="L96" s="2">
        <v>692</v>
      </c>
      <c r="M96" s="2">
        <v>0</v>
      </c>
      <c r="N96" s="2">
        <v>692</v>
      </c>
      <c r="O96" t="s">
        <v>529</v>
      </c>
      <c r="P96" t="s">
        <v>530</v>
      </c>
      <c r="Q96" t="s">
        <v>170</v>
      </c>
      <c r="R96" t="s">
        <v>179</v>
      </c>
      <c r="S96" t="s">
        <v>13</v>
      </c>
      <c r="T96" t="s">
        <v>14</v>
      </c>
      <c r="U96" t="s">
        <v>15</v>
      </c>
      <c r="V96" t="s">
        <v>15</v>
      </c>
      <c r="W96" t="s">
        <v>15</v>
      </c>
      <c r="X96" t="s">
        <v>15</v>
      </c>
      <c r="Y96" t="s">
        <v>15</v>
      </c>
      <c r="Z96" t="s">
        <v>15</v>
      </c>
      <c r="AA96" t="s">
        <v>15</v>
      </c>
      <c r="AB96" t="s">
        <v>15</v>
      </c>
      <c r="AC96" t="s">
        <v>17</v>
      </c>
      <c r="AD96" s="3">
        <v>42809</v>
      </c>
      <c r="AE96" t="s">
        <v>35</v>
      </c>
      <c r="AF96" t="s">
        <v>19</v>
      </c>
      <c r="AG96" t="s">
        <v>20</v>
      </c>
      <c r="AH96" s="3">
        <v>42773</v>
      </c>
      <c r="AI96" t="s">
        <v>17</v>
      </c>
      <c r="AJ96" t="s">
        <v>22</v>
      </c>
      <c r="AK96" t="s">
        <v>23</v>
      </c>
      <c r="AL96" s="3">
        <v>42773</v>
      </c>
    </row>
    <row r="97" spans="1:38" x14ac:dyDescent="0.25">
      <c r="A97" t="s">
        <v>140</v>
      </c>
      <c r="B97" t="s">
        <v>522</v>
      </c>
      <c r="C97" t="s">
        <v>523</v>
      </c>
      <c r="D97" t="s">
        <v>673</v>
      </c>
      <c r="E97" t="s">
        <v>3</v>
      </c>
      <c r="F97" t="s">
        <v>524</v>
      </c>
      <c r="G97" t="s">
        <v>687</v>
      </c>
      <c r="H97" t="s">
        <v>525</v>
      </c>
      <c r="I97" t="s">
        <v>526</v>
      </c>
      <c r="J97" t="s">
        <v>536</v>
      </c>
      <c r="K97" t="s">
        <v>537</v>
      </c>
      <c r="L97" s="2">
        <v>1048</v>
      </c>
      <c r="M97" s="2">
        <v>0</v>
      </c>
      <c r="N97" s="2">
        <v>1048</v>
      </c>
      <c r="O97" t="s">
        <v>529</v>
      </c>
      <c r="P97" t="s">
        <v>530</v>
      </c>
      <c r="Q97" t="s">
        <v>170</v>
      </c>
      <c r="R97" t="s">
        <v>533</v>
      </c>
      <c r="S97" t="s">
        <v>13</v>
      </c>
      <c r="T97" t="s">
        <v>14</v>
      </c>
      <c r="U97" t="s">
        <v>16</v>
      </c>
      <c r="V97" t="s">
        <v>15</v>
      </c>
      <c r="W97" t="s">
        <v>15</v>
      </c>
      <c r="X97" t="s">
        <v>15</v>
      </c>
      <c r="Y97" t="s">
        <v>15</v>
      </c>
      <c r="Z97" t="s">
        <v>15</v>
      </c>
      <c r="AA97" t="s">
        <v>15</v>
      </c>
      <c r="AB97" t="s">
        <v>15</v>
      </c>
      <c r="AC97" t="s">
        <v>17</v>
      </c>
      <c r="AD97" s="3">
        <v>42809</v>
      </c>
      <c r="AE97" t="s">
        <v>129</v>
      </c>
      <c r="AF97" t="s">
        <v>19</v>
      </c>
      <c r="AG97" t="s">
        <v>20</v>
      </c>
      <c r="AH97" s="3">
        <v>42773</v>
      </c>
      <c r="AI97" t="s">
        <v>17</v>
      </c>
      <c r="AJ97" t="s">
        <v>22</v>
      </c>
      <c r="AK97" t="s">
        <v>23</v>
      </c>
      <c r="AL97" s="3">
        <v>42773</v>
      </c>
    </row>
    <row r="98" spans="1:38" x14ac:dyDescent="0.25">
      <c r="A98" t="s">
        <v>140</v>
      </c>
      <c r="B98" t="s">
        <v>522</v>
      </c>
      <c r="C98" t="s">
        <v>523</v>
      </c>
      <c r="D98" t="s">
        <v>673</v>
      </c>
      <c r="E98" t="s">
        <v>3</v>
      </c>
      <c r="F98" t="s">
        <v>524</v>
      </c>
      <c r="G98" t="s">
        <v>687</v>
      </c>
      <c r="H98" t="s">
        <v>525</v>
      </c>
      <c r="I98" t="s">
        <v>526</v>
      </c>
      <c r="J98" t="s">
        <v>538</v>
      </c>
      <c r="K98" t="s">
        <v>539</v>
      </c>
      <c r="L98" s="2">
        <v>1512</v>
      </c>
      <c r="M98" s="2">
        <v>0</v>
      </c>
      <c r="N98" s="2">
        <v>1512</v>
      </c>
      <c r="O98" t="s">
        <v>529</v>
      </c>
      <c r="P98" t="s">
        <v>530</v>
      </c>
      <c r="Q98" t="s">
        <v>11</v>
      </c>
      <c r="R98" t="s">
        <v>179</v>
      </c>
      <c r="S98" t="s">
        <v>13</v>
      </c>
      <c r="T98" t="s">
        <v>14</v>
      </c>
      <c r="U98" t="s">
        <v>15</v>
      </c>
      <c r="V98" t="s">
        <v>15</v>
      </c>
      <c r="W98" t="s">
        <v>15</v>
      </c>
      <c r="X98" t="s">
        <v>15</v>
      </c>
      <c r="Y98" t="s">
        <v>15</v>
      </c>
      <c r="Z98" t="s">
        <v>15</v>
      </c>
      <c r="AA98" t="s">
        <v>15</v>
      </c>
      <c r="AB98" t="s">
        <v>15</v>
      </c>
      <c r="AC98" t="s">
        <v>17</v>
      </c>
      <c r="AD98" s="3">
        <v>42809</v>
      </c>
      <c r="AE98" t="s">
        <v>34</v>
      </c>
      <c r="AF98" t="s">
        <v>19</v>
      </c>
      <c r="AG98" t="s">
        <v>20</v>
      </c>
      <c r="AH98" s="3">
        <v>42773</v>
      </c>
      <c r="AI98" t="s">
        <v>17</v>
      </c>
      <c r="AJ98" t="s">
        <v>22</v>
      </c>
      <c r="AK98" t="s">
        <v>23</v>
      </c>
      <c r="AL98" s="3">
        <v>42773</v>
      </c>
    </row>
    <row r="99" spans="1:38" x14ac:dyDescent="0.25">
      <c r="A99" t="s">
        <v>140</v>
      </c>
      <c r="B99" t="s">
        <v>522</v>
      </c>
      <c r="C99" t="s">
        <v>523</v>
      </c>
      <c r="D99" t="s">
        <v>673</v>
      </c>
      <c r="E99" t="s">
        <v>3</v>
      </c>
      <c r="F99" t="s">
        <v>524</v>
      </c>
      <c r="G99" t="s">
        <v>687</v>
      </c>
      <c r="H99" t="s">
        <v>525</v>
      </c>
      <c r="I99" t="s">
        <v>526</v>
      </c>
      <c r="J99" t="s">
        <v>540</v>
      </c>
      <c r="K99" t="s">
        <v>541</v>
      </c>
      <c r="L99" s="2">
        <v>720</v>
      </c>
      <c r="M99" s="2">
        <v>0</v>
      </c>
      <c r="N99" s="2">
        <v>720</v>
      </c>
      <c r="O99" t="s">
        <v>529</v>
      </c>
      <c r="P99" t="s">
        <v>530</v>
      </c>
      <c r="Q99" t="s">
        <v>11</v>
      </c>
      <c r="R99" t="s">
        <v>533</v>
      </c>
      <c r="S99" t="s">
        <v>13</v>
      </c>
      <c r="T99" t="s">
        <v>14</v>
      </c>
      <c r="U99" t="s">
        <v>16</v>
      </c>
      <c r="V99" t="s">
        <v>15</v>
      </c>
      <c r="W99" t="s">
        <v>15</v>
      </c>
      <c r="X99" t="s">
        <v>15</v>
      </c>
      <c r="Y99" t="s">
        <v>15</v>
      </c>
      <c r="Z99" t="s">
        <v>15</v>
      </c>
      <c r="AA99" t="s">
        <v>15</v>
      </c>
      <c r="AB99" t="s">
        <v>15</v>
      </c>
      <c r="AC99" t="s">
        <v>17</v>
      </c>
      <c r="AD99" s="3">
        <v>42809</v>
      </c>
      <c r="AE99" t="s">
        <v>128</v>
      </c>
      <c r="AF99" t="s">
        <v>19</v>
      </c>
      <c r="AG99" t="s">
        <v>20</v>
      </c>
      <c r="AH99" s="3">
        <v>42773</v>
      </c>
      <c r="AI99" t="s">
        <v>17</v>
      </c>
      <c r="AJ99" t="s">
        <v>22</v>
      </c>
      <c r="AK99" t="s">
        <v>23</v>
      </c>
      <c r="AL99" s="3">
        <v>42773</v>
      </c>
    </row>
    <row r="100" spans="1:38" x14ac:dyDescent="0.25">
      <c r="A100" t="s">
        <v>140</v>
      </c>
      <c r="B100" t="s">
        <v>522</v>
      </c>
      <c r="C100" t="s">
        <v>523</v>
      </c>
      <c r="D100" t="s">
        <v>673</v>
      </c>
      <c r="E100" t="s">
        <v>3</v>
      </c>
      <c r="F100" t="s">
        <v>524</v>
      </c>
      <c r="G100" t="s">
        <v>687</v>
      </c>
      <c r="H100" t="s">
        <v>379</v>
      </c>
      <c r="I100" t="s">
        <v>380</v>
      </c>
      <c r="J100" t="s">
        <v>542</v>
      </c>
      <c r="K100" t="s">
        <v>543</v>
      </c>
      <c r="L100" s="2">
        <v>500</v>
      </c>
      <c r="M100" s="2">
        <v>0</v>
      </c>
      <c r="N100" s="2">
        <v>500</v>
      </c>
      <c r="O100" t="s">
        <v>529</v>
      </c>
      <c r="P100" t="s">
        <v>381</v>
      </c>
      <c r="Q100" t="s">
        <v>85</v>
      </c>
      <c r="R100" t="s">
        <v>179</v>
      </c>
      <c r="S100" t="s">
        <v>13</v>
      </c>
      <c r="T100" t="s">
        <v>14</v>
      </c>
      <c r="U100" t="s">
        <v>15</v>
      </c>
      <c r="V100" t="s">
        <v>15</v>
      </c>
      <c r="W100" t="s">
        <v>15</v>
      </c>
      <c r="X100" t="s">
        <v>15</v>
      </c>
      <c r="Y100" t="s">
        <v>15</v>
      </c>
      <c r="Z100" t="s">
        <v>15</v>
      </c>
      <c r="AA100" t="s">
        <v>15</v>
      </c>
      <c r="AB100" t="s">
        <v>15</v>
      </c>
      <c r="AC100" t="s">
        <v>17</v>
      </c>
      <c r="AD100" s="3">
        <v>42809</v>
      </c>
      <c r="AE100" t="s">
        <v>130</v>
      </c>
      <c r="AF100" t="s">
        <v>19</v>
      </c>
      <c r="AG100" t="s">
        <v>20</v>
      </c>
      <c r="AH100" s="3">
        <v>42773</v>
      </c>
      <c r="AI100" t="s">
        <v>17</v>
      </c>
      <c r="AJ100" t="s">
        <v>22</v>
      </c>
      <c r="AK100" t="s">
        <v>23</v>
      </c>
      <c r="AL100" s="3">
        <v>42773</v>
      </c>
    </row>
    <row r="101" spans="1:38" x14ac:dyDescent="0.25">
      <c r="A101" t="s">
        <v>140</v>
      </c>
      <c r="B101" t="s">
        <v>522</v>
      </c>
      <c r="C101" t="s">
        <v>523</v>
      </c>
      <c r="D101" t="s">
        <v>673</v>
      </c>
      <c r="E101" t="s">
        <v>3</v>
      </c>
      <c r="F101" t="s">
        <v>524</v>
      </c>
      <c r="G101" t="s">
        <v>687</v>
      </c>
      <c r="H101" t="s">
        <v>379</v>
      </c>
      <c r="I101" t="s">
        <v>380</v>
      </c>
      <c r="J101" t="s">
        <v>544</v>
      </c>
      <c r="K101" t="s">
        <v>545</v>
      </c>
      <c r="L101" s="2">
        <v>120</v>
      </c>
      <c r="M101" s="2">
        <v>0</v>
      </c>
      <c r="N101" s="2">
        <v>120</v>
      </c>
      <c r="O101" t="s">
        <v>529</v>
      </c>
      <c r="P101" t="s">
        <v>381</v>
      </c>
      <c r="Q101" t="s">
        <v>85</v>
      </c>
      <c r="R101" t="s">
        <v>533</v>
      </c>
      <c r="S101" t="s">
        <v>13</v>
      </c>
      <c r="T101" t="s">
        <v>14</v>
      </c>
      <c r="U101" t="s">
        <v>16</v>
      </c>
      <c r="V101" t="s">
        <v>15</v>
      </c>
      <c r="W101" t="s">
        <v>15</v>
      </c>
      <c r="X101" t="s">
        <v>15</v>
      </c>
      <c r="Y101" t="s">
        <v>15</v>
      </c>
      <c r="Z101" t="s">
        <v>15</v>
      </c>
      <c r="AA101" t="s">
        <v>15</v>
      </c>
      <c r="AB101" t="s">
        <v>15</v>
      </c>
      <c r="AC101" t="s">
        <v>17</v>
      </c>
      <c r="AD101" s="3">
        <v>42809</v>
      </c>
      <c r="AE101" t="s">
        <v>327</v>
      </c>
      <c r="AF101" t="s">
        <v>19</v>
      </c>
      <c r="AG101" t="s">
        <v>20</v>
      </c>
      <c r="AH101" s="3">
        <v>42773</v>
      </c>
      <c r="AI101" t="s">
        <v>17</v>
      </c>
      <c r="AJ101" t="s">
        <v>22</v>
      </c>
      <c r="AK101" t="s">
        <v>23</v>
      </c>
      <c r="AL101" s="3">
        <v>42773</v>
      </c>
    </row>
    <row r="102" spans="1:38" x14ac:dyDescent="0.25">
      <c r="A102" t="s">
        <v>140</v>
      </c>
      <c r="B102" t="s">
        <v>522</v>
      </c>
      <c r="C102" t="s">
        <v>523</v>
      </c>
      <c r="D102" t="s">
        <v>673</v>
      </c>
      <c r="E102" t="s">
        <v>3</v>
      </c>
      <c r="F102" t="s">
        <v>524</v>
      </c>
      <c r="G102" t="s">
        <v>687</v>
      </c>
      <c r="H102" t="s">
        <v>379</v>
      </c>
      <c r="I102" t="s">
        <v>380</v>
      </c>
      <c r="J102" t="s">
        <v>546</v>
      </c>
      <c r="K102" t="s">
        <v>547</v>
      </c>
      <c r="L102" s="2">
        <v>348</v>
      </c>
      <c r="M102" s="2">
        <v>0</v>
      </c>
      <c r="N102" s="2">
        <v>348</v>
      </c>
      <c r="O102" t="s">
        <v>529</v>
      </c>
      <c r="P102" t="s">
        <v>381</v>
      </c>
      <c r="Q102" t="s">
        <v>170</v>
      </c>
      <c r="R102" t="s">
        <v>179</v>
      </c>
      <c r="S102" t="s">
        <v>13</v>
      </c>
      <c r="T102" t="s">
        <v>14</v>
      </c>
      <c r="U102" t="s">
        <v>15</v>
      </c>
      <c r="V102" t="s">
        <v>15</v>
      </c>
      <c r="W102" t="s">
        <v>15</v>
      </c>
      <c r="X102" t="s">
        <v>15</v>
      </c>
      <c r="Y102" t="s">
        <v>15</v>
      </c>
      <c r="Z102" t="s">
        <v>15</v>
      </c>
      <c r="AA102" t="s">
        <v>15</v>
      </c>
      <c r="AB102" t="s">
        <v>15</v>
      </c>
      <c r="AC102" t="s">
        <v>17</v>
      </c>
      <c r="AD102" s="3">
        <v>42809</v>
      </c>
      <c r="AE102" t="s">
        <v>326</v>
      </c>
      <c r="AF102" t="s">
        <v>19</v>
      </c>
      <c r="AG102" t="s">
        <v>20</v>
      </c>
      <c r="AH102" s="3">
        <v>42773</v>
      </c>
      <c r="AI102" t="s">
        <v>17</v>
      </c>
      <c r="AJ102" t="s">
        <v>22</v>
      </c>
      <c r="AK102" t="s">
        <v>23</v>
      </c>
      <c r="AL102" s="3">
        <v>42773</v>
      </c>
    </row>
    <row r="103" spans="1:38" x14ac:dyDescent="0.25">
      <c r="A103" t="s">
        <v>140</v>
      </c>
      <c r="B103" t="s">
        <v>522</v>
      </c>
      <c r="C103" t="s">
        <v>523</v>
      </c>
      <c r="D103" t="s">
        <v>673</v>
      </c>
      <c r="E103" t="s">
        <v>3</v>
      </c>
      <c r="F103" t="s">
        <v>524</v>
      </c>
      <c r="G103" t="s">
        <v>687</v>
      </c>
      <c r="H103" t="s">
        <v>379</v>
      </c>
      <c r="I103" t="s">
        <v>380</v>
      </c>
      <c r="J103" t="s">
        <v>548</v>
      </c>
      <c r="K103" t="s">
        <v>549</v>
      </c>
      <c r="L103" s="2">
        <v>1052</v>
      </c>
      <c r="M103" s="2">
        <v>0</v>
      </c>
      <c r="N103" s="2">
        <v>1052</v>
      </c>
      <c r="O103" t="s">
        <v>529</v>
      </c>
      <c r="P103" t="s">
        <v>381</v>
      </c>
      <c r="Q103" t="s">
        <v>11</v>
      </c>
      <c r="R103" t="s">
        <v>179</v>
      </c>
      <c r="S103" t="s">
        <v>13</v>
      </c>
      <c r="T103" t="s">
        <v>14</v>
      </c>
      <c r="U103" t="s">
        <v>15</v>
      </c>
      <c r="V103" t="s">
        <v>15</v>
      </c>
      <c r="W103" t="s">
        <v>15</v>
      </c>
      <c r="X103" t="s">
        <v>15</v>
      </c>
      <c r="Y103" t="s">
        <v>15</v>
      </c>
      <c r="Z103" t="s">
        <v>15</v>
      </c>
      <c r="AA103" t="s">
        <v>15</v>
      </c>
      <c r="AB103" t="s">
        <v>15</v>
      </c>
      <c r="AC103" t="s">
        <v>17</v>
      </c>
      <c r="AD103" s="3">
        <v>42809</v>
      </c>
      <c r="AE103" t="s">
        <v>131</v>
      </c>
      <c r="AF103" t="s">
        <v>19</v>
      </c>
      <c r="AG103" t="s">
        <v>20</v>
      </c>
      <c r="AH103" s="3">
        <v>42773</v>
      </c>
      <c r="AI103" t="s">
        <v>17</v>
      </c>
      <c r="AJ103" t="s">
        <v>22</v>
      </c>
      <c r="AK103" t="s">
        <v>23</v>
      </c>
      <c r="AL103" s="3">
        <v>42773</v>
      </c>
    </row>
    <row r="104" spans="1:38" x14ac:dyDescent="0.25">
      <c r="A104" t="s">
        <v>140</v>
      </c>
      <c r="B104" t="s">
        <v>522</v>
      </c>
      <c r="C104" t="s">
        <v>523</v>
      </c>
      <c r="D104" t="s">
        <v>673</v>
      </c>
      <c r="E104" t="s">
        <v>3</v>
      </c>
      <c r="F104" t="s">
        <v>524</v>
      </c>
      <c r="G104" t="s">
        <v>687</v>
      </c>
      <c r="H104" t="s">
        <v>379</v>
      </c>
      <c r="I104" t="s">
        <v>380</v>
      </c>
      <c r="J104" t="s">
        <v>550</v>
      </c>
      <c r="K104" t="s">
        <v>551</v>
      </c>
      <c r="L104" s="2">
        <v>568</v>
      </c>
      <c r="M104" s="2">
        <v>0</v>
      </c>
      <c r="N104" s="2">
        <v>568</v>
      </c>
      <c r="O104" t="s">
        <v>529</v>
      </c>
      <c r="P104" t="s">
        <v>381</v>
      </c>
      <c r="Q104" t="s">
        <v>11</v>
      </c>
      <c r="R104" t="s">
        <v>533</v>
      </c>
      <c r="S104" t="s">
        <v>13</v>
      </c>
      <c r="T104" t="s">
        <v>14</v>
      </c>
      <c r="U104" t="s">
        <v>16</v>
      </c>
      <c r="V104" t="s">
        <v>15</v>
      </c>
      <c r="W104" t="s">
        <v>15</v>
      </c>
      <c r="X104" t="s">
        <v>15</v>
      </c>
      <c r="Y104" t="s">
        <v>15</v>
      </c>
      <c r="Z104" t="s">
        <v>15</v>
      </c>
      <c r="AA104" t="s">
        <v>15</v>
      </c>
      <c r="AB104" t="s">
        <v>15</v>
      </c>
      <c r="AC104" t="s">
        <v>17</v>
      </c>
      <c r="AD104" s="3">
        <v>42809</v>
      </c>
      <c r="AE104" t="s">
        <v>552</v>
      </c>
      <c r="AF104" t="s">
        <v>19</v>
      </c>
      <c r="AG104" t="s">
        <v>20</v>
      </c>
      <c r="AH104" s="3">
        <v>42773</v>
      </c>
      <c r="AI104" t="s">
        <v>17</v>
      </c>
      <c r="AJ104" t="s">
        <v>22</v>
      </c>
      <c r="AK104" t="s">
        <v>23</v>
      </c>
      <c r="AL104" s="3">
        <v>42773</v>
      </c>
    </row>
    <row r="105" spans="1:38" x14ac:dyDescent="0.25">
      <c r="A105" t="s">
        <v>0</v>
      </c>
      <c r="B105" t="s">
        <v>1</v>
      </c>
      <c r="C105" t="s">
        <v>97</v>
      </c>
      <c r="D105" t="s">
        <v>659</v>
      </c>
      <c r="E105" t="s">
        <v>43</v>
      </c>
      <c r="F105" t="s">
        <v>98</v>
      </c>
      <c r="G105" t="s">
        <v>687</v>
      </c>
      <c r="H105" t="s">
        <v>5</v>
      </c>
      <c r="I105" t="s">
        <v>6</v>
      </c>
      <c r="J105" t="s">
        <v>38</v>
      </c>
      <c r="K105" t="s">
        <v>39</v>
      </c>
      <c r="L105" s="2">
        <v>16</v>
      </c>
      <c r="M105" s="2">
        <v>16</v>
      </c>
      <c r="N105" s="2">
        <v>0</v>
      </c>
      <c r="O105" t="s">
        <v>9</v>
      </c>
      <c r="P105" t="s">
        <v>10</v>
      </c>
      <c r="Q105" t="s">
        <v>11</v>
      </c>
      <c r="R105" t="s">
        <v>40</v>
      </c>
      <c r="S105" t="s">
        <v>13</v>
      </c>
      <c r="T105" t="s">
        <v>14</v>
      </c>
      <c r="U105" t="s">
        <v>15</v>
      </c>
      <c r="V105" t="s">
        <v>15</v>
      </c>
      <c r="W105" t="s">
        <v>16</v>
      </c>
      <c r="X105" t="s">
        <v>41</v>
      </c>
      <c r="Y105" t="s">
        <v>15</v>
      </c>
      <c r="Z105" t="s">
        <v>15</v>
      </c>
      <c r="AA105" t="s">
        <v>15</v>
      </c>
      <c r="AB105" t="s">
        <v>15</v>
      </c>
      <c r="AC105" t="s">
        <v>17</v>
      </c>
      <c r="AD105" s="3">
        <v>42639</v>
      </c>
      <c r="AE105" t="s">
        <v>18</v>
      </c>
      <c r="AF105" t="s">
        <v>19</v>
      </c>
      <c r="AG105" t="s">
        <v>44</v>
      </c>
      <c r="AH105" s="3">
        <v>42639</v>
      </c>
      <c r="AI105" t="s">
        <v>42</v>
      </c>
      <c r="AJ105" t="s">
        <v>33</v>
      </c>
      <c r="AK105" t="s">
        <v>23</v>
      </c>
      <c r="AL105" s="3">
        <v>42572</v>
      </c>
    </row>
    <row r="106" spans="1:38" x14ac:dyDescent="0.25">
      <c r="A106" t="s">
        <v>0</v>
      </c>
      <c r="B106" t="s">
        <v>1</v>
      </c>
      <c r="C106" t="s">
        <v>99</v>
      </c>
      <c r="D106" t="s">
        <v>659</v>
      </c>
      <c r="E106" t="s">
        <v>25</v>
      </c>
      <c r="F106" t="s">
        <v>98</v>
      </c>
      <c r="G106" t="s">
        <v>687</v>
      </c>
      <c r="H106" t="s">
        <v>5</v>
      </c>
      <c r="I106" t="s">
        <v>6</v>
      </c>
      <c r="J106" t="s">
        <v>38</v>
      </c>
      <c r="K106" t="s">
        <v>39</v>
      </c>
      <c r="L106" s="2">
        <v>-16</v>
      </c>
      <c r="M106" s="2">
        <v>-16</v>
      </c>
      <c r="N106" s="2">
        <v>0</v>
      </c>
      <c r="O106" t="s">
        <v>9</v>
      </c>
      <c r="P106" t="s">
        <v>10</v>
      </c>
      <c r="Q106" t="s">
        <v>11</v>
      </c>
      <c r="R106" t="s">
        <v>40</v>
      </c>
      <c r="S106" t="s">
        <v>13</v>
      </c>
      <c r="T106" t="s">
        <v>14</v>
      </c>
      <c r="U106" t="s">
        <v>15</v>
      </c>
      <c r="V106" t="s">
        <v>15</v>
      </c>
      <c r="W106" t="s">
        <v>16</v>
      </c>
      <c r="X106" t="s">
        <v>41</v>
      </c>
      <c r="Y106" t="s">
        <v>15</v>
      </c>
      <c r="Z106" t="s">
        <v>15</v>
      </c>
      <c r="AA106" t="s">
        <v>15</v>
      </c>
      <c r="AB106" t="s">
        <v>15</v>
      </c>
      <c r="AC106" t="s">
        <v>17</v>
      </c>
      <c r="AD106" s="3"/>
      <c r="AE106" t="s">
        <v>18</v>
      </c>
      <c r="AF106" t="s">
        <v>27</v>
      </c>
      <c r="AG106" t="s">
        <v>27</v>
      </c>
      <c r="AH106" s="3">
        <v>42639</v>
      </c>
      <c r="AI106" t="s">
        <v>42</v>
      </c>
      <c r="AJ106" t="s">
        <v>33</v>
      </c>
      <c r="AK106" t="s">
        <v>23</v>
      </c>
      <c r="AL106" s="3">
        <v>42572</v>
      </c>
    </row>
    <row r="107" spans="1:38" x14ac:dyDescent="0.25">
      <c r="A107" t="s">
        <v>140</v>
      </c>
      <c r="B107" t="s">
        <v>1</v>
      </c>
      <c r="C107" t="s">
        <v>413</v>
      </c>
      <c r="D107" t="s">
        <v>656</v>
      </c>
      <c r="E107" t="s">
        <v>3</v>
      </c>
      <c r="F107" t="s">
        <v>414</v>
      </c>
      <c r="G107" t="s">
        <v>687</v>
      </c>
      <c r="H107" t="s">
        <v>352</v>
      </c>
      <c r="I107" t="s">
        <v>353</v>
      </c>
      <c r="J107" t="s">
        <v>409</v>
      </c>
      <c r="K107" t="s">
        <v>410</v>
      </c>
      <c r="L107" s="2">
        <v>8</v>
      </c>
      <c r="M107" s="2">
        <v>0</v>
      </c>
      <c r="N107" s="2">
        <v>8</v>
      </c>
      <c r="O107" t="s">
        <v>9</v>
      </c>
      <c r="P107" t="s">
        <v>354</v>
      </c>
      <c r="Q107" t="s">
        <v>11</v>
      </c>
      <c r="R107" t="s">
        <v>405</v>
      </c>
      <c r="S107" t="s">
        <v>13</v>
      </c>
      <c r="T107" t="s">
        <v>14</v>
      </c>
      <c r="U107" t="s">
        <v>16</v>
      </c>
      <c r="V107" t="s">
        <v>15</v>
      </c>
      <c r="W107" t="s">
        <v>15</v>
      </c>
      <c r="X107" t="s">
        <v>15</v>
      </c>
      <c r="Y107" t="s">
        <v>15</v>
      </c>
      <c r="Z107" t="s">
        <v>15</v>
      </c>
      <c r="AA107" t="s">
        <v>15</v>
      </c>
      <c r="AB107" t="s">
        <v>16</v>
      </c>
      <c r="AC107" t="s">
        <v>17</v>
      </c>
      <c r="AD107" s="3">
        <v>42713</v>
      </c>
      <c r="AE107" t="s">
        <v>34</v>
      </c>
      <c r="AF107" t="s">
        <v>19</v>
      </c>
      <c r="AG107" t="s">
        <v>20</v>
      </c>
      <c r="AH107" s="3">
        <v>42709</v>
      </c>
      <c r="AI107" t="s">
        <v>21</v>
      </c>
      <c r="AJ107" t="s">
        <v>22</v>
      </c>
      <c r="AK107" t="s">
        <v>23</v>
      </c>
      <c r="AL107" s="3">
        <v>42710</v>
      </c>
    </row>
    <row r="108" spans="1:38" x14ac:dyDescent="0.25">
      <c r="A108" t="s">
        <v>140</v>
      </c>
      <c r="B108" t="s">
        <v>141</v>
      </c>
      <c r="C108" t="s">
        <v>228</v>
      </c>
      <c r="D108" t="s">
        <v>662</v>
      </c>
      <c r="E108" t="s">
        <v>25</v>
      </c>
      <c r="F108" t="s">
        <v>229</v>
      </c>
      <c r="G108" t="s">
        <v>687</v>
      </c>
      <c r="H108" t="s">
        <v>230</v>
      </c>
      <c r="I108" t="s">
        <v>231</v>
      </c>
      <c r="J108" t="s">
        <v>232</v>
      </c>
      <c r="K108" t="s">
        <v>233</v>
      </c>
      <c r="L108" s="2">
        <v>-24</v>
      </c>
      <c r="M108" s="2">
        <v>-24</v>
      </c>
      <c r="N108" s="2">
        <v>0</v>
      </c>
      <c r="O108" t="s">
        <v>142</v>
      </c>
      <c r="P108" t="s">
        <v>234</v>
      </c>
      <c r="Q108" t="s">
        <v>11</v>
      </c>
      <c r="R108" t="s">
        <v>143</v>
      </c>
      <c r="S108" t="s">
        <v>13</v>
      </c>
      <c r="T108" t="s">
        <v>14</v>
      </c>
      <c r="U108" t="s">
        <v>15</v>
      </c>
      <c r="V108" t="s">
        <v>16</v>
      </c>
      <c r="W108" t="s">
        <v>16</v>
      </c>
      <c r="X108" t="s">
        <v>144</v>
      </c>
      <c r="Y108" t="s">
        <v>15</v>
      </c>
      <c r="Z108" t="s">
        <v>15</v>
      </c>
      <c r="AA108" t="s">
        <v>15</v>
      </c>
      <c r="AB108" t="s">
        <v>15</v>
      </c>
      <c r="AC108" t="s">
        <v>17</v>
      </c>
      <c r="AD108" s="3"/>
      <c r="AE108" t="s">
        <v>18</v>
      </c>
      <c r="AF108" t="s">
        <v>27</v>
      </c>
      <c r="AG108" t="s">
        <v>27</v>
      </c>
      <c r="AH108" s="3">
        <v>42607</v>
      </c>
      <c r="AI108" t="s">
        <v>73</v>
      </c>
      <c r="AJ108" t="s">
        <v>33</v>
      </c>
      <c r="AK108" t="s">
        <v>23</v>
      </c>
      <c r="AL108" s="3">
        <v>42557</v>
      </c>
    </row>
    <row r="109" spans="1:38" x14ac:dyDescent="0.25">
      <c r="A109" t="s">
        <v>140</v>
      </c>
      <c r="B109" t="s">
        <v>141</v>
      </c>
      <c r="C109" t="s">
        <v>244</v>
      </c>
      <c r="D109" t="s">
        <v>662</v>
      </c>
      <c r="E109" t="s">
        <v>43</v>
      </c>
      <c r="F109" t="s">
        <v>229</v>
      </c>
      <c r="G109" t="s">
        <v>687</v>
      </c>
      <c r="H109" t="s">
        <v>230</v>
      </c>
      <c r="I109" t="s">
        <v>231</v>
      </c>
      <c r="J109" t="s">
        <v>232</v>
      </c>
      <c r="K109" t="s">
        <v>233</v>
      </c>
      <c r="L109" s="2">
        <v>24</v>
      </c>
      <c r="M109" s="2">
        <v>24</v>
      </c>
      <c r="N109" s="2">
        <v>0</v>
      </c>
      <c r="O109" t="s">
        <v>142</v>
      </c>
      <c r="P109" t="s">
        <v>234</v>
      </c>
      <c r="Q109" t="s">
        <v>11</v>
      </c>
      <c r="R109" t="s">
        <v>143</v>
      </c>
      <c r="S109" t="s">
        <v>13</v>
      </c>
      <c r="T109" t="s">
        <v>14</v>
      </c>
      <c r="U109" t="s">
        <v>15</v>
      </c>
      <c r="V109" t="s">
        <v>16</v>
      </c>
      <c r="W109" t="s">
        <v>16</v>
      </c>
      <c r="X109" t="s">
        <v>144</v>
      </c>
      <c r="Y109" t="s">
        <v>15</v>
      </c>
      <c r="Z109" t="s">
        <v>15</v>
      </c>
      <c r="AA109" t="s">
        <v>15</v>
      </c>
      <c r="AB109" t="s">
        <v>15</v>
      </c>
      <c r="AC109" t="s">
        <v>17</v>
      </c>
      <c r="AD109" s="3">
        <v>42557</v>
      </c>
      <c r="AE109" t="s">
        <v>18</v>
      </c>
      <c r="AF109" t="s">
        <v>19</v>
      </c>
      <c r="AG109" t="s">
        <v>44</v>
      </c>
      <c r="AH109" s="3">
        <v>42607</v>
      </c>
      <c r="AI109" t="s">
        <v>73</v>
      </c>
      <c r="AJ109" t="s">
        <v>33</v>
      </c>
      <c r="AK109" t="s">
        <v>23</v>
      </c>
      <c r="AL109" s="3">
        <v>42557</v>
      </c>
    </row>
    <row r="110" spans="1:38" x14ac:dyDescent="0.25">
      <c r="A110" t="s">
        <v>140</v>
      </c>
      <c r="B110" t="s">
        <v>1</v>
      </c>
      <c r="C110" t="s">
        <v>426</v>
      </c>
      <c r="D110" t="s">
        <v>656</v>
      </c>
      <c r="E110" t="s">
        <v>3</v>
      </c>
      <c r="F110" t="s">
        <v>427</v>
      </c>
      <c r="G110" t="s">
        <v>687</v>
      </c>
      <c r="H110" t="s">
        <v>148</v>
      </c>
      <c r="I110" t="s">
        <v>149</v>
      </c>
      <c r="J110" t="s">
        <v>417</v>
      </c>
      <c r="K110" t="s">
        <v>418</v>
      </c>
      <c r="L110" s="2">
        <v>52</v>
      </c>
      <c r="M110" s="2">
        <v>0</v>
      </c>
      <c r="N110" s="2">
        <v>52</v>
      </c>
      <c r="O110" t="s">
        <v>9</v>
      </c>
      <c r="P110" t="s">
        <v>152</v>
      </c>
      <c r="Q110" t="s">
        <v>11</v>
      </c>
      <c r="R110" t="s">
        <v>419</v>
      </c>
      <c r="S110" t="s">
        <v>13</v>
      </c>
      <c r="T110" t="s">
        <v>14</v>
      </c>
      <c r="U110" t="s">
        <v>15</v>
      </c>
      <c r="V110" t="s">
        <v>15</v>
      </c>
      <c r="W110" t="s">
        <v>15</v>
      </c>
      <c r="X110" t="s">
        <v>15</v>
      </c>
      <c r="Y110" t="s">
        <v>15</v>
      </c>
      <c r="Z110" t="s">
        <v>15</v>
      </c>
      <c r="AA110" t="s">
        <v>15</v>
      </c>
      <c r="AB110" t="s">
        <v>16</v>
      </c>
      <c r="AC110" t="s">
        <v>17</v>
      </c>
      <c r="AD110" s="3">
        <v>42717</v>
      </c>
      <c r="AE110" t="s">
        <v>34</v>
      </c>
      <c r="AF110" t="s">
        <v>19</v>
      </c>
      <c r="AG110" t="s">
        <v>20</v>
      </c>
      <c r="AH110" s="3">
        <v>42712</v>
      </c>
      <c r="AI110" t="s">
        <v>21</v>
      </c>
      <c r="AJ110" t="s">
        <v>22</v>
      </c>
      <c r="AK110" t="s">
        <v>23</v>
      </c>
      <c r="AL110" s="3">
        <v>42712</v>
      </c>
    </row>
    <row r="111" spans="1:38" x14ac:dyDescent="0.25">
      <c r="A111" t="s">
        <v>140</v>
      </c>
      <c r="B111" t="s">
        <v>173</v>
      </c>
      <c r="C111" t="s">
        <v>329</v>
      </c>
      <c r="D111" t="s">
        <v>661</v>
      </c>
      <c r="E111" t="s">
        <v>25</v>
      </c>
      <c r="F111" t="s">
        <v>264</v>
      </c>
      <c r="G111" t="s">
        <v>687</v>
      </c>
      <c r="H111" t="s">
        <v>219</v>
      </c>
      <c r="I111" t="s">
        <v>220</v>
      </c>
      <c r="J111" t="s">
        <v>248</v>
      </c>
      <c r="K111" t="s">
        <v>249</v>
      </c>
      <c r="L111" s="2">
        <v>-16</v>
      </c>
      <c r="M111" s="2">
        <v>-16</v>
      </c>
      <c r="N111" s="2">
        <v>0</v>
      </c>
      <c r="O111" t="s">
        <v>177</v>
      </c>
      <c r="P111" t="s">
        <v>223</v>
      </c>
      <c r="Q111" t="s">
        <v>182</v>
      </c>
      <c r="R111" t="s">
        <v>179</v>
      </c>
      <c r="S111" t="s">
        <v>13</v>
      </c>
      <c r="T111" t="s">
        <v>14</v>
      </c>
      <c r="U111" t="s">
        <v>15</v>
      </c>
      <c r="V111" t="s">
        <v>15</v>
      </c>
      <c r="W111" t="s">
        <v>15</v>
      </c>
      <c r="X111" t="s">
        <v>15</v>
      </c>
      <c r="Y111" t="s">
        <v>15</v>
      </c>
      <c r="Z111" t="s">
        <v>15</v>
      </c>
      <c r="AA111" t="s">
        <v>15</v>
      </c>
      <c r="AB111" t="s">
        <v>15</v>
      </c>
      <c r="AC111" t="s">
        <v>17</v>
      </c>
      <c r="AD111" s="3"/>
      <c r="AE111" t="s">
        <v>34</v>
      </c>
      <c r="AF111" t="s">
        <v>27</v>
      </c>
      <c r="AG111" t="s">
        <v>27</v>
      </c>
      <c r="AH111" s="3">
        <v>42697</v>
      </c>
      <c r="AI111" t="s">
        <v>22</v>
      </c>
      <c r="AJ111" t="s">
        <v>33</v>
      </c>
      <c r="AK111" t="s">
        <v>23</v>
      </c>
      <c r="AL111" s="3">
        <v>42675</v>
      </c>
    </row>
    <row r="112" spans="1:38" x14ac:dyDescent="0.25">
      <c r="A112" t="s">
        <v>140</v>
      </c>
      <c r="B112" t="s">
        <v>173</v>
      </c>
      <c r="C112" t="s">
        <v>263</v>
      </c>
      <c r="D112" t="s">
        <v>661</v>
      </c>
      <c r="E112" t="s">
        <v>3</v>
      </c>
      <c r="F112" t="s">
        <v>264</v>
      </c>
      <c r="G112" t="s">
        <v>687</v>
      </c>
      <c r="H112" t="s">
        <v>219</v>
      </c>
      <c r="I112" t="s">
        <v>220</v>
      </c>
      <c r="J112" t="s">
        <v>248</v>
      </c>
      <c r="K112" t="s">
        <v>249</v>
      </c>
      <c r="L112" s="2">
        <v>100</v>
      </c>
      <c r="M112" s="2">
        <v>100</v>
      </c>
      <c r="N112" s="2">
        <v>0</v>
      </c>
      <c r="O112" t="s">
        <v>177</v>
      </c>
      <c r="P112" t="s">
        <v>223</v>
      </c>
      <c r="Q112" t="s">
        <v>182</v>
      </c>
      <c r="R112" t="s">
        <v>179</v>
      </c>
      <c r="S112" t="s">
        <v>13</v>
      </c>
      <c r="T112" t="s">
        <v>14</v>
      </c>
      <c r="U112" t="s">
        <v>15</v>
      </c>
      <c r="V112" t="s">
        <v>15</v>
      </c>
      <c r="W112" t="s">
        <v>15</v>
      </c>
      <c r="X112" t="s">
        <v>15</v>
      </c>
      <c r="Y112" t="s">
        <v>15</v>
      </c>
      <c r="Z112" t="s">
        <v>15</v>
      </c>
      <c r="AA112" t="s">
        <v>15</v>
      </c>
      <c r="AB112" t="s">
        <v>15</v>
      </c>
      <c r="AC112" t="s">
        <v>17</v>
      </c>
      <c r="AD112" s="3">
        <v>42573</v>
      </c>
      <c r="AE112" t="s">
        <v>37</v>
      </c>
      <c r="AF112" t="s">
        <v>19</v>
      </c>
      <c r="AG112" t="s">
        <v>20</v>
      </c>
      <c r="AH112" s="3">
        <v>42571</v>
      </c>
      <c r="AI112" t="s">
        <v>22</v>
      </c>
      <c r="AJ112" t="s">
        <v>33</v>
      </c>
      <c r="AK112" t="s">
        <v>23</v>
      </c>
      <c r="AL112" s="3">
        <v>42571</v>
      </c>
    </row>
    <row r="113" spans="1:38" x14ac:dyDescent="0.25">
      <c r="A113" t="s">
        <v>140</v>
      </c>
      <c r="B113" t="s">
        <v>173</v>
      </c>
      <c r="C113" t="s">
        <v>265</v>
      </c>
      <c r="D113" t="s">
        <v>661</v>
      </c>
      <c r="E113" t="s">
        <v>3</v>
      </c>
      <c r="F113" t="s">
        <v>266</v>
      </c>
      <c r="G113" t="s">
        <v>688</v>
      </c>
      <c r="H113" t="s">
        <v>219</v>
      </c>
      <c r="I113" t="s">
        <v>220</v>
      </c>
      <c r="J113" t="s">
        <v>248</v>
      </c>
      <c r="K113" t="s">
        <v>249</v>
      </c>
      <c r="L113" s="2">
        <v>80</v>
      </c>
      <c r="M113" s="2">
        <v>80</v>
      </c>
      <c r="N113" s="2">
        <v>0</v>
      </c>
      <c r="O113" t="s">
        <v>177</v>
      </c>
      <c r="P113" t="s">
        <v>223</v>
      </c>
      <c r="Q113" t="s">
        <v>182</v>
      </c>
      <c r="R113" t="s">
        <v>179</v>
      </c>
      <c r="S113" t="s">
        <v>13</v>
      </c>
      <c r="T113" t="s">
        <v>14</v>
      </c>
      <c r="U113" t="s">
        <v>15</v>
      </c>
      <c r="V113" t="s">
        <v>15</v>
      </c>
      <c r="W113" t="s">
        <v>15</v>
      </c>
      <c r="X113" t="s">
        <v>15</v>
      </c>
      <c r="Y113" t="s">
        <v>15</v>
      </c>
      <c r="Z113" t="s">
        <v>15</v>
      </c>
      <c r="AA113" t="s">
        <v>15</v>
      </c>
      <c r="AB113" t="s">
        <v>15</v>
      </c>
      <c r="AC113" t="s">
        <v>17</v>
      </c>
      <c r="AD113" s="3">
        <v>42573</v>
      </c>
      <c r="AE113" t="s">
        <v>35</v>
      </c>
      <c r="AF113" t="s">
        <v>19</v>
      </c>
      <c r="AG113" t="s">
        <v>20</v>
      </c>
      <c r="AH113" s="3">
        <v>42573</v>
      </c>
      <c r="AI113" t="s">
        <v>22</v>
      </c>
      <c r="AJ113" t="s">
        <v>33</v>
      </c>
      <c r="AK113" t="s">
        <v>23</v>
      </c>
      <c r="AL113" s="3">
        <v>42571</v>
      </c>
    </row>
    <row r="114" spans="1:38" x14ac:dyDescent="0.25">
      <c r="A114" t="s">
        <v>140</v>
      </c>
      <c r="B114" t="s">
        <v>173</v>
      </c>
      <c r="C114" t="s">
        <v>265</v>
      </c>
      <c r="D114" t="s">
        <v>661</v>
      </c>
      <c r="E114" t="s">
        <v>3</v>
      </c>
      <c r="F114" t="s">
        <v>266</v>
      </c>
      <c r="G114" t="s">
        <v>688</v>
      </c>
      <c r="H114" t="s">
        <v>212</v>
      </c>
      <c r="I114" t="s">
        <v>213</v>
      </c>
      <c r="J114" t="s">
        <v>214</v>
      </c>
      <c r="K114" t="s">
        <v>215</v>
      </c>
      <c r="L114" s="2">
        <v>40</v>
      </c>
      <c r="M114" s="2">
        <v>40</v>
      </c>
      <c r="N114" s="2">
        <v>0</v>
      </c>
      <c r="O114" t="s">
        <v>177</v>
      </c>
      <c r="P114" t="s">
        <v>216</v>
      </c>
      <c r="Q114" t="s">
        <v>182</v>
      </c>
      <c r="R114" t="s">
        <v>179</v>
      </c>
      <c r="S114" t="s">
        <v>13</v>
      </c>
      <c r="T114" t="s">
        <v>14</v>
      </c>
      <c r="U114" t="s">
        <v>15</v>
      </c>
      <c r="V114" t="s">
        <v>15</v>
      </c>
      <c r="W114" t="s">
        <v>15</v>
      </c>
      <c r="X114" t="s">
        <v>15</v>
      </c>
      <c r="Y114" t="s">
        <v>15</v>
      </c>
      <c r="Z114" t="s">
        <v>15</v>
      </c>
      <c r="AA114" t="s">
        <v>15</v>
      </c>
      <c r="AB114" t="s">
        <v>15</v>
      </c>
      <c r="AC114" t="s">
        <v>17</v>
      </c>
      <c r="AD114" s="3">
        <v>42573</v>
      </c>
      <c r="AE114" t="s">
        <v>37</v>
      </c>
      <c r="AF114" t="s">
        <v>19</v>
      </c>
      <c r="AG114" t="s">
        <v>20</v>
      </c>
      <c r="AH114" s="3">
        <v>42573</v>
      </c>
      <c r="AI114" t="s">
        <v>22</v>
      </c>
      <c r="AJ114" t="s">
        <v>33</v>
      </c>
      <c r="AK114" t="s">
        <v>23</v>
      </c>
      <c r="AL114" s="3">
        <v>42571</v>
      </c>
    </row>
    <row r="115" spans="1:38" x14ac:dyDescent="0.25">
      <c r="A115" t="s">
        <v>140</v>
      </c>
      <c r="B115" t="s">
        <v>173</v>
      </c>
      <c r="C115" t="s">
        <v>265</v>
      </c>
      <c r="D115" t="s">
        <v>661</v>
      </c>
      <c r="E115" t="s">
        <v>3</v>
      </c>
      <c r="F115" t="s">
        <v>266</v>
      </c>
      <c r="G115" t="s">
        <v>688</v>
      </c>
      <c r="H115" t="s">
        <v>174</v>
      </c>
      <c r="I115" t="s">
        <v>175</v>
      </c>
      <c r="J115" t="s">
        <v>180</v>
      </c>
      <c r="K115" t="s">
        <v>181</v>
      </c>
      <c r="L115" s="2">
        <v>140</v>
      </c>
      <c r="M115" s="2">
        <v>140</v>
      </c>
      <c r="N115" s="2">
        <v>0</v>
      </c>
      <c r="O115" t="s">
        <v>177</v>
      </c>
      <c r="P115" t="s">
        <v>178</v>
      </c>
      <c r="Q115" t="s">
        <v>182</v>
      </c>
      <c r="R115" t="s">
        <v>179</v>
      </c>
      <c r="S115" t="s">
        <v>13</v>
      </c>
      <c r="T115" t="s">
        <v>14</v>
      </c>
      <c r="U115" t="s">
        <v>15</v>
      </c>
      <c r="V115" t="s">
        <v>15</v>
      </c>
      <c r="W115" t="s">
        <v>15</v>
      </c>
      <c r="X115" t="s">
        <v>15</v>
      </c>
      <c r="Y115" t="s">
        <v>15</v>
      </c>
      <c r="Z115" t="s">
        <v>15</v>
      </c>
      <c r="AA115" t="s">
        <v>15</v>
      </c>
      <c r="AB115" t="s">
        <v>15</v>
      </c>
      <c r="AC115" t="s">
        <v>17</v>
      </c>
      <c r="AD115" s="3">
        <v>42573</v>
      </c>
      <c r="AE115" t="s">
        <v>18</v>
      </c>
      <c r="AF115" t="s">
        <v>19</v>
      </c>
      <c r="AG115" t="s">
        <v>20</v>
      </c>
      <c r="AH115" s="3">
        <v>42573</v>
      </c>
      <c r="AI115" t="s">
        <v>22</v>
      </c>
      <c r="AJ115" t="s">
        <v>33</v>
      </c>
      <c r="AK115" t="s">
        <v>23</v>
      </c>
      <c r="AL115" s="3">
        <v>42571</v>
      </c>
    </row>
    <row r="116" spans="1:38" x14ac:dyDescent="0.25">
      <c r="A116" t="s">
        <v>140</v>
      </c>
      <c r="B116" t="s">
        <v>173</v>
      </c>
      <c r="C116" t="s">
        <v>282</v>
      </c>
      <c r="D116" t="s">
        <v>661</v>
      </c>
      <c r="E116" t="s">
        <v>3</v>
      </c>
      <c r="F116" t="s">
        <v>283</v>
      </c>
      <c r="G116" t="s">
        <v>688</v>
      </c>
      <c r="H116" t="s">
        <v>219</v>
      </c>
      <c r="I116" t="s">
        <v>220</v>
      </c>
      <c r="J116" t="s">
        <v>248</v>
      </c>
      <c r="K116" t="s">
        <v>249</v>
      </c>
      <c r="L116" s="2">
        <v>20</v>
      </c>
      <c r="M116" s="2">
        <v>20</v>
      </c>
      <c r="N116" s="2">
        <v>0</v>
      </c>
      <c r="O116" t="s">
        <v>177</v>
      </c>
      <c r="P116" t="s">
        <v>223</v>
      </c>
      <c r="Q116" t="s">
        <v>182</v>
      </c>
      <c r="R116" t="s">
        <v>179</v>
      </c>
      <c r="S116" t="s">
        <v>13</v>
      </c>
      <c r="T116" t="s">
        <v>14</v>
      </c>
      <c r="U116" t="s">
        <v>15</v>
      </c>
      <c r="V116" t="s">
        <v>15</v>
      </c>
      <c r="W116" t="s">
        <v>15</v>
      </c>
      <c r="X116" t="s">
        <v>15</v>
      </c>
      <c r="Y116" t="s">
        <v>15</v>
      </c>
      <c r="Z116" t="s">
        <v>15</v>
      </c>
      <c r="AA116" t="s">
        <v>15</v>
      </c>
      <c r="AB116" t="s">
        <v>15</v>
      </c>
      <c r="AC116" t="s">
        <v>17</v>
      </c>
      <c r="AD116" s="3">
        <v>42573</v>
      </c>
      <c r="AE116" t="s">
        <v>37</v>
      </c>
      <c r="AF116" t="s">
        <v>19</v>
      </c>
      <c r="AG116" t="s">
        <v>20</v>
      </c>
      <c r="AH116" s="3">
        <v>42573</v>
      </c>
      <c r="AI116" t="s">
        <v>22</v>
      </c>
      <c r="AJ116" t="s">
        <v>33</v>
      </c>
      <c r="AK116" t="s">
        <v>23</v>
      </c>
      <c r="AL116" s="3">
        <v>42573</v>
      </c>
    </row>
    <row r="117" spans="1:38" x14ac:dyDescent="0.25">
      <c r="A117" t="s">
        <v>140</v>
      </c>
      <c r="B117" t="s">
        <v>173</v>
      </c>
      <c r="C117" t="s">
        <v>348</v>
      </c>
      <c r="D117" t="s">
        <v>661</v>
      </c>
      <c r="E117" t="s">
        <v>25</v>
      </c>
      <c r="F117" t="s">
        <v>283</v>
      </c>
      <c r="G117" t="s">
        <v>688</v>
      </c>
      <c r="H117" t="s">
        <v>212</v>
      </c>
      <c r="I117" t="s">
        <v>213</v>
      </c>
      <c r="J117" t="s">
        <v>214</v>
      </c>
      <c r="K117" t="s">
        <v>215</v>
      </c>
      <c r="L117" s="2">
        <v>-4</v>
      </c>
      <c r="M117" s="2">
        <v>-4</v>
      </c>
      <c r="N117" s="2">
        <v>0</v>
      </c>
      <c r="O117" t="s">
        <v>177</v>
      </c>
      <c r="P117" t="s">
        <v>216</v>
      </c>
      <c r="Q117" t="s">
        <v>182</v>
      </c>
      <c r="R117" t="s">
        <v>179</v>
      </c>
      <c r="S117" t="s">
        <v>13</v>
      </c>
      <c r="T117" t="s">
        <v>14</v>
      </c>
      <c r="U117" t="s">
        <v>15</v>
      </c>
      <c r="V117" t="s">
        <v>15</v>
      </c>
      <c r="W117" t="s">
        <v>15</v>
      </c>
      <c r="X117" t="s">
        <v>15</v>
      </c>
      <c r="Y117" t="s">
        <v>15</v>
      </c>
      <c r="Z117" t="s">
        <v>15</v>
      </c>
      <c r="AA117" t="s">
        <v>15</v>
      </c>
      <c r="AB117" t="s">
        <v>15</v>
      </c>
      <c r="AC117" t="s">
        <v>17</v>
      </c>
      <c r="AD117" s="3"/>
      <c r="AE117" t="s">
        <v>18</v>
      </c>
      <c r="AF117" t="s">
        <v>27</v>
      </c>
      <c r="AG117" t="s">
        <v>27</v>
      </c>
      <c r="AH117" s="3">
        <v>42697</v>
      </c>
      <c r="AI117" t="s">
        <v>22</v>
      </c>
      <c r="AJ117" t="s">
        <v>33</v>
      </c>
      <c r="AK117" t="s">
        <v>23</v>
      </c>
      <c r="AL117" s="3">
        <v>42681</v>
      </c>
    </row>
    <row r="118" spans="1:38" x14ac:dyDescent="0.25">
      <c r="A118" t="s">
        <v>140</v>
      </c>
      <c r="B118" t="s">
        <v>173</v>
      </c>
      <c r="C118" t="s">
        <v>282</v>
      </c>
      <c r="D118" t="s">
        <v>661</v>
      </c>
      <c r="E118" t="s">
        <v>3</v>
      </c>
      <c r="F118" t="s">
        <v>283</v>
      </c>
      <c r="G118" t="s">
        <v>688</v>
      </c>
      <c r="H118" t="s">
        <v>212</v>
      </c>
      <c r="I118" t="s">
        <v>213</v>
      </c>
      <c r="J118" t="s">
        <v>214</v>
      </c>
      <c r="K118" t="s">
        <v>215</v>
      </c>
      <c r="L118" s="2">
        <v>52</v>
      </c>
      <c r="M118" s="2">
        <v>52</v>
      </c>
      <c r="N118" s="2">
        <v>0</v>
      </c>
      <c r="O118" t="s">
        <v>177</v>
      </c>
      <c r="P118" t="s">
        <v>216</v>
      </c>
      <c r="Q118" t="s">
        <v>182</v>
      </c>
      <c r="R118" t="s">
        <v>179</v>
      </c>
      <c r="S118" t="s">
        <v>13</v>
      </c>
      <c r="T118" t="s">
        <v>14</v>
      </c>
      <c r="U118" t="s">
        <v>15</v>
      </c>
      <c r="V118" t="s">
        <v>15</v>
      </c>
      <c r="W118" t="s">
        <v>15</v>
      </c>
      <c r="X118" t="s">
        <v>15</v>
      </c>
      <c r="Y118" t="s">
        <v>15</v>
      </c>
      <c r="Z118" t="s">
        <v>15</v>
      </c>
      <c r="AA118" t="s">
        <v>15</v>
      </c>
      <c r="AB118" t="s">
        <v>15</v>
      </c>
      <c r="AC118" t="s">
        <v>17</v>
      </c>
      <c r="AD118" s="3">
        <v>42573</v>
      </c>
      <c r="AE118" t="s">
        <v>34</v>
      </c>
      <c r="AF118" t="s">
        <v>19</v>
      </c>
      <c r="AG118" t="s">
        <v>20</v>
      </c>
      <c r="AH118" s="3">
        <v>42573</v>
      </c>
      <c r="AI118" t="s">
        <v>22</v>
      </c>
      <c r="AJ118" t="s">
        <v>33</v>
      </c>
      <c r="AK118" t="s">
        <v>23</v>
      </c>
      <c r="AL118" s="3">
        <v>42573</v>
      </c>
    </row>
    <row r="119" spans="1:38" x14ac:dyDescent="0.25">
      <c r="A119" t="s">
        <v>140</v>
      </c>
      <c r="B119" t="s">
        <v>173</v>
      </c>
      <c r="C119" t="s">
        <v>348</v>
      </c>
      <c r="D119" t="s">
        <v>661</v>
      </c>
      <c r="E119" t="s">
        <v>25</v>
      </c>
      <c r="F119" t="s">
        <v>283</v>
      </c>
      <c r="G119" t="s">
        <v>688</v>
      </c>
      <c r="H119" t="s">
        <v>174</v>
      </c>
      <c r="I119" t="s">
        <v>175</v>
      </c>
      <c r="J119" t="s">
        <v>180</v>
      </c>
      <c r="K119" t="s">
        <v>181</v>
      </c>
      <c r="L119" s="2">
        <v>-8</v>
      </c>
      <c r="M119" s="2">
        <v>-8</v>
      </c>
      <c r="N119" s="2">
        <v>0</v>
      </c>
      <c r="O119" t="s">
        <v>177</v>
      </c>
      <c r="P119" t="s">
        <v>178</v>
      </c>
      <c r="Q119" t="s">
        <v>182</v>
      </c>
      <c r="R119" t="s">
        <v>179</v>
      </c>
      <c r="S119" t="s">
        <v>13</v>
      </c>
      <c r="T119" t="s">
        <v>14</v>
      </c>
      <c r="U119" t="s">
        <v>15</v>
      </c>
      <c r="V119" t="s">
        <v>15</v>
      </c>
      <c r="W119" t="s">
        <v>15</v>
      </c>
      <c r="X119" t="s">
        <v>15</v>
      </c>
      <c r="Y119" t="s">
        <v>15</v>
      </c>
      <c r="Z119" t="s">
        <v>15</v>
      </c>
      <c r="AA119" t="s">
        <v>15</v>
      </c>
      <c r="AB119" t="s">
        <v>15</v>
      </c>
      <c r="AC119" t="s">
        <v>17</v>
      </c>
      <c r="AD119" s="3"/>
      <c r="AE119" t="s">
        <v>34</v>
      </c>
      <c r="AF119" t="s">
        <v>27</v>
      </c>
      <c r="AG119" t="s">
        <v>27</v>
      </c>
      <c r="AH119" s="3">
        <v>42697</v>
      </c>
      <c r="AI119" t="s">
        <v>22</v>
      </c>
      <c r="AJ119" t="s">
        <v>33</v>
      </c>
      <c r="AK119" t="s">
        <v>23</v>
      </c>
      <c r="AL119" s="3">
        <v>42681</v>
      </c>
    </row>
    <row r="120" spans="1:38" x14ac:dyDescent="0.25">
      <c r="A120" t="s">
        <v>140</v>
      </c>
      <c r="B120" t="s">
        <v>173</v>
      </c>
      <c r="C120" t="s">
        <v>282</v>
      </c>
      <c r="D120" t="s">
        <v>661</v>
      </c>
      <c r="E120" t="s">
        <v>3</v>
      </c>
      <c r="F120" t="s">
        <v>283</v>
      </c>
      <c r="G120" t="s">
        <v>688</v>
      </c>
      <c r="H120" t="s">
        <v>174</v>
      </c>
      <c r="I120" t="s">
        <v>175</v>
      </c>
      <c r="J120" t="s">
        <v>180</v>
      </c>
      <c r="K120" t="s">
        <v>181</v>
      </c>
      <c r="L120" s="2">
        <v>52</v>
      </c>
      <c r="M120" s="2">
        <v>52</v>
      </c>
      <c r="N120" s="2">
        <v>0</v>
      </c>
      <c r="O120" t="s">
        <v>177</v>
      </c>
      <c r="P120" t="s">
        <v>178</v>
      </c>
      <c r="Q120" t="s">
        <v>182</v>
      </c>
      <c r="R120" t="s">
        <v>179</v>
      </c>
      <c r="S120" t="s">
        <v>13</v>
      </c>
      <c r="T120" t="s">
        <v>14</v>
      </c>
      <c r="U120" t="s">
        <v>15</v>
      </c>
      <c r="V120" t="s">
        <v>15</v>
      </c>
      <c r="W120" t="s">
        <v>15</v>
      </c>
      <c r="X120" t="s">
        <v>15</v>
      </c>
      <c r="Y120" t="s">
        <v>15</v>
      </c>
      <c r="Z120" t="s">
        <v>15</v>
      </c>
      <c r="AA120" t="s">
        <v>15</v>
      </c>
      <c r="AB120" t="s">
        <v>15</v>
      </c>
      <c r="AC120" t="s">
        <v>17</v>
      </c>
      <c r="AD120" s="3">
        <v>42573</v>
      </c>
      <c r="AE120" t="s">
        <v>35</v>
      </c>
      <c r="AF120" t="s">
        <v>19</v>
      </c>
      <c r="AG120" t="s">
        <v>20</v>
      </c>
      <c r="AH120" s="3">
        <v>42573</v>
      </c>
      <c r="AI120" t="s">
        <v>22</v>
      </c>
      <c r="AJ120" t="s">
        <v>33</v>
      </c>
      <c r="AK120" t="s">
        <v>23</v>
      </c>
      <c r="AL120" s="3">
        <v>42573</v>
      </c>
    </row>
    <row r="121" spans="1:38" x14ac:dyDescent="0.25">
      <c r="A121" t="s">
        <v>140</v>
      </c>
      <c r="B121" t="s">
        <v>1</v>
      </c>
      <c r="C121" t="s">
        <v>146</v>
      </c>
      <c r="D121" t="s">
        <v>674</v>
      </c>
      <c r="E121" t="s">
        <v>25</v>
      </c>
      <c r="F121" t="s">
        <v>147</v>
      </c>
      <c r="G121" t="s">
        <v>688</v>
      </c>
      <c r="H121" t="s">
        <v>148</v>
      </c>
      <c r="I121" t="s">
        <v>149</v>
      </c>
      <c r="J121" t="s">
        <v>150</v>
      </c>
      <c r="K121" t="s">
        <v>151</v>
      </c>
      <c r="L121" s="2">
        <v>-4</v>
      </c>
      <c r="M121" s="2">
        <v>-4</v>
      </c>
      <c r="N121" s="2">
        <v>0</v>
      </c>
      <c r="O121" t="s">
        <v>9</v>
      </c>
      <c r="P121" t="s">
        <v>152</v>
      </c>
      <c r="Q121" t="s">
        <v>85</v>
      </c>
      <c r="R121" t="s">
        <v>145</v>
      </c>
      <c r="S121" t="s">
        <v>13</v>
      </c>
      <c r="T121" t="s">
        <v>14</v>
      </c>
      <c r="U121" t="s">
        <v>15</v>
      </c>
      <c r="V121" t="s">
        <v>15</v>
      </c>
      <c r="W121" t="s">
        <v>16</v>
      </c>
      <c r="X121" t="s">
        <v>41</v>
      </c>
      <c r="Y121" t="s">
        <v>15</v>
      </c>
      <c r="Z121" t="s">
        <v>15</v>
      </c>
      <c r="AA121" t="s">
        <v>15</v>
      </c>
      <c r="AB121" t="s">
        <v>15</v>
      </c>
      <c r="AC121" t="s">
        <v>17</v>
      </c>
      <c r="AD121" s="3"/>
      <c r="AE121" t="s">
        <v>18</v>
      </c>
      <c r="AF121" t="s">
        <v>27</v>
      </c>
      <c r="AG121" t="s">
        <v>27</v>
      </c>
      <c r="AH121" s="3">
        <v>42613</v>
      </c>
      <c r="AI121" t="s">
        <v>42</v>
      </c>
      <c r="AJ121" t="s">
        <v>33</v>
      </c>
      <c r="AK121" t="s">
        <v>23</v>
      </c>
      <c r="AL121" s="3">
        <v>42544</v>
      </c>
    </row>
    <row r="122" spans="1:38" x14ac:dyDescent="0.25">
      <c r="A122" t="s">
        <v>140</v>
      </c>
      <c r="B122" t="s">
        <v>173</v>
      </c>
      <c r="C122" t="s">
        <v>217</v>
      </c>
      <c r="D122" t="s">
        <v>661</v>
      </c>
      <c r="E122" t="s">
        <v>3</v>
      </c>
      <c r="F122" t="s">
        <v>218</v>
      </c>
      <c r="G122" t="s">
        <v>688</v>
      </c>
      <c r="H122" t="s">
        <v>219</v>
      </c>
      <c r="I122" t="s">
        <v>220</v>
      </c>
      <c r="J122" t="s">
        <v>221</v>
      </c>
      <c r="K122" t="s">
        <v>222</v>
      </c>
      <c r="L122" s="2">
        <v>292</v>
      </c>
      <c r="M122" s="2">
        <v>292</v>
      </c>
      <c r="N122" s="2">
        <v>0</v>
      </c>
      <c r="O122" t="s">
        <v>177</v>
      </c>
      <c r="P122" t="s">
        <v>223</v>
      </c>
      <c r="Q122" t="s">
        <v>166</v>
      </c>
      <c r="R122" t="s">
        <v>179</v>
      </c>
      <c r="S122" t="s">
        <v>13</v>
      </c>
      <c r="T122" t="s">
        <v>14</v>
      </c>
      <c r="U122" t="s">
        <v>15</v>
      </c>
      <c r="V122" t="s">
        <v>15</v>
      </c>
      <c r="W122" t="s">
        <v>15</v>
      </c>
      <c r="X122" t="s">
        <v>15</v>
      </c>
      <c r="Y122" t="s">
        <v>15</v>
      </c>
      <c r="Z122" t="s">
        <v>15</v>
      </c>
      <c r="AA122" t="s">
        <v>15</v>
      </c>
      <c r="AB122" t="s">
        <v>15</v>
      </c>
      <c r="AC122" t="s">
        <v>17</v>
      </c>
      <c r="AD122" s="3">
        <v>42566</v>
      </c>
      <c r="AE122" t="s">
        <v>35</v>
      </c>
      <c r="AF122" t="s">
        <v>19</v>
      </c>
      <c r="AG122" t="s">
        <v>20</v>
      </c>
      <c r="AH122" s="3">
        <v>42566</v>
      </c>
      <c r="AI122" t="s">
        <v>22</v>
      </c>
      <c r="AJ122" t="s">
        <v>33</v>
      </c>
      <c r="AK122" t="s">
        <v>23</v>
      </c>
      <c r="AL122" s="3">
        <v>42557</v>
      </c>
    </row>
    <row r="123" spans="1:38" x14ac:dyDescent="0.25">
      <c r="A123" t="s">
        <v>140</v>
      </c>
      <c r="B123" t="s">
        <v>173</v>
      </c>
      <c r="C123" t="s">
        <v>350</v>
      </c>
      <c r="D123" t="s">
        <v>661</v>
      </c>
      <c r="E123" t="s">
        <v>25</v>
      </c>
      <c r="F123" t="s">
        <v>218</v>
      </c>
      <c r="G123" t="s">
        <v>688</v>
      </c>
      <c r="H123" t="s">
        <v>212</v>
      </c>
      <c r="I123" t="s">
        <v>213</v>
      </c>
      <c r="J123" t="s">
        <v>224</v>
      </c>
      <c r="K123" t="s">
        <v>225</v>
      </c>
      <c r="L123" s="2">
        <v>-8</v>
      </c>
      <c r="M123" s="2">
        <v>-8</v>
      </c>
      <c r="N123" s="2">
        <v>0</v>
      </c>
      <c r="O123" t="s">
        <v>177</v>
      </c>
      <c r="P123" t="s">
        <v>216</v>
      </c>
      <c r="Q123" t="s">
        <v>166</v>
      </c>
      <c r="R123" t="s">
        <v>179</v>
      </c>
      <c r="S123" t="s">
        <v>13</v>
      </c>
      <c r="T123" t="s">
        <v>14</v>
      </c>
      <c r="U123" t="s">
        <v>15</v>
      </c>
      <c r="V123" t="s">
        <v>15</v>
      </c>
      <c r="W123" t="s">
        <v>15</v>
      </c>
      <c r="X123" t="s">
        <v>15</v>
      </c>
      <c r="Y123" t="s">
        <v>15</v>
      </c>
      <c r="Z123" t="s">
        <v>15</v>
      </c>
      <c r="AA123" t="s">
        <v>15</v>
      </c>
      <c r="AB123" t="s">
        <v>15</v>
      </c>
      <c r="AC123" t="s">
        <v>17</v>
      </c>
      <c r="AD123" s="3"/>
      <c r="AE123" t="s">
        <v>18</v>
      </c>
      <c r="AF123" t="s">
        <v>27</v>
      </c>
      <c r="AG123" t="s">
        <v>27</v>
      </c>
      <c r="AH123" s="3">
        <v>42704</v>
      </c>
      <c r="AI123" t="s">
        <v>22</v>
      </c>
      <c r="AJ123" t="s">
        <v>33</v>
      </c>
      <c r="AK123" t="s">
        <v>23</v>
      </c>
      <c r="AL123" s="3">
        <v>42689</v>
      </c>
    </row>
    <row r="124" spans="1:38" x14ac:dyDescent="0.25">
      <c r="A124" t="s">
        <v>140</v>
      </c>
      <c r="B124" t="s">
        <v>173</v>
      </c>
      <c r="C124" t="s">
        <v>217</v>
      </c>
      <c r="D124" t="s">
        <v>661</v>
      </c>
      <c r="E124" t="s">
        <v>3</v>
      </c>
      <c r="F124" t="s">
        <v>218</v>
      </c>
      <c r="G124" t="s">
        <v>688</v>
      </c>
      <c r="H124" t="s">
        <v>212</v>
      </c>
      <c r="I124" t="s">
        <v>213</v>
      </c>
      <c r="J124" t="s">
        <v>224</v>
      </c>
      <c r="K124" t="s">
        <v>225</v>
      </c>
      <c r="L124" s="2">
        <v>8</v>
      </c>
      <c r="M124" s="2">
        <v>8</v>
      </c>
      <c r="N124" s="2">
        <v>0</v>
      </c>
      <c r="O124" t="s">
        <v>177</v>
      </c>
      <c r="P124" t="s">
        <v>216</v>
      </c>
      <c r="Q124" t="s">
        <v>166</v>
      </c>
      <c r="R124" t="s">
        <v>179</v>
      </c>
      <c r="S124" t="s">
        <v>13</v>
      </c>
      <c r="T124" t="s">
        <v>14</v>
      </c>
      <c r="U124" t="s">
        <v>15</v>
      </c>
      <c r="V124" t="s">
        <v>15</v>
      </c>
      <c r="W124" t="s">
        <v>15</v>
      </c>
      <c r="X124" t="s">
        <v>15</v>
      </c>
      <c r="Y124" t="s">
        <v>15</v>
      </c>
      <c r="Z124" t="s">
        <v>15</v>
      </c>
      <c r="AA124" t="s">
        <v>15</v>
      </c>
      <c r="AB124" t="s">
        <v>15</v>
      </c>
      <c r="AC124" t="s">
        <v>17</v>
      </c>
      <c r="AD124" s="3">
        <v>42566</v>
      </c>
      <c r="AE124" t="s">
        <v>37</v>
      </c>
      <c r="AF124" t="s">
        <v>19</v>
      </c>
      <c r="AG124" t="s">
        <v>20</v>
      </c>
      <c r="AH124" s="3">
        <v>42566</v>
      </c>
      <c r="AI124" t="s">
        <v>22</v>
      </c>
      <c r="AJ124" t="s">
        <v>33</v>
      </c>
      <c r="AK124" t="s">
        <v>23</v>
      </c>
      <c r="AL124" s="3">
        <v>42557</v>
      </c>
    </row>
    <row r="125" spans="1:38" x14ac:dyDescent="0.25">
      <c r="A125" t="s">
        <v>140</v>
      </c>
      <c r="B125" t="s">
        <v>121</v>
      </c>
      <c r="C125" t="s">
        <v>398</v>
      </c>
      <c r="D125" t="s">
        <v>669</v>
      </c>
      <c r="E125" t="s">
        <v>3</v>
      </c>
      <c r="F125" t="s">
        <v>399</v>
      </c>
      <c r="G125" t="s">
        <v>688</v>
      </c>
      <c r="H125" t="s">
        <v>369</v>
      </c>
      <c r="I125" t="s">
        <v>370</v>
      </c>
      <c r="J125" t="s">
        <v>376</v>
      </c>
      <c r="K125" t="s">
        <v>377</v>
      </c>
      <c r="L125" s="2">
        <v>152</v>
      </c>
      <c r="M125" s="2">
        <v>0</v>
      </c>
      <c r="N125" s="2">
        <v>152</v>
      </c>
      <c r="O125" t="s">
        <v>122</v>
      </c>
      <c r="P125" t="s">
        <v>373</v>
      </c>
      <c r="Q125" t="s">
        <v>170</v>
      </c>
      <c r="R125" t="s">
        <v>324</v>
      </c>
      <c r="S125" t="s">
        <v>13</v>
      </c>
      <c r="T125" t="s">
        <v>14</v>
      </c>
      <c r="U125" t="s">
        <v>15</v>
      </c>
      <c r="V125" t="s">
        <v>16</v>
      </c>
      <c r="W125" t="s">
        <v>15</v>
      </c>
      <c r="X125" t="s">
        <v>41</v>
      </c>
      <c r="Y125" t="s">
        <v>16</v>
      </c>
      <c r="Z125" t="s">
        <v>15</v>
      </c>
      <c r="AA125" t="s">
        <v>15</v>
      </c>
      <c r="AB125" t="s">
        <v>15</v>
      </c>
      <c r="AC125" t="s">
        <v>17</v>
      </c>
      <c r="AD125" s="3">
        <v>42711</v>
      </c>
      <c r="AE125" t="s">
        <v>37</v>
      </c>
      <c r="AF125" t="s">
        <v>19</v>
      </c>
      <c r="AG125" t="s">
        <v>20</v>
      </c>
      <c r="AH125" s="3">
        <v>42706</v>
      </c>
      <c r="AI125" t="s">
        <v>127</v>
      </c>
      <c r="AJ125" t="s">
        <v>33</v>
      </c>
      <c r="AK125" t="s">
        <v>23</v>
      </c>
      <c r="AL125" s="3">
        <v>42706</v>
      </c>
    </row>
    <row r="126" spans="1:38" x14ac:dyDescent="0.25">
      <c r="A126" t="s">
        <v>140</v>
      </c>
      <c r="B126" t="s">
        <v>173</v>
      </c>
      <c r="C126" t="s">
        <v>288</v>
      </c>
      <c r="D126" t="s">
        <v>661</v>
      </c>
      <c r="E126" t="s">
        <v>3</v>
      </c>
      <c r="F126" t="s">
        <v>289</v>
      </c>
      <c r="G126" t="s">
        <v>688</v>
      </c>
      <c r="H126" t="s">
        <v>174</v>
      </c>
      <c r="I126" t="s">
        <v>175</v>
      </c>
      <c r="J126" t="s">
        <v>180</v>
      </c>
      <c r="K126" t="s">
        <v>181</v>
      </c>
      <c r="L126" s="2">
        <v>8</v>
      </c>
      <c r="M126" s="2">
        <v>8</v>
      </c>
      <c r="N126" s="2">
        <v>0</v>
      </c>
      <c r="O126" t="s">
        <v>177</v>
      </c>
      <c r="P126" t="s">
        <v>178</v>
      </c>
      <c r="Q126" t="s">
        <v>182</v>
      </c>
      <c r="R126" t="s">
        <v>179</v>
      </c>
      <c r="S126" t="s">
        <v>13</v>
      </c>
      <c r="T126" t="s">
        <v>14</v>
      </c>
      <c r="U126" t="s">
        <v>15</v>
      </c>
      <c r="V126" t="s">
        <v>15</v>
      </c>
      <c r="W126" t="s">
        <v>15</v>
      </c>
      <c r="X126" t="s">
        <v>15</v>
      </c>
      <c r="Y126" t="s">
        <v>15</v>
      </c>
      <c r="Z126" t="s">
        <v>15</v>
      </c>
      <c r="AA126" t="s">
        <v>15</v>
      </c>
      <c r="AB126" t="s">
        <v>15</v>
      </c>
      <c r="AC126" t="s">
        <v>17</v>
      </c>
      <c r="AD126" s="3">
        <v>42632</v>
      </c>
      <c r="AE126" t="s">
        <v>34</v>
      </c>
      <c r="AF126" t="s">
        <v>19</v>
      </c>
      <c r="AG126" t="s">
        <v>20</v>
      </c>
      <c r="AH126" s="3">
        <v>42593</v>
      </c>
      <c r="AI126" t="s">
        <v>22</v>
      </c>
      <c r="AJ126" t="s">
        <v>33</v>
      </c>
      <c r="AK126" t="s">
        <v>23</v>
      </c>
      <c r="AL126" s="3">
        <v>42593</v>
      </c>
    </row>
    <row r="127" spans="1:38" x14ac:dyDescent="0.25">
      <c r="A127" t="s">
        <v>140</v>
      </c>
      <c r="B127" t="s">
        <v>121</v>
      </c>
      <c r="C127" t="s">
        <v>385</v>
      </c>
      <c r="D127" t="s">
        <v>668</v>
      </c>
      <c r="E127" t="s">
        <v>3</v>
      </c>
      <c r="F127" t="s">
        <v>386</v>
      </c>
      <c r="G127" t="s">
        <v>688</v>
      </c>
      <c r="H127" t="s">
        <v>369</v>
      </c>
      <c r="I127" t="s">
        <v>370</v>
      </c>
      <c r="J127" t="s">
        <v>387</v>
      </c>
      <c r="K127" t="s">
        <v>388</v>
      </c>
      <c r="L127" s="2">
        <v>120</v>
      </c>
      <c r="M127" s="2">
        <v>0</v>
      </c>
      <c r="N127" s="2">
        <v>120</v>
      </c>
      <c r="O127" t="s">
        <v>122</v>
      </c>
      <c r="P127" t="s">
        <v>373</v>
      </c>
      <c r="Q127" t="s">
        <v>85</v>
      </c>
      <c r="R127" t="s">
        <v>324</v>
      </c>
      <c r="S127" t="s">
        <v>13</v>
      </c>
      <c r="T127" t="s">
        <v>14</v>
      </c>
      <c r="U127" t="s">
        <v>15</v>
      </c>
      <c r="V127" t="s">
        <v>16</v>
      </c>
      <c r="W127" t="s">
        <v>15</v>
      </c>
      <c r="X127" t="s">
        <v>41</v>
      </c>
      <c r="Y127" t="s">
        <v>16</v>
      </c>
      <c r="Z127" t="s">
        <v>15</v>
      </c>
      <c r="AA127" t="s">
        <v>15</v>
      </c>
      <c r="AB127" t="s">
        <v>15</v>
      </c>
      <c r="AC127" t="s">
        <v>17</v>
      </c>
      <c r="AD127" s="3">
        <v>42709</v>
      </c>
      <c r="AE127" t="s">
        <v>34</v>
      </c>
      <c r="AF127" t="s">
        <v>19</v>
      </c>
      <c r="AG127" t="s">
        <v>20</v>
      </c>
      <c r="AH127" s="3">
        <v>42704</v>
      </c>
      <c r="AI127" t="s">
        <v>124</v>
      </c>
      <c r="AJ127" t="s">
        <v>33</v>
      </c>
      <c r="AK127" t="s">
        <v>23</v>
      </c>
      <c r="AL127" s="3">
        <v>42704</v>
      </c>
    </row>
    <row r="128" spans="1:38" x14ac:dyDescent="0.25">
      <c r="A128" t="s">
        <v>140</v>
      </c>
      <c r="B128" t="s">
        <v>121</v>
      </c>
      <c r="C128" t="s">
        <v>395</v>
      </c>
      <c r="D128" t="s">
        <v>662</v>
      </c>
      <c r="E128" t="s">
        <v>3</v>
      </c>
      <c r="F128" t="s">
        <v>396</v>
      </c>
      <c r="G128" t="s">
        <v>688</v>
      </c>
      <c r="H128" t="s">
        <v>369</v>
      </c>
      <c r="I128" t="s">
        <v>370</v>
      </c>
      <c r="J128" t="s">
        <v>371</v>
      </c>
      <c r="K128" t="s">
        <v>372</v>
      </c>
      <c r="L128" s="2">
        <v>60</v>
      </c>
      <c r="M128" s="2">
        <v>0</v>
      </c>
      <c r="N128" s="2">
        <v>60</v>
      </c>
      <c r="O128" t="s">
        <v>122</v>
      </c>
      <c r="P128" t="s">
        <v>373</v>
      </c>
      <c r="Q128" t="s">
        <v>11</v>
      </c>
      <c r="R128" t="s">
        <v>324</v>
      </c>
      <c r="S128" t="s">
        <v>13</v>
      </c>
      <c r="T128" t="s">
        <v>14</v>
      </c>
      <c r="U128" t="s">
        <v>15</v>
      </c>
      <c r="V128" t="s">
        <v>16</v>
      </c>
      <c r="W128" t="s">
        <v>15</v>
      </c>
      <c r="X128" t="s">
        <v>41</v>
      </c>
      <c r="Y128" t="s">
        <v>16</v>
      </c>
      <c r="Z128" t="s">
        <v>15</v>
      </c>
      <c r="AA128" t="s">
        <v>15</v>
      </c>
      <c r="AB128" t="s">
        <v>15</v>
      </c>
      <c r="AC128" t="s">
        <v>17</v>
      </c>
      <c r="AD128" s="3">
        <v>42710</v>
      </c>
      <c r="AE128" t="s">
        <v>34</v>
      </c>
      <c r="AF128" t="s">
        <v>19</v>
      </c>
      <c r="AG128" t="s">
        <v>20</v>
      </c>
      <c r="AH128" s="3">
        <v>42705</v>
      </c>
      <c r="AI128" t="s">
        <v>127</v>
      </c>
      <c r="AJ128" t="s">
        <v>33</v>
      </c>
      <c r="AK128" t="s">
        <v>23</v>
      </c>
      <c r="AL128" s="3">
        <v>42705</v>
      </c>
    </row>
    <row r="129" spans="1:38" x14ac:dyDescent="0.25">
      <c r="A129" t="s">
        <v>140</v>
      </c>
      <c r="B129" t="s">
        <v>63</v>
      </c>
      <c r="C129" t="s">
        <v>553</v>
      </c>
      <c r="D129" t="s">
        <v>673</v>
      </c>
      <c r="E129" t="s">
        <v>3</v>
      </c>
      <c r="F129" t="s">
        <v>184</v>
      </c>
      <c r="G129" t="s">
        <v>688</v>
      </c>
      <c r="H129" t="s">
        <v>185</v>
      </c>
      <c r="I129" t="s">
        <v>186</v>
      </c>
      <c r="J129" t="s">
        <v>554</v>
      </c>
      <c r="K129" t="s">
        <v>191</v>
      </c>
      <c r="L129" s="2">
        <v>4780</v>
      </c>
      <c r="M129" s="2">
        <v>0</v>
      </c>
      <c r="N129" s="2">
        <v>4780</v>
      </c>
      <c r="O129" t="s">
        <v>70</v>
      </c>
      <c r="P129" t="s">
        <v>126</v>
      </c>
      <c r="Q129" t="s">
        <v>85</v>
      </c>
      <c r="R129" t="s">
        <v>555</v>
      </c>
      <c r="S129" t="s">
        <v>13</v>
      </c>
      <c r="T129" t="s">
        <v>14</v>
      </c>
      <c r="U129" t="s">
        <v>15</v>
      </c>
      <c r="V129" t="s">
        <v>15</v>
      </c>
      <c r="W129" t="s">
        <v>15</v>
      </c>
      <c r="X129" t="s">
        <v>15</v>
      </c>
      <c r="Y129" t="s">
        <v>16</v>
      </c>
      <c r="Z129" t="s">
        <v>15</v>
      </c>
      <c r="AA129" t="s">
        <v>16</v>
      </c>
      <c r="AB129" t="s">
        <v>15</v>
      </c>
      <c r="AC129" t="s">
        <v>17</v>
      </c>
      <c r="AD129" s="3">
        <v>42809</v>
      </c>
      <c r="AE129" t="s">
        <v>34</v>
      </c>
      <c r="AF129" t="s">
        <v>19</v>
      </c>
      <c r="AG129" t="s">
        <v>20</v>
      </c>
      <c r="AH129" s="3">
        <v>42768</v>
      </c>
      <c r="AI129" t="s">
        <v>73</v>
      </c>
      <c r="AJ129" t="s">
        <v>33</v>
      </c>
      <c r="AK129" t="s">
        <v>23</v>
      </c>
      <c r="AL129" s="3">
        <v>42768</v>
      </c>
    </row>
    <row r="130" spans="1:38" x14ac:dyDescent="0.25">
      <c r="A130" t="s">
        <v>140</v>
      </c>
      <c r="B130" t="s">
        <v>63</v>
      </c>
      <c r="C130" t="s">
        <v>183</v>
      </c>
      <c r="D130" t="s">
        <v>673</v>
      </c>
      <c r="E130" t="s">
        <v>43</v>
      </c>
      <c r="F130" t="s">
        <v>184</v>
      </c>
      <c r="G130" t="s">
        <v>688</v>
      </c>
      <c r="H130" t="s">
        <v>185</v>
      </c>
      <c r="I130" t="s">
        <v>186</v>
      </c>
      <c r="J130" t="s">
        <v>190</v>
      </c>
      <c r="K130" t="s">
        <v>191</v>
      </c>
      <c r="L130" s="2">
        <v>16</v>
      </c>
      <c r="M130" s="2">
        <v>16</v>
      </c>
      <c r="N130" s="2">
        <v>0</v>
      </c>
      <c r="O130" t="s">
        <v>70</v>
      </c>
      <c r="P130" t="s">
        <v>126</v>
      </c>
      <c r="Q130" t="s">
        <v>85</v>
      </c>
      <c r="R130" t="s">
        <v>189</v>
      </c>
      <c r="S130" t="s">
        <v>13</v>
      </c>
      <c r="T130" t="s">
        <v>14</v>
      </c>
      <c r="U130" t="s">
        <v>15</v>
      </c>
      <c r="V130" t="s">
        <v>15</v>
      </c>
      <c r="W130" t="s">
        <v>16</v>
      </c>
      <c r="X130" t="s">
        <v>15</v>
      </c>
      <c r="Y130" t="s">
        <v>15</v>
      </c>
      <c r="Z130" t="s">
        <v>15</v>
      </c>
      <c r="AA130" t="s">
        <v>15</v>
      </c>
      <c r="AB130" t="s">
        <v>15</v>
      </c>
      <c r="AC130" t="s">
        <v>17</v>
      </c>
      <c r="AD130" s="3">
        <v>42627</v>
      </c>
      <c r="AE130" t="s">
        <v>34</v>
      </c>
      <c r="AF130" t="s">
        <v>19</v>
      </c>
      <c r="AG130" t="s">
        <v>44</v>
      </c>
      <c r="AH130" s="3">
        <v>42627</v>
      </c>
      <c r="AI130" t="s">
        <v>73</v>
      </c>
      <c r="AJ130" t="s">
        <v>33</v>
      </c>
      <c r="AK130" t="s">
        <v>23</v>
      </c>
      <c r="AL130" s="3">
        <v>42552</v>
      </c>
    </row>
    <row r="131" spans="1:38" x14ac:dyDescent="0.25">
      <c r="A131" t="s">
        <v>140</v>
      </c>
      <c r="B131" t="s">
        <v>63</v>
      </c>
      <c r="C131" t="s">
        <v>204</v>
      </c>
      <c r="D131" t="s">
        <v>673</v>
      </c>
      <c r="E131" t="s">
        <v>25</v>
      </c>
      <c r="F131" t="s">
        <v>184</v>
      </c>
      <c r="G131" t="s">
        <v>688</v>
      </c>
      <c r="H131" t="s">
        <v>185</v>
      </c>
      <c r="I131" t="s">
        <v>186</v>
      </c>
      <c r="J131" t="s">
        <v>190</v>
      </c>
      <c r="K131" t="s">
        <v>191</v>
      </c>
      <c r="L131" s="2">
        <v>-16</v>
      </c>
      <c r="M131" s="2">
        <v>-16</v>
      </c>
      <c r="N131" s="2">
        <v>0</v>
      </c>
      <c r="O131" t="s">
        <v>70</v>
      </c>
      <c r="P131" t="s">
        <v>126</v>
      </c>
      <c r="Q131" t="s">
        <v>85</v>
      </c>
      <c r="R131" t="s">
        <v>189</v>
      </c>
      <c r="S131" t="s">
        <v>13</v>
      </c>
      <c r="T131" t="s">
        <v>14</v>
      </c>
      <c r="U131" t="s">
        <v>15</v>
      </c>
      <c r="V131" t="s">
        <v>15</v>
      </c>
      <c r="W131" t="s">
        <v>16</v>
      </c>
      <c r="X131" t="s">
        <v>15</v>
      </c>
      <c r="Y131" t="s">
        <v>15</v>
      </c>
      <c r="Z131" t="s">
        <v>15</v>
      </c>
      <c r="AA131" t="s">
        <v>15</v>
      </c>
      <c r="AB131" t="s">
        <v>15</v>
      </c>
      <c r="AC131" t="s">
        <v>17</v>
      </c>
      <c r="AD131" s="3"/>
      <c r="AE131" t="s">
        <v>34</v>
      </c>
      <c r="AF131" t="s">
        <v>27</v>
      </c>
      <c r="AG131" t="s">
        <v>27</v>
      </c>
      <c r="AH131" s="3">
        <v>42627</v>
      </c>
      <c r="AI131" t="s">
        <v>73</v>
      </c>
      <c r="AJ131" t="s">
        <v>33</v>
      </c>
      <c r="AK131" t="s">
        <v>23</v>
      </c>
      <c r="AL131" s="3">
        <v>42552</v>
      </c>
    </row>
    <row r="132" spans="1:38" x14ac:dyDescent="0.25">
      <c r="A132" t="s">
        <v>140</v>
      </c>
      <c r="B132" t="s">
        <v>63</v>
      </c>
      <c r="C132" t="s">
        <v>553</v>
      </c>
      <c r="D132" t="s">
        <v>673</v>
      </c>
      <c r="E132" t="s">
        <v>3</v>
      </c>
      <c r="F132" t="s">
        <v>184</v>
      </c>
      <c r="G132" t="s">
        <v>688</v>
      </c>
      <c r="H132" t="s">
        <v>185</v>
      </c>
      <c r="I132" t="s">
        <v>186</v>
      </c>
      <c r="J132" t="s">
        <v>556</v>
      </c>
      <c r="K132" t="s">
        <v>557</v>
      </c>
      <c r="L132" s="2">
        <v>3304</v>
      </c>
      <c r="M132" s="2">
        <v>0</v>
      </c>
      <c r="N132" s="2">
        <v>3304</v>
      </c>
      <c r="O132" t="s">
        <v>70</v>
      </c>
      <c r="P132" t="s">
        <v>126</v>
      </c>
      <c r="Q132" t="s">
        <v>170</v>
      </c>
      <c r="R132" t="s">
        <v>555</v>
      </c>
      <c r="S132" t="s">
        <v>13</v>
      </c>
      <c r="T132" t="s">
        <v>14</v>
      </c>
      <c r="U132" t="s">
        <v>15</v>
      </c>
      <c r="V132" t="s">
        <v>15</v>
      </c>
      <c r="W132" t="s">
        <v>15</v>
      </c>
      <c r="X132" t="s">
        <v>15</v>
      </c>
      <c r="Y132" t="s">
        <v>16</v>
      </c>
      <c r="Z132" t="s">
        <v>15</v>
      </c>
      <c r="AA132" t="s">
        <v>16</v>
      </c>
      <c r="AB132" t="s">
        <v>15</v>
      </c>
      <c r="AC132" t="s">
        <v>17</v>
      </c>
      <c r="AD132" s="3">
        <v>42809</v>
      </c>
      <c r="AE132" t="s">
        <v>37</v>
      </c>
      <c r="AF132" t="s">
        <v>19</v>
      </c>
      <c r="AG132" t="s">
        <v>20</v>
      </c>
      <c r="AH132" s="3">
        <v>42768</v>
      </c>
      <c r="AI132" t="s">
        <v>73</v>
      </c>
      <c r="AJ132" t="s">
        <v>33</v>
      </c>
      <c r="AK132" t="s">
        <v>23</v>
      </c>
      <c r="AL132" s="3">
        <v>42768</v>
      </c>
    </row>
    <row r="133" spans="1:38" x14ac:dyDescent="0.25">
      <c r="A133" t="s">
        <v>140</v>
      </c>
      <c r="B133" t="s">
        <v>63</v>
      </c>
      <c r="C133" t="s">
        <v>553</v>
      </c>
      <c r="D133" t="s">
        <v>673</v>
      </c>
      <c r="E133" t="s">
        <v>3</v>
      </c>
      <c r="F133" t="s">
        <v>184</v>
      </c>
      <c r="G133" t="s">
        <v>688</v>
      </c>
      <c r="H133" t="s">
        <v>185</v>
      </c>
      <c r="I133" t="s">
        <v>186</v>
      </c>
      <c r="J133" t="s">
        <v>558</v>
      </c>
      <c r="K133" t="s">
        <v>188</v>
      </c>
      <c r="L133" s="2">
        <v>11600</v>
      </c>
      <c r="M133" s="2">
        <v>0</v>
      </c>
      <c r="N133" s="2">
        <v>11600</v>
      </c>
      <c r="O133" t="s">
        <v>70</v>
      </c>
      <c r="P133" t="s">
        <v>126</v>
      </c>
      <c r="Q133" t="s">
        <v>11</v>
      </c>
      <c r="R133" t="s">
        <v>555</v>
      </c>
      <c r="S133" t="s">
        <v>13</v>
      </c>
      <c r="T133" t="s">
        <v>14</v>
      </c>
      <c r="U133" t="s">
        <v>15</v>
      </c>
      <c r="V133" t="s">
        <v>15</v>
      </c>
      <c r="W133" t="s">
        <v>15</v>
      </c>
      <c r="X133" t="s">
        <v>15</v>
      </c>
      <c r="Y133" t="s">
        <v>16</v>
      </c>
      <c r="Z133" t="s">
        <v>15</v>
      </c>
      <c r="AA133" t="s">
        <v>16</v>
      </c>
      <c r="AB133" t="s">
        <v>15</v>
      </c>
      <c r="AC133" t="s">
        <v>17</v>
      </c>
      <c r="AD133" s="3">
        <v>42809</v>
      </c>
      <c r="AE133" t="s">
        <v>35</v>
      </c>
      <c r="AF133" t="s">
        <v>19</v>
      </c>
      <c r="AG133" t="s">
        <v>20</v>
      </c>
      <c r="AH133" s="3">
        <v>42768</v>
      </c>
      <c r="AI133" t="s">
        <v>73</v>
      </c>
      <c r="AJ133" t="s">
        <v>33</v>
      </c>
      <c r="AK133" t="s">
        <v>23</v>
      </c>
      <c r="AL133" s="3">
        <v>42768</v>
      </c>
    </row>
    <row r="134" spans="1:38" x14ac:dyDescent="0.25">
      <c r="A134" t="s">
        <v>140</v>
      </c>
      <c r="B134" t="s">
        <v>63</v>
      </c>
      <c r="C134" t="s">
        <v>183</v>
      </c>
      <c r="D134" t="s">
        <v>673</v>
      </c>
      <c r="E134" t="s">
        <v>43</v>
      </c>
      <c r="F134" t="s">
        <v>184</v>
      </c>
      <c r="G134" t="s">
        <v>688</v>
      </c>
      <c r="H134" t="s">
        <v>185</v>
      </c>
      <c r="I134" t="s">
        <v>186</v>
      </c>
      <c r="J134" t="s">
        <v>187</v>
      </c>
      <c r="K134" t="s">
        <v>188</v>
      </c>
      <c r="L134" s="2">
        <v>24</v>
      </c>
      <c r="M134" s="2">
        <v>24</v>
      </c>
      <c r="N134" s="2">
        <v>0</v>
      </c>
      <c r="O134" t="s">
        <v>70</v>
      </c>
      <c r="P134" t="s">
        <v>126</v>
      </c>
      <c r="Q134" t="s">
        <v>11</v>
      </c>
      <c r="R134" t="s">
        <v>189</v>
      </c>
      <c r="S134" t="s">
        <v>13</v>
      </c>
      <c r="T134" t="s">
        <v>14</v>
      </c>
      <c r="U134" t="s">
        <v>15</v>
      </c>
      <c r="V134" t="s">
        <v>15</v>
      </c>
      <c r="W134" t="s">
        <v>16</v>
      </c>
      <c r="X134" t="s">
        <v>15</v>
      </c>
      <c r="Y134" t="s">
        <v>15</v>
      </c>
      <c r="Z134" t="s">
        <v>15</v>
      </c>
      <c r="AA134" t="s">
        <v>15</v>
      </c>
      <c r="AB134" t="s">
        <v>15</v>
      </c>
      <c r="AC134" t="s">
        <v>17</v>
      </c>
      <c r="AD134" s="3">
        <v>42627</v>
      </c>
      <c r="AE134" t="s">
        <v>18</v>
      </c>
      <c r="AF134" t="s">
        <v>19</v>
      </c>
      <c r="AG134" t="s">
        <v>44</v>
      </c>
      <c r="AH134" s="3">
        <v>42627</v>
      </c>
      <c r="AI134" t="s">
        <v>73</v>
      </c>
      <c r="AJ134" t="s">
        <v>33</v>
      </c>
      <c r="AK134" t="s">
        <v>23</v>
      </c>
      <c r="AL134" s="3">
        <v>42552</v>
      </c>
    </row>
    <row r="135" spans="1:38" x14ac:dyDescent="0.25">
      <c r="A135" t="s">
        <v>140</v>
      </c>
      <c r="B135" t="s">
        <v>63</v>
      </c>
      <c r="C135" t="s">
        <v>196</v>
      </c>
      <c r="D135" t="s">
        <v>673</v>
      </c>
      <c r="E135" t="s">
        <v>43</v>
      </c>
      <c r="F135" t="s">
        <v>184</v>
      </c>
      <c r="G135" t="s">
        <v>688</v>
      </c>
      <c r="H135" t="s">
        <v>185</v>
      </c>
      <c r="I135" t="s">
        <v>186</v>
      </c>
      <c r="J135" t="s">
        <v>187</v>
      </c>
      <c r="K135" t="s">
        <v>188</v>
      </c>
      <c r="L135" s="2">
        <v>4</v>
      </c>
      <c r="M135" s="2">
        <v>4</v>
      </c>
      <c r="N135" s="2">
        <v>0</v>
      </c>
      <c r="O135" t="s">
        <v>70</v>
      </c>
      <c r="P135" t="s">
        <v>126</v>
      </c>
      <c r="Q135" t="s">
        <v>11</v>
      </c>
      <c r="R135" t="s">
        <v>189</v>
      </c>
      <c r="S135" t="s">
        <v>13</v>
      </c>
      <c r="T135" t="s">
        <v>14</v>
      </c>
      <c r="U135" t="s">
        <v>15</v>
      </c>
      <c r="V135" t="s">
        <v>15</v>
      </c>
      <c r="W135" t="s">
        <v>16</v>
      </c>
      <c r="X135" t="s">
        <v>15</v>
      </c>
      <c r="Y135" t="s">
        <v>15</v>
      </c>
      <c r="Z135" t="s">
        <v>15</v>
      </c>
      <c r="AA135" t="s">
        <v>15</v>
      </c>
      <c r="AB135" t="s">
        <v>15</v>
      </c>
      <c r="AC135" t="s">
        <v>17</v>
      </c>
      <c r="AD135" s="3">
        <v>42627</v>
      </c>
      <c r="AE135" t="s">
        <v>18</v>
      </c>
      <c r="AF135" t="s">
        <v>19</v>
      </c>
      <c r="AG135" t="s">
        <v>44</v>
      </c>
      <c r="AH135" s="3">
        <v>42627</v>
      </c>
      <c r="AI135" t="s">
        <v>73</v>
      </c>
      <c r="AJ135" t="s">
        <v>33</v>
      </c>
      <c r="AK135" t="s">
        <v>23</v>
      </c>
      <c r="AL135" s="3">
        <v>42552</v>
      </c>
    </row>
    <row r="136" spans="1:38" x14ac:dyDescent="0.25">
      <c r="A136" t="s">
        <v>140</v>
      </c>
      <c r="B136" t="s">
        <v>63</v>
      </c>
      <c r="C136" t="s">
        <v>201</v>
      </c>
      <c r="D136" t="s">
        <v>673</v>
      </c>
      <c r="E136" t="s">
        <v>25</v>
      </c>
      <c r="F136" t="s">
        <v>184</v>
      </c>
      <c r="G136" t="s">
        <v>688</v>
      </c>
      <c r="H136" t="s">
        <v>185</v>
      </c>
      <c r="I136" t="s">
        <v>186</v>
      </c>
      <c r="J136" t="s">
        <v>187</v>
      </c>
      <c r="K136" t="s">
        <v>188</v>
      </c>
      <c r="L136" s="2">
        <v>-52</v>
      </c>
      <c r="M136" s="2">
        <v>-52</v>
      </c>
      <c r="N136" s="2">
        <v>0</v>
      </c>
      <c r="O136" t="s">
        <v>70</v>
      </c>
      <c r="P136" t="s">
        <v>126</v>
      </c>
      <c r="Q136" t="s">
        <v>11</v>
      </c>
      <c r="R136" t="s">
        <v>189</v>
      </c>
      <c r="S136" t="s">
        <v>13</v>
      </c>
      <c r="T136" t="s">
        <v>14</v>
      </c>
      <c r="U136" t="s">
        <v>15</v>
      </c>
      <c r="V136" t="s">
        <v>15</v>
      </c>
      <c r="W136" t="s">
        <v>16</v>
      </c>
      <c r="X136" t="s">
        <v>15</v>
      </c>
      <c r="Y136" t="s">
        <v>15</v>
      </c>
      <c r="Z136" t="s">
        <v>15</v>
      </c>
      <c r="AA136" t="s">
        <v>15</v>
      </c>
      <c r="AB136" t="s">
        <v>15</v>
      </c>
      <c r="AC136" t="s">
        <v>17</v>
      </c>
      <c r="AD136" s="3"/>
      <c r="AE136" t="s">
        <v>18</v>
      </c>
      <c r="AF136" t="s">
        <v>27</v>
      </c>
      <c r="AG136" t="s">
        <v>27</v>
      </c>
      <c r="AH136" s="3">
        <v>42627</v>
      </c>
      <c r="AI136" t="s">
        <v>73</v>
      </c>
      <c r="AJ136" t="s">
        <v>33</v>
      </c>
      <c r="AK136" t="s">
        <v>23</v>
      </c>
      <c r="AL136" s="3">
        <v>42552</v>
      </c>
    </row>
    <row r="137" spans="1:38" x14ac:dyDescent="0.25">
      <c r="A137" t="s">
        <v>140</v>
      </c>
      <c r="B137" t="s">
        <v>63</v>
      </c>
      <c r="C137" t="s">
        <v>202</v>
      </c>
      <c r="D137" t="s">
        <v>673</v>
      </c>
      <c r="E137" t="s">
        <v>3</v>
      </c>
      <c r="F137" t="s">
        <v>184</v>
      </c>
      <c r="G137" t="s">
        <v>688</v>
      </c>
      <c r="H137" t="s">
        <v>185</v>
      </c>
      <c r="I137" t="s">
        <v>186</v>
      </c>
      <c r="J137" t="s">
        <v>187</v>
      </c>
      <c r="K137" t="s">
        <v>188</v>
      </c>
      <c r="L137" s="2">
        <v>52</v>
      </c>
      <c r="M137" s="2">
        <v>52</v>
      </c>
      <c r="N137" s="2">
        <v>0</v>
      </c>
      <c r="O137" t="s">
        <v>70</v>
      </c>
      <c r="P137" t="s">
        <v>126</v>
      </c>
      <c r="Q137" t="s">
        <v>11</v>
      </c>
      <c r="R137" t="s">
        <v>189</v>
      </c>
      <c r="S137" t="s">
        <v>13</v>
      </c>
      <c r="T137" t="s">
        <v>14</v>
      </c>
      <c r="U137" t="s">
        <v>15</v>
      </c>
      <c r="V137" t="s">
        <v>15</v>
      </c>
      <c r="W137" t="s">
        <v>16</v>
      </c>
      <c r="X137" t="s">
        <v>15</v>
      </c>
      <c r="Y137" t="s">
        <v>15</v>
      </c>
      <c r="Z137" t="s">
        <v>15</v>
      </c>
      <c r="AA137" t="s">
        <v>15</v>
      </c>
      <c r="AB137" t="s">
        <v>15</v>
      </c>
      <c r="AC137" t="s">
        <v>17</v>
      </c>
      <c r="AD137" s="3">
        <v>42627</v>
      </c>
      <c r="AE137" t="s">
        <v>18</v>
      </c>
      <c r="AF137" t="s">
        <v>19</v>
      </c>
      <c r="AG137" t="s">
        <v>20</v>
      </c>
      <c r="AH137" s="3">
        <v>42627</v>
      </c>
      <c r="AI137" t="s">
        <v>73</v>
      </c>
      <c r="AJ137" t="s">
        <v>33</v>
      </c>
      <c r="AK137" t="s">
        <v>23</v>
      </c>
      <c r="AL137" s="3">
        <v>42552</v>
      </c>
    </row>
    <row r="138" spans="1:38" x14ac:dyDescent="0.25">
      <c r="A138" t="s">
        <v>140</v>
      </c>
      <c r="B138" t="s">
        <v>63</v>
      </c>
      <c r="C138" t="s">
        <v>203</v>
      </c>
      <c r="D138" t="s">
        <v>673</v>
      </c>
      <c r="E138" t="s">
        <v>25</v>
      </c>
      <c r="F138" t="s">
        <v>184</v>
      </c>
      <c r="G138" t="s">
        <v>688</v>
      </c>
      <c r="H138" t="s">
        <v>185</v>
      </c>
      <c r="I138" t="s">
        <v>186</v>
      </c>
      <c r="J138" t="s">
        <v>187</v>
      </c>
      <c r="K138" t="s">
        <v>188</v>
      </c>
      <c r="L138" s="2">
        <v>-4</v>
      </c>
      <c r="M138" s="2">
        <v>-4</v>
      </c>
      <c r="N138" s="2">
        <v>0</v>
      </c>
      <c r="O138" t="s">
        <v>70</v>
      </c>
      <c r="P138" t="s">
        <v>126</v>
      </c>
      <c r="Q138" t="s">
        <v>11</v>
      </c>
      <c r="R138" t="s">
        <v>189</v>
      </c>
      <c r="S138" t="s">
        <v>13</v>
      </c>
      <c r="T138" t="s">
        <v>14</v>
      </c>
      <c r="U138" t="s">
        <v>15</v>
      </c>
      <c r="V138" t="s">
        <v>15</v>
      </c>
      <c r="W138" t="s">
        <v>16</v>
      </c>
      <c r="X138" t="s">
        <v>15</v>
      </c>
      <c r="Y138" t="s">
        <v>15</v>
      </c>
      <c r="Z138" t="s">
        <v>15</v>
      </c>
      <c r="AA138" t="s">
        <v>15</v>
      </c>
      <c r="AB138" t="s">
        <v>15</v>
      </c>
      <c r="AC138" t="s">
        <v>17</v>
      </c>
      <c r="AD138" s="3"/>
      <c r="AE138" t="s">
        <v>18</v>
      </c>
      <c r="AF138" t="s">
        <v>27</v>
      </c>
      <c r="AG138" t="s">
        <v>27</v>
      </c>
      <c r="AH138" s="3">
        <v>42627</v>
      </c>
      <c r="AI138" t="s">
        <v>73</v>
      </c>
      <c r="AJ138" t="s">
        <v>33</v>
      </c>
      <c r="AK138" t="s">
        <v>23</v>
      </c>
      <c r="AL138" s="3">
        <v>42552</v>
      </c>
    </row>
    <row r="139" spans="1:38" x14ac:dyDescent="0.25">
      <c r="A139" t="s">
        <v>140</v>
      </c>
      <c r="B139" t="s">
        <v>63</v>
      </c>
      <c r="C139" t="s">
        <v>204</v>
      </c>
      <c r="D139" t="s">
        <v>673</v>
      </c>
      <c r="E139" t="s">
        <v>25</v>
      </c>
      <c r="F139" t="s">
        <v>184</v>
      </c>
      <c r="G139" t="s">
        <v>688</v>
      </c>
      <c r="H139" t="s">
        <v>185</v>
      </c>
      <c r="I139" t="s">
        <v>186</v>
      </c>
      <c r="J139" t="s">
        <v>187</v>
      </c>
      <c r="K139" t="s">
        <v>188</v>
      </c>
      <c r="L139" s="2">
        <v>-24</v>
      </c>
      <c r="M139" s="2">
        <v>-24</v>
      </c>
      <c r="N139" s="2">
        <v>0</v>
      </c>
      <c r="O139" t="s">
        <v>70</v>
      </c>
      <c r="P139" t="s">
        <v>126</v>
      </c>
      <c r="Q139" t="s">
        <v>11</v>
      </c>
      <c r="R139" t="s">
        <v>189</v>
      </c>
      <c r="S139" t="s">
        <v>13</v>
      </c>
      <c r="T139" t="s">
        <v>14</v>
      </c>
      <c r="U139" t="s">
        <v>15</v>
      </c>
      <c r="V139" t="s">
        <v>15</v>
      </c>
      <c r="W139" t="s">
        <v>16</v>
      </c>
      <c r="X139" t="s">
        <v>15</v>
      </c>
      <c r="Y139" t="s">
        <v>15</v>
      </c>
      <c r="Z139" t="s">
        <v>15</v>
      </c>
      <c r="AA139" t="s">
        <v>15</v>
      </c>
      <c r="AB139" t="s">
        <v>15</v>
      </c>
      <c r="AC139" t="s">
        <v>17</v>
      </c>
      <c r="AD139" s="3"/>
      <c r="AE139" t="s">
        <v>18</v>
      </c>
      <c r="AF139" t="s">
        <v>27</v>
      </c>
      <c r="AG139" t="s">
        <v>27</v>
      </c>
      <c r="AH139" s="3">
        <v>42627</v>
      </c>
      <c r="AI139" t="s">
        <v>73</v>
      </c>
      <c r="AJ139" t="s">
        <v>33</v>
      </c>
      <c r="AK139" t="s">
        <v>23</v>
      </c>
      <c r="AL139" s="3">
        <v>42552</v>
      </c>
    </row>
    <row r="140" spans="1:38" x14ac:dyDescent="0.25">
      <c r="A140" t="s">
        <v>140</v>
      </c>
      <c r="B140" t="s">
        <v>63</v>
      </c>
      <c r="C140" t="s">
        <v>553</v>
      </c>
      <c r="D140" t="s">
        <v>673</v>
      </c>
      <c r="E140" t="s">
        <v>3</v>
      </c>
      <c r="F140" t="s">
        <v>184</v>
      </c>
      <c r="G140" t="s">
        <v>688</v>
      </c>
      <c r="H140" t="s">
        <v>185</v>
      </c>
      <c r="I140" t="s">
        <v>186</v>
      </c>
      <c r="J140" t="s">
        <v>559</v>
      </c>
      <c r="K140" t="s">
        <v>560</v>
      </c>
      <c r="L140" s="2">
        <v>960</v>
      </c>
      <c r="M140" s="2">
        <v>0</v>
      </c>
      <c r="N140" s="2">
        <v>960</v>
      </c>
      <c r="O140" t="s">
        <v>70</v>
      </c>
      <c r="P140" t="s">
        <v>126</v>
      </c>
      <c r="Q140" t="s">
        <v>11</v>
      </c>
      <c r="R140" t="s">
        <v>561</v>
      </c>
      <c r="S140" t="s">
        <v>13</v>
      </c>
      <c r="T140" t="s">
        <v>14</v>
      </c>
      <c r="U140" t="s">
        <v>15</v>
      </c>
      <c r="V140" t="s">
        <v>15</v>
      </c>
      <c r="W140" t="s">
        <v>15</v>
      </c>
      <c r="X140" t="s">
        <v>31</v>
      </c>
      <c r="Y140" t="s">
        <v>16</v>
      </c>
      <c r="Z140" t="s">
        <v>15</v>
      </c>
      <c r="AA140" t="s">
        <v>16</v>
      </c>
      <c r="AB140" t="s">
        <v>15</v>
      </c>
      <c r="AC140" t="s">
        <v>17</v>
      </c>
      <c r="AD140" s="3">
        <v>42809</v>
      </c>
      <c r="AE140" t="s">
        <v>128</v>
      </c>
      <c r="AF140" t="s">
        <v>19</v>
      </c>
      <c r="AG140" t="s">
        <v>20</v>
      </c>
      <c r="AH140" s="3">
        <v>42768</v>
      </c>
      <c r="AI140" t="s">
        <v>73</v>
      </c>
      <c r="AJ140" t="s">
        <v>33</v>
      </c>
      <c r="AK140" t="s">
        <v>23</v>
      </c>
      <c r="AL140" s="3">
        <v>42768</v>
      </c>
    </row>
    <row r="141" spans="1:38" x14ac:dyDescent="0.25">
      <c r="A141" t="s">
        <v>140</v>
      </c>
      <c r="B141" t="s">
        <v>63</v>
      </c>
      <c r="C141" t="s">
        <v>553</v>
      </c>
      <c r="D141" t="s">
        <v>673</v>
      </c>
      <c r="E141" t="s">
        <v>3</v>
      </c>
      <c r="F141" t="s">
        <v>184</v>
      </c>
      <c r="G141" t="s">
        <v>688</v>
      </c>
      <c r="H141" t="s">
        <v>185</v>
      </c>
      <c r="I141" t="s">
        <v>186</v>
      </c>
      <c r="J141" t="s">
        <v>562</v>
      </c>
      <c r="K141" t="s">
        <v>199</v>
      </c>
      <c r="L141" s="2">
        <v>1280</v>
      </c>
      <c r="M141" s="2">
        <v>0</v>
      </c>
      <c r="N141" s="2">
        <v>1280</v>
      </c>
      <c r="O141" t="s">
        <v>70</v>
      </c>
      <c r="P141" t="s">
        <v>126</v>
      </c>
      <c r="Q141" t="s">
        <v>11</v>
      </c>
      <c r="R141" t="s">
        <v>563</v>
      </c>
      <c r="S141" t="s">
        <v>13</v>
      </c>
      <c r="T141" t="s">
        <v>14</v>
      </c>
      <c r="U141" t="s">
        <v>15</v>
      </c>
      <c r="V141" t="s">
        <v>16</v>
      </c>
      <c r="W141" t="s">
        <v>15</v>
      </c>
      <c r="X141" t="s">
        <v>15</v>
      </c>
      <c r="Y141" t="s">
        <v>15</v>
      </c>
      <c r="Z141" t="s">
        <v>15</v>
      </c>
      <c r="AA141" t="s">
        <v>16</v>
      </c>
      <c r="AB141" t="s">
        <v>15</v>
      </c>
      <c r="AC141" t="s">
        <v>17</v>
      </c>
      <c r="AD141" s="3">
        <v>42809</v>
      </c>
      <c r="AE141" t="s">
        <v>18</v>
      </c>
      <c r="AF141" t="s">
        <v>19</v>
      </c>
      <c r="AG141" t="s">
        <v>20</v>
      </c>
      <c r="AH141" s="3">
        <v>42768</v>
      </c>
      <c r="AI141" t="s">
        <v>73</v>
      </c>
      <c r="AJ141" t="s">
        <v>33</v>
      </c>
      <c r="AK141" t="s">
        <v>23</v>
      </c>
      <c r="AL141" s="3">
        <v>42768</v>
      </c>
    </row>
    <row r="142" spans="1:38" x14ac:dyDescent="0.25">
      <c r="A142" t="s">
        <v>140</v>
      </c>
      <c r="B142" t="s">
        <v>63</v>
      </c>
      <c r="C142" t="s">
        <v>197</v>
      </c>
      <c r="D142" t="s">
        <v>673</v>
      </c>
      <c r="E142" t="s">
        <v>25</v>
      </c>
      <c r="F142" t="s">
        <v>184</v>
      </c>
      <c r="G142" t="s">
        <v>688</v>
      </c>
      <c r="H142" t="s">
        <v>185</v>
      </c>
      <c r="I142" t="s">
        <v>186</v>
      </c>
      <c r="J142" t="s">
        <v>198</v>
      </c>
      <c r="K142" t="s">
        <v>199</v>
      </c>
      <c r="L142" s="2">
        <v>-52</v>
      </c>
      <c r="M142" s="2">
        <v>-52</v>
      </c>
      <c r="N142" s="2">
        <v>0</v>
      </c>
      <c r="O142" t="s">
        <v>70</v>
      </c>
      <c r="P142" t="s">
        <v>126</v>
      </c>
      <c r="Q142" t="s">
        <v>11</v>
      </c>
      <c r="R142" t="s">
        <v>200</v>
      </c>
      <c r="S142" t="s">
        <v>13</v>
      </c>
      <c r="T142" t="s">
        <v>14</v>
      </c>
      <c r="U142" t="s">
        <v>15</v>
      </c>
      <c r="V142" t="s">
        <v>16</v>
      </c>
      <c r="W142" t="s">
        <v>16</v>
      </c>
      <c r="X142" t="s">
        <v>15</v>
      </c>
      <c r="Y142" t="s">
        <v>15</v>
      </c>
      <c r="Z142" t="s">
        <v>15</v>
      </c>
      <c r="AA142" t="s">
        <v>15</v>
      </c>
      <c r="AB142" t="s">
        <v>15</v>
      </c>
      <c r="AC142" t="s">
        <v>17</v>
      </c>
      <c r="AD142" s="3"/>
      <c r="AE142" t="s">
        <v>18</v>
      </c>
      <c r="AF142" t="s">
        <v>27</v>
      </c>
      <c r="AG142" t="s">
        <v>27</v>
      </c>
      <c r="AH142" s="3">
        <v>42627</v>
      </c>
      <c r="AI142" t="s">
        <v>73</v>
      </c>
      <c r="AJ142" t="s">
        <v>33</v>
      </c>
      <c r="AK142" t="s">
        <v>23</v>
      </c>
      <c r="AL142" s="3">
        <v>42552</v>
      </c>
    </row>
    <row r="143" spans="1:38" x14ac:dyDescent="0.25">
      <c r="A143" t="s">
        <v>140</v>
      </c>
      <c r="B143" t="s">
        <v>63</v>
      </c>
      <c r="C143" t="s">
        <v>205</v>
      </c>
      <c r="D143" t="s">
        <v>673</v>
      </c>
      <c r="E143" t="s">
        <v>43</v>
      </c>
      <c r="F143" t="s">
        <v>184</v>
      </c>
      <c r="G143" t="s">
        <v>688</v>
      </c>
      <c r="H143" t="s">
        <v>185</v>
      </c>
      <c r="I143" t="s">
        <v>186</v>
      </c>
      <c r="J143" t="s">
        <v>198</v>
      </c>
      <c r="K143" t="s">
        <v>199</v>
      </c>
      <c r="L143" s="2">
        <v>52</v>
      </c>
      <c r="M143" s="2">
        <v>52</v>
      </c>
      <c r="N143" s="2">
        <v>0</v>
      </c>
      <c r="O143" t="s">
        <v>70</v>
      </c>
      <c r="P143" t="s">
        <v>126</v>
      </c>
      <c r="Q143" t="s">
        <v>11</v>
      </c>
      <c r="R143" t="s">
        <v>200</v>
      </c>
      <c r="S143" t="s">
        <v>13</v>
      </c>
      <c r="T143" t="s">
        <v>14</v>
      </c>
      <c r="U143" t="s">
        <v>15</v>
      </c>
      <c r="V143" t="s">
        <v>16</v>
      </c>
      <c r="W143" t="s">
        <v>16</v>
      </c>
      <c r="X143" t="s">
        <v>15</v>
      </c>
      <c r="Y143" t="s">
        <v>15</v>
      </c>
      <c r="Z143" t="s">
        <v>15</v>
      </c>
      <c r="AA143" t="s">
        <v>15</v>
      </c>
      <c r="AB143" t="s">
        <v>15</v>
      </c>
      <c r="AC143" t="s">
        <v>17</v>
      </c>
      <c r="AD143" s="3">
        <v>42627</v>
      </c>
      <c r="AE143" t="s">
        <v>18</v>
      </c>
      <c r="AF143" t="s">
        <v>19</v>
      </c>
      <c r="AG143" t="s">
        <v>44</v>
      </c>
      <c r="AH143" s="3">
        <v>42627</v>
      </c>
      <c r="AI143" t="s">
        <v>73</v>
      </c>
      <c r="AJ143" t="s">
        <v>33</v>
      </c>
      <c r="AK143" t="s">
        <v>23</v>
      </c>
      <c r="AL143" s="3">
        <v>42552</v>
      </c>
    </row>
    <row r="144" spans="1:38" x14ac:dyDescent="0.25">
      <c r="A144" t="s">
        <v>140</v>
      </c>
      <c r="B144" t="s">
        <v>63</v>
      </c>
      <c r="C144" t="s">
        <v>553</v>
      </c>
      <c r="D144" t="s">
        <v>673</v>
      </c>
      <c r="E144" t="s">
        <v>3</v>
      </c>
      <c r="F144" t="s">
        <v>184</v>
      </c>
      <c r="G144" t="s">
        <v>688</v>
      </c>
      <c r="H144" t="s">
        <v>564</v>
      </c>
      <c r="I144" t="s">
        <v>565</v>
      </c>
      <c r="J144" t="s">
        <v>566</v>
      </c>
      <c r="K144" t="s">
        <v>567</v>
      </c>
      <c r="L144" s="2">
        <v>144</v>
      </c>
      <c r="M144" s="2">
        <v>0</v>
      </c>
      <c r="N144" s="2">
        <v>144</v>
      </c>
      <c r="O144" t="s">
        <v>70</v>
      </c>
      <c r="P144" t="s">
        <v>157</v>
      </c>
      <c r="Q144" t="s">
        <v>85</v>
      </c>
      <c r="R144" t="s">
        <v>563</v>
      </c>
      <c r="S144" t="s">
        <v>13</v>
      </c>
      <c r="T144" t="s">
        <v>14</v>
      </c>
      <c r="U144" t="s">
        <v>15</v>
      </c>
      <c r="V144" t="s">
        <v>16</v>
      </c>
      <c r="W144" t="s">
        <v>15</v>
      </c>
      <c r="X144" t="s">
        <v>15</v>
      </c>
      <c r="Y144" t="s">
        <v>15</v>
      </c>
      <c r="Z144" t="s">
        <v>15</v>
      </c>
      <c r="AA144" t="s">
        <v>16</v>
      </c>
      <c r="AB144" t="s">
        <v>15</v>
      </c>
      <c r="AC144" t="s">
        <v>17</v>
      </c>
      <c r="AD144" s="3">
        <v>42809</v>
      </c>
      <c r="AE144" t="s">
        <v>129</v>
      </c>
      <c r="AF144" t="s">
        <v>19</v>
      </c>
      <c r="AG144" t="s">
        <v>20</v>
      </c>
      <c r="AH144" s="3">
        <v>42768</v>
      </c>
      <c r="AI144" t="s">
        <v>73</v>
      </c>
      <c r="AJ144" t="s">
        <v>33</v>
      </c>
      <c r="AK144" t="s">
        <v>23</v>
      </c>
      <c r="AL144" s="3">
        <v>42768</v>
      </c>
    </row>
    <row r="145" spans="1:38" x14ac:dyDescent="0.25">
      <c r="A145" t="s">
        <v>140</v>
      </c>
      <c r="B145" t="s">
        <v>63</v>
      </c>
      <c r="C145" t="s">
        <v>553</v>
      </c>
      <c r="D145" t="s">
        <v>673</v>
      </c>
      <c r="E145" t="s">
        <v>3</v>
      </c>
      <c r="F145" t="s">
        <v>184</v>
      </c>
      <c r="G145" t="s">
        <v>688</v>
      </c>
      <c r="H145" t="s">
        <v>192</v>
      </c>
      <c r="I145" t="s">
        <v>193</v>
      </c>
      <c r="J145" t="s">
        <v>568</v>
      </c>
      <c r="K145" t="s">
        <v>569</v>
      </c>
      <c r="L145" s="2">
        <v>488</v>
      </c>
      <c r="M145" s="2">
        <v>0</v>
      </c>
      <c r="N145" s="2">
        <v>488</v>
      </c>
      <c r="O145" t="s">
        <v>70</v>
      </c>
      <c r="P145" t="s">
        <v>51</v>
      </c>
      <c r="Q145" t="s">
        <v>85</v>
      </c>
      <c r="R145" t="s">
        <v>555</v>
      </c>
      <c r="S145" t="s">
        <v>13</v>
      </c>
      <c r="T145" t="s">
        <v>14</v>
      </c>
      <c r="U145" t="s">
        <v>15</v>
      </c>
      <c r="V145" t="s">
        <v>15</v>
      </c>
      <c r="W145" t="s">
        <v>15</v>
      </c>
      <c r="X145" t="s">
        <v>15</v>
      </c>
      <c r="Y145" t="s">
        <v>16</v>
      </c>
      <c r="Z145" t="s">
        <v>15</v>
      </c>
      <c r="AA145" t="s">
        <v>16</v>
      </c>
      <c r="AB145" t="s">
        <v>15</v>
      </c>
      <c r="AC145" t="s">
        <v>17</v>
      </c>
      <c r="AD145" s="3">
        <v>42809</v>
      </c>
      <c r="AE145" t="s">
        <v>131</v>
      </c>
      <c r="AF145" t="s">
        <v>19</v>
      </c>
      <c r="AG145" t="s">
        <v>20</v>
      </c>
      <c r="AH145" s="3">
        <v>42768</v>
      </c>
      <c r="AI145" t="s">
        <v>73</v>
      </c>
      <c r="AJ145" t="s">
        <v>33</v>
      </c>
      <c r="AK145" t="s">
        <v>23</v>
      </c>
      <c r="AL145" s="3">
        <v>42768</v>
      </c>
    </row>
    <row r="146" spans="1:38" x14ac:dyDescent="0.25">
      <c r="A146" t="s">
        <v>140</v>
      </c>
      <c r="B146" t="s">
        <v>63</v>
      </c>
      <c r="C146" t="s">
        <v>553</v>
      </c>
      <c r="D146" t="s">
        <v>673</v>
      </c>
      <c r="E146" t="s">
        <v>3</v>
      </c>
      <c r="F146" t="s">
        <v>184</v>
      </c>
      <c r="G146" t="s">
        <v>688</v>
      </c>
      <c r="H146" t="s">
        <v>192</v>
      </c>
      <c r="I146" t="s">
        <v>193</v>
      </c>
      <c r="J146" t="s">
        <v>570</v>
      </c>
      <c r="K146" t="s">
        <v>571</v>
      </c>
      <c r="L146" s="2">
        <v>196</v>
      </c>
      <c r="M146" s="2">
        <v>0</v>
      </c>
      <c r="N146" s="2">
        <v>196</v>
      </c>
      <c r="O146" t="s">
        <v>70</v>
      </c>
      <c r="P146" t="s">
        <v>51</v>
      </c>
      <c r="Q146" t="s">
        <v>170</v>
      </c>
      <c r="R146" t="s">
        <v>555</v>
      </c>
      <c r="S146" t="s">
        <v>13</v>
      </c>
      <c r="T146" t="s">
        <v>14</v>
      </c>
      <c r="U146" t="s">
        <v>15</v>
      </c>
      <c r="V146" t="s">
        <v>15</v>
      </c>
      <c r="W146" t="s">
        <v>15</v>
      </c>
      <c r="X146" t="s">
        <v>15</v>
      </c>
      <c r="Y146" t="s">
        <v>16</v>
      </c>
      <c r="Z146" t="s">
        <v>15</v>
      </c>
      <c r="AA146" t="s">
        <v>16</v>
      </c>
      <c r="AB146" t="s">
        <v>15</v>
      </c>
      <c r="AC146" t="s">
        <v>17</v>
      </c>
      <c r="AD146" s="3">
        <v>42809</v>
      </c>
      <c r="AE146" t="s">
        <v>326</v>
      </c>
      <c r="AF146" t="s">
        <v>19</v>
      </c>
      <c r="AG146" t="s">
        <v>20</v>
      </c>
      <c r="AH146" s="3">
        <v>42768</v>
      </c>
      <c r="AI146" t="s">
        <v>73</v>
      </c>
      <c r="AJ146" t="s">
        <v>33</v>
      </c>
      <c r="AK146" t="s">
        <v>23</v>
      </c>
      <c r="AL146" s="3">
        <v>42768</v>
      </c>
    </row>
    <row r="147" spans="1:38" x14ac:dyDescent="0.25">
      <c r="A147" t="s">
        <v>140</v>
      </c>
      <c r="B147" t="s">
        <v>63</v>
      </c>
      <c r="C147" t="s">
        <v>553</v>
      </c>
      <c r="D147" t="s">
        <v>673</v>
      </c>
      <c r="E147" t="s">
        <v>3</v>
      </c>
      <c r="F147" t="s">
        <v>184</v>
      </c>
      <c r="G147" t="s">
        <v>688</v>
      </c>
      <c r="H147" t="s">
        <v>192</v>
      </c>
      <c r="I147" t="s">
        <v>193</v>
      </c>
      <c r="J147" t="s">
        <v>572</v>
      </c>
      <c r="K147" t="s">
        <v>195</v>
      </c>
      <c r="L147" s="2">
        <v>1624</v>
      </c>
      <c r="M147" s="2">
        <v>0</v>
      </c>
      <c r="N147" s="2">
        <v>1624</v>
      </c>
      <c r="O147" t="s">
        <v>70</v>
      </c>
      <c r="P147" t="s">
        <v>51</v>
      </c>
      <c r="Q147" t="s">
        <v>11</v>
      </c>
      <c r="R147" t="s">
        <v>555</v>
      </c>
      <c r="S147" t="s">
        <v>13</v>
      </c>
      <c r="T147" t="s">
        <v>14</v>
      </c>
      <c r="U147" t="s">
        <v>15</v>
      </c>
      <c r="V147" t="s">
        <v>15</v>
      </c>
      <c r="W147" t="s">
        <v>15</v>
      </c>
      <c r="X147" t="s">
        <v>15</v>
      </c>
      <c r="Y147" t="s">
        <v>16</v>
      </c>
      <c r="Z147" t="s">
        <v>15</v>
      </c>
      <c r="AA147" t="s">
        <v>16</v>
      </c>
      <c r="AB147" t="s">
        <v>15</v>
      </c>
      <c r="AC147" t="s">
        <v>17</v>
      </c>
      <c r="AD147" s="3">
        <v>42809</v>
      </c>
      <c r="AE147" t="s">
        <v>327</v>
      </c>
      <c r="AF147" t="s">
        <v>19</v>
      </c>
      <c r="AG147" t="s">
        <v>20</v>
      </c>
      <c r="AH147" s="3">
        <v>42768</v>
      </c>
      <c r="AI147" t="s">
        <v>73</v>
      </c>
      <c r="AJ147" t="s">
        <v>33</v>
      </c>
      <c r="AK147" t="s">
        <v>23</v>
      </c>
      <c r="AL147" s="3">
        <v>42768</v>
      </c>
    </row>
    <row r="148" spans="1:38" x14ac:dyDescent="0.25">
      <c r="A148" t="s">
        <v>140</v>
      </c>
      <c r="B148" t="s">
        <v>63</v>
      </c>
      <c r="C148" t="s">
        <v>183</v>
      </c>
      <c r="D148" t="s">
        <v>673</v>
      </c>
      <c r="E148" t="s">
        <v>43</v>
      </c>
      <c r="F148" t="s">
        <v>184</v>
      </c>
      <c r="G148" t="s">
        <v>688</v>
      </c>
      <c r="H148" t="s">
        <v>192</v>
      </c>
      <c r="I148" t="s">
        <v>193</v>
      </c>
      <c r="J148" t="s">
        <v>194</v>
      </c>
      <c r="K148" t="s">
        <v>195</v>
      </c>
      <c r="L148" s="2">
        <v>36</v>
      </c>
      <c r="M148" s="2">
        <v>36</v>
      </c>
      <c r="N148" s="2">
        <v>0</v>
      </c>
      <c r="O148" t="s">
        <v>70</v>
      </c>
      <c r="P148" t="s">
        <v>51</v>
      </c>
      <c r="Q148" t="s">
        <v>11</v>
      </c>
      <c r="R148" t="s">
        <v>189</v>
      </c>
      <c r="S148" t="s">
        <v>13</v>
      </c>
      <c r="T148" t="s">
        <v>14</v>
      </c>
      <c r="U148" t="s">
        <v>15</v>
      </c>
      <c r="V148" t="s">
        <v>15</v>
      </c>
      <c r="W148" t="s">
        <v>16</v>
      </c>
      <c r="X148" t="s">
        <v>15</v>
      </c>
      <c r="Y148" t="s">
        <v>15</v>
      </c>
      <c r="Z148" t="s">
        <v>15</v>
      </c>
      <c r="AA148" t="s">
        <v>15</v>
      </c>
      <c r="AB148" t="s">
        <v>15</v>
      </c>
      <c r="AC148" t="s">
        <v>17</v>
      </c>
      <c r="AD148" s="3">
        <v>42627</v>
      </c>
      <c r="AE148" t="s">
        <v>35</v>
      </c>
      <c r="AF148" t="s">
        <v>19</v>
      </c>
      <c r="AG148" t="s">
        <v>44</v>
      </c>
      <c r="AH148" s="3">
        <v>42627</v>
      </c>
      <c r="AI148" t="s">
        <v>73</v>
      </c>
      <c r="AJ148" t="s">
        <v>33</v>
      </c>
      <c r="AK148" t="s">
        <v>23</v>
      </c>
      <c r="AL148" s="3">
        <v>42552</v>
      </c>
    </row>
    <row r="149" spans="1:38" x14ac:dyDescent="0.25">
      <c r="A149" t="s">
        <v>140</v>
      </c>
      <c r="B149" t="s">
        <v>63</v>
      </c>
      <c r="C149" t="s">
        <v>204</v>
      </c>
      <c r="D149" t="s">
        <v>673</v>
      </c>
      <c r="E149" t="s">
        <v>25</v>
      </c>
      <c r="F149" t="s">
        <v>184</v>
      </c>
      <c r="G149" t="s">
        <v>688</v>
      </c>
      <c r="H149" t="s">
        <v>192</v>
      </c>
      <c r="I149" t="s">
        <v>193</v>
      </c>
      <c r="J149" t="s">
        <v>194</v>
      </c>
      <c r="K149" t="s">
        <v>195</v>
      </c>
      <c r="L149" s="2">
        <v>-36</v>
      </c>
      <c r="M149" s="2">
        <v>-36</v>
      </c>
      <c r="N149" s="2">
        <v>0</v>
      </c>
      <c r="O149" t="s">
        <v>70</v>
      </c>
      <c r="P149" t="s">
        <v>51</v>
      </c>
      <c r="Q149" t="s">
        <v>11</v>
      </c>
      <c r="R149" t="s">
        <v>189</v>
      </c>
      <c r="S149" t="s">
        <v>13</v>
      </c>
      <c r="T149" t="s">
        <v>14</v>
      </c>
      <c r="U149" t="s">
        <v>15</v>
      </c>
      <c r="V149" t="s">
        <v>15</v>
      </c>
      <c r="W149" t="s">
        <v>16</v>
      </c>
      <c r="X149" t="s">
        <v>15</v>
      </c>
      <c r="Y149" t="s">
        <v>15</v>
      </c>
      <c r="Z149" t="s">
        <v>15</v>
      </c>
      <c r="AA149" t="s">
        <v>15</v>
      </c>
      <c r="AB149" t="s">
        <v>15</v>
      </c>
      <c r="AC149" t="s">
        <v>17</v>
      </c>
      <c r="AD149" s="3"/>
      <c r="AE149" t="s">
        <v>35</v>
      </c>
      <c r="AF149" t="s">
        <v>27</v>
      </c>
      <c r="AG149" t="s">
        <v>27</v>
      </c>
      <c r="AH149" s="3">
        <v>42627</v>
      </c>
      <c r="AI149" t="s">
        <v>73</v>
      </c>
      <c r="AJ149" t="s">
        <v>33</v>
      </c>
      <c r="AK149" t="s">
        <v>23</v>
      </c>
      <c r="AL149" s="3">
        <v>42552</v>
      </c>
    </row>
    <row r="150" spans="1:38" x14ac:dyDescent="0.25">
      <c r="A150" t="s">
        <v>140</v>
      </c>
      <c r="B150" t="s">
        <v>63</v>
      </c>
      <c r="C150" t="s">
        <v>553</v>
      </c>
      <c r="D150" t="s">
        <v>673</v>
      </c>
      <c r="E150" t="s">
        <v>3</v>
      </c>
      <c r="F150" t="s">
        <v>184</v>
      </c>
      <c r="G150" t="s">
        <v>688</v>
      </c>
      <c r="H150" t="s">
        <v>192</v>
      </c>
      <c r="I150" t="s">
        <v>193</v>
      </c>
      <c r="J150" t="s">
        <v>573</v>
      </c>
      <c r="K150" t="s">
        <v>574</v>
      </c>
      <c r="L150" s="2">
        <v>100</v>
      </c>
      <c r="M150" s="2">
        <v>0</v>
      </c>
      <c r="N150" s="2">
        <v>100</v>
      </c>
      <c r="O150" t="s">
        <v>70</v>
      </c>
      <c r="P150" t="s">
        <v>51</v>
      </c>
      <c r="Q150" t="s">
        <v>11</v>
      </c>
      <c r="R150" t="s">
        <v>563</v>
      </c>
      <c r="S150" t="s">
        <v>13</v>
      </c>
      <c r="T150" t="s">
        <v>14</v>
      </c>
      <c r="U150" t="s">
        <v>15</v>
      </c>
      <c r="V150" t="s">
        <v>16</v>
      </c>
      <c r="W150" t="s">
        <v>15</v>
      </c>
      <c r="X150" t="s">
        <v>15</v>
      </c>
      <c r="Y150" t="s">
        <v>15</v>
      </c>
      <c r="Z150" t="s">
        <v>15</v>
      </c>
      <c r="AA150" t="s">
        <v>16</v>
      </c>
      <c r="AB150" t="s">
        <v>15</v>
      </c>
      <c r="AC150" t="s">
        <v>17</v>
      </c>
      <c r="AD150" s="3">
        <v>42809</v>
      </c>
      <c r="AE150" t="s">
        <v>130</v>
      </c>
      <c r="AF150" t="s">
        <v>19</v>
      </c>
      <c r="AG150" t="s">
        <v>20</v>
      </c>
      <c r="AH150" s="3">
        <v>42768</v>
      </c>
      <c r="AI150" t="s">
        <v>73</v>
      </c>
      <c r="AJ150" t="s">
        <v>33</v>
      </c>
      <c r="AK150" t="s">
        <v>23</v>
      </c>
      <c r="AL150" s="3">
        <v>42768</v>
      </c>
    </row>
    <row r="151" spans="1:38" x14ac:dyDescent="0.25">
      <c r="A151" t="s">
        <v>140</v>
      </c>
      <c r="B151" t="s">
        <v>63</v>
      </c>
      <c r="C151" t="s">
        <v>553</v>
      </c>
      <c r="D151" t="s">
        <v>673</v>
      </c>
      <c r="E151" t="s">
        <v>3</v>
      </c>
      <c r="F151" t="s">
        <v>184</v>
      </c>
      <c r="G151" t="s">
        <v>688</v>
      </c>
      <c r="H151" t="s">
        <v>575</v>
      </c>
      <c r="I151" t="s">
        <v>576</v>
      </c>
      <c r="J151" t="s">
        <v>577</v>
      </c>
      <c r="K151" t="s">
        <v>578</v>
      </c>
      <c r="L151" s="2">
        <v>1432</v>
      </c>
      <c r="M151" s="2">
        <v>0</v>
      </c>
      <c r="N151" s="2">
        <v>1432</v>
      </c>
      <c r="O151" t="s">
        <v>70</v>
      </c>
      <c r="P151" t="s">
        <v>323</v>
      </c>
      <c r="Q151" t="s">
        <v>85</v>
      </c>
      <c r="R151" t="s">
        <v>555</v>
      </c>
      <c r="S151" t="s">
        <v>13</v>
      </c>
      <c r="T151" t="s">
        <v>14</v>
      </c>
      <c r="U151" t="s">
        <v>15</v>
      </c>
      <c r="V151" t="s">
        <v>15</v>
      </c>
      <c r="W151" t="s">
        <v>15</v>
      </c>
      <c r="X151" t="s">
        <v>15</v>
      </c>
      <c r="Y151" t="s">
        <v>16</v>
      </c>
      <c r="Z151" t="s">
        <v>15</v>
      </c>
      <c r="AA151" t="s">
        <v>16</v>
      </c>
      <c r="AB151" t="s">
        <v>15</v>
      </c>
      <c r="AC151" t="s">
        <v>17</v>
      </c>
      <c r="AD151" s="3">
        <v>42809</v>
      </c>
      <c r="AE151" t="s">
        <v>579</v>
      </c>
      <c r="AF151" t="s">
        <v>19</v>
      </c>
      <c r="AG151" t="s">
        <v>20</v>
      </c>
      <c r="AH151" s="3">
        <v>42768</v>
      </c>
      <c r="AI151" t="s">
        <v>73</v>
      </c>
      <c r="AJ151" t="s">
        <v>33</v>
      </c>
      <c r="AK151" t="s">
        <v>23</v>
      </c>
      <c r="AL151" s="3">
        <v>42768</v>
      </c>
    </row>
    <row r="152" spans="1:38" x14ac:dyDescent="0.25">
      <c r="A152" t="s">
        <v>140</v>
      </c>
      <c r="B152" t="s">
        <v>63</v>
      </c>
      <c r="C152" t="s">
        <v>553</v>
      </c>
      <c r="D152" t="s">
        <v>673</v>
      </c>
      <c r="E152" t="s">
        <v>3</v>
      </c>
      <c r="F152" t="s">
        <v>184</v>
      </c>
      <c r="G152" t="s">
        <v>688</v>
      </c>
      <c r="H152" t="s">
        <v>575</v>
      </c>
      <c r="I152" t="s">
        <v>576</v>
      </c>
      <c r="J152" t="s">
        <v>580</v>
      </c>
      <c r="K152" t="s">
        <v>581</v>
      </c>
      <c r="L152" s="2">
        <v>1088</v>
      </c>
      <c r="M152" s="2">
        <v>0</v>
      </c>
      <c r="N152" s="2">
        <v>1088</v>
      </c>
      <c r="O152" t="s">
        <v>70</v>
      </c>
      <c r="P152" t="s">
        <v>323</v>
      </c>
      <c r="Q152" t="s">
        <v>170</v>
      </c>
      <c r="R152" t="s">
        <v>555</v>
      </c>
      <c r="S152" t="s">
        <v>13</v>
      </c>
      <c r="T152" t="s">
        <v>14</v>
      </c>
      <c r="U152" t="s">
        <v>15</v>
      </c>
      <c r="V152" t="s">
        <v>15</v>
      </c>
      <c r="W152" t="s">
        <v>15</v>
      </c>
      <c r="X152" t="s">
        <v>15</v>
      </c>
      <c r="Y152" t="s">
        <v>16</v>
      </c>
      <c r="Z152" t="s">
        <v>15</v>
      </c>
      <c r="AA152" t="s">
        <v>16</v>
      </c>
      <c r="AB152" t="s">
        <v>15</v>
      </c>
      <c r="AC152" t="s">
        <v>17</v>
      </c>
      <c r="AD152" s="3">
        <v>42809</v>
      </c>
      <c r="AE152" t="s">
        <v>582</v>
      </c>
      <c r="AF152" t="s">
        <v>19</v>
      </c>
      <c r="AG152" t="s">
        <v>20</v>
      </c>
      <c r="AH152" s="3">
        <v>42768</v>
      </c>
      <c r="AI152" t="s">
        <v>73</v>
      </c>
      <c r="AJ152" t="s">
        <v>33</v>
      </c>
      <c r="AK152" t="s">
        <v>23</v>
      </c>
      <c r="AL152" s="3">
        <v>42768</v>
      </c>
    </row>
    <row r="153" spans="1:38" x14ac:dyDescent="0.25">
      <c r="A153" t="s">
        <v>140</v>
      </c>
      <c r="B153" t="s">
        <v>63</v>
      </c>
      <c r="C153" t="s">
        <v>553</v>
      </c>
      <c r="D153" t="s">
        <v>673</v>
      </c>
      <c r="E153" t="s">
        <v>3</v>
      </c>
      <c r="F153" t="s">
        <v>184</v>
      </c>
      <c r="G153" t="s">
        <v>688</v>
      </c>
      <c r="H153" t="s">
        <v>575</v>
      </c>
      <c r="I153" t="s">
        <v>576</v>
      </c>
      <c r="J153" t="s">
        <v>583</v>
      </c>
      <c r="K153" t="s">
        <v>584</v>
      </c>
      <c r="L153" s="2">
        <v>4236</v>
      </c>
      <c r="M153" s="2">
        <v>0</v>
      </c>
      <c r="N153" s="2">
        <v>4236</v>
      </c>
      <c r="O153" t="s">
        <v>70</v>
      </c>
      <c r="P153" t="s">
        <v>323</v>
      </c>
      <c r="Q153" t="s">
        <v>11</v>
      </c>
      <c r="R153" t="s">
        <v>555</v>
      </c>
      <c r="S153" t="s">
        <v>13</v>
      </c>
      <c r="T153" t="s">
        <v>14</v>
      </c>
      <c r="U153" t="s">
        <v>15</v>
      </c>
      <c r="V153" t="s">
        <v>15</v>
      </c>
      <c r="W153" t="s">
        <v>15</v>
      </c>
      <c r="X153" t="s">
        <v>15</v>
      </c>
      <c r="Y153" t="s">
        <v>16</v>
      </c>
      <c r="Z153" t="s">
        <v>15</v>
      </c>
      <c r="AA153" t="s">
        <v>16</v>
      </c>
      <c r="AB153" t="s">
        <v>15</v>
      </c>
      <c r="AC153" t="s">
        <v>17</v>
      </c>
      <c r="AD153" s="3">
        <v>42809</v>
      </c>
      <c r="AE153" t="s">
        <v>585</v>
      </c>
      <c r="AF153" t="s">
        <v>19</v>
      </c>
      <c r="AG153" t="s">
        <v>20</v>
      </c>
      <c r="AH153" s="3">
        <v>42768</v>
      </c>
      <c r="AI153" t="s">
        <v>73</v>
      </c>
      <c r="AJ153" t="s">
        <v>33</v>
      </c>
      <c r="AK153" t="s">
        <v>23</v>
      </c>
      <c r="AL153" s="3">
        <v>42768</v>
      </c>
    </row>
    <row r="154" spans="1:38" x14ac:dyDescent="0.25">
      <c r="A154" t="s">
        <v>140</v>
      </c>
      <c r="B154" t="s">
        <v>63</v>
      </c>
      <c r="C154" t="s">
        <v>553</v>
      </c>
      <c r="D154" t="s">
        <v>673</v>
      </c>
      <c r="E154" t="s">
        <v>3</v>
      </c>
      <c r="F154" t="s">
        <v>184</v>
      </c>
      <c r="G154" t="s">
        <v>688</v>
      </c>
      <c r="H154" t="s">
        <v>575</v>
      </c>
      <c r="I154" t="s">
        <v>576</v>
      </c>
      <c r="J154" t="s">
        <v>586</v>
      </c>
      <c r="K154" t="s">
        <v>587</v>
      </c>
      <c r="L154" s="2">
        <v>268</v>
      </c>
      <c r="M154" s="2">
        <v>0</v>
      </c>
      <c r="N154" s="2">
        <v>268</v>
      </c>
      <c r="O154" t="s">
        <v>70</v>
      </c>
      <c r="P154" t="s">
        <v>323</v>
      </c>
      <c r="Q154" t="s">
        <v>11</v>
      </c>
      <c r="R154" t="s">
        <v>561</v>
      </c>
      <c r="S154" t="s">
        <v>13</v>
      </c>
      <c r="T154" t="s">
        <v>14</v>
      </c>
      <c r="U154" t="s">
        <v>15</v>
      </c>
      <c r="V154" t="s">
        <v>15</v>
      </c>
      <c r="W154" t="s">
        <v>15</v>
      </c>
      <c r="X154" t="s">
        <v>31</v>
      </c>
      <c r="Y154" t="s">
        <v>16</v>
      </c>
      <c r="Z154" t="s">
        <v>15</v>
      </c>
      <c r="AA154" t="s">
        <v>16</v>
      </c>
      <c r="AB154" t="s">
        <v>15</v>
      </c>
      <c r="AC154" t="s">
        <v>17</v>
      </c>
      <c r="AD154" s="3">
        <v>42809</v>
      </c>
      <c r="AE154" t="s">
        <v>588</v>
      </c>
      <c r="AF154" t="s">
        <v>19</v>
      </c>
      <c r="AG154" t="s">
        <v>20</v>
      </c>
      <c r="AH154" s="3">
        <v>42768</v>
      </c>
      <c r="AI154" t="s">
        <v>73</v>
      </c>
      <c r="AJ154" t="s">
        <v>33</v>
      </c>
      <c r="AK154" t="s">
        <v>23</v>
      </c>
      <c r="AL154" s="3">
        <v>42768</v>
      </c>
    </row>
    <row r="155" spans="1:38" x14ac:dyDescent="0.25">
      <c r="A155" t="s">
        <v>140</v>
      </c>
      <c r="B155" t="s">
        <v>63</v>
      </c>
      <c r="C155" t="s">
        <v>553</v>
      </c>
      <c r="D155" t="s">
        <v>673</v>
      </c>
      <c r="E155" t="s">
        <v>3</v>
      </c>
      <c r="F155" t="s">
        <v>184</v>
      </c>
      <c r="G155" t="s">
        <v>688</v>
      </c>
      <c r="H155" t="s">
        <v>575</v>
      </c>
      <c r="I155" t="s">
        <v>576</v>
      </c>
      <c r="J155" t="s">
        <v>589</v>
      </c>
      <c r="K155" t="s">
        <v>590</v>
      </c>
      <c r="L155" s="2">
        <v>820</v>
      </c>
      <c r="M155" s="2">
        <v>0</v>
      </c>
      <c r="N155" s="2">
        <v>820</v>
      </c>
      <c r="O155" t="s">
        <v>70</v>
      </c>
      <c r="P155" t="s">
        <v>323</v>
      </c>
      <c r="Q155" t="s">
        <v>11</v>
      </c>
      <c r="R155" t="s">
        <v>563</v>
      </c>
      <c r="S155" t="s">
        <v>13</v>
      </c>
      <c r="T155" t="s">
        <v>14</v>
      </c>
      <c r="U155" t="s">
        <v>15</v>
      </c>
      <c r="V155" t="s">
        <v>16</v>
      </c>
      <c r="W155" t="s">
        <v>15</v>
      </c>
      <c r="X155" t="s">
        <v>15</v>
      </c>
      <c r="Y155" t="s">
        <v>15</v>
      </c>
      <c r="Z155" t="s">
        <v>15</v>
      </c>
      <c r="AA155" t="s">
        <v>16</v>
      </c>
      <c r="AB155" t="s">
        <v>15</v>
      </c>
      <c r="AC155" t="s">
        <v>17</v>
      </c>
      <c r="AD155" s="3">
        <v>42809</v>
      </c>
      <c r="AE155" t="s">
        <v>552</v>
      </c>
      <c r="AF155" t="s">
        <v>19</v>
      </c>
      <c r="AG155" t="s">
        <v>20</v>
      </c>
      <c r="AH155" s="3">
        <v>42768</v>
      </c>
      <c r="AI155" t="s">
        <v>73</v>
      </c>
      <c r="AJ155" t="s">
        <v>33</v>
      </c>
      <c r="AK155" t="s">
        <v>23</v>
      </c>
      <c r="AL155" s="3">
        <v>42768</v>
      </c>
    </row>
    <row r="156" spans="1:38" x14ac:dyDescent="0.25">
      <c r="A156" t="s">
        <v>0</v>
      </c>
      <c r="B156" t="s">
        <v>63</v>
      </c>
      <c r="C156" t="s">
        <v>591</v>
      </c>
      <c r="D156" t="s">
        <v>675</v>
      </c>
      <c r="E156" t="s">
        <v>3</v>
      </c>
      <c r="F156" t="s">
        <v>65</v>
      </c>
      <c r="G156" t="s">
        <v>688</v>
      </c>
      <c r="H156" t="s">
        <v>80</v>
      </c>
      <c r="I156" t="s">
        <v>81</v>
      </c>
      <c r="J156" t="s">
        <v>592</v>
      </c>
      <c r="K156" t="s">
        <v>593</v>
      </c>
      <c r="L156" s="2">
        <v>548</v>
      </c>
      <c r="M156" s="2">
        <v>0</v>
      </c>
      <c r="N156" s="2">
        <v>548</v>
      </c>
      <c r="O156" t="s">
        <v>70</v>
      </c>
      <c r="P156" t="s">
        <v>84</v>
      </c>
      <c r="Q156" t="s">
        <v>36</v>
      </c>
      <c r="R156" t="s">
        <v>594</v>
      </c>
      <c r="S156" t="s">
        <v>13</v>
      </c>
      <c r="T156" t="s">
        <v>14</v>
      </c>
      <c r="U156" t="s">
        <v>15</v>
      </c>
      <c r="V156" t="s">
        <v>15</v>
      </c>
      <c r="W156" t="s">
        <v>15</v>
      </c>
      <c r="X156" t="s">
        <v>15</v>
      </c>
      <c r="Y156" t="s">
        <v>16</v>
      </c>
      <c r="Z156" t="s">
        <v>15</v>
      </c>
      <c r="AA156" t="s">
        <v>16</v>
      </c>
      <c r="AB156" t="s">
        <v>15</v>
      </c>
      <c r="AC156" t="s">
        <v>17</v>
      </c>
      <c r="AD156" s="3">
        <v>42768</v>
      </c>
      <c r="AE156" t="s">
        <v>595</v>
      </c>
      <c r="AF156" t="s">
        <v>19</v>
      </c>
      <c r="AG156" t="s">
        <v>20</v>
      </c>
      <c r="AH156" s="3">
        <v>42768</v>
      </c>
      <c r="AI156" t="s">
        <v>73</v>
      </c>
      <c r="AJ156" t="s">
        <v>33</v>
      </c>
      <c r="AK156" t="s">
        <v>23</v>
      </c>
      <c r="AL156" s="3">
        <v>42768</v>
      </c>
    </row>
    <row r="157" spans="1:38" x14ac:dyDescent="0.25">
      <c r="A157" t="s">
        <v>0</v>
      </c>
      <c r="B157" t="s">
        <v>63</v>
      </c>
      <c r="C157" t="s">
        <v>591</v>
      </c>
      <c r="D157" t="s">
        <v>675</v>
      </c>
      <c r="E157" t="s">
        <v>3</v>
      </c>
      <c r="F157" t="s">
        <v>65</v>
      </c>
      <c r="G157" t="s">
        <v>688</v>
      </c>
      <c r="H157" t="s">
        <v>80</v>
      </c>
      <c r="I157" t="s">
        <v>81</v>
      </c>
      <c r="J157" t="s">
        <v>596</v>
      </c>
      <c r="K157" t="s">
        <v>83</v>
      </c>
      <c r="L157" s="2">
        <v>436</v>
      </c>
      <c r="M157" s="2">
        <v>0</v>
      </c>
      <c r="N157" s="2">
        <v>436</v>
      </c>
      <c r="O157" t="s">
        <v>70</v>
      </c>
      <c r="P157" t="s">
        <v>84</v>
      </c>
      <c r="Q157" t="s">
        <v>85</v>
      </c>
      <c r="R157" t="s">
        <v>594</v>
      </c>
      <c r="S157" t="s">
        <v>13</v>
      </c>
      <c r="T157" t="s">
        <v>14</v>
      </c>
      <c r="U157" t="s">
        <v>15</v>
      </c>
      <c r="V157" t="s">
        <v>15</v>
      </c>
      <c r="W157" t="s">
        <v>15</v>
      </c>
      <c r="X157" t="s">
        <v>15</v>
      </c>
      <c r="Y157" t="s">
        <v>16</v>
      </c>
      <c r="Z157" t="s">
        <v>15</v>
      </c>
      <c r="AA157" t="s">
        <v>16</v>
      </c>
      <c r="AB157" t="s">
        <v>15</v>
      </c>
      <c r="AC157" t="s">
        <v>17</v>
      </c>
      <c r="AD157" s="3">
        <v>42768</v>
      </c>
      <c r="AE157" t="s">
        <v>597</v>
      </c>
      <c r="AF157" t="s">
        <v>19</v>
      </c>
      <c r="AG157" t="s">
        <v>20</v>
      </c>
      <c r="AH157" s="3">
        <v>42768</v>
      </c>
      <c r="AI157" t="s">
        <v>73</v>
      </c>
      <c r="AJ157" t="s">
        <v>33</v>
      </c>
      <c r="AK157" t="s">
        <v>23</v>
      </c>
      <c r="AL157" s="3">
        <v>42768</v>
      </c>
    </row>
    <row r="158" spans="1:38" x14ac:dyDescent="0.25">
      <c r="A158" t="s">
        <v>0</v>
      </c>
      <c r="B158" t="s">
        <v>63</v>
      </c>
      <c r="C158" t="s">
        <v>79</v>
      </c>
      <c r="D158" t="s">
        <v>675</v>
      </c>
      <c r="E158" t="s">
        <v>25</v>
      </c>
      <c r="F158" t="s">
        <v>65</v>
      </c>
      <c r="G158" t="s">
        <v>688</v>
      </c>
      <c r="H158" t="s">
        <v>80</v>
      </c>
      <c r="I158" t="s">
        <v>81</v>
      </c>
      <c r="J158" t="s">
        <v>82</v>
      </c>
      <c r="K158" t="s">
        <v>83</v>
      </c>
      <c r="L158" s="2">
        <v>-84</v>
      </c>
      <c r="M158" s="2">
        <v>-84</v>
      </c>
      <c r="N158" s="2">
        <v>0</v>
      </c>
      <c r="O158" t="s">
        <v>70</v>
      </c>
      <c r="P158" t="s">
        <v>84</v>
      </c>
      <c r="Q158" t="s">
        <v>85</v>
      </c>
      <c r="R158" t="s">
        <v>72</v>
      </c>
      <c r="S158" t="s">
        <v>13</v>
      </c>
      <c r="T158" t="s">
        <v>14</v>
      </c>
      <c r="U158" t="s">
        <v>15</v>
      </c>
      <c r="V158" t="s">
        <v>15</v>
      </c>
      <c r="W158" t="s">
        <v>16</v>
      </c>
      <c r="X158" t="s">
        <v>15</v>
      </c>
      <c r="Y158" t="s">
        <v>15</v>
      </c>
      <c r="Z158" t="s">
        <v>15</v>
      </c>
      <c r="AA158" t="s">
        <v>15</v>
      </c>
      <c r="AB158" t="s">
        <v>15</v>
      </c>
      <c r="AC158" t="s">
        <v>17</v>
      </c>
      <c r="AD158" s="3"/>
      <c r="AE158" t="s">
        <v>18</v>
      </c>
      <c r="AF158" t="s">
        <v>27</v>
      </c>
      <c r="AG158" t="s">
        <v>27</v>
      </c>
      <c r="AH158" s="3">
        <v>42625</v>
      </c>
      <c r="AI158" t="s">
        <v>73</v>
      </c>
      <c r="AJ158" t="s">
        <v>33</v>
      </c>
      <c r="AK158" t="s">
        <v>23</v>
      </c>
      <c r="AL158" s="3">
        <v>42552</v>
      </c>
    </row>
    <row r="159" spans="1:38" x14ac:dyDescent="0.25">
      <c r="A159" t="s">
        <v>0</v>
      </c>
      <c r="B159" t="s">
        <v>63</v>
      </c>
      <c r="C159" t="s">
        <v>91</v>
      </c>
      <c r="D159" t="s">
        <v>675</v>
      </c>
      <c r="E159" t="s">
        <v>43</v>
      </c>
      <c r="F159" t="s">
        <v>65</v>
      </c>
      <c r="G159" t="s">
        <v>688</v>
      </c>
      <c r="H159" t="s">
        <v>80</v>
      </c>
      <c r="I159" t="s">
        <v>81</v>
      </c>
      <c r="J159" t="s">
        <v>82</v>
      </c>
      <c r="K159" t="s">
        <v>83</v>
      </c>
      <c r="L159" s="2">
        <v>84</v>
      </c>
      <c r="M159" s="2">
        <v>84</v>
      </c>
      <c r="N159" s="2">
        <v>0</v>
      </c>
      <c r="O159" t="s">
        <v>70</v>
      </c>
      <c r="P159" t="s">
        <v>84</v>
      </c>
      <c r="Q159" t="s">
        <v>85</v>
      </c>
      <c r="R159" t="s">
        <v>72</v>
      </c>
      <c r="S159" t="s">
        <v>13</v>
      </c>
      <c r="T159" t="s">
        <v>14</v>
      </c>
      <c r="U159" t="s">
        <v>15</v>
      </c>
      <c r="V159" t="s">
        <v>15</v>
      </c>
      <c r="W159" t="s">
        <v>16</v>
      </c>
      <c r="X159" t="s">
        <v>15</v>
      </c>
      <c r="Y159" t="s">
        <v>15</v>
      </c>
      <c r="Z159" t="s">
        <v>15</v>
      </c>
      <c r="AA159" t="s">
        <v>15</v>
      </c>
      <c r="AB159" t="s">
        <v>15</v>
      </c>
      <c r="AC159" t="s">
        <v>17</v>
      </c>
      <c r="AD159" s="3">
        <v>42625</v>
      </c>
      <c r="AE159" t="s">
        <v>18</v>
      </c>
      <c r="AF159" t="s">
        <v>19</v>
      </c>
      <c r="AG159" t="s">
        <v>44</v>
      </c>
      <c r="AH159" s="3">
        <v>42625</v>
      </c>
      <c r="AI159" t="s">
        <v>73</v>
      </c>
      <c r="AJ159" t="s">
        <v>33</v>
      </c>
      <c r="AK159" t="s">
        <v>23</v>
      </c>
      <c r="AL159" s="3">
        <v>42552</v>
      </c>
    </row>
    <row r="160" spans="1:38" x14ac:dyDescent="0.25">
      <c r="A160" t="s">
        <v>0</v>
      </c>
      <c r="B160" t="s">
        <v>63</v>
      </c>
      <c r="C160" t="s">
        <v>591</v>
      </c>
      <c r="D160" t="s">
        <v>675</v>
      </c>
      <c r="E160" t="s">
        <v>3</v>
      </c>
      <c r="F160" t="s">
        <v>65</v>
      </c>
      <c r="G160" t="s">
        <v>688</v>
      </c>
      <c r="H160" t="s">
        <v>80</v>
      </c>
      <c r="I160" t="s">
        <v>81</v>
      </c>
      <c r="J160" t="s">
        <v>598</v>
      </c>
      <c r="K160" t="s">
        <v>599</v>
      </c>
      <c r="L160" s="2">
        <v>132</v>
      </c>
      <c r="M160" s="2">
        <v>0</v>
      </c>
      <c r="N160" s="2">
        <v>132</v>
      </c>
      <c r="O160" t="s">
        <v>70</v>
      </c>
      <c r="P160" t="s">
        <v>84</v>
      </c>
      <c r="Q160" t="s">
        <v>11</v>
      </c>
      <c r="R160" t="s">
        <v>600</v>
      </c>
      <c r="S160" t="s">
        <v>13</v>
      </c>
      <c r="T160" t="s">
        <v>14</v>
      </c>
      <c r="U160" t="s">
        <v>15</v>
      </c>
      <c r="V160" t="s">
        <v>16</v>
      </c>
      <c r="W160" t="s">
        <v>15</v>
      </c>
      <c r="X160" t="s">
        <v>15</v>
      </c>
      <c r="Y160" t="s">
        <v>15</v>
      </c>
      <c r="Z160" t="s">
        <v>15</v>
      </c>
      <c r="AA160" t="s">
        <v>16</v>
      </c>
      <c r="AB160" t="s">
        <v>15</v>
      </c>
      <c r="AC160" t="s">
        <v>17</v>
      </c>
      <c r="AD160" s="3">
        <v>42768</v>
      </c>
      <c r="AE160" t="s">
        <v>601</v>
      </c>
      <c r="AF160" t="s">
        <v>19</v>
      </c>
      <c r="AG160" t="s">
        <v>20</v>
      </c>
      <c r="AH160" s="3">
        <v>42768</v>
      </c>
      <c r="AI160" t="s">
        <v>73</v>
      </c>
      <c r="AJ160" t="s">
        <v>33</v>
      </c>
      <c r="AK160" t="s">
        <v>23</v>
      </c>
      <c r="AL160" s="3">
        <v>42768</v>
      </c>
    </row>
    <row r="161" spans="1:38" x14ac:dyDescent="0.25">
      <c r="A161" t="s">
        <v>0</v>
      </c>
      <c r="B161" t="s">
        <v>63</v>
      </c>
      <c r="C161" t="s">
        <v>591</v>
      </c>
      <c r="D161" t="s">
        <v>675</v>
      </c>
      <c r="E161" t="s">
        <v>3</v>
      </c>
      <c r="F161" t="s">
        <v>65</v>
      </c>
      <c r="G161" t="s">
        <v>688</v>
      </c>
      <c r="H161" t="s">
        <v>80</v>
      </c>
      <c r="I161" t="s">
        <v>81</v>
      </c>
      <c r="J161" t="s">
        <v>602</v>
      </c>
      <c r="K161" t="s">
        <v>603</v>
      </c>
      <c r="L161" s="2">
        <v>20</v>
      </c>
      <c r="M161" s="2">
        <v>0</v>
      </c>
      <c r="N161" s="2">
        <v>20</v>
      </c>
      <c r="O161" t="s">
        <v>70</v>
      </c>
      <c r="P161" t="s">
        <v>84</v>
      </c>
      <c r="Q161" t="s">
        <v>11</v>
      </c>
      <c r="R161" t="s">
        <v>132</v>
      </c>
      <c r="S161" t="s">
        <v>13</v>
      </c>
      <c r="T161" t="s">
        <v>14</v>
      </c>
      <c r="U161" t="s">
        <v>15</v>
      </c>
      <c r="V161" t="s">
        <v>16</v>
      </c>
      <c r="W161" t="s">
        <v>15</v>
      </c>
      <c r="X161" t="s">
        <v>31</v>
      </c>
      <c r="Y161" t="s">
        <v>16</v>
      </c>
      <c r="Z161" t="s">
        <v>15</v>
      </c>
      <c r="AA161" t="s">
        <v>16</v>
      </c>
      <c r="AB161" t="s">
        <v>15</v>
      </c>
      <c r="AC161" t="s">
        <v>17</v>
      </c>
      <c r="AD161" s="3">
        <v>42768</v>
      </c>
      <c r="AE161" t="s">
        <v>604</v>
      </c>
      <c r="AF161" t="s">
        <v>19</v>
      </c>
      <c r="AG161" t="s">
        <v>20</v>
      </c>
      <c r="AH161" s="3">
        <v>42768</v>
      </c>
      <c r="AI161" t="s">
        <v>73</v>
      </c>
      <c r="AJ161" t="s">
        <v>33</v>
      </c>
      <c r="AK161" t="s">
        <v>23</v>
      </c>
      <c r="AL161" s="3">
        <v>42768</v>
      </c>
    </row>
    <row r="162" spans="1:38" x14ac:dyDescent="0.25">
      <c r="A162" t="s">
        <v>0</v>
      </c>
      <c r="B162" t="s">
        <v>63</v>
      </c>
      <c r="C162" t="s">
        <v>591</v>
      </c>
      <c r="D162" t="s">
        <v>675</v>
      </c>
      <c r="E162" t="s">
        <v>3</v>
      </c>
      <c r="F162" t="s">
        <v>65</v>
      </c>
      <c r="G162" t="s">
        <v>688</v>
      </c>
      <c r="H162" t="s">
        <v>80</v>
      </c>
      <c r="I162" t="s">
        <v>81</v>
      </c>
      <c r="J162" t="s">
        <v>605</v>
      </c>
      <c r="K162" t="s">
        <v>606</v>
      </c>
      <c r="L162" s="2">
        <v>1212</v>
      </c>
      <c r="M162" s="2">
        <v>0</v>
      </c>
      <c r="N162" s="2">
        <v>1212</v>
      </c>
      <c r="O162" t="s">
        <v>70</v>
      </c>
      <c r="P162" t="s">
        <v>84</v>
      </c>
      <c r="Q162" t="s">
        <v>11</v>
      </c>
      <c r="R162" t="s">
        <v>594</v>
      </c>
      <c r="S162" t="s">
        <v>13</v>
      </c>
      <c r="T162" t="s">
        <v>14</v>
      </c>
      <c r="U162" t="s">
        <v>15</v>
      </c>
      <c r="V162" t="s">
        <v>15</v>
      </c>
      <c r="W162" t="s">
        <v>15</v>
      </c>
      <c r="X162" t="s">
        <v>15</v>
      </c>
      <c r="Y162" t="s">
        <v>16</v>
      </c>
      <c r="Z162" t="s">
        <v>15</v>
      </c>
      <c r="AA162" t="s">
        <v>16</v>
      </c>
      <c r="AB162" t="s">
        <v>15</v>
      </c>
      <c r="AC162" t="s">
        <v>17</v>
      </c>
      <c r="AD162" s="3">
        <v>42768</v>
      </c>
      <c r="AE162" t="s">
        <v>607</v>
      </c>
      <c r="AF162" t="s">
        <v>19</v>
      </c>
      <c r="AG162" t="s">
        <v>20</v>
      </c>
      <c r="AH162" s="3">
        <v>42768</v>
      </c>
      <c r="AI162" t="s">
        <v>73</v>
      </c>
      <c r="AJ162" t="s">
        <v>33</v>
      </c>
      <c r="AK162" t="s">
        <v>23</v>
      </c>
      <c r="AL162" s="3">
        <v>42768</v>
      </c>
    </row>
    <row r="163" spans="1:38" x14ac:dyDescent="0.25">
      <c r="A163" t="s">
        <v>0</v>
      </c>
      <c r="B163" t="s">
        <v>63</v>
      </c>
      <c r="C163" t="s">
        <v>591</v>
      </c>
      <c r="D163" t="s">
        <v>675</v>
      </c>
      <c r="E163" t="s">
        <v>3</v>
      </c>
      <c r="F163" t="s">
        <v>65</v>
      </c>
      <c r="G163" t="s">
        <v>688</v>
      </c>
      <c r="H163" t="s">
        <v>80</v>
      </c>
      <c r="I163" t="s">
        <v>81</v>
      </c>
      <c r="J163" t="s">
        <v>608</v>
      </c>
      <c r="K163" t="s">
        <v>609</v>
      </c>
      <c r="L163" s="2">
        <v>224</v>
      </c>
      <c r="M163" s="2">
        <v>0</v>
      </c>
      <c r="N163" s="2">
        <v>224</v>
      </c>
      <c r="O163" t="s">
        <v>70</v>
      </c>
      <c r="P163" t="s">
        <v>84</v>
      </c>
      <c r="Q163" t="s">
        <v>11</v>
      </c>
      <c r="R163" t="s">
        <v>610</v>
      </c>
      <c r="S163" t="s">
        <v>13</v>
      </c>
      <c r="T163" t="s">
        <v>14</v>
      </c>
      <c r="U163" t="s">
        <v>15</v>
      </c>
      <c r="V163" t="s">
        <v>15</v>
      </c>
      <c r="W163" t="s">
        <v>15</v>
      </c>
      <c r="X163" t="s">
        <v>31</v>
      </c>
      <c r="Y163" t="s">
        <v>16</v>
      </c>
      <c r="Z163" t="s">
        <v>15</v>
      </c>
      <c r="AA163" t="s">
        <v>16</v>
      </c>
      <c r="AB163" t="s">
        <v>15</v>
      </c>
      <c r="AC163" t="s">
        <v>17</v>
      </c>
      <c r="AD163" s="3">
        <v>42768</v>
      </c>
      <c r="AE163" t="s">
        <v>611</v>
      </c>
      <c r="AF163" t="s">
        <v>19</v>
      </c>
      <c r="AG163" t="s">
        <v>20</v>
      </c>
      <c r="AH163" s="3">
        <v>42768</v>
      </c>
      <c r="AI163" t="s">
        <v>73</v>
      </c>
      <c r="AJ163" t="s">
        <v>33</v>
      </c>
      <c r="AK163" t="s">
        <v>23</v>
      </c>
      <c r="AL163" s="3">
        <v>42768</v>
      </c>
    </row>
    <row r="164" spans="1:38" x14ac:dyDescent="0.25">
      <c r="A164" t="s">
        <v>0</v>
      </c>
      <c r="B164" t="s">
        <v>63</v>
      </c>
      <c r="C164" t="s">
        <v>591</v>
      </c>
      <c r="D164" t="s">
        <v>675</v>
      </c>
      <c r="E164" t="s">
        <v>3</v>
      </c>
      <c r="F164" t="s">
        <v>65</v>
      </c>
      <c r="G164" t="s">
        <v>688</v>
      </c>
      <c r="H164" t="s">
        <v>75</v>
      </c>
      <c r="I164" t="s">
        <v>76</v>
      </c>
      <c r="J164" t="s">
        <v>612</v>
      </c>
      <c r="K164" t="s">
        <v>613</v>
      </c>
      <c r="L164" s="2">
        <v>312</v>
      </c>
      <c r="M164" s="2">
        <v>0</v>
      </c>
      <c r="N164" s="2">
        <v>312</v>
      </c>
      <c r="O164" t="s">
        <v>70</v>
      </c>
      <c r="P164" t="s">
        <v>29</v>
      </c>
      <c r="Q164" t="s">
        <v>36</v>
      </c>
      <c r="R164" t="s">
        <v>594</v>
      </c>
      <c r="S164" t="s">
        <v>13</v>
      </c>
      <c r="T164" t="s">
        <v>14</v>
      </c>
      <c r="U164" t="s">
        <v>15</v>
      </c>
      <c r="V164" t="s">
        <v>15</v>
      </c>
      <c r="W164" t="s">
        <v>15</v>
      </c>
      <c r="X164" t="s">
        <v>15</v>
      </c>
      <c r="Y164" t="s">
        <v>16</v>
      </c>
      <c r="Z164" t="s">
        <v>15</v>
      </c>
      <c r="AA164" t="s">
        <v>16</v>
      </c>
      <c r="AB164" t="s">
        <v>15</v>
      </c>
      <c r="AC164" t="s">
        <v>17</v>
      </c>
      <c r="AD164" s="3">
        <v>42768</v>
      </c>
      <c r="AE164" t="s">
        <v>128</v>
      </c>
      <c r="AF164" t="s">
        <v>19</v>
      </c>
      <c r="AG164" t="s">
        <v>20</v>
      </c>
      <c r="AH164" s="3">
        <v>42768</v>
      </c>
      <c r="AI164" t="s">
        <v>73</v>
      </c>
      <c r="AJ164" t="s">
        <v>33</v>
      </c>
      <c r="AK164" t="s">
        <v>23</v>
      </c>
      <c r="AL164" s="3">
        <v>42768</v>
      </c>
    </row>
    <row r="165" spans="1:38" x14ac:dyDescent="0.25">
      <c r="A165" t="s">
        <v>0</v>
      </c>
      <c r="B165" t="s">
        <v>63</v>
      </c>
      <c r="C165" t="s">
        <v>591</v>
      </c>
      <c r="D165" t="s">
        <v>675</v>
      </c>
      <c r="E165" t="s">
        <v>3</v>
      </c>
      <c r="F165" t="s">
        <v>65</v>
      </c>
      <c r="G165" t="s">
        <v>688</v>
      </c>
      <c r="H165" t="s">
        <v>75</v>
      </c>
      <c r="I165" t="s">
        <v>76</v>
      </c>
      <c r="J165" t="s">
        <v>614</v>
      </c>
      <c r="K165" t="s">
        <v>615</v>
      </c>
      <c r="L165" s="2">
        <v>572</v>
      </c>
      <c r="M165" s="2">
        <v>0</v>
      </c>
      <c r="N165" s="2">
        <v>572</v>
      </c>
      <c r="O165" t="s">
        <v>70</v>
      </c>
      <c r="P165" t="s">
        <v>29</v>
      </c>
      <c r="Q165" t="s">
        <v>85</v>
      </c>
      <c r="R165" t="s">
        <v>594</v>
      </c>
      <c r="S165" t="s">
        <v>13</v>
      </c>
      <c r="T165" t="s">
        <v>14</v>
      </c>
      <c r="U165" t="s">
        <v>15</v>
      </c>
      <c r="V165" t="s">
        <v>15</v>
      </c>
      <c r="W165" t="s">
        <v>15</v>
      </c>
      <c r="X165" t="s">
        <v>15</v>
      </c>
      <c r="Y165" t="s">
        <v>16</v>
      </c>
      <c r="Z165" t="s">
        <v>15</v>
      </c>
      <c r="AA165" t="s">
        <v>16</v>
      </c>
      <c r="AB165" t="s">
        <v>15</v>
      </c>
      <c r="AC165" t="s">
        <v>17</v>
      </c>
      <c r="AD165" s="3">
        <v>42768</v>
      </c>
      <c r="AE165" t="s">
        <v>18</v>
      </c>
      <c r="AF165" t="s">
        <v>19</v>
      </c>
      <c r="AG165" t="s">
        <v>20</v>
      </c>
      <c r="AH165" s="3">
        <v>42768</v>
      </c>
      <c r="AI165" t="s">
        <v>73</v>
      </c>
      <c r="AJ165" t="s">
        <v>33</v>
      </c>
      <c r="AK165" t="s">
        <v>23</v>
      </c>
      <c r="AL165" s="3">
        <v>42768</v>
      </c>
    </row>
    <row r="166" spans="1:38" x14ac:dyDescent="0.25">
      <c r="A166" t="s">
        <v>0</v>
      </c>
      <c r="B166" t="s">
        <v>63</v>
      </c>
      <c r="C166" t="s">
        <v>591</v>
      </c>
      <c r="D166" t="s">
        <v>675</v>
      </c>
      <c r="E166" t="s">
        <v>3</v>
      </c>
      <c r="F166" t="s">
        <v>65</v>
      </c>
      <c r="G166" t="s">
        <v>688</v>
      </c>
      <c r="H166" t="s">
        <v>75</v>
      </c>
      <c r="I166" t="s">
        <v>76</v>
      </c>
      <c r="J166" t="s">
        <v>616</v>
      </c>
      <c r="K166" t="s">
        <v>617</v>
      </c>
      <c r="L166" s="2">
        <v>416</v>
      </c>
      <c r="M166" s="2">
        <v>0</v>
      </c>
      <c r="N166" s="2">
        <v>416</v>
      </c>
      <c r="O166" t="s">
        <v>70</v>
      </c>
      <c r="P166" t="s">
        <v>29</v>
      </c>
      <c r="Q166" t="s">
        <v>11</v>
      </c>
      <c r="R166" t="s">
        <v>600</v>
      </c>
      <c r="S166" t="s">
        <v>13</v>
      </c>
      <c r="T166" t="s">
        <v>14</v>
      </c>
      <c r="U166" t="s">
        <v>15</v>
      </c>
      <c r="V166" t="s">
        <v>16</v>
      </c>
      <c r="W166" t="s">
        <v>15</v>
      </c>
      <c r="X166" t="s">
        <v>15</v>
      </c>
      <c r="Y166" t="s">
        <v>15</v>
      </c>
      <c r="Z166" t="s">
        <v>15</v>
      </c>
      <c r="AA166" t="s">
        <v>16</v>
      </c>
      <c r="AB166" t="s">
        <v>15</v>
      </c>
      <c r="AC166" t="s">
        <v>17</v>
      </c>
      <c r="AD166" s="3">
        <v>42768</v>
      </c>
      <c r="AE166" t="s">
        <v>37</v>
      </c>
      <c r="AF166" t="s">
        <v>19</v>
      </c>
      <c r="AG166" t="s">
        <v>20</v>
      </c>
      <c r="AH166" s="3">
        <v>42768</v>
      </c>
      <c r="AI166" t="s">
        <v>73</v>
      </c>
      <c r="AJ166" t="s">
        <v>33</v>
      </c>
      <c r="AK166" t="s">
        <v>23</v>
      </c>
      <c r="AL166" s="3">
        <v>42768</v>
      </c>
    </row>
    <row r="167" spans="1:38" x14ac:dyDescent="0.25">
      <c r="A167" t="s">
        <v>0</v>
      </c>
      <c r="B167" t="s">
        <v>63</v>
      </c>
      <c r="C167" t="s">
        <v>591</v>
      </c>
      <c r="D167" t="s">
        <v>675</v>
      </c>
      <c r="E167" t="s">
        <v>3</v>
      </c>
      <c r="F167" t="s">
        <v>65</v>
      </c>
      <c r="G167" t="s">
        <v>688</v>
      </c>
      <c r="H167" t="s">
        <v>75</v>
      </c>
      <c r="I167" t="s">
        <v>76</v>
      </c>
      <c r="J167" t="s">
        <v>618</v>
      </c>
      <c r="K167" t="s">
        <v>78</v>
      </c>
      <c r="L167" s="2">
        <v>2032</v>
      </c>
      <c r="M167" s="2">
        <v>0</v>
      </c>
      <c r="N167" s="2">
        <v>2032</v>
      </c>
      <c r="O167" t="s">
        <v>70</v>
      </c>
      <c r="P167" t="s">
        <v>29</v>
      </c>
      <c r="Q167" t="s">
        <v>11</v>
      </c>
      <c r="R167" t="s">
        <v>594</v>
      </c>
      <c r="S167" t="s">
        <v>13</v>
      </c>
      <c r="T167" t="s">
        <v>14</v>
      </c>
      <c r="U167" t="s">
        <v>15</v>
      </c>
      <c r="V167" t="s">
        <v>15</v>
      </c>
      <c r="W167" t="s">
        <v>15</v>
      </c>
      <c r="X167" t="s">
        <v>15</v>
      </c>
      <c r="Y167" t="s">
        <v>16</v>
      </c>
      <c r="Z167" t="s">
        <v>15</v>
      </c>
      <c r="AA167" t="s">
        <v>16</v>
      </c>
      <c r="AB167" t="s">
        <v>15</v>
      </c>
      <c r="AC167" t="s">
        <v>17</v>
      </c>
      <c r="AD167" s="3">
        <v>42768</v>
      </c>
      <c r="AE167" t="s">
        <v>34</v>
      </c>
      <c r="AF167" t="s">
        <v>19</v>
      </c>
      <c r="AG167" t="s">
        <v>20</v>
      </c>
      <c r="AH167" s="3">
        <v>42768</v>
      </c>
      <c r="AI167" t="s">
        <v>73</v>
      </c>
      <c r="AJ167" t="s">
        <v>33</v>
      </c>
      <c r="AK167" t="s">
        <v>23</v>
      </c>
      <c r="AL167" s="3">
        <v>42768</v>
      </c>
    </row>
    <row r="168" spans="1:38" x14ac:dyDescent="0.25">
      <c r="A168" t="s">
        <v>0</v>
      </c>
      <c r="B168" t="s">
        <v>63</v>
      </c>
      <c r="C168" t="s">
        <v>74</v>
      </c>
      <c r="D168" t="s">
        <v>675</v>
      </c>
      <c r="E168" t="s">
        <v>3</v>
      </c>
      <c r="F168" t="s">
        <v>65</v>
      </c>
      <c r="G168" t="s">
        <v>688</v>
      </c>
      <c r="H168" t="s">
        <v>75</v>
      </c>
      <c r="I168" t="s">
        <v>76</v>
      </c>
      <c r="J168" t="s">
        <v>77</v>
      </c>
      <c r="K168" t="s">
        <v>78</v>
      </c>
      <c r="L168" s="2">
        <v>4</v>
      </c>
      <c r="M168" s="2">
        <v>4</v>
      </c>
      <c r="N168" s="2">
        <v>0</v>
      </c>
      <c r="O168" t="s">
        <v>70</v>
      </c>
      <c r="P168" t="s">
        <v>29</v>
      </c>
      <c r="Q168" t="s">
        <v>11</v>
      </c>
      <c r="R168" t="s">
        <v>72</v>
      </c>
      <c r="S168" t="s">
        <v>13</v>
      </c>
      <c r="T168" t="s">
        <v>14</v>
      </c>
      <c r="U168" t="s">
        <v>15</v>
      </c>
      <c r="V168" t="s">
        <v>15</v>
      </c>
      <c r="W168" t="s">
        <v>16</v>
      </c>
      <c r="X168" t="s">
        <v>15</v>
      </c>
      <c r="Y168" t="s">
        <v>15</v>
      </c>
      <c r="Z168" t="s">
        <v>15</v>
      </c>
      <c r="AA168" t="s">
        <v>15</v>
      </c>
      <c r="AB168" t="s">
        <v>15</v>
      </c>
      <c r="AC168" t="s">
        <v>17</v>
      </c>
      <c r="AD168" s="3">
        <v>42625</v>
      </c>
      <c r="AE168" t="s">
        <v>18</v>
      </c>
      <c r="AF168" t="s">
        <v>19</v>
      </c>
      <c r="AG168" t="s">
        <v>20</v>
      </c>
      <c r="AH168" s="3">
        <v>42625</v>
      </c>
      <c r="AI168" t="s">
        <v>73</v>
      </c>
      <c r="AJ168" t="s">
        <v>33</v>
      </c>
      <c r="AK168" t="s">
        <v>23</v>
      </c>
      <c r="AL168" s="3">
        <v>42552</v>
      </c>
    </row>
    <row r="169" spans="1:38" x14ac:dyDescent="0.25">
      <c r="A169" t="s">
        <v>0</v>
      </c>
      <c r="B169" t="s">
        <v>63</v>
      </c>
      <c r="C169" t="s">
        <v>92</v>
      </c>
      <c r="D169" t="s">
        <v>675</v>
      </c>
      <c r="E169" t="s">
        <v>25</v>
      </c>
      <c r="F169" t="s">
        <v>65</v>
      </c>
      <c r="G169" t="s">
        <v>688</v>
      </c>
      <c r="H169" t="s">
        <v>75</v>
      </c>
      <c r="I169" t="s">
        <v>76</v>
      </c>
      <c r="J169" t="s">
        <v>77</v>
      </c>
      <c r="K169" t="s">
        <v>78</v>
      </c>
      <c r="L169" s="2">
        <v>-4</v>
      </c>
      <c r="M169" s="2">
        <v>-4</v>
      </c>
      <c r="N169" s="2">
        <v>0</v>
      </c>
      <c r="O169" t="s">
        <v>70</v>
      </c>
      <c r="P169" t="s">
        <v>29</v>
      </c>
      <c r="Q169" t="s">
        <v>11</v>
      </c>
      <c r="R169" t="s">
        <v>72</v>
      </c>
      <c r="S169" t="s">
        <v>13</v>
      </c>
      <c r="T169" t="s">
        <v>14</v>
      </c>
      <c r="U169" t="s">
        <v>15</v>
      </c>
      <c r="V169" t="s">
        <v>15</v>
      </c>
      <c r="W169" t="s">
        <v>16</v>
      </c>
      <c r="X169" t="s">
        <v>15</v>
      </c>
      <c r="Y169" t="s">
        <v>15</v>
      </c>
      <c r="Z169" t="s">
        <v>15</v>
      </c>
      <c r="AA169" t="s">
        <v>15</v>
      </c>
      <c r="AB169" t="s">
        <v>15</v>
      </c>
      <c r="AC169" t="s">
        <v>17</v>
      </c>
      <c r="AD169" s="3"/>
      <c r="AE169" t="s">
        <v>18</v>
      </c>
      <c r="AF169" t="s">
        <v>27</v>
      </c>
      <c r="AG169" t="s">
        <v>27</v>
      </c>
      <c r="AH169" s="3">
        <v>42625</v>
      </c>
      <c r="AI169" t="s">
        <v>73</v>
      </c>
      <c r="AJ169" t="s">
        <v>33</v>
      </c>
      <c r="AK169" t="s">
        <v>23</v>
      </c>
      <c r="AL169" s="3">
        <v>42552</v>
      </c>
    </row>
    <row r="170" spans="1:38" x14ac:dyDescent="0.25">
      <c r="A170" t="s">
        <v>0</v>
      </c>
      <c r="B170" t="s">
        <v>63</v>
      </c>
      <c r="C170" t="s">
        <v>591</v>
      </c>
      <c r="D170" t="s">
        <v>675</v>
      </c>
      <c r="E170" t="s">
        <v>3</v>
      </c>
      <c r="F170" t="s">
        <v>65</v>
      </c>
      <c r="G170" t="s">
        <v>688</v>
      </c>
      <c r="H170" t="s">
        <v>75</v>
      </c>
      <c r="I170" t="s">
        <v>76</v>
      </c>
      <c r="J170" t="s">
        <v>619</v>
      </c>
      <c r="K170" t="s">
        <v>620</v>
      </c>
      <c r="L170" s="2">
        <v>236</v>
      </c>
      <c r="M170" s="2">
        <v>0</v>
      </c>
      <c r="N170" s="2">
        <v>236</v>
      </c>
      <c r="O170" t="s">
        <v>70</v>
      </c>
      <c r="P170" t="s">
        <v>29</v>
      </c>
      <c r="Q170" t="s">
        <v>11</v>
      </c>
      <c r="R170" t="s">
        <v>610</v>
      </c>
      <c r="S170" t="s">
        <v>13</v>
      </c>
      <c r="T170" t="s">
        <v>14</v>
      </c>
      <c r="U170" t="s">
        <v>15</v>
      </c>
      <c r="V170" t="s">
        <v>15</v>
      </c>
      <c r="W170" t="s">
        <v>15</v>
      </c>
      <c r="X170" t="s">
        <v>31</v>
      </c>
      <c r="Y170" t="s">
        <v>16</v>
      </c>
      <c r="Z170" t="s">
        <v>15</v>
      </c>
      <c r="AA170" t="s">
        <v>16</v>
      </c>
      <c r="AB170" t="s">
        <v>15</v>
      </c>
      <c r="AC170" t="s">
        <v>17</v>
      </c>
      <c r="AD170" s="3">
        <v>42768</v>
      </c>
      <c r="AE170" t="s">
        <v>35</v>
      </c>
      <c r="AF170" t="s">
        <v>19</v>
      </c>
      <c r="AG170" t="s">
        <v>20</v>
      </c>
      <c r="AH170" s="3">
        <v>42768</v>
      </c>
      <c r="AI170" t="s">
        <v>73</v>
      </c>
      <c r="AJ170" t="s">
        <v>33</v>
      </c>
      <c r="AK170" t="s">
        <v>23</v>
      </c>
      <c r="AL170" s="3">
        <v>42768</v>
      </c>
    </row>
    <row r="171" spans="1:38" x14ac:dyDescent="0.25">
      <c r="A171" t="s">
        <v>0</v>
      </c>
      <c r="B171" t="s">
        <v>63</v>
      </c>
      <c r="C171" t="s">
        <v>591</v>
      </c>
      <c r="D171" t="s">
        <v>675</v>
      </c>
      <c r="E171" t="s">
        <v>3</v>
      </c>
      <c r="F171" t="s">
        <v>65</v>
      </c>
      <c r="G171" t="s">
        <v>688</v>
      </c>
      <c r="H171" t="s">
        <v>621</v>
      </c>
      <c r="I171" t="s">
        <v>622</v>
      </c>
      <c r="J171" t="s">
        <v>623</v>
      </c>
      <c r="K171" t="s">
        <v>624</v>
      </c>
      <c r="L171" s="2">
        <v>372</v>
      </c>
      <c r="M171" s="2">
        <v>0</v>
      </c>
      <c r="N171" s="2">
        <v>372</v>
      </c>
      <c r="O171" t="s">
        <v>70</v>
      </c>
      <c r="P171" t="s">
        <v>206</v>
      </c>
      <c r="Q171" t="s">
        <v>36</v>
      </c>
      <c r="R171" t="s">
        <v>594</v>
      </c>
      <c r="S171" t="s">
        <v>13</v>
      </c>
      <c r="T171" t="s">
        <v>14</v>
      </c>
      <c r="U171" t="s">
        <v>15</v>
      </c>
      <c r="V171" t="s">
        <v>15</v>
      </c>
      <c r="W171" t="s">
        <v>15</v>
      </c>
      <c r="X171" t="s">
        <v>15</v>
      </c>
      <c r="Y171" t="s">
        <v>16</v>
      </c>
      <c r="Z171" t="s">
        <v>15</v>
      </c>
      <c r="AA171" t="s">
        <v>16</v>
      </c>
      <c r="AB171" t="s">
        <v>15</v>
      </c>
      <c r="AC171" t="s">
        <v>17</v>
      </c>
      <c r="AD171" s="3">
        <v>42768</v>
      </c>
      <c r="AE171" t="s">
        <v>327</v>
      </c>
      <c r="AF171" t="s">
        <v>19</v>
      </c>
      <c r="AG171" t="s">
        <v>20</v>
      </c>
      <c r="AH171" s="3">
        <v>42768</v>
      </c>
      <c r="AI171" t="s">
        <v>73</v>
      </c>
      <c r="AJ171" t="s">
        <v>33</v>
      </c>
      <c r="AK171" t="s">
        <v>23</v>
      </c>
      <c r="AL171" s="3">
        <v>42768</v>
      </c>
    </row>
    <row r="172" spans="1:38" x14ac:dyDescent="0.25">
      <c r="A172" t="s">
        <v>0</v>
      </c>
      <c r="B172" t="s">
        <v>63</v>
      </c>
      <c r="C172" t="s">
        <v>591</v>
      </c>
      <c r="D172" t="s">
        <v>675</v>
      </c>
      <c r="E172" t="s">
        <v>3</v>
      </c>
      <c r="F172" t="s">
        <v>65</v>
      </c>
      <c r="G172" t="s">
        <v>688</v>
      </c>
      <c r="H172" t="s">
        <v>621</v>
      </c>
      <c r="I172" t="s">
        <v>622</v>
      </c>
      <c r="J172" t="s">
        <v>625</v>
      </c>
      <c r="K172" t="s">
        <v>626</v>
      </c>
      <c r="L172" s="2">
        <v>404</v>
      </c>
      <c r="M172" s="2">
        <v>0</v>
      </c>
      <c r="N172" s="2">
        <v>404</v>
      </c>
      <c r="O172" t="s">
        <v>70</v>
      </c>
      <c r="P172" t="s">
        <v>206</v>
      </c>
      <c r="Q172" t="s">
        <v>85</v>
      </c>
      <c r="R172" t="s">
        <v>594</v>
      </c>
      <c r="S172" t="s">
        <v>13</v>
      </c>
      <c r="T172" t="s">
        <v>14</v>
      </c>
      <c r="U172" t="s">
        <v>15</v>
      </c>
      <c r="V172" t="s">
        <v>15</v>
      </c>
      <c r="W172" t="s">
        <v>15</v>
      </c>
      <c r="X172" t="s">
        <v>15</v>
      </c>
      <c r="Y172" t="s">
        <v>16</v>
      </c>
      <c r="Z172" t="s">
        <v>15</v>
      </c>
      <c r="AA172" t="s">
        <v>16</v>
      </c>
      <c r="AB172" t="s">
        <v>15</v>
      </c>
      <c r="AC172" t="s">
        <v>17</v>
      </c>
      <c r="AD172" s="3">
        <v>42768</v>
      </c>
      <c r="AE172" t="s">
        <v>129</v>
      </c>
      <c r="AF172" t="s">
        <v>19</v>
      </c>
      <c r="AG172" t="s">
        <v>20</v>
      </c>
      <c r="AH172" s="3">
        <v>42768</v>
      </c>
      <c r="AI172" t="s">
        <v>73</v>
      </c>
      <c r="AJ172" t="s">
        <v>33</v>
      </c>
      <c r="AK172" t="s">
        <v>23</v>
      </c>
      <c r="AL172" s="3">
        <v>42768</v>
      </c>
    </row>
    <row r="173" spans="1:38" x14ac:dyDescent="0.25">
      <c r="A173" t="s">
        <v>0</v>
      </c>
      <c r="B173" t="s">
        <v>63</v>
      </c>
      <c r="C173" t="s">
        <v>591</v>
      </c>
      <c r="D173" t="s">
        <v>675</v>
      </c>
      <c r="E173" t="s">
        <v>3</v>
      </c>
      <c r="F173" t="s">
        <v>65</v>
      </c>
      <c r="G173" t="s">
        <v>688</v>
      </c>
      <c r="H173" t="s">
        <v>621</v>
      </c>
      <c r="I173" t="s">
        <v>622</v>
      </c>
      <c r="J173" t="s">
        <v>627</v>
      </c>
      <c r="K173" t="s">
        <v>628</v>
      </c>
      <c r="L173" s="2">
        <v>196</v>
      </c>
      <c r="M173" s="2">
        <v>0</v>
      </c>
      <c r="N173" s="2">
        <v>196</v>
      </c>
      <c r="O173" t="s">
        <v>70</v>
      </c>
      <c r="P173" t="s">
        <v>206</v>
      </c>
      <c r="Q173" t="s">
        <v>11</v>
      </c>
      <c r="R173" t="s">
        <v>600</v>
      </c>
      <c r="S173" t="s">
        <v>13</v>
      </c>
      <c r="T173" t="s">
        <v>14</v>
      </c>
      <c r="U173" t="s">
        <v>15</v>
      </c>
      <c r="V173" t="s">
        <v>16</v>
      </c>
      <c r="W173" t="s">
        <v>15</v>
      </c>
      <c r="X173" t="s">
        <v>15</v>
      </c>
      <c r="Y173" t="s">
        <v>15</v>
      </c>
      <c r="Z173" t="s">
        <v>15</v>
      </c>
      <c r="AA173" t="s">
        <v>16</v>
      </c>
      <c r="AB173" t="s">
        <v>15</v>
      </c>
      <c r="AC173" t="s">
        <v>17</v>
      </c>
      <c r="AD173" s="3">
        <v>42768</v>
      </c>
      <c r="AE173" t="s">
        <v>326</v>
      </c>
      <c r="AF173" t="s">
        <v>19</v>
      </c>
      <c r="AG173" t="s">
        <v>20</v>
      </c>
      <c r="AH173" s="3">
        <v>42768</v>
      </c>
      <c r="AI173" t="s">
        <v>73</v>
      </c>
      <c r="AJ173" t="s">
        <v>33</v>
      </c>
      <c r="AK173" t="s">
        <v>23</v>
      </c>
      <c r="AL173" s="3">
        <v>42768</v>
      </c>
    </row>
    <row r="174" spans="1:38" x14ac:dyDescent="0.25">
      <c r="A174" t="s">
        <v>0</v>
      </c>
      <c r="B174" t="s">
        <v>63</v>
      </c>
      <c r="C174" t="s">
        <v>591</v>
      </c>
      <c r="D174" t="s">
        <v>675</v>
      </c>
      <c r="E174" t="s">
        <v>3</v>
      </c>
      <c r="F174" t="s">
        <v>65</v>
      </c>
      <c r="G174" t="s">
        <v>688</v>
      </c>
      <c r="H174" t="s">
        <v>621</v>
      </c>
      <c r="I174" t="s">
        <v>622</v>
      </c>
      <c r="J174" t="s">
        <v>629</v>
      </c>
      <c r="K174" t="s">
        <v>630</v>
      </c>
      <c r="L174" s="2">
        <v>1140</v>
      </c>
      <c r="M174" s="2">
        <v>0</v>
      </c>
      <c r="N174" s="2">
        <v>1140</v>
      </c>
      <c r="O174" t="s">
        <v>70</v>
      </c>
      <c r="P174" t="s">
        <v>206</v>
      </c>
      <c r="Q174" t="s">
        <v>11</v>
      </c>
      <c r="R174" t="s">
        <v>594</v>
      </c>
      <c r="S174" t="s">
        <v>13</v>
      </c>
      <c r="T174" t="s">
        <v>14</v>
      </c>
      <c r="U174" t="s">
        <v>15</v>
      </c>
      <c r="V174" t="s">
        <v>15</v>
      </c>
      <c r="W174" t="s">
        <v>15</v>
      </c>
      <c r="X174" t="s">
        <v>15</v>
      </c>
      <c r="Y174" t="s">
        <v>16</v>
      </c>
      <c r="Z174" t="s">
        <v>15</v>
      </c>
      <c r="AA174" t="s">
        <v>16</v>
      </c>
      <c r="AB174" t="s">
        <v>15</v>
      </c>
      <c r="AC174" t="s">
        <v>17</v>
      </c>
      <c r="AD174" s="3">
        <v>42768</v>
      </c>
      <c r="AE174" t="s">
        <v>130</v>
      </c>
      <c r="AF174" t="s">
        <v>19</v>
      </c>
      <c r="AG174" t="s">
        <v>20</v>
      </c>
      <c r="AH174" s="3">
        <v>42768</v>
      </c>
      <c r="AI174" t="s">
        <v>73</v>
      </c>
      <c r="AJ174" t="s">
        <v>33</v>
      </c>
      <c r="AK174" t="s">
        <v>23</v>
      </c>
      <c r="AL174" s="3">
        <v>42768</v>
      </c>
    </row>
    <row r="175" spans="1:38" x14ac:dyDescent="0.25">
      <c r="A175" t="s">
        <v>0</v>
      </c>
      <c r="B175" t="s">
        <v>63</v>
      </c>
      <c r="C175" t="s">
        <v>591</v>
      </c>
      <c r="D175" t="s">
        <v>675</v>
      </c>
      <c r="E175" t="s">
        <v>3</v>
      </c>
      <c r="F175" t="s">
        <v>65</v>
      </c>
      <c r="G175" t="s">
        <v>688</v>
      </c>
      <c r="H175" t="s">
        <v>621</v>
      </c>
      <c r="I175" t="s">
        <v>622</v>
      </c>
      <c r="J175" t="s">
        <v>631</v>
      </c>
      <c r="K175" t="s">
        <v>632</v>
      </c>
      <c r="L175" s="2">
        <v>312</v>
      </c>
      <c r="M175" s="2">
        <v>0</v>
      </c>
      <c r="N175" s="2">
        <v>312</v>
      </c>
      <c r="O175" t="s">
        <v>70</v>
      </c>
      <c r="P175" t="s">
        <v>206</v>
      </c>
      <c r="Q175" t="s">
        <v>11</v>
      </c>
      <c r="R175" t="s">
        <v>610</v>
      </c>
      <c r="S175" t="s">
        <v>13</v>
      </c>
      <c r="T175" t="s">
        <v>14</v>
      </c>
      <c r="U175" t="s">
        <v>15</v>
      </c>
      <c r="V175" t="s">
        <v>15</v>
      </c>
      <c r="W175" t="s">
        <v>15</v>
      </c>
      <c r="X175" t="s">
        <v>31</v>
      </c>
      <c r="Y175" t="s">
        <v>16</v>
      </c>
      <c r="Z175" t="s">
        <v>15</v>
      </c>
      <c r="AA175" t="s">
        <v>16</v>
      </c>
      <c r="AB175" t="s">
        <v>15</v>
      </c>
      <c r="AC175" t="s">
        <v>17</v>
      </c>
      <c r="AD175" s="3">
        <v>42768</v>
      </c>
      <c r="AE175" t="s">
        <v>131</v>
      </c>
      <c r="AF175" t="s">
        <v>19</v>
      </c>
      <c r="AG175" t="s">
        <v>20</v>
      </c>
      <c r="AH175" s="3">
        <v>42768</v>
      </c>
      <c r="AI175" t="s">
        <v>73</v>
      </c>
      <c r="AJ175" t="s">
        <v>33</v>
      </c>
      <c r="AK175" t="s">
        <v>23</v>
      </c>
      <c r="AL175" s="3">
        <v>42768</v>
      </c>
    </row>
    <row r="176" spans="1:38" x14ac:dyDescent="0.25">
      <c r="A176" t="s">
        <v>0</v>
      </c>
      <c r="B176" t="s">
        <v>63</v>
      </c>
      <c r="C176" t="s">
        <v>591</v>
      </c>
      <c r="D176" t="s">
        <v>675</v>
      </c>
      <c r="E176" t="s">
        <v>3</v>
      </c>
      <c r="F176" t="s">
        <v>65</v>
      </c>
      <c r="G176" t="s">
        <v>688</v>
      </c>
      <c r="H176" t="s">
        <v>66</v>
      </c>
      <c r="I176" t="s">
        <v>67</v>
      </c>
      <c r="J176" t="s">
        <v>633</v>
      </c>
      <c r="K176" t="s">
        <v>634</v>
      </c>
      <c r="L176" s="2">
        <v>448</v>
      </c>
      <c r="M176" s="2">
        <v>0</v>
      </c>
      <c r="N176" s="2">
        <v>448</v>
      </c>
      <c r="O176" t="s">
        <v>70</v>
      </c>
      <c r="P176" t="s">
        <v>71</v>
      </c>
      <c r="Q176" t="s">
        <v>36</v>
      </c>
      <c r="R176" t="s">
        <v>594</v>
      </c>
      <c r="S176" t="s">
        <v>13</v>
      </c>
      <c r="T176" t="s">
        <v>14</v>
      </c>
      <c r="U176" t="s">
        <v>15</v>
      </c>
      <c r="V176" t="s">
        <v>15</v>
      </c>
      <c r="W176" t="s">
        <v>15</v>
      </c>
      <c r="X176" t="s">
        <v>15</v>
      </c>
      <c r="Y176" t="s">
        <v>16</v>
      </c>
      <c r="Z176" t="s">
        <v>15</v>
      </c>
      <c r="AA176" t="s">
        <v>16</v>
      </c>
      <c r="AB176" t="s">
        <v>15</v>
      </c>
      <c r="AC176" t="s">
        <v>17</v>
      </c>
      <c r="AD176" s="3">
        <v>42768</v>
      </c>
      <c r="AE176" t="s">
        <v>588</v>
      </c>
      <c r="AF176" t="s">
        <v>19</v>
      </c>
      <c r="AG176" t="s">
        <v>20</v>
      </c>
      <c r="AH176" s="3">
        <v>42768</v>
      </c>
      <c r="AI176" t="s">
        <v>73</v>
      </c>
      <c r="AJ176" t="s">
        <v>33</v>
      </c>
      <c r="AK176" t="s">
        <v>23</v>
      </c>
      <c r="AL176" s="3">
        <v>42768</v>
      </c>
    </row>
    <row r="177" spans="1:38" x14ac:dyDescent="0.25">
      <c r="A177" t="s">
        <v>0</v>
      </c>
      <c r="B177" t="s">
        <v>63</v>
      </c>
      <c r="C177" t="s">
        <v>591</v>
      </c>
      <c r="D177" t="s">
        <v>675</v>
      </c>
      <c r="E177" t="s">
        <v>3</v>
      </c>
      <c r="F177" t="s">
        <v>65</v>
      </c>
      <c r="G177" t="s">
        <v>688</v>
      </c>
      <c r="H177" t="s">
        <v>66</v>
      </c>
      <c r="I177" t="s">
        <v>67</v>
      </c>
      <c r="J177" t="s">
        <v>635</v>
      </c>
      <c r="K177" t="s">
        <v>636</v>
      </c>
      <c r="L177" s="2">
        <v>1068</v>
      </c>
      <c r="M177" s="2">
        <v>0</v>
      </c>
      <c r="N177" s="2">
        <v>1068</v>
      </c>
      <c r="O177" t="s">
        <v>70</v>
      </c>
      <c r="P177" t="s">
        <v>71</v>
      </c>
      <c r="Q177" t="s">
        <v>85</v>
      </c>
      <c r="R177" t="s">
        <v>594</v>
      </c>
      <c r="S177" t="s">
        <v>13</v>
      </c>
      <c r="T177" t="s">
        <v>14</v>
      </c>
      <c r="U177" t="s">
        <v>15</v>
      </c>
      <c r="V177" t="s">
        <v>15</v>
      </c>
      <c r="W177" t="s">
        <v>15</v>
      </c>
      <c r="X177" t="s">
        <v>15</v>
      </c>
      <c r="Y177" t="s">
        <v>16</v>
      </c>
      <c r="Z177" t="s">
        <v>15</v>
      </c>
      <c r="AA177" t="s">
        <v>16</v>
      </c>
      <c r="AB177" t="s">
        <v>15</v>
      </c>
      <c r="AC177" t="s">
        <v>17</v>
      </c>
      <c r="AD177" s="3">
        <v>42768</v>
      </c>
      <c r="AE177" t="s">
        <v>552</v>
      </c>
      <c r="AF177" t="s">
        <v>19</v>
      </c>
      <c r="AG177" t="s">
        <v>20</v>
      </c>
      <c r="AH177" s="3">
        <v>42768</v>
      </c>
      <c r="AI177" t="s">
        <v>73</v>
      </c>
      <c r="AJ177" t="s">
        <v>33</v>
      </c>
      <c r="AK177" t="s">
        <v>23</v>
      </c>
      <c r="AL177" s="3">
        <v>42768</v>
      </c>
    </row>
    <row r="178" spans="1:38" x14ac:dyDescent="0.25">
      <c r="A178" t="s">
        <v>0</v>
      </c>
      <c r="B178" t="s">
        <v>63</v>
      </c>
      <c r="C178" t="s">
        <v>591</v>
      </c>
      <c r="D178" t="s">
        <v>675</v>
      </c>
      <c r="E178" t="s">
        <v>3</v>
      </c>
      <c r="F178" t="s">
        <v>65</v>
      </c>
      <c r="G178" t="s">
        <v>688</v>
      </c>
      <c r="H178" t="s">
        <v>66</v>
      </c>
      <c r="I178" t="s">
        <v>67</v>
      </c>
      <c r="J178" t="s">
        <v>637</v>
      </c>
      <c r="K178" t="s">
        <v>638</v>
      </c>
      <c r="L178" s="2">
        <v>120</v>
      </c>
      <c r="M178" s="2">
        <v>0</v>
      </c>
      <c r="N178" s="2">
        <v>120</v>
      </c>
      <c r="O178" t="s">
        <v>70</v>
      </c>
      <c r="P178" t="s">
        <v>71</v>
      </c>
      <c r="Q178" t="s">
        <v>11</v>
      </c>
      <c r="R178" t="s">
        <v>600</v>
      </c>
      <c r="S178" t="s">
        <v>13</v>
      </c>
      <c r="T178" t="s">
        <v>14</v>
      </c>
      <c r="U178" t="s">
        <v>15</v>
      </c>
      <c r="V178" t="s">
        <v>16</v>
      </c>
      <c r="W178" t="s">
        <v>15</v>
      </c>
      <c r="X178" t="s">
        <v>15</v>
      </c>
      <c r="Y178" t="s">
        <v>15</v>
      </c>
      <c r="Z178" t="s">
        <v>15</v>
      </c>
      <c r="AA178" t="s">
        <v>16</v>
      </c>
      <c r="AB178" t="s">
        <v>15</v>
      </c>
      <c r="AC178" t="s">
        <v>17</v>
      </c>
      <c r="AD178" s="3">
        <v>42768</v>
      </c>
      <c r="AE178" t="s">
        <v>585</v>
      </c>
      <c r="AF178" t="s">
        <v>19</v>
      </c>
      <c r="AG178" t="s">
        <v>20</v>
      </c>
      <c r="AH178" s="3">
        <v>42768</v>
      </c>
      <c r="AI178" t="s">
        <v>73</v>
      </c>
      <c r="AJ178" t="s">
        <v>33</v>
      </c>
      <c r="AK178" t="s">
        <v>23</v>
      </c>
      <c r="AL178" s="3">
        <v>42768</v>
      </c>
    </row>
    <row r="179" spans="1:38" x14ac:dyDescent="0.25">
      <c r="A179" t="s">
        <v>0</v>
      </c>
      <c r="B179" t="s">
        <v>63</v>
      </c>
      <c r="C179" t="s">
        <v>591</v>
      </c>
      <c r="D179" t="s">
        <v>675</v>
      </c>
      <c r="E179" t="s">
        <v>3</v>
      </c>
      <c r="F179" t="s">
        <v>65</v>
      </c>
      <c r="G179" t="s">
        <v>688</v>
      </c>
      <c r="H179" t="s">
        <v>66</v>
      </c>
      <c r="I179" t="s">
        <v>67</v>
      </c>
      <c r="J179" t="s">
        <v>639</v>
      </c>
      <c r="K179" t="s">
        <v>69</v>
      </c>
      <c r="L179" s="2">
        <v>2164</v>
      </c>
      <c r="M179" s="2">
        <v>0</v>
      </c>
      <c r="N179" s="2">
        <v>2164</v>
      </c>
      <c r="O179" t="s">
        <v>70</v>
      </c>
      <c r="P179" t="s">
        <v>71</v>
      </c>
      <c r="Q179" t="s">
        <v>11</v>
      </c>
      <c r="R179" t="s">
        <v>594</v>
      </c>
      <c r="S179" t="s">
        <v>13</v>
      </c>
      <c r="T179" t="s">
        <v>14</v>
      </c>
      <c r="U179" t="s">
        <v>15</v>
      </c>
      <c r="V179" t="s">
        <v>15</v>
      </c>
      <c r="W179" t="s">
        <v>15</v>
      </c>
      <c r="X179" t="s">
        <v>15</v>
      </c>
      <c r="Y179" t="s">
        <v>16</v>
      </c>
      <c r="Z179" t="s">
        <v>15</v>
      </c>
      <c r="AA179" t="s">
        <v>16</v>
      </c>
      <c r="AB179" t="s">
        <v>15</v>
      </c>
      <c r="AC179" t="s">
        <v>17</v>
      </c>
      <c r="AD179" s="3">
        <v>42768</v>
      </c>
      <c r="AE179" t="s">
        <v>579</v>
      </c>
      <c r="AF179" t="s">
        <v>19</v>
      </c>
      <c r="AG179" t="s">
        <v>20</v>
      </c>
      <c r="AH179" s="3">
        <v>42768</v>
      </c>
      <c r="AI179" t="s">
        <v>73</v>
      </c>
      <c r="AJ179" t="s">
        <v>33</v>
      </c>
      <c r="AK179" t="s">
        <v>23</v>
      </c>
      <c r="AL179" s="3">
        <v>42768</v>
      </c>
    </row>
    <row r="180" spans="1:38" x14ac:dyDescent="0.25">
      <c r="A180" t="s">
        <v>0</v>
      </c>
      <c r="B180" t="s">
        <v>63</v>
      </c>
      <c r="C180" t="s">
        <v>64</v>
      </c>
      <c r="D180" t="s">
        <v>675</v>
      </c>
      <c r="E180" t="s">
        <v>25</v>
      </c>
      <c r="F180" t="s">
        <v>65</v>
      </c>
      <c r="G180" t="s">
        <v>688</v>
      </c>
      <c r="H180" t="s">
        <v>66</v>
      </c>
      <c r="I180" t="s">
        <v>67</v>
      </c>
      <c r="J180" t="s">
        <v>68</v>
      </c>
      <c r="K180" t="s">
        <v>69</v>
      </c>
      <c r="L180" s="2">
        <v>-104</v>
      </c>
      <c r="M180" s="2">
        <v>-104</v>
      </c>
      <c r="N180" s="2">
        <v>0</v>
      </c>
      <c r="O180" t="s">
        <v>70</v>
      </c>
      <c r="P180" t="s">
        <v>71</v>
      </c>
      <c r="Q180" t="s">
        <v>11</v>
      </c>
      <c r="R180" t="s">
        <v>72</v>
      </c>
      <c r="S180" t="s">
        <v>13</v>
      </c>
      <c r="T180" t="s">
        <v>14</v>
      </c>
      <c r="U180" t="s">
        <v>15</v>
      </c>
      <c r="V180" t="s">
        <v>15</v>
      </c>
      <c r="W180" t="s">
        <v>16</v>
      </c>
      <c r="X180" t="s">
        <v>15</v>
      </c>
      <c r="Y180" t="s">
        <v>15</v>
      </c>
      <c r="Z180" t="s">
        <v>15</v>
      </c>
      <c r="AA180" t="s">
        <v>15</v>
      </c>
      <c r="AB180" t="s">
        <v>15</v>
      </c>
      <c r="AC180" t="s">
        <v>17</v>
      </c>
      <c r="AD180" s="3"/>
      <c r="AE180" t="s">
        <v>18</v>
      </c>
      <c r="AF180" t="s">
        <v>27</v>
      </c>
      <c r="AG180" t="s">
        <v>27</v>
      </c>
      <c r="AH180" s="3">
        <v>42629</v>
      </c>
      <c r="AI180" t="s">
        <v>73</v>
      </c>
      <c r="AJ180" t="s">
        <v>33</v>
      </c>
      <c r="AK180" t="s">
        <v>23</v>
      </c>
      <c r="AL180" s="3">
        <v>42552</v>
      </c>
    </row>
    <row r="181" spans="1:38" x14ac:dyDescent="0.25">
      <c r="A181" t="s">
        <v>0</v>
      </c>
      <c r="B181" t="s">
        <v>63</v>
      </c>
      <c r="C181" t="s">
        <v>591</v>
      </c>
      <c r="D181" t="s">
        <v>675</v>
      </c>
      <c r="E181" t="s">
        <v>3</v>
      </c>
      <c r="F181" t="s">
        <v>65</v>
      </c>
      <c r="G181" t="s">
        <v>688</v>
      </c>
      <c r="H181" t="s">
        <v>66</v>
      </c>
      <c r="I181" t="s">
        <v>67</v>
      </c>
      <c r="J181" t="s">
        <v>640</v>
      </c>
      <c r="K181" t="s">
        <v>641</v>
      </c>
      <c r="L181" s="2">
        <v>80</v>
      </c>
      <c r="M181" s="2">
        <v>0</v>
      </c>
      <c r="N181" s="2">
        <v>80</v>
      </c>
      <c r="O181" t="s">
        <v>70</v>
      </c>
      <c r="P181" t="s">
        <v>71</v>
      </c>
      <c r="Q181" t="s">
        <v>11</v>
      </c>
      <c r="R181" t="s">
        <v>610</v>
      </c>
      <c r="S181" t="s">
        <v>13</v>
      </c>
      <c r="T181" t="s">
        <v>14</v>
      </c>
      <c r="U181" t="s">
        <v>15</v>
      </c>
      <c r="V181" t="s">
        <v>15</v>
      </c>
      <c r="W181" t="s">
        <v>15</v>
      </c>
      <c r="X181" t="s">
        <v>31</v>
      </c>
      <c r="Y181" t="s">
        <v>16</v>
      </c>
      <c r="Z181" t="s">
        <v>15</v>
      </c>
      <c r="AA181" t="s">
        <v>16</v>
      </c>
      <c r="AB181" t="s">
        <v>15</v>
      </c>
      <c r="AC181" t="s">
        <v>17</v>
      </c>
      <c r="AD181" s="3">
        <v>42768</v>
      </c>
      <c r="AE181" t="s">
        <v>582</v>
      </c>
      <c r="AF181" t="s">
        <v>19</v>
      </c>
      <c r="AG181" t="s">
        <v>20</v>
      </c>
      <c r="AH181" s="3">
        <v>42768</v>
      </c>
      <c r="AI181" t="s">
        <v>73</v>
      </c>
      <c r="AJ181" t="s">
        <v>33</v>
      </c>
      <c r="AK181" t="s">
        <v>23</v>
      </c>
      <c r="AL181" s="3">
        <v>42768</v>
      </c>
    </row>
    <row r="182" spans="1:38" x14ac:dyDescent="0.25">
      <c r="A182" t="s">
        <v>0</v>
      </c>
      <c r="B182" t="s">
        <v>63</v>
      </c>
      <c r="C182" t="s">
        <v>591</v>
      </c>
      <c r="D182" t="s">
        <v>675</v>
      </c>
      <c r="E182" t="s">
        <v>3</v>
      </c>
      <c r="F182" t="s">
        <v>65</v>
      </c>
      <c r="G182" t="s">
        <v>688</v>
      </c>
      <c r="H182" t="s">
        <v>86</v>
      </c>
      <c r="I182" t="s">
        <v>87</v>
      </c>
      <c r="J182" t="s">
        <v>642</v>
      </c>
      <c r="K182" t="s">
        <v>643</v>
      </c>
      <c r="L182" s="2">
        <v>1128</v>
      </c>
      <c r="M182" s="2">
        <v>0</v>
      </c>
      <c r="N182" s="2">
        <v>1128</v>
      </c>
      <c r="O182" t="s">
        <v>70</v>
      </c>
      <c r="P182" t="s">
        <v>90</v>
      </c>
      <c r="Q182" t="s">
        <v>36</v>
      </c>
      <c r="R182" t="s">
        <v>594</v>
      </c>
      <c r="S182" t="s">
        <v>13</v>
      </c>
      <c r="T182" t="s">
        <v>14</v>
      </c>
      <c r="U182" t="s">
        <v>15</v>
      </c>
      <c r="V182" t="s">
        <v>15</v>
      </c>
      <c r="W182" t="s">
        <v>15</v>
      </c>
      <c r="X182" t="s">
        <v>15</v>
      </c>
      <c r="Y182" t="s">
        <v>16</v>
      </c>
      <c r="Z182" t="s">
        <v>15</v>
      </c>
      <c r="AA182" t="s">
        <v>16</v>
      </c>
      <c r="AB182" t="s">
        <v>15</v>
      </c>
      <c r="AC182" t="s">
        <v>17</v>
      </c>
      <c r="AD182" s="3">
        <v>42768</v>
      </c>
      <c r="AE182" t="s">
        <v>644</v>
      </c>
      <c r="AF182" t="s">
        <v>19</v>
      </c>
      <c r="AG182" t="s">
        <v>20</v>
      </c>
      <c r="AH182" s="3">
        <v>42768</v>
      </c>
      <c r="AI182" t="s">
        <v>73</v>
      </c>
      <c r="AJ182" t="s">
        <v>33</v>
      </c>
      <c r="AK182" t="s">
        <v>23</v>
      </c>
      <c r="AL182" s="3">
        <v>42768</v>
      </c>
    </row>
    <row r="183" spans="1:38" x14ac:dyDescent="0.25">
      <c r="A183" t="s">
        <v>0</v>
      </c>
      <c r="B183" t="s">
        <v>63</v>
      </c>
      <c r="C183" t="s">
        <v>591</v>
      </c>
      <c r="D183" t="s">
        <v>675</v>
      </c>
      <c r="E183" t="s">
        <v>3</v>
      </c>
      <c r="F183" t="s">
        <v>65</v>
      </c>
      <c r="G183" t="s">
        <v>688</v>
      </c>
      <c r="H183" t="s">
        <v>86</v>
      </c>
      <c r="I183" t="s">
        <v>87</v>
      </c>
      <c r="J183" t="s">
        <v>645</v>
      </c>
      <c r="K183" t="s">
        <v>646</v>
      </c>
      <c r="L183" s="2">
        <v>1948</v>
      </c>
      <c r="M183" s="2">
        <v>0</v>
      </c>
      <c r="N183" s="2">
        <v>1948</v>
      </c>
      <c r="O183" t="s">
        <v>70</v>
      </c>
      <c r="P183" t="s">
        <v>90</v>
      </c>
      <c r="Q183" t="s">
        <v>85</v>
      </c>
      <c r="R183" t="s">
        <v>594</v>
      </c>
      <c r="S183" t="s">
        <v>13</v>
      </c>
      <c r="T183" t="s">
        <v>14</v>
      </c>
      <c r="U183" t="s">
        <v>15</v>
      </c>
      <c r="V183" t="s">
        <v>15</v>
      </c>
      <c r="W183" t="s">
        <v>15</v>
      </c>
      <c r="X183" t="s">
        <v>15</v>
      </c>
      <c r="Y183" t="s">
        <v>16</v>
      </c>
      <c r="Z183" t="s">
        <v>15</v>
      </c>
      <c r="AA183" t="s">
        <v>16</v>
      </c>
      <c r="AB183" t="s">
        <v>15</v>
      </c>
      <c r="AC183" t="s">
        <v>17</v>
      </c>
      <c r="AD183" s="3">
        <v>42768</v>
      </c>
      <c r="AE183" t="s">
        <v>647</v>
      </c>
      <c r="AF183" t="s">
        <v>19</v>
      </c>
      <c r="AG183" t="s">
        <v>20</v>
      </c>
      <c r="AH183" s="3">
        <v>42768</v>
      </c>
      <c r="AI183" t="s">
        <v>73</v>
      </c>
      <c r="AJ183" t="s">
        <v>33</v>
      </c>
      <c r="AK183" t="s">
        <v>23</v>
      </c>
      <c r="AL183" s="3">
        <v>42768</v>
      </c>
    </row>
    <row r="184" spans="1:38" x14ac:dyDescent="0.25">
      <c r="A184" t="s">
        <v>0</v>
      </c>
      <c r="B184" t="s">
        <v>63</v>
      </c>
      <c r="C184" t="s">
        <v>591</v>
      </c>
      <c r="D184" t="s">
        <v>675</v>
      </c>
      <c r="E184" t="s">
        <v>3</v>
      </c>
      <c r="F184" t="s">
        <v>65</v>
      </c>
      <c r="G184" t="s">
        <v>688</v>
      </c>
      <c r="H184" t="s">
        <v>86</v>
      </c>
      <c r="I184" t="s">
        <v>87</v>
      </c>
      <c r="J184" t="s">
        <v>648</v>
      </c>
      <c r="K184" t="s">
        <v>649</v>
      </c>
      <c r="L184" s="2">
        <v>304</v>
      </c>
      <c r="M184" s="2">
        <v>0</v>
      </c>
      <c r="N184" s="2">
        <v>304</v>
      </c>
      <c r="O184" t="s">
        <v>70</v>
      </c>
      <c r="P184" t="s">
        <v>90</v>
      </c>
      <c r="Q184" t="s">
        <v>11</v>
      </c>
      <c r="R184" t="s">
        <v>600</v>
      </c>
      <c r="S184" t="s">
        <v>13</v>
      </c>
      <c r="T184" t="s">
        <v>14</v>
      </c>
      <c r="U184" t="s">
        <v>15</v>
      </c>
      <c r="V184" t="s">
        <v>16</v>
      </c>
      <c r="W184" t="s">
        <v>15</v>
      </c>
      <c r="X184" t="s">
        <v>15</v>
      </c>
      <c r="Y184" t="s">
        <v>15</v>
      </c>
      <c r="Z184" t="s">
        <v>15</v>
      </c>
      <c r="AA184" t="s">
        <v>16</v>
      </c>
      <c r="AB184" t="s">
        <v>15</v>
      </c>
      <c r="AC184" t="s">
        <v>17</v>
      </c>
      <c r="AD184" s="3">
        <v>42768</v>
      </c>
      <c r="AE184" t="s">
        <v>650</v>
      </c>
      <c r="AF184" t="s">
        <v>19</v>
      </c>
      <c r="AG184" t="s">
        <v>20</v>
      </c>
      <c r="AH184" s="3">
        <v>42768</v>
      </c>
      <c r="AI184" t="s">
        <v>73</v>
      </c>
      <c r="AJ184" t="s">
        <v>33</v>
      </c>
      <c r="AK184" t="s">
        <v>23</v>
      </c>
      <c r="AL184" s="3">
        <v>42768</v>
      </c>
    </row>
    <row r="185" spans="1:38" x14ac:dyDescent="0.25">
      <c r="A185" t="s">
        <v>0</v>
      </c>
      <c r="B185" t="s">
        <v>63</v>
      </c>
      <c r="C185" t="s">
        <v>591</v>
      </c>
      <c r="D185" t="s">
        <v>675</v>
      </c>
      <c r="E185" t="s">
        <v>3</v>
      </c>
      <c r="F185" t="s">
        <v>65</v>
      </c>
      <c r="G185" t="s">
        <v>688</v>
      </c>
      <c r="H185" t="s">
        <v>86</v>
      </c>
      <c r="I185" t="s">
        <v>87</v>
      </c>
      <c r="J185" t="s">
        <v>651</v>
      </c>
      <c r="K185" t="s">
        <v>89</v>
      </c>
      <c r="L185" s="2">
        <v>4492</v>
      </c>
      <c r="M185" s="2">
        <v>0</v>
      </c>
      <c r="N185" s="2">
        <v>4492</v>
      </c>
      <c r="O185" t="s">
        <v>70</v>
      </c>
      <c r="P185" t="s">
        <v>90</v>
      </c>
      <c r="Q185" t="s">
        <v>11</v>
      </c>
      <c r="R185" t="s">
        <v>594</v>
      </c>
      <c r="S185" t="s">
        <v>13</v>
      </c>
      <c r="T185" t="s">
        <v>14</v>
      </c>
      <c r="U185" t="s">
        <v>15</v>
      </c>
      <c r="V185" t="s">
        <v>15</v>
      </c>
      <c r="W185" t="s">
        <v>15</v>
      </c>
      <c r="X185" t="s">
        <v>15</v>
      </c>
      <c r="Y185" t="s">
        <v>16</v>
      </c>
      <c r="Z185" t="s">
        <v>15</v>
      </c>
      <c r="AA185" t="s">
        <v>16</v>
      </c>
      <c r="AB185" t="s">
        <v>15</v>
      </c>
      <c r="AC185" t="s">
        <v>17</v>
      </c>
      <c r="AD185" s="3">
        <v>42768</v>
      </c>
      <c r="AE185" t="s">
        <v>652</v>
      </c>
      <c r="AF185" t="s">
        <v>19</v>
      </c>
      <c r="AG185" t="s">
        <v>20</v>
      </c>
      <c r="AH185" s="3">
        <v>42768</v>
      </c>
      <c r="AI185" t="s">
        <v>73</v>
      </c>
      <c r="AJ185" t="s">
        <v>33</v>
      </c>
      <c r="AK185" t="s">
        <v>23</v>
      </c>
      <c r="AL185" s="3">
        <v>42768</v>
      </c>
    </row>
    <row r="186" spans="1:38" x14ac:dyDescent="0.25">
      <c r="A186" t="s">
        <v>0</v>
      </c>
      <c r="B186" t="s">
        <v>63</v>
      </c>
      <c r="C186" t="s">
        <v>79</v>
      </c>
      <c r="D186" t="s">
        <v>675</v>
      </c>
      <c r="E186" t="s">
        <v>25</v>
      </c>
      <c r="F186" t="s">
        <v>65</v>
      </c>
      <c r="G186" t="s">
        <v>688</v>
      </c>
      <c r="H186" t="s">
        <v>86</v>
      </c>
      <c r="I186" t="s">
        <v>87</v>
      </c>
      <c r="J186" t="s">
        <v>88</v>
      </c>
      <c r="K186" t="s">
        <v>89</v>
      </c>
      <c r="L186" s="2">
        <v>-4</v>
      </c>
      <c r="M186" s="2">
        <v>-4</v>
      </c>
      <c r="N186" s="2">
        <v>0</v>
      </c>
      <c r="O186" t="s">
        <v>70</v>
      </c>
      <c r="P186" t="s">
        <v>90</v>
      </c>
      <c r="Q186" t="s">
        <v>11</v>
      </c>
      <c r="R186" t="s">
        <v>72</v>
      </c>
      <c r="S186" t="s">
        <v>13</v>
      </c>
      <c r="T186" t="s">
        <v>14</v>
      </c>
      <c r="U186" t="s">
        <v>15</v>
      </c>
      <c r="V186" t="s">
        <v>15</v>
      </c>
      <c r="W186" t="s">
        <v>16</v>
      </c>
      <c r="X186" t="s">
        <v>15</v>
      </c>
      <c r="Y186" t="s">
        <v>15</v>
      </c>
      <c r="Z186" t="s">
        <v>15</v>
      </c>
      <c r="AA186" t="s">
        <v>15</v>
      </c>
      <c r="AB186" t="s">
        <v>15</v>
      </c>
      <c r="AC186" t="s">
        <v>17</v>
      </c>
      <c r="AD186" s="3"/>
      <c r="AE186" t="s">
        <v>34</v>
      </c>
      <c r="AF186" t="s">
        <v>27</v>
      </c>
      <c r="AG186" t="s">
        <v>27</v>
      </c>
      <c r="AH186" s="3">
        <v>42625</v>
      </c>
      <c r="AI186" t="s">
        <v>73</v>
      </c>
      <c r="AJ186" t="s">
        <v>33</v>
      </c>
      <c r="AK186" t="s">
        <v>23</v>
      </c>
      <c r="AL186" s="3">
        <v>42552</v>
      </c>
    </row>
    <row r="187" spans="1:38" x14ac:dyDescent="0.25">
      <c r="A187" t="s">
        <v>0</v>
      </c>
      <c r="B187" t="s">
        <v>63</v>
      </c>
      <c r="C187" t="s">
        <v>91</v>
      </c>
      <c r="D187" t="s">
        <v>675</v>
      </c>
      <c r="E187" t="s">
        <v>43</v>
      </c>
      <c r="F187" t="s">
        <v>65</v>
      </c>
      <c r="G187" t="s">
        <v>688</v>
      </c>
      <c r="H187" t="s">
        <v>86</v>
      </c>
      <c r="I187" t="s">
        <v>87</v>
      </c>
      <c r="J187" t="s">
        <v>88</v>
      </c>
      <c r="K187" t="s">
        <v>89</v>
      </c>
      <c r="L187" s="2">
        <v>4</v>
      </c>
      <c r="M187" s="2">
        <v>4</v>
      </c>
      <c r="N187" s="2">
        <v>0</v>
      </c>
      <c r="O187" t="s">
        <v>70</v>
      </c>
      <c r="P187" t="s">
        <v>90</v>
      </c>
      <c r="Q187" t="s">
        <v>11</v>
      </c>
      <c r="R187" t="s">
        <v>72</v>
      </c>
      <c r="S187" t="s">
        <v>13</v>
      </c>
      <c r="T187" t="s">
        <v>14</v>
      </c>
      <c r="U187" t="s">
        <v>15</v>
      </c>
      <c r="V187" t="s">
        <v>15</v>
      </c>
      <c r="W187" t="s">
        <v>16</v>
      </c>
      <c r="X187" t="s">
        <v>15</v>
      </c>
      <c r="Y187" t="s">
        <v>15</v>
      </c>
      <c r="Z187" t="s">
        <v>15</v>
      </c>
      <c r="AA187" t="s">
        <v>15</v>
      </c>
      <c r="AB187" t="s">
        <v>15</v>
      </c>
      <c r="AC187" t="s">
        <v>17</v>
      </c>
      <c r="AD187" s="3">
        <v>42625</v>
      </c>
      <c r="AE187" t="s">
        <v>34</v>
      </c>
      <c r="AF187" t="s">
        <v>19</v>
      </c>
      <c r="AG187" t="s">
        <v>44</v>
      </c>
      <c r="AH187" s="3">
        <v>42625</v>
      </c>
      <c r="AI187" t="s">
        <v>73</v>
      </c>
      <c r="AJ187" t="s">
        <v>33</v>
      </c>
      <c r="AK187" t="s">
        <v>23</v>
      </c>
      <c r="AL187" s="3">
        <v>42552</v>
      </c>
    </row>
    <row r="188" spans="1:38" x14ac:dyDescent="0.25">
      <c r="A188" t="s">
        <v>0</v>
      </c>
      <c r="B188" t="s">
        <v>63</v>
      </c>
      <c r="C188" t="s">
        <v>591</v>
      </c>
      <c r="D188" t="s">
        <v>675</v>
      </c>
      <c r="E188" t="s">
        <v>3</v>
      </c>
      <c r="F188" t="s">
        <v>65</v>
      </c>
      <c r="G188" t="s">
        <v>688</v>
      </c>
      <c r="H188" t="s">
        <v>86</v>
      </c>
      <c r="I188" t="s">
        <v>87</v>
      </c>
      <c r="J188" t="s">
        <v>653</v>
      </c>
      <c r="K188" t="s">
        <v>95</v>
      </c>
      <c r="L188" s="2">
        <v>68</v>
      </c>
      <c r="M188" s="2">
        <v>0</v>
      </c>
      <c r="N188" s="2">
        <v>68</v>
      </c>
      <c r="O188" t="s">
        <v>70</v>
      </c>
      <c r="P188" t="s">
        <v>90</v>
      </c>
      <c r="Q188" t="s">
        <v>11</v>
      </c>
      <c r="R188" t="s">
        <v>610</v>
      </c>
      <c r="S188" t="s">
        <v>13</v>
      </c>
      <c r="T188" t="s">
        <v>14</v>
      </c>
      <c r="U188" t="s">
        <v>15</v>
      </c>
      <c r="V188" t="s">
        <v>15</v>
      </c>
      <c r="W188" t="s">
        <v>15</v>
      </c>
      <c r="X188" t="s">
        <v>31</v>
      </c>
      <c r="Y188" t="s">
        <v>16</v>
      </c>
      <c r="Z188" t="s">
        <v>15</v>
      </c>
      <c r="AA188" t="s">
        <v>16</v>
      </c>
      <c r="AB188" t="s">
        <v>15</v>
      </c>
      <c r="AC188" t="s">
        <v>17</v>
      </c>
      <c r="AD188" s="3">
        <v>42768</v>
      </c>
      <c r="AE188" t="s">
        <v>654</v>
      </c>
      <c r="AF188" t="s">
        <v>19</v>
      </c>
      <c r="AG188" t="s">
        <v>20</v>
      </c>
      <c r="AH188" s="3">
        <v>42768</v>
      </c>
      <c r="AI188" t="s">
        <v>73</v>
      </c>
      <c r="AJ188" t="s">
        <v>33</v>
      </c>
      <c r="AK188" t="s">
        <v>23</v>
      </c>
      <c r="AL188" s="3">
        <v>42768</v>
      </c>
    </row>
    <row r="189" spans="1:38" x14ac:dyDescent="0.25">
      <c r="A189" t="s">
        <v>0</v>
      </c>
      <c r="B189" t="s">
        <v>63</v>
      </c>
      <c r="C189" t="s">
        <v>93</v>
      </c>
      <c r="D189" t="s">
        <v>675</v>
      </c>
      <c r="E189" t="s">
        <v>25</v>
      </c>
      <c r="F189" t="s">
        <v>65</v>
      </c>
      <c r="G189" t="s">
        <v>688</v>
      </c>
      <c r="H189" t="s">
        <v>86</v>
      </c>
      <c r="I189" t="s">
        <v>87</v>
      </c>
      <c r="J189" t="s">
        <v>94</v>
      </c>
      <c r="K189" t="s">
        <v>95</v>
      </c>
      <c r="L189" s="2">
        <v>-16</v>
      </c>
      <c r="M189" s="2">
        <v>-16</v>
      </c>
      <c r="N189" s="2">
        <v>0</v>
      </c>
      <c r="O189" t="s">
        <v>70</v>
      </c>
      <c r="P189" t="s">
        <v>90</v>
      </c>
      <c r="Q189" t="s">
        <v>11</v>
      </c>
      <c r="R189" t="s">
        <v>30</v>
      </c>
      <c r="S189" t="s">
        <v>13</v>
      </c>
      <c r="T189" t="s">
        <v>14</v>
      </c>
      <c r="U189" t="s">
        <v>15</v>
      </c>
      <c r="V189" t="s">
        <v>15</v>
      </c>
      <c r="W189" t="s">
        <v>16</v>
      </c>
      <c r="X189" t="s">
        <v>31</v>
      </c>
      <c r="Y189" t="s">
        <v>15</v>
      </c>
      <c r="Z189" t="s">
        <v>15</v>
      </c>
      <c r="AA189" t="s">
        <v>15</v>
      </c>
      <c r="AB189" t="s">
        <v>15</v>
      </c>
      <c r="AC189" t="s">
        <v>17</v>
      </c>
      <c r="AD189" s="3"/>
      <c r="AE189" t="s">
        <v>18</v>
      </c>
      <c r="AF189" t="s">
        <v>27</v>
      </c>
      <c r="AG189" t="s">
        <v>27</v>
      </c>
      <c r="AH189" s="3">
        <v>42625</v>
      </c>
      <c r="AI189" t="s">
        <v>73</v>
      </c>
      <c r="AJ189" t="s">
        <v>33</v>
      </c>
      <c r="AK189" t="s">
        <v>23</v>
      </c>
      <c r="AL189" s="3">
        <v>42552</v>
      </c>
    </row>
    <row r="190" spans="1:38" x14ac:dyDescent="0.25">
      <c r="A190" t="s">
        <v>0</v>
      </c>
      <c r="B190" t="s">
        <v>63</v>
      </c>
      <c r="C190" t="s">
        <v>96</v>
      </c>
      <c r="D190" t="s">
        <v>675</v>
      </c>
      <c r="E190" t="s">
        <v>43</v>
      </c>
      <c r="F190" t="s">
        <v>65</v>
      </c>
      <c r="G190" t="s">
        <v>688</v>
      </c>
      <c r="H190" t="s">
        <v>86</v>
      </c>
      <c r="I190" t="s">
        <v>87</v>
      </c>
      <c r="J190" t="s">
        <v>94</v>
      </c>
      <c r="K190" t="s">
        <v>95</v>
      </c>
      <c r="L190" s="2">
        <v>16</v>
      </c>
      <c r="M190" s="2">
        <v>16</v>
      </c>
      <c r="N190" s="2">
        <v>0</v>
      </c>
      <c r="O190" t="s">
        <v>70</v>
      </c>
      <c r="P190" t="s">
        <v>90</v>
      </c>
      <c r="Q190" t="s">
        <v>11</v>
      </c>
      <c r="R190" t="s">
        <v>30</v>
      </c>
      <c r="S190" t="s">
        <v>13</v>
      </c>
      <c r="T190" t="s">
        <v>14</v>
      </c>
      <c r="U190" t="s">
        <v>15</v>
      </c>
      <c r="V190" t="s">
        <v>15</v>
      </c>
      <c r="W190" t="s">
        <v>16</v>
      </c>
      <c r="X190" t="s">
        <v>31</v>
      </c>
      <c r="Y190" t="s">
        <v>15</v>
      </c>
      <c r="Z190" t="s">
        <v>15</v>
      </c>
      <c r="AA190" t="s">
        <v>15</v>
      </c>
      <c r="AB190" t="s">
        <v>15</v>
      </c>
      <c r="AC190" t="s">
        <v>17</v>
      </c>
      <c r="AD190" s="3">
        <v>42625</v>
      </c>
      <c r="AE190" t="s">
        <v>18</v>
      </c>
      <c r="AF190" t="s">
        <v>19</v>
      </c>
      <c r="AG190" t="s">
        <v>44</v>
      </c>
      <c r="AH190" s="3">
        <v>42625</v>
      </c>
      <c r="AI190" t="s">
        <v>73</v>
      </c>
      <c r="AJ190" t="s">
        <v>33</v>
      </c>
      <c r="AK190" t="s">
        <v>23</v>
      </c>
      <c r="AL190" s="3">
        <v>42552</v>
      </c>
    </row>
    <row r="191" spans="1:38" x14ac:dyDescent="0.25">
      <c r="A191" t="s">
        <v>140</v>
      </c>
      <c r="B191" t="s">
        <v>173</v>
      </c>
      <c r="C191" t="s">
        <v>304</v>
      </c>
      <c r="D191" t="s">
        <v>661</v>
      </c>
      <c r="E191" t="s">
        <v>3</v>
      </c>
      <c r="F191" t="s">
        <v>287</v>
      </c>
      <c r="G191" t="s">
        <v>689</v>
      </c>
      <c r="H191" t="s">
        <v>212</v>
      </c>
      <c r="I191" t="s">
        <v>213</v>
      </c>
      <c r="J191" t="s">
        <v>224</v>
      </c>
      <c r="K191" t="s">
        <v>225</v>
      </c>
      <c r="L191" s="2">
        <v>60</v>
      </c>
      <c r="M191" s="2">
        <v>60</v>
      </c>
      <c r="N191" s="2">
        <v>0</v>
      </c>
      <c r="O191" t="s">
        <v>177</v>
      </c>
      <c r="P191" t="s">
        <v>216</v>
      </c>
      <c r="Q191" t="s">
        <v>166</v>
      </c>
      <c r="R191" t="s">
        <v>179</v>
      </c>
      <c r="S191" t="s">
        <v>13</v>
      </c>
      <c r="T191" t="s">
        <v>14</v>
      </c>
      <c r="U191" t="s">
        <v>15</v>
      </c>
      <c r="V191" t="s">
        <v>15</v>
      </c>
      <c r="W191" t="s">
        <v>15</v>
      </c>
      <c r="X191" t="s">
        <v>15</v>
      </c>
      <c r="Y191" t="s">
        <v>15</v>
      </c>
      <c r="Z191" t="s">
        <v>15</v>
      </c>
      <c r="AA191" t="s">
        <v>15</v>
      </c>
      <c r="AB191" t="s">
        <v>15</v>
      </c>
      <c r="AC191" t="s">
        <v>17</v>
      </c>
      <c r="AD191" s="3">
        <v>42642</v>
      </c>
      <c r="AE191" t="s">
        <v>18</v>
      </c>
      <c r="AF191" t="s">
        <v>19</v>
      </c>
      <c r="AG191" t="s">
        <v>20</v>
      </c>
      <c r="AH191" s="3">
        <v>42668</v>
      </c>
      <c r="AI191" t="s">
        <v>22</v>
      </c>
      <c r="AJ191" t="s">
        <v>33</v>
      </c>
      <c r="AK191" t="s">
        <v>23</v>
      </c>
      <c r="AL191" s="3">
        <v>42642</v>
      </c>
    </row>
    <row r="192" spans="1:38" x14ac:dyDescent="0.25">
      <c r="A192" t="s">
        <v>140</v>
      </c>
      <c r="B192" t="s">
        <v>173</v>
      </c>
      <c r="C192" t="s">
        <v>346</v>
      </c>
      <c r="D192" t="s">
        <v>661</v>
      </c>
      <c r="E192" t="s">
        <v>43</v>
      </c>
      <c r="F192" t="s">
        <v>287</v>
      </c>
      <c r="G192" t="s">
        <v>689</v>
      </c>
      <c r="H192" t="s">
        <v>174</v>
      </c>
      <c r="I192" t="s">
        <v>175</v>
      </c>
      <c r="J192" t="s">
        <v>176</v>
      </c>
      <c r="K192" t="s">
        <v>209</v>
      </c>
      <c r="L192" s="2">
        <v>16</v>
      </c>
      <c r="M192" s="2">
        <v>16</v>
      </c>
      <c r="N192" s="2">
        <v>0</v>
      </c>
      <c r="O192" t="s">
        <v>177</v>
      </c>
      <c r="P192" t="s">
        <v>178</v>
      </c>
      <c r="Q192" t="s">
        <v>166</v>
      </c>
      <c r="R192" t="s">
        <v>179</v>
      </c>
      <c r="S192" t="s">
        <v>13</v>
      </c>
      <c r="T192" t="s">
        <v>14</v>
      </c>
      <c r="U192" t="s">
        <v>15</v>
      </c>
      <c r="V192" t="s">
        <v>15</v>
      </c>
      <c r="W192" t="s">
        <v>15</v>
      </c>
      <c r="X192" t="s">
        <v>15</v>
      </c>
      <c r="Y192" t="s">
        <v>15</v>
      </c>
      <c r="Z192" t="s">
        <v>15</v>
      </c>
      <c r="AA192" t="s">
        <v>15</v>
      </c>
      <c r="AB192" t="s">
        <v>15</v>
      </c>
      <c r="AC192" t="s">
        <v>17</v>
      </c>
      <c r="AD192" s="3">
        <v>42678</v>
      </c>
      <c r="AE192" t="s">
        <v>18</v>
      </c>
      <c r="AF192" t="s">
        <v>19</v>
      </c>
      <c r="AG192" t="s">
        <v>44</v>
      </c>
      <c r="AH192" s="3">
        <v>42696</v>
      </c>
      <c r="AI192" t="s">
        <v>22</v>
      </c>
      <c r="AJ192" t="s">
        <v>33</v>
      </c>
      <c r="AK192" t="s">
        <v>23</v>
      </c>
      <c r="AL192" s="3">
        <v>42678</v>
      </c>
    </row>
    <row r="193" spans="1:38" x14ac:dyDescent="0.25">
      <c r="A193" t="s">
        <v>140</v>
      </c>
      <c r="B193" t="s">
        <v>173</v>
      </c>
      <c r="C193" t="s">
        <v>317</v>
      </c>
      <c r="D193" t="s">
        <v>661</v>
      </c>
      <c r="E193" t="s">
        <v>43</v>
      </c>
      <c r="F193" t="s">
        <v>292</v>
      </c>
      <c r="G193" t="s">
        <v>689</v>
      </c>
      <c r="H193" t="s">
        <v>219</v>
      </c>
      <c r="I193" t="s">
        <v>220</v>
      </c>
      <c r="J193" t="s">
        <v>248</v>
      </c>
      <c r="K193" t="s">
        <v>249</v>
      </c>
      <c r="L193" s="2">
        <v>24</v>
      </c>
      <c r="M193" s="2">
        <v>24</v>
      </c>
      <c r="N193" s="2">
        <v>0</v>
      </c>
      <c r="O193" t="s">
        <v>177</v>
      </c>
      <c r="P193" t="s">
        <v>223</v>
      </c>
      <c r="Q193" t="s">
        <v>182</v>
      </c>
      <c r="R193" t="s">
        <v>179</v>
      </c>
      <c r="S193" t="s">
        <v>13</v>
      </c>
      <c r="T193" t="s">
        <v>14</v>
      </c>
      <c r="U193" t="s">
        <v>15</v>
      </c>
      <c r="V193" t="s">
        <v>15</v>
      </c>
      <c r="W193" t="s">
        <v>15</v>
      </c>
      <c r="X193" t="s">
        <v>15</v>
      </c>
      <c r="Y193" t="s">
        <v>15</v>
      </c>
      <c r="Z193" t="s">
        <v>15</v>
      </c>
      <c r="AA193" t="s">
        <v>15</v>
      </c>
      <c r="AB193" t="s">
        <v>15</v>
      </c>
      <c r="AC193" t="s">
        <v>17</v>
      </c>
      <c r="AD193" s="3">
        <v>42655</v>
      </c>
      <c r="AE193" t="s">
        <v>18</v>
      </c>
      <c r="AF193" t="s">
        <v>19</v>
      </c>
      <c r="AG193" t="s">
        <v>44</v>
      </c>
      <c r="AH193" s="3">
        <v>42662</v>
      </c>
      <c r="AI193" t="s">
        <v>22</v>
      </c>
      <c r="AJ193" t="s">
        <v>33</v>
      </c>
      <c r="AK193" t="s">
        <v>23</v>
      </c>
      <c r="AL193" s="3">
        <v>42655</v>
      </c>
    </row>
    <row r="194" spans="1:38" x14ac:dyDescent="0.25">
      <c r="A194" t="s">
        <v>140</v>
      </c>
      <c r="B194" t="s">
        <v>173</v>
      </c>
      <c r="C194" t="s">
        <v>317</v>
      </c>
      <c r="D194" t="s">
        <v>661</v>
      </c>
      <c r="E194" t="s">
        <v>43</v>
      </c>
      <c r="F194" t="s">
        <v>292</v>
      </c>
      <c r="G194" t="s">
        <v>689</v>
      </c>
      <c r="H194" t="s">
        <v>219</v>
      </c>
      <c r="I194" t="s">
        <v>220</v>
      </c>
      <c r="J194" t="s">
        <v>248</v>
      </c>
      <c r="K194" t="s">
        <v>249</v>
      </c>
      <c r="L194" s="2">
        <v>24</v>
      </c>
      <c r="M194" s="2">
        <v>24</v>
      </c>
      <c r="N194" s="2">
        <v>0</v>
      </c>
      <c r="O194" t="s">
        <v>177</v>
      </c>
      <c r="P194" t="s">
        <v>223</v>
      </c>
      <c r="Q194" t="s">
        <v>182</v>
      </c>
      <c r="R194" t="s">
        <v>179</v>
      </c>
      <c r="S194" t="s">
        <v>13</v>
      </c>
      <c r="T194" t="s">
        <v>14</v>
      </c>
      <c r="U194" t="s">
        <v>15</v>
      </c>
      <c r="V194" t="s">
        <v>15</v>
      </c>
      <c r="W194" t="s">
        <v>15</v>
      </c>
      <c r="X194" t="s">
        <v>15</v>
      </c>
      <c r="Y194" t="s">
        <v>15</v>
      </c>
      <c r="Z194" t="s">
        <v>15</v>
      </c>
      <c r="AA194" t="s">
        <v>15</v>
      </c>
      <c r="AB194" t="s">
        <v>15</v>
      </c>
      <c r="AC194" t="s">
        <v>17</v>
      </c>
      <c r="AD194" s="3">
        <v>42655</v>
      </c>
      <c r="AE194" t="s">
        <v>34</v>
      </c>
      <c r="AF194" t="s">
        <v>19</v>
      </c>
      <c r="AG194" t="s">
        <v>44</v>
      </c>
      <c r="AH194" s="3">
        <v>42662</v>
      </c>
      <c r="AI194" t="s">
        <v>22</v>
      </c>
      <c r="AJ194" t="s">
        <v>33</v>
      </c>
      <c r="AK194" t="s">
        <v>23</v>
      </c>
      <c r="AL194" s="3">
        <v>42655</v>
      </c>
    </row>
    <row r="195" spans="1:38" x14ac:dyDescent="0.25">
      <c r="A195" t="s">
        <v>140</v>
      </c>
      <c r="B195" t="s">
        <v>173</v>
      </c>
      <c r="C195" t="s">
        <v>331</v>
      </c>
      <c r="D195" t="s">
        <v>661</v>
      </c>
      <c r="E195" t="s">
        <v>25</v>
      </c>
      <c r="F195" t="s">
        <v>292</v>
      </c>
      <c r="G195" t="s">
        <v>689</v>
      </c>
      <c r="H195" t="s">
        <v>212</v>
      </c>
      <c r="I195" t="s">
        <v>213</v>
      </c>
      <c r="J195" t="s">
        <v>214</v>
      </c>
      <c r="K195" t="s">
        <v>215</v>
      </c>
      <c r="L195" s="2">
        <v>-4</v>
      </c>
      <c r="M195" s="2">
        <v>-4</v>
      </c>
      <c r="N195" s="2">
        <v>0</v>
      </c>
      <c r="O195" t="s">
        <v>177</v>
      </c>
      <c r="P195" t="s">
        <v>216</v>
      </c>
      <c r="Q195" t="s">
        <v>182</v>
      </c>
      <c r="R195" t="s">
        <v>179</v>
      </c>
      <c r="S195" t="s">
        <v>13</v>
      </c>
      <c r="T195" t="s">
        <v>14</v>
      </c>
      <c r="U195" t="s">
        <v>15</v>
      </c>
      <c r="V195" t="s">
        <v>15</v>
      </c>
      <c r="W195" t="s">
        <v>15</v>
      </c>
      <c r="X195" t="s">
        <v>15</v>
      </c>
      <c r="Y195" t="s">
        <v>15</v>
      </c>
      <c r="Z195" t="s">
        <v>15</v>
      </c>
      <c r="AA195" t="s">
        <v>15</v>
      </c>
      <c r="AB195" t="s">
        <v>15</v>
      </c>
      <c r="AC195" t="s">
        <v>17</v>
      </c>
      <c r="AD195" s="3"/>
      <c r="AE195" t="s">
        <v>18</v>
      </c>
      <c r="AF195" t="s">
        <v>27</v>
      </c>
      <c r="AG195" t="s">
        <v>27</v>
      </c>
      <c r="AH195" s="3">
        <v>42697</v>
      </c>
      <c r="AI195" t="s">
        <v>22</v>
      </c>
      <c r="AJ195" t="s">
        <v>33</v>
      </c>
      <c r="AK195" t="s">
        <v>23</v>
      </c>
      <c r="AL195" s="3">
        <v>42675</v>
      </c>
    </row>
    <row r="196" spans="1:38" x14ac:dyDescent="0.25">
      <c r="A196" t="s">
        <v>140</v>
      </c>
      <c r="B196" t="s">
        <v>173</v>
      </c>
      <c r="C196" t="s">
        <v>317</v>
      </c>
      <c r="D196" t="s">
        <v>661</v>
      </c>
      <c r="E196" t="s">
        <v>43</v>
      </c>
      <c r="F196" t="s">
        <v>292</v>
      </c>
      <c r="G196" t="s">
        <v>689</v>
      </c>
      <c r="H196" t="s">
        <v>212</v>
      </c>
      <c r="I196" t="s">
        <v>213</v>
      </c>
      <c r="J196" t="s">
        <v>214</v>
      </c>
      <c r="K196" t="s">
        <v>215</v>
      </c>
      <c r="L196" s="2">
        <v>12</v>
      </c>
      <c r="M196" s="2">
        <v>12</v>
      </c>
      <c r="N196" s="2">
        <v>0</v>
      </c>
      <c r="O196" t="s">
        <v>177</v>
      </c>
      <c r="P196" t="s">
        <v>216</v>
      </c>
      <c r="Q196" t="s">
        <v>182</v>
      </c>
      <c r="R196" t="s">
        <v>179</v>
      </c>
      <c r="S196" t="s">
        <v>13</v>
      </c>
      <c r="T196" t="s">
        <v>14</v>
      </c>
      <c r="U196" t="s">
        <v>15</v>
      </c>
      <c r="V196" t="s">
        <v>15</v>
      </c>
      <c r="W196" t="s">
        <v>15</v>
      </c>
      <c r="X196" t="s">
        <v>15</v>
      </c>
      <c r="Y196" t="s">
        <v>15</v>
      </c>
      <c r="Z196" t="s">
        <v>15</v>
      </c>
      <c r="AA196" t="s">
        <v>15</v>
      </c>
      <c r="AB196" t="s">
        <v>15</v>
      </c>
      <c r="AC196" t="s">
        <v>17</v>
      </c>
      <c r="AD196" s="3">
        <v>42655</v>
      </c>
      <c r="AE196" t="s">
        <v>35</v>
      </c>
      <c r="AF196" t="s">
        <v>19</v>
      </c>
      <c r="AG196" t="s">
        <v>44</v>
      </c>
      <c r="AH196" s="3">
        <v>42662</v>
      </c>
      <c r="AI196" t="s">
        <v>22</v>
      </c>
      <c r="AJ196" t="s">
        <v>33</v>
      </c>
      <c r="AK196" t="s">
        <v>23</v>
      </c>
      <c r="AL196" s="3">
        <v>42655</v>
      </c>
    </row>
    <row r="197" spans="1:38" x14ac:dyDescent="0.25">
      <c r="A197" t="s">
        <v>140</v>
      </c>
      <c r="B197" t="s">
        <v>173</v>
      </c>
      <c r="C197" t="s">
        <v>305</v>
      </c>
      <c r="D197" t="s">
        <v>661</v>
      </c>
      <c r="E197" t="s">
        <v>3</v>
      </c>
      <c r="F197" t="s">
        <v>272</v>
      </c>
      <c r="G197" t="s">
        <v>690</v>
      </c>
      <c r="H197" t="s">
        <v>219</v>
      </c>
      <c r="I197" t="s">
        <v>220</v>
      </c>
      <c r="J197" t="s">
        <v>248</v>
      </c>
      <c r="K197" t="s">
        <v>249</v>
      </c>
      <c r="L197" s="2">
        <v>76</v>
      </c>
      <c r="M197" s="2">
        <v>76</v>
      </c>
      <c r="N197" s="2">
        <v>0</v>
      </c>
      <c r="O197" t="s">
        <v>177</v>
      </c>
      <c r="P197" t="s">
        <v>223</v>
      </c>
      <c r="Q197" t="s">
        <v>182</v>
      </c>
      <c r="R197" t="s">
        <v>179</v>
      </c>
      <c r="S197" t="s">
        <v>13</v>
      </c>
      <c r="T197" t="s">
        <v>14</v>
      </c>
      <c r="U197" t="s">
        <v>15</v>
      </c>
      <c r="V197" t="s">
        <v>15</v>
      </c>
      <c r="W197" t="s">
        <v>15</v>
      </c>
      <c r="X197" t="s">
        <v>15</v>
      </c>
      <c r="Y197" t="s">
        <v>15</v>
      </c>
      <c r="Z197" t="s">
        <v>15</v>
      </c>
      <c r="AA197" t="s">
        <v>15</v>
      </c>
      <c r="AB197" t="s">
        <v>15</v>
      </c>
      <c r="AC197" t="s">
        <v>17</v>
      </c>
      <c r="AD197" s="3">
        <v>42644</v>
      </c>
      <c r="AE197" t="s">
        <v>18</v>
      </c>
      <c r="AF197" t="s">
        <v>19</v>
      </c>
      <c r="AG197" t="s">
        <v>20</v>
      </c>
      <c r="AH197" s="3">
        <v>42712</v>
      </c>
      <c r="AI197" t="s">
        <v>22</v>
      </c>
      <c r="AJ197" t="s">
        <v>33</v>
      </c>
      <c r="AK197" t="s">
        <v>23</v>
      </c>
      <c r="AL197" s="3">
        <v>42644</v>
      </c>
    </row>
    <row r="198" spans="1:38" x14ac:dyDescent="0.25">
      <c r="A198" t="s">
        <v>140</v>
      </c>
      <c r="B198" t="s">
        <v>173</v>
      </c>
      <c r="C198" t="s">
        <v>392</v>
      </c>
      <c r="D198" t="s">
        <v>661</v>
      </c>
      <c r="E198" t="s">
        <v>25</v>
      </c>
      <c r="F198" t="s">
        <v>272</v>
      </c>
      <c r="G198" t="s">
        <v>690</v>
      </c>
      <c r="H198" t="s">
        <v>219</v>
      </c>
      <c r="I198" t="s">
        <v>220</v>
      </c>
      <c r="J198" t="s">
        <v>248</v>
      </c>
      <c r="K198" t="s">
        <v>249</v>
      </c>
      <c r="L198" s="2">
        <v>-12</v>
      </c>
      <c r="M198" s="2">
        <v>-12</v>
      </c>
      <c r="N198" s="2">
        <v>0</v>
      </c>
      <c r="O198" t="s">
        <v>177</v>
      </c>
      <c r="P198" t="s">
        <v>223</v>
      </c>
      <c r="Q198" t="s">
        <v>182</v>
      </c>
      <c r="R198" t="s">
        <v>179</v>
      </c>
      <c r="S198" t="s">
        <v>13</v>
      </c>
      <c r="T198" t="s">
        <v>14</v>
      </c>
      <c r="U198" t="s">
        <v>15</v>
      </c>
      <c r="V198" t="s">
        <v>15</v>
      </c>
      <c r="W198" t="s">
        <v>15</v>
      </c>
      <c r="X198" t="s">
        <v>15</v>
      </c>
      <c r="Y198" t="s">
        <v>15</v>
      </c>
      <c r="Z198" t="s">
        <v>15</v>
      </c>
      <c r="AA198" t="s">
        <v>15</v>
      </c>
      <c r="AB198" t="s">
        <v>15</v>
      </c>
      <c r="AC198" t="s">
        <v>17</v>
      </c>
      <c r="AD198" s="3"/>
      <c r="AE198" t="s">
        <v>34</v>
      </c>
      <c r="AF198" t="s">
        <v>27</v>
      </c>
      <c r="AG198" t="s">
        <v>27</v>
      </c>
      <c r="AH198" s="3">
        <v>42716</v>
      </c>
      <c r="AI198" t="s">
        <v>22</v>
      </c>
      <c r="AJ198" t="s">
        <v>33</v>
      </c>
      <c r="AK198" t="s">
        <v>23</v>
      </c>
      <c r="AL198" s="3">
        <v>42705</v>
      </c>
    </row>
    <row r="199" spans="1:38" x14ac:dyDescent="0.25">
      <c r="A199" t="s">
        <v>140</v>
      </c>
      <c r="B199" t="s">
        <v>173</v>
      </c>
      <c r="C199" t="s">
        <v>271</v>
      </c>
      <c r="D199" t="s">
        <v>661</v>
      </c>
      <c r="E199" t="s">
        <v>3</v>
      </c>
      <c r="F199" t="s">
        <v>272</v>
      </c>
      <c r="G199" t="s">
        <v>690</v>
      </c>
      <c r="H199" t="s">
        <v>219</v>
      </c>
      <c r="I199" t="s">
        <v>220</v>
      </c>
      <c r="J199" t="s">
        <v>248</v>
      </c>
      <c r="K199" t="s">
        <v>249</v>
      </c>
      <c r="L199" s="2">
        <v>24</v>
      </c>
      <c r="M199" s="2">
        <v>24</v>
      </c>
      <c r="N199" s="2">
        <v>0</v>
      </c>
      <c r="O199" t="s">
        <v>177</v>
      </c>
      <c r="P199" t="s">
        <v>223</v>
      </c>
      <c r="Q199" t="s">
        <v>182</v>
      </c>
      <c r="R199" t="s">
        <v>179</v>
      </c>
      <c r="S199" t="s">
        <v>13</v>
      </c>
      <c r="T199" t="s">
        <v>14</v>
      </c>
      <c r="U199" t="s">
        <v>15</v>
      </c>
      <c r="V199" t="s">
        <v>15</v>
      </c>
      <c r="W199" t="s">
        <v>15</v>
      </c>
      <c r="X199" t="s">
        <v>15</v>
      </c>
      <c r="Y199" t="s">
        <v>15</v>
      </c>
      <c r="Z199" t="s">
        <v>15</v>
      </c>
      <c r="AA199" t="s">
        <v>15</v>
      </c>
      <c r="AB199" t="s">
        <v>15</v>
      </c>
      <c r="AC199" t="s">
        <v>17</v>
      </c>
      <c r="AD199" s="3">
        <v>42573</v>
      </c>
      <c r="AE199" t="s">
        <v>128</v>
      </c>
      <c r="AF199" t="s">
        <v>19</v>
      </c>
      <c r="AG199" t="s">
        <v>20</v>
      </c>
      <c r="AH199" s="3">
        <v>42573</v>
      </c>
      <c r="AI199" t="s">
        <v>22</v>
      </c>
      <c r="AJ199" t="s">
        <v>33</v>
      </c>
      <c r="AK199" t="s">
        <v>23</v>
      </c>
      <c r="AL199" s="3">
        <v>42571</v>
      </c>
    </row>
    <row r="200" spans="1:38" x14ac:dyDescent="0.25">
      <c r="A200" t="s">
        <v>140</v>
      </c>
      <c r="B200" t="s">
        <v>173</v>
      </c>
      <c r="C200" t="s">
        <v>392</v>
      </c>
      <c r="D200" t="s">
        <v>661</v>
      </c>
      <c r="E200" t="s">
        <v>25</v>
      </c>
      <c r="F200" t="s">
        <v>272</v>
      </c>
      <c r="G200" t="s">
        <v>690</v>
      </c>
      <c r="H200" t="s">
        <v>174</v>
      </c>
      <c r="I200" t="s">
        <v>175</v>
      </c>
      <c r="J200" t="s">
        <v>180</v>
      </c>
      <c r="K200" t="s">
        <v>181</v>
      </c>
      <c r="L200" s="2">
        <v>-24</v>
      </c>
      <c r="M200" s="2">
        <v>-24</v>
      </c>
      <c r="N200" s="2">
        <v>0</v>
      </c>
      <c r="O200" t="s">
        <v>177</v>
      </c>
      <c r="P200" t="s">
        <v>178</v>
      </c>
      <c r="Q200" t="s">
        <v>182</v>
      </c>
      <c r="R200" t="s">
        <v>179</v>
      </c>
      <c r="S200" t="s">
        <v>13</v>
      </c>
      <c r="T200" t="s">
        <v>14</v>
      </c>
      <c r="U200" t="s">
        <v>15</v>
      </c>
      <c r="V200" t="s">
        <v>15</v>
      </c>
      <c r="W200" t="s">
        <v>15</v>
      </c>
      <c r="X200" t="s">
        <v>15</v>
      </c>
      <c r="Y200" t="s">
        <v>15</v>
      </c>
      <c r="Z200" t="s">
        <v>15</v>
      </c>
      <c r="AA200" t="s">
        <v>15</v>
      </c>
      <c r="AB200" t="s">
        <v>15</v>
      </c>
      <c r="AC200" t="s">
        <v>17</v>
      </c>
      <c r="AD200" s="3"/>
      <c r="AE200" t="s">
        <v>18</v>
      </c>
      <c r="AF200" t="s">
        <v>27</v>
      </c>
      <c r="AG200" t="s">
        <v>27</v>
      </c>
      <c r="AH200" s="3">
        <v>42716</v>
      </c>
      <c r="AI200" t="s">
        <v>22</v>
      </c>
      <c r="AJ200" t="s">
        <v>33</v>
      </c>
      <c r="AK200" t="s">
        <v>23</v>
      </c>
      <c r="AL200" s="3">
        <v>42705</v>
      </c>
    </row>
    <row r="201" spans="1:38" x14ac:dyDescent="0.25">
      <c r="L201" s="2"/>
      <c r="M201" s="2"/>
      <c r="N201" s="2"/>
      <c r="AD201" s="3"/>
      <c r="AH201" s="3"/>
      <c r="AL201" s="3"/>
    </row>
    <row r="202" spans="1:38" x14ac:dyDescent="0.25">
      <c r="L202" s="2"/>
      <c r="M202" s="2"/>
      <c r="N202" s="2"/>
      <c r="AD202" s="3"/>
      <c r="AH202" s="3"/>
      <c r="AL202" s="3"/>
    </row>
    <row r="203" spans="1:38" x14ac:dyDescent="0.25">
      <c r="L203" s="2"/>
      <c r="M203" s="2"/>
      <c r="N203" s="2"/>
      <c r="AD203" s="3"/>
      <c r="AH203" s="3"/>
      <c r="AL203" s="3"/>
    </row>
    <row r="204" spans="1:38" x14ac:dyDescent="0.25">
      <c r="L204" s="2"/>
      <c r="M204" s="2"/>
      <c r="N204" s="2"/>
      <c r="AD204" s="3"/>
      <c r="AH204" s="3"/>
      <c r="AL204" s="3"/>
    </row>
    <row r="205" spans="1:38" x14ac:dyDescent="0.25">
      <c r="L205" s="2"/>
      <c r="M205" s="2"/>
      <c r="N205" s="2"/>
      <c r="AD205" s="3"/>
      <c r="AH205" s="3"/>
      <c r="AL205" s="3"/>
    </row>
    <row r="206" spans="1:38" x14ac:dyDescent="0.25">
      <c r="L206" s="2"/>
      <c r="M206" s="2"/>
      <c r="N206" s="2"/>
      <c r="AD206" s="3"/>
      <c r="AH206" s="3"/>
      <c r="AL206" s="3"/>
    </row>
    <row r="207" spans="1:38" x14ac:dyDescent="0.25">
      <c r="L207" s="2"/>
      <c r="M207" s="2"/>
      <c r="N207" s="2"/>
      <c r="AD207" s="3"/>
      <c r="AH207" s="3"/>
      <c r="AL207" s="3"/>
    </row>
    <row r="208" spans="1:38" x14ac:dyDescent="0.25">
      <c r="L208" s="2"/>
      <c r="M208" s="2"/>
      <c r="N208" s="2"/>
      <c r="AD208" s="3"/>
      <c r="AH208" s="3"/>
      <c r="AL208" s="3"/>
    </row>
    <row r="209" spans="12:38" x14ac:dyDescent="0.25">
      <c r="L209" s="2"/>
      <c r="M209" s="2"/>
      <c r="N209" s="2"/>
      <c r="AD209" s="3"/>
      <c r="AH209" s="3"/>
      <c r="AL209" s="3"/>
    </row>
    <row r="210" spans="12:38" x14ac:dyDescent="0.25">
      <c r="L210" s="2"/>
      <c r="M210" s="2"/>
      <c r="N210" s="2"/>
      <c r="AD210" s="3"/>
      <c r="AH210" s="3"/>
      <c r="AL210" s="3"/>
    </row>
    <row r="211" spans="12:38" x14ac:dyDescent="0.25">
      <c r="L211" s="2"/>
      <c r="M211" s="2"/>
      <c r="N211" s="2"/>
      <c r="AD211" s="3"/>
      <c r="AH211" s="3"/>
      <c r="AL211" s="3"/>
    </row>
    <row r="212" spans="12:38" x14ac:dyDescent="0.25">
      <c r="L212" s="2"/>
      <c r="M212" s="2"/>
      <c r="N212" s="2"/>
      <c r="AD212" s="3"/>
      <c r="AH212" s="3"/>
      <c r="AL212" s="3"/>
    </row>
    <row r="213" spans="12:38" x14ac:dyDescent="0.25">
      <c r="L213" s="2"/>
      <c r="M213" s="2"/>
      <c r="N213" s="2"/>
      <c r="AD213" s="3"/>
      <c r="AH213" s="3"/>
      <c r="AL213" s="3"/>
    </row>
    <row r="214" spans="12:38" x14ac:dyDescent="0.25">
      <c r="L214" s="2"/>
      <c r="M214" s="2"/>
      <c r="N214" s="2"/>
      <c r="AD214" s="3"/>
      <c r="AH214" s="3"/>
      <c r="AL214" s="3"/>
    </row>
    <row r="215" spans="12:38" x14ac:dyDescent="0.25">
      <c r="L215" s="2"/>
      <c r="M215" s="2"/>
      <c r="N215" s="2"/>
      <c r="AD215" s="3"/>
      <c r="AH215" s="3"/>
      <c r="AL215" s="3"/>
    </row>
    <row r="216" spans="12:38" x14ac:dyDescent="0.25">
      <c r="L216" s="2"/>
      <c r="M216" s="2"/>
      <c r="N216" s="2"/>
      <c r="AD216" s="3"/>
      <c r="AH216" s="3"/>
      <c r="AL216" s="3"/>
    </row>
    <row r="217" spans="12:38" x14ac:dyDescent="0.25">
      <c r="L217" s="2"/>
      <c r="M217" s="2"/>
      <c r="N217" s="2"/>
      <c r="AD217" s="3"/>
      <c r="AH217" s="3"/>
      <c r="AL217" s="3"/>
    </row>
    <row r="218" spans="12:38" x14ac:dyDescent="0.25">
      <c r="L218" s="2"/>
      <c r="M218" s="2"/>
      <c r="N218" s="2"/>
      <c r="AD218" s="3"/>
      <c r="AH218" s="3"/>
      <c r="AL218" s="3"/>
    </row>
    <row r="219" spans="12:38" x14ac:dyDescent="0.25">
      <c r="L219" s="2"/>
      <c r="M219" s="2"/>
      <c r="N219" s="2"/>
      <c r="AD219" s="3"/>
      <c r="AH219" s="3"/>
      <c r="AL219" s="3"/>
    </row>
    <row r="220" spans="12:38" x14ac:dyDescent="0.25">
      <c r="L220" s="2"/>
      <c r="M220" s="2"/>
      <c r="N220" s="2"/>
      <c r="AD220" s="3"/>
      <c r="AH220" s="3"/>
      <c r="AL220" s="3"/>
    </row>
    <row r="221" spans="12:38" x14ac:dyDescent="0.25">
      <c r="L221" s="2"/>
      <c r="M221" s="2"/>
      <c r="N221" s="2"/>
      <c r="AD221" s="3"/>
      <c r="AH221" s="3"/>
      <c r="AL221" s="3"/>
    </row>
    <row r="222" spans="12:38" x14ac:dyDescent="0.25">
      <c r="L222" s="2"/>
      <c r="M222" s="2"/>
      <c r="N222" s="2"/>
      <c r="AD222" s="3"/>
      <c r="AH222" s="3"/>
      <c r="AL222" s="3"/>
    </row>
    <row r="223" spans="12:38" x14ac:dyDescent="0.25">
      <c r="L223" s="2"/>
      <c r="M223" s="2"/>
      <c r="N223" s="2"/>
      <c r="AD223" s="3"/>
      <c r="AH223" s="3"/>
      <c r="AL223" s="3"/>
    </row>
    <row r="224" spans="12:38" x14ac:dyDescent="0.25">
      <c r="L224" s="2"/>
      <c r="M224" s="2"/>
      <c r="N224" s="2"/>
      <c r="AD224" s="3"/>
      <c r="AH224" s="3"/>
      <c r="AL224" s="3"/>
    </row>
    <row r="225" spans="12:38" x14ac:dyDescent="0.25">
      <c r="L225" s="2"/>
      <c r="M225" s="2"/>
      <c r="N225" s="2"/>
      <c r="AD225" s="3"/>
      <c r="AH225" s="3"/>
      <c r="AL225" s="3"/>
    </row>
    <row r="226" spans="12:38" x14ac:dyDescent="0.25">
      <c r="L226" s="2"/>
      <c r="M226" s="2"/>
      <c r="N226" s="2"/>
      <c r="AD226" s="3"/>
      <c r="AH226" s="3"/>
      <c r="AL226" s="3"/>
    </row>
    <row r="227" spans="12:38" x14ac:dyDescent="0.25">
      <c r="L227" s="2"/>
      <c r="M227" s="2"/>
      <c r="N227" s="2"/>
      <c r="AD227" s="3"/>
      <c r="AH227" s="3"/>
      <c r="AL227" s="3"/>
    </row>
    <row r="228" spans="12:38" x14ac:dyDescent="0.25">
      <c r="L228" s="2"/>
      <c r="M228" s="2"/>
      <c r="N228" s="2"/>
      <c r="AD228" s="3"/>
      <c r="AH228" s="3"/>
      <c r="AL228" s="3"/>
    </row>
    <row r="229" spans="12:38" x14ac:dyDescent="0.25">
      <c r="L229" s="2"/>
      <c r="M229" s="2"/>
      <c r="N229" s="2"/>
      <c r="AD229" s="3"/>
      <c r="AH229" s="3"/>
      <c r="AL229" s="3"/>
    </row>
    <row r="230" spans="12:38" x14ac:dyDescent="0.25">
      <c r="L230" s="2"/>
      <c r="M230" s="2"/>
      <c r="N230" s="2"/>
      <c r="AD230" s="3"/>
      <c r="AH230" s="3"/>
      <c r="AL230" s="3"/>
    </row>
    <row r="231" spans="12:38" x14ac:dyDescent="0.25">
      <c r="L231" s="2"/>
      <c r="M231" s="2"/>
      <c r="N231" s="2"/>
      <c r="AD231" s="3"/>
      <c r="AH231" s="3"/>
      <c r="AL231" s="3"/>
    </row>
    <row r="232" spans="12:38" x14ac:dyDescent="0.25">
      <c r="L232" s="2"/>
      <c r="M232" s="2"/>
      <c r="N232" s="2"/>
      <c r="AD232" s="3"/>
      <c r="AH232" s="3"/>
      <c r="AL232" s="3"/>
    </row>
    <row r="233" spans="12:38" x14ac:dyDescent="0.25">
      <c r="L233" s="2"/>
      <c r="M233" s="2"/>
      <c r="N233" s="2"/>
      <c r="AD233" s="3"/>
      <c r="AH233" s="3"/>
      <c r="AL233" s="3"/>
    </row>
    <row r="234" spans="12:38" x14ac:dyDescent="0.25">
      <c r="L234" s="2"/>
      <c r="M234" s="2"/>
      <c r="N234" s="2"/>
      <c r="AD234" s="3"/>
      <c r="AH234" s="3"/>
      <c r="AL234" s="3"/>
    </row>
    <row r="235" spans="12:38" x14ac:dyDescent="0.25">
      <c r="L235" s="2"/>
      <c r="M235" s="2"/>
      <c r="N235" s="2"/>
      <c r="AD235" s="3"/>
      <c r="AH235" s="3"/>
      <c r="AL235" s="3"/>
    </row>
    <row r="236" spans="12:38" x14ac:dyDescent="0.25">
      <c r="L236" s="2"/>
      <c r="M236" s="2"/>
      <c r="N236" s="2"/>
      <c r="AD236" s="3"/>
      <c r="AH236" s="3"/>
      <c r="AL236" s="3"/>
    </row>
    <row r="237" spans="12:38" x14ac:dyDescent="0.25">
      <c r="L237" s="2"/>
      <c r="M237" s="2"/>
      <c r="N237" s="2"/>
      <c r="AD237" s="3"/>
      <c r="AH237" s="3"/>
      <c r="AL237" s="3"/>
    </row>
    <row r="238" spans="12:38" x14ac:dyDescent="0.25">
      <c r="L238" s="2"/>
      <c r="M238" s="2"/>
      <c r="N238" s="2"/>
      <c r="AD238" s="3"/>
      <c r="AH238" s="3"/>
      <c r="AL238" s="3"/>
    </row>
    <row r="239" spans="12:38" x14ac:dyDescent="0.25">
      <c r="L239" s="2"/>
      <c r="M239" s="2"/>
      <c r="N239" s="2"/>
      <c r="AD239" s="3"/>
      <c r="AH239" s="3"/>
      <c r="AL239" s="3"/>
    </row>
    <row r="240" spans="12:38" x14ac:dyDescent="0.25">
      <c r="L240" s="2"/>
      <c r="M240" s="2"/>
      <c r="N240" s="2"/>
      <c r="AD240" s="3"/>
      <c r="AH240" s="3"/>
      <c r="AL240" s="3"/>
    </row>
    <row r="241" spans="12:38" x14ac:dyDescent="0.25">
      <c r="L241" s="2"/>
      <c r="M241" s="2"/>
      <c r="N241" s="2"/>
      <c r="AD241" s="3"/>
      <c r="AH241" s="3"/>
      <c r="AL241" s="3"/>
    </row>
    <row r="242" spans="12:38" x14ac:dyDescent="0.25">
      <c r="L242" s="2"/>
      <c r="M242" s="2"/>
      <c r="N242" s="2"/>
      <c r="AD242" s="3"/>
      <c r="AH242" s="3"/>
      <c r="AL242" s="3"/>
    </row>
    <row r="243" spans="12:38" x14ac:dyDescent="0.25">
      <c r="L243" s="2"/>
      <c r="M243" s="2"/>
      <c r="N243" s="2"/>
      <c r="AD243" s="3"/>
      <c r="AH243" s="3"/>
      <c r="AL243" s="3"/>
    </row>
    <row r="244" spans="12:38" x14ac:dyDescent="0.25">
      <c r="L244" s="2"/>
      <c r="M244" s="2"/>
      <c r="N244" s="2"/>
      <c r="AD244" s="3"/>
      <c r="AH244" s="3"/>
      <c r="AL244" s="3"/>
    </row>
    <row r="245" spans="12:38" x14ac:dyDescent="0.25">
      <c r="L245" s="2"/>
      <c r="M245" s="2"/>
      <c r="N245" s="2"/>
      <c r="AD245" s="3"/>
      <c r="AH245" s="3"/>
      <c r="AL245" s="3"/>
    </row>
    <row r="246" spans="12:38" x14ac:dyDescent="0.25">
      <c r="L246" s="2"/>
      <c r="M246" s="2"/>
      <c r="N246" s="2"/>
      <c r="AD246" s="3"/>
      <c r="AH246" s="3"/>
      <c r="AL246" s="3"/>
    </row>
    <row r="247" spans="12:38" x14ac:dyDescent="0.25">
      <c r="L247" s="2"/>
      <c r="M247" s="2"/>
      <c r="N247" s="2"/>
      <c r="AD247" s="3"/>
      <c r="AH247" s="3"/>
      <c r="AL247" s="3"/>
    </row>
    <row r="248" spans="12:38" x14ac:dyDescent="0.25">
      <c r="L248" s="2"/>
      <c r="M248" s="2"/>
      <c r="N248" s="2"/>
      <c r="AD248" s="3"/>
      <c r="AH248" s="3"/>
      <c r="AL248" s="3"/>
    </row>
    <row r="249" spans="12:38" x14ac:dyDescent="0.25">
      <c r="L249" s="2"/>
      <c r="M249" s="2"/>
      <c r="N249" s="2"/>
      <c r="AD249" s="3"/>
      <c r="AH249" s="3"/>
      <c r="AL249" s="3"/>
    </row>
    <row r="250" spans="12:38" x14ac:dyDescent="0.25">
      <c r="L250" s="2"/>
      <c r="M250" s="2"/>
      <c r="N250" s="2"/>
      <c r="AD250" s="3"/>
      <c r="AH250" s="3"/>
      <c r="AL250" s="3"/>
    </row>
    <row r="251" spans="12:38" x14ac:dyDescent="0.25">
      <c r="L251" s="2"/>
      <c r="M251" s="2"/>
      <c r="N251" s="2"/>
      <c r="AD251" s="3"/>
      <c r="AH251" s="3"/>
      <c r="AL251" s="3"/>
    </row>
    <row r="252" spans="12:38" x14ac:dyDescent="0.25">
      <c r="L252" s="2"/>
      <c r="M252" s="2"/>
      <c r="N252" s="2"/>
      <c r="AD252" s="3"/>
      <c r="AH252" s="3"/>
      <c r="AL252" s="3"/>
    </row>
    <row r="253" spans="12:38" x14ac:dyDescent="0.25">
      <c r="L253" s="2"/>
      <c r="M253" s="2"/>
      <c r="N253" s="2"/>
      <c r="AD253" s="3"/>
      <c r="AH253" s="3"/>
      <c r="AL253" s="3"/>
    </row>
    <row r="254" spans="12:38" x14ac:dyDescent="0.25">
      <c r="L254" s="2"/>
      <c r="M254" s="2"/>
      <c r="N254" s="2"/>
      <c r="AD254" s="3"/>
      <c r="AH254" s="3"/>
      <c r="AL254" s="3"/>
    </row>
    <row r="255" spans="12:38" x14ac:dyDescent="0.25">
      <c r="L255" s="2"/>
      <c r="M255" s="2"/>
      <c r="N255" s="2"/>
      <c r="AD255" s="3"/>
      <c r="AH255" s="3"/>
      <c r="AL255" s="3"/>
    </row>
    <row r="256" spans="12:38" x14ac:dyDescent="0.25">
      <c r="L256" s="2"/>
      <c r="M256" s="2"/>
      <c r="N256" s="2"/>
      <c r="AD256" s="3"/>
      <c r="AH256" s="3"/>
      <c r="AL256" s="3"/>
    </row>
    <row r="257" spans="12:38" x14ac:dyDescent="0.25">
      <c r="L257" s="2"/>
      <c r="M257" s="2"/>
      <c r="N257" s="2"/>
      <c r="AD257" s="3"/>
      <c r="AH257" s="3"/>
      <c r="AL257" s="3"/>
    </row>
    <row r="258" spans="12:38" x14ac:dyDescent="0.25">
      <c r="L258" s="2"/>
      <c r="M258" s="2"/>
      <c r="N258" s="2"/>
      <c r="AD258" s="3"/>
      <c r="AH258" s="3"/>
      <c r="AL258" s="3"/>
    </row>
    <row r="259" spans="12:38" x14ac:dyDescent="0.25">
      <c r="L259" s="2"/>
      <c r="M259" s="2"/>
      <c r="N259" s="2"/>
      <c r="AD259" s="3"/>
      <c r="AH259" s="3"/>
      <c r="AL259" s="3"/>
    </row>
    <row r="260" spans="12:38" x14ac:dyDescent="0.25">
      <c r="L260" s="2"/>
      <c r="M260" s="2"/>
      <c r="N260" s="2"/>
      <c r="AD260" s="3"/>
      <c r="AH260" s="3"/>
      <c r="AL260" s="3"/>
    </row>
    <row r="261" spans="12:38" x14ac:dyDescent="0.25">
      <c r="L261" s="2"/>
      <c r="M261" s="2"/>
      <c r="N261" s="2"/>
      <c r="AD261" s="3"/>
      <c r="AH261" s="3"/>
      <c r="AL261" s="3"/>
    </row>
    <row r="262" spans="12:38" x14ac:dyDescent="0.25">
      <c r="L262" s="2"/>
      <c r="M262" s="2"/>
      <c r="N262" s="2"/>
      <c r="AD262" s="3"/>
      <c r="AH262" s="3"/>
      <c r="AL262" s="3"/>
    </row>
    <row r="263" spans="12:38" x14ac:dyDescent="0.25">
      <c r="L263" s="2"/>
      <c r="M263" s="2"/>
      <c r="N263" s="2"/>
      <c r="AD263" s="3"/>
      <c r="AH263" s="3"/>
      <c r="AL263" s="3"/>
    </row>
    <row r="264" spans="12:38" x14ac:dyDescent="0.25">
      <c r="L264" s="2"/>
      <c r="M264" s="2"/>
      <c r="N264" s="2"/>
      <c r="AD264" s="3"/>
      <c r="AH264" s="3"/>
      <c r="AL264" s="3"/>
    </row>
    <row r="265" spans="12:38" x14ac:dyDescent="0.25">
      <c r="L265" s="2"/>
      <c r="M265" s="2"/>
      <c r="N265" s="2"/>
      <c r="AD265" s="3"/>
      <c r="AH265" s="3"/>
      <c r="AL265" s="3"/>
    </row>
    <row r="266" spans="12:38" x14ac:dyDescent="0.25">
      <c r="L266" s="2"/>
      <c r="M266" s="2"/>
      <c r="N266" s="2"/>
      <c r="AD266" s="3"/>
      <c r="AH266" s="3"/>
      <c r="AL266" s="3"/>
    </row>
    <row r="267" spans="12:38" x14ac:dyDescent="0.25">
      <c r="L267" s="2"/>
      <c r="M267" s="2"/>
      <c r="N267" s="2"/>
      <c r="AD267" s="3"/>
      <c r="AH267" s="3"/>
      <c r="AL267" s="3"/>
    </row>
    <row r="268" spans="12:38" x14ac:dyDescent="0.25">
      <c r="L268" s="2"/>
      <c r="M268" s="2"/>
      <c r="N268" s="2"/>
      <c r="AD268" s="3"/>
      <c r="AH268" s="3"/>
      <c r="AL268" s="3"/>
    </row>
    <row r="269" spans="12:38" x14ac:dyDescent="0.25">
      <c r="L269" s="2"/>
      <c r="M269" s="2"/>
      <c r="N269" s="2"/>
      <c r="AD269" s="3"/>
      <c r="AH269" s="3"/>
      <c r="AL269" s="3"/>
    </row>
    <row r="270" spans="12:38" x14ac:dyDescent="0.25">
      <c r="L270" s="2"/>
      <c r="M270" s="2"/>
      <c r="N270" s="2"/>
      <c r="AD270" s="3"/>
      <c r="AH270" s="3"/>
      <c r="AL270" s="3"/>
    </row>
    <row r="271" spans="12:38" x14ac:dyDescent="0.25">
      <c r="L271" s="2"/>
      <c r="M271" s="2"/>
      <c r="N271" s="2"/>
      <c r="AD271" s="3"/>
      <c r="AH271" s="3"/>
      <c r="AL271" s="3"/>
    </row>
    <row r="272" spans="12:38" x14ac:dyDescent="0.25">
      <c r="L272" s="2"/>
      <c r="M272" s="2"/>
      <c r="N272" s="2"/>
      <c r="AD272" s="3"/>
      <c r="AH272" s="3"/>
      <c r="AL272" s="3"/>
    </row>
    <row r="273" spans="12:38" x14ac:dyDescent="0.25">
      <c r="L273" s="2"/>
      <c r="M273" s="2"/>
      <c r="N273" s="2"/>
      <c r="AD273" s="3"/>
      <c r="AH273" s="3"/>
      <c r="AL273" s="3"/>
    </row>
    <row r="274" spans="12:38" x14ac:dyDescent="0.25">
      <c r="L274" s="2"/>
      <c r="M274" s="2"/>
      <c r="N274" s="2"/>
      <c r="AD274" s="3"/>
      <c r="AH274" s="3"/>
      <c r="AL274" s="3"/>
    </row>
    <row r="275" spans="12:38" x14ac:dyDescent="0.25">
      <c r="L275" s="2"/>
      <c r="M275" s="2"/>
      <c r="N275" s="2"/>
      <c r="AD275" s="3"/>
      <c r="AH275" s="3"/>
      <c r="AL275" s="3"/>
    </row>
    <row r="276" spans="12:38" x14ac:dyDescent="0.25">
      <c r="L276" s="2"/>
      <c r="M276" s="2"/>
      <c r="N276" s="2"/>
      <c r="AD276" s="3"/>
      <c r="AH276" s="3"/>
      <c r="AL276" s="3"/>
    </row>
    <row r="277" spans="12:38" x14ac:dyDescent="0.25">
      <c r="L277" s="2"/>
      <c r="M277" s="2"/>
      <c r="N277" s="2"/>
      <c r="AD277" s="3"/>
      <c r="AH277" s="3"/>
      <c r="AL277" s="3"/>
    </row>
    <row r="278" spans="12:38" x14ac:dyDescent="0.25">
      <c r="L278" s="2"/>
      <c r="M278" s="2"/>
      <c r="N278" s="2"/>
      <c r="AD278" s="3"/>
      <c r="AH278" s="3"/>
      <c r="AL278" s="3"/>
    </row>
    <row r="279" spans="12:38" x14ac:dyDescent="0.25">
      <c r="L279" s="2"/>
      <c r="M279" s="2"/>
      <c r="N279" s="2"/>
      <c r="AD279" s="3"/>
      <c r="AH279" s="3"/>
      <c r="AL279" s="3"/>
    </row>
    <row r="280" spans="12:38" x14ac:dyDescent="0.25">
      <c r="L280" s="2"/>
      <c r="M280" s="2"/>
      <c r="N280" s="2"/>
      <c r="AD280" s="3"/>
      <c r="AH280" s="3"/>
      <c r="AL280" s="3"/>
    </row>
    <row r="281" spans="12:38" x14ac:dyDescent="0.25">
      <c r="L281" s="2"/>
      <c r="M281" s="2"/>
      <c r="N281" s="2"/>
      <c r="AD281" s="3"/>
      <c r="AH281" s="3"/>
      <c r="AL281" s="3"/>
    </row>
    <row r="282" spans="12:38" x14ac:dyDescent="0.25">
      <c r="L282" s="2"/>
      <c r="M282" s="2"/>
      <c r="N282" s="2"/>
      <c r="AD282" s="3"/>
      <c r="AH282" s="3"/>
      <c r="AL282" s="3"/>
    </row>
    <row r="283" spans="12:38" x14ac:dyDescent="0.25">
      <c r="L283" s="2"/>
      <c r="M283" s="2"/>
      <c r="N283" s="2"/>
      <c r="AD283" s="3"/>
      <c r="AH283" s="3"/>
      <c r="AL283" s="3"/>
    </row>
    <row r="284" spans="12:38" x14ac:dyDescent="0.25">
      <c r="L284" s="2"/>
      <c r="M284" s="2"/>
      <c r="N284" s="2"/>
      <c r="AD284" s="3"/>
      <c r="AH284" s="3"/>
      <c r="AL284" s="3"/>
    </row>
    <row r="285" spans="12:38" x14ac:dyDescent="0.25">
      <c r="L285" s="2"/>
      <c r="M285" s="2"/>
      <c r="N285" s="2"/>
      <c r="AD285" s="3"/>
      <c r="AH285" s="3"/>
      <c r="AL285" s="3"/>
    </row>
    <row r="286" spans="12:38" x14ac:dyDescent="0.25">
      <c r="L286" s="2"/>
      <c r="M286" s="2"/>
      <c r="N286" s="2"/>
      <c r="AD286" s="3"/>
      <c r="AH286" s="3"/>
      <c r="AL286" s="3"/>
    </row>
    <row r="287" spans="12:38" x14ac:dyDescent="0.25">
      <c r="L287" s="2"/>
      <c r="M287" s="2"/>
      <c r="N287" s="2"/>
      <c r="AD287" s="3"/>
      <c r="AH287" s="3"/>
      <c r="AL287" s="3"/>
    </row>
    <row r="288" spans="12:38" x14ac:dyDescent="0.25">
      <c r="L288" s="2"/>
      <c r="M288" s="2"/>
      <c r="N288" s="2"/>
      <c r="AD288" s="3"/>
      <c r="AH288" s="3"/>
      <c r="AL288" s="3"/>
    </row>
    <row r="289" spans="12:38" x14ac:dyDescent="0.25">
      <c r="L289" s="2"/>
      <c r="M289" s="2"/>
      <c r="N289" s="2"/>
      <c r="AD289" s="3"/>
      <c r="AH289" s="3"/>
      <c r="AL289" s="3"/>
    </row>
    <row r="290" spans="12:38" x14ac:dyDescent="0.25">
      <c r="L290" s="2"/>
      <c r="M290" s="2"/>
      <c r="N290" s="2"/>
      <c r="AD290" s="3"/>
      <c r="AH290" s="3"/>
      <c r="AL290" s="3"/>
    </row>
    <row r="291" spans="12:38" x14ac:dyDescent="0.25">
      <c r="L291" s="2"/>
      <c r="M291" s="2"/>
      <c r="N291" s="2"/>
      <c r="AD291" s="3"/>
      <c r="AH291" s="3"/>
      <c r="AL291" s="3"/>
    </row>
    <row r="292" spans="12:38" x14ac:dyDescent="0.25">
      <c r="L292" s="2"/>
      <c r="M292" s="2"/>
      <c r="N292" s="2"/>
      <c r="AD292" s="3"/>
      <c r="AH292" s="3"/>
      <c r="AL292" s="3"/>
    </row>
    <row r="293" spans="12:38" x14ac:dyDescent="0.25">
      <c r="L293" s="2"/>
      <c r="M293" s="2"/>
      <c r="N293" s="2"/>
      <c r="AD293" s="3"/>
      <c r="AH293" s="3"/>
      <c r="AL293" s="3"/>
    </row>
    <row r="294" spans="12:38" x14ac:dyDescent="0.25">
      <c r="L294" s="2"/>
      <c r="M294" s="2"/>
      <c r="N294" s="2"/>
      <c r="AD294" s="3"/>
      <c r="AH294" s="3"/>
      <c r="AL294" s="3"/>
    </row>
    <row r="295" spans="12:38" x14ac:dyDescent="0.25">
      <c r="L295" s="2"/>
      <c r="M295" s="2"/>
      <c r="N295" s="2"/>
      <c r="AD295" s="3"/>
      <c r="AH295" s="3"/>
      <c r="AL295" s="3"/>
    </row>
    <row r="296" spans="12:38" x14ac:dyDescent="0.25">
      <c r="L296" s="2"/>
      <c r="M296" s="2"/>
      <c r="N296" s="2"/>
      <c r="AD296" s="3"/>
      <c r="AH296" s="3"/>
      <c r="AL296" s="3"/>
    </row>
    <row r="297" spans="12:38" x14ac:dyDescent="0.25">
      <c r="L297" s="2"/>
      <c r="M297" s="2"/>
      <c r="N297" s="2"/>
      <c r="AD297" s="3"/>
      <c r="AH297" s="3"/>
      <c r="AL297" s="3"/>
    </row>
    <row r="298" spans="12:38" x14ac:dyDescent="0.25">
      <c r="L298" s="2"/>
      <c r="M298" s="2"/>
      <c r="N298" s="2"/>
      <c r="AD298" s="3"/>
      <c r="AH298" s="3"/>
      <c r="AL298" s="3"/>
    </row>
    <row r="299" spans="12:38" x14ac:dyDescent="0.25">
      <c r="L299" s="2"/>
      <c r="M299" s="2"/>
      <c r="N299" s="2"/>
      <c r="AD299" s="3"/>
      <c r="AH299" s="3"/>
      <c r="AL299" s="3"/>
    </row>
    <row r="300" spans="12:38" x14ac:dyDescent="0.25">
      <c r="L300" s="2"/>
      <c r="M300" s="2"/>
      <c r="N300" s="2"/>
      <c r="AD300" s="3"/>
      <c r="AH300" s="3"/>
      <c r="AL300" s="3"/>
    </row>
    <row r="301" spans="12:38" x14ac:dyDescent="0.25">
      <c r="L301" s="2"/>
      <c r="M301" s="2"/>
      <c r="N301" s="2"/>
      <c r="AD301" s="3"/>
      <c r="AH301" s="3"/>
      <c r="AL301" s="3"/>
    </row>
    <row r="302" spans="12:38" x14ac:dyDescent="0.25">
      <c r="L302" s="2"/>
      <c r="M302" s="2"/>
      <c r="N302" s="2"/>
      <c r="AD302" s="3"/>
      <c r="AH302" s="3"/>
      <c r="AL302" s="3"/>
    </row>
    <row r="303" spans="12:38" x14ac:dyDescent="0.25">
      <c r="L303" s="2"/>
      <c r="M303" s="2"/>
      <c r="N303" s="2"/>
      <c r="AD303" s="3"/>
      <c r="AH303" s="3"/>
      <c r="AL303" s="3"/>
    </row>
    <row r="304" spans="12:38" x14ac:dyDescent="0.25">
      <c r="L304" s="2"/>
      <c r="M304" s="2"/>
      <c r="N304" s="2"/>
      <c r="AD304" s="3"/>
      <c r="AH304" s="3"/>
      <c r="AL304" s="3"/>
    </row>
    <row r="305" spans="12:38" x14ac:dyDescent="0.25">
      <c r="L305" s="2"/>
      <c r="M305" s="2"/>
      <c r="N305" s="2"/>
      <c r="AD305" s="3"/>
      <c r="AH305" s="3"/>
      <c r="AL305" s="3"/>
    </row>
    <row r="306" spans="12:38" x14ac:dyDescent="0.25">
      <c r="L306" s="2"/>
      <c r="M306" s="2"/>
      <c r="N306" s="2"/>
      <c r="AD306" s="3"/>
      <c r="AH306" s="3"/>
      <c r="AL306" s="3"/>
    </row>
    <row r="307" spans="12:38" x14ac:dyDescent="0.25">
      <c r="L307" s="2"/>
      <c r="M307" s="2"/>
      <c r="N307" s="2"/>
      <c r="AD307" s="3"/>
      <c r="AH307" s="3"/>
      <c r="AL307" s="3"/>
    </row>
    <row r="308" spans="12:38" x14ac:dyDescent="0.25">
      <c r="L308" s="2"/>
      <c r="M308" s="2"/>
      <c r="N308" s="2"/>
      <c r="AD308" s="3"/>
      <c r="AH308" s="3"/>
      <c r="AL308" s="3"/>
    </row>
    <row r="309" spans="12:38" x14ac:dyDescent="0.25">
      <c r="L309" s="2"/>
      <c r="M309" s="2"/>
      <c r="N309" s="2"/>
      <c r="AD309" s="3"/>
      <c r="AH309" s="3"/>
      <c r="AL309" s="3"/>
    </row>
    <row r="310" spans="12:38" x14ac:dyDescent="0.25">
      <c r="L310" s="2"/>
      <c r="M310" s="2"/>
      <c r="N310" s="2"/>
      <c r="AD310" s="3"/>
      <c r="AH310" s="3"/>
      <c r="AL310" s="3"/>
    </row>
    <row r="311" spans="12:38" x14ac:dyDescent="0.25">
      <c r="L311" s="2"/>
      <c r="M311" s="2"/>
      <c r="N311" s="2"/>
      <c r="AD311" s="3"/>
      <c r="AH311" s="3"/>
      <c r="AL311" s="3"/>
    </row>
    <row r="312" spans="12:38" x14ac:dyDescent="0.25">
      <c r="L312" s="2"/>
      <c r="M312" s="2"/>
      <c r="N312" s="2"/>
      <c r="AD312" s="3"/>
      <c r="AH312" s="3"/>
      <c r="AL312" s="3"/>
    </row>
    <row r="313" spans="12:38" x14ac:dyDescent="0.25">
      <c r="L313" s="2"/>
      <c r="M313" s="2"/>
      <c r="N313" s="2"/>
      <c r="AD313" s="3"/>
      <c r="AH313" s="3"/>
      <c r="AL313" s="3"/>
    </row>
    <row r="314" spans="12:38" x14ac:dyDescent="0.25">
      <c r="L314" s="2"/>
      <c r="M314" s="2"/>
      <c r="N314" s="2"/>
      <c r="AD314" s="3"/>
      <c r="AH314" s="3"/>
      <c r="AL314" s="3"/>
    </row>
    <row r="315" spans="12:38" x14ac:dyDescent="0.25">
      <c r="L315" s="2"/>
      <c r="M315" s="2"/>
      <c r="N315" s="2"/>
      <c r="AD315" s="3"/>
      <c r="AH315" s="3"/>
      <c r="AL315" s="3"/>
    </row>
    <row r="316" spans="12:38" x14ac:dyDescent="0.25">
      <c r="L316" s="2"/>
      <c r="M316" s="2"/>
      <c r="N316" s="2"/>
      <c r="AD316" s="3"/>
      <c r="AH316" s="3"/>
      <c r="AL316" s="3"/>
    </row>
    <row r="317" spans="12:38" x14ac:dyDescent="0.25">
      <c r="L317" s="2"/>
      <c r="M317" s="2"/>
      <c r="N317" s="2"/>
      <c r="AD317" s="3"/>
      <c r="AH317" s="3"/>
      <c r="AL317" s="3"/>
    </row>
    <row r="318" spans="12:38" x14ac:dyDescent="0.25">
      <c r="L318" s="2"/>
      <c r="M318" s="2"/>
      <c r="N318" s="2"/>
      <c r="AD318" s="3"/>
      <c r="AH318" s="3"/>
      <c r="AL318" s="3"/>
    </row>
    <row r="319" spans="12:38" x14ac:dyDescent="0.25">
      <c r="L319" s="2"/>
      <c r="M319" s="2"/>
      <c r="N319" s="2"/>
      <c r="AD319" s="3"/>
      <c r="AH319" s="3"/>
      <c r="AL319" s="3"/>
    </row>
    <row r="320" spans="12:38" x14ac:dyDescent="0.25">
      <c r="L320" s="2"/>
      <c r="M320" s="2"/>
      <c r="N320" s="2"/>
      <c r="AD320" s="3"/>
      <c r="AH320" s="3"/>
      <c r="AL320" s="3"/>
    </row>
    <row r="321" spans="12:38" x14ac:dyDescent="0.25">
      <c r="L321" s="2"/>
      <c r="M321" s="2"/>
      <c r="N321" s="2"/>
      <c r="AD321" s="3"/>
      <c r="AH321" s="3"/>
      <c r="AL321" s="3"/>
    </row>
    <row r="322" spans="12:38" x14ac:dyDescent="0.25">
      <c r="L322" s="2"/>
      <c r="M322" s="2"/>
      <c r="N322" s="2"/>
      <c r="AD322" s="3"/>
      <c r="AH322" s="3"/>
      <c r="AL322" s="3"/>
    </row>
    <row r="323" spans="12:38" x14ac:dyDescent="0.25">
      <c r="L323" s="2"/>
      <c r="M323" s="2"/>
      <c r="N323" s="2"/>
      <c r="AD323" s="3"/>
      <c r="AH323" s="3"/>
      <c r="AL323" s="3"/>
    </row>
    <row r="324" spans="12:38" x14ac:dyDescent="0.25">
      <c r="L324" s="2"/>
      <c r="M324" s="2"/>
      <c r="N324" s="2"/>
      <c r="AD324" s="3"/>
      <c r="AH324" s="3"/>
      <c r="AL324" s="3"/>
    </row>
    <row r="325" spans="12:38" x14ac:dyDescent="0.25">
      <c r="L325" s="2"/>
      <c r="M325" s="2"/>
      <c r="N325" s="2"/>
      <c r="AD325" s="3"/>
      <c r="AH325" s="3"/>
      <c r="AL325" s="3"/>
    </row>
    <row r="326" spans="12:38" x14ac:dyDescent="0.25">
      <c r="L326" s="2"/>
      <c r="M326" s="2"/>
      <c r="N326" s="2"/>
      <c r="AD326" s="3"/>
      <c r="AH326" s="3"/>
      <c r="AL326" s="3"/>
    </row>
    <row r="327" spans="12:38" x14ac:dyDescent="0.25">
      <c r="L327" s="2"/>
      <c r="M327" s="2"/>
      <c r="N327" s="2"/>
      <c r="AD327" s="3"/>
      <c r="AH327" s="3"/>
      <c r="AL327" s="3"/>
    </row>
    <row r="328" spans="12:38" x14ac:dyDescent="0.25">
      <c r="L328" s="2"/>
      <c r="M328" s="2"/>
      <c r="N328" s="2"/>
      <c r="AD328" s="3"/>
      <c r="AH328" s="3"/>
      <c r="AL328" s="3"/>
    </row>
    <row r="329" spans="12:38" x14ac:dyDescent="0.25">
      <c r="L329" s="2"/>
      <c r="M329" s="2"/>
      <c r="N329" s="2"/>
      <c r="AD329" s="3"/>
      <c r="AH329" s="3"/>
      <c r="AL329" s="3"/>
    </row>
    <row r="330" spans="12:38" x14ac:dyDescent="0.25">
      <c r="L330" s="2"/>
      <c r="M330" s="2"/>
      <c r="N330" s="2"/>
      <c r="AD330" s="3"/>
      <c r="AH330" s="3"/>
      <c r="AL330" s="3"/>
    </row>
    <row r="331" spans="12:38" x14ac:dyDescent="0.25">
      <c r="L331" s="2"/>
      <c r="M331" s="2"/>
      <c r="N331" s="2"/>
      <c r="AD331" s="3"/>
      <c r="AH331" s="3"/>
      <c r="AL331" s="3"/>
    </row>
    <row r="332" spans="12:38" x14ac:dyDescent="0.25">
      <c r="L332" s="2"/>
      <c r="M332" s="2"/>
      <c r="N332" s="2"/>
      <c r="AD332" s="3"/>
      <c r="AH332" s="3"/>
      <c r="AL332" s="3"/>
    </row>
    <row r="333" spans="12:38" x14ac:dyDescent="0.25">
      <c r="L333" s="2"/>
      <c r="M333" s="2"/>
      <c r="N333" s="2"/>
      <c r="AD333" s="3"/>
      <c r="AH333" s="3"/>
      <c r="AL333" s="3"/>
    </row>
    <row r="334" spans="12:38" x14ac:dyDescent="0.25">
      <c r="L334" s="2"/>
      <c r="M334" s="2"/>
      <c r="N334" s="2"/>
      <c r="AD334" s="3"/>
      <c r="AH334" s="3"/>
      <c r="AL334" s="3"/>
    </row>
    <row r="335" spans="12:38" x14ac:dyDescent="0.25">
      <c r="L335" s="2"/>
      <c r="M335" s="2"/>
      <c r="N335" s="2"/>
      <c r="AD335" s="3"/>
      <c r="AH335" s="3"/>
      <c r="AL335" s="3"/>
    </row>
    <row r="336" spans="12:38" x14ac:dyDescent="0.25">
      <c r="L336" s="2"/>
      <c r="M336" s="2"/>
      <c r="N336" s="2"/>
      <c r="AD336" s="3"/>
      <c r="AH336" s="3"/>
      <c r="AL336" s="3"/>
    </row>
    <row r="337" spans="12:38" x14ac:dyDescent="0.25">
      <c r="L337" s="2"/>
      <c r="M337" s="2"/>
      <c r="N337" s="2"/>
      <c r="AD337" s="3"/>
      <c r="AH337" s="3"/>
      <c r="AL337" s="3"/>
    </row>
    <row r="338" spans="12:38" x14ac:dyDescent="0.25">
      <c r="L338" s="2"/>
      <c r="M338" s="2"/>
      <c r="N338" s="2"/>
      <c r="AD338" s="3"/>
      <c r="AH338" s="3"/>
      <c r="AL338" s="3"/>
    </row>
    <row r="339" spans="12:38" x14ac:dyDescent="0.25">
      <c r="L339" s="2"/>
      <c r="M339" s="2"/>
      <c r="N339" s="2"/>
      <c r="AD339" s="3"/>
      <c r="AH339" s="3"/>
      <c r="AL339" s="3"/>
    </row>
    <row r="340" spans="12:38" x14ac:dyDescent="0.25">
      <c r="L340" s="2"/>
      <c r="M340" s="2"/>
      <c r="N340" s="2"/>
      <c r="AD340" s="3"/>
      <c r="AH340" s="3"/>
      <c r="AL340" s="3"/>
    </row>
    <row r="341" spans="12:38" x14ac:dyDescent="0.25">
      <c r="L341" s="2"/>
      <c r="M341" s="2"/>
      <c r="N341" s="2"/>
      <c r="AD341" s="3"/>
      <c r="AH341" s="3"/>
      <c r="AL341" s="3"/>
    </row>
    <row r="342" spans="12:38" x14ac:dyDescent="0.25">
      <c r="L342" s="2"/>
      <c r="M342" s="2"/>
      <c r="N342" s="2"/>
      <c r="AD342" s="3"/>
      <c r="AH342" s="3"/>
      <c r="AL342" s="3"/>
    </row>
    <row r="343" spans="12:38" x14ac:dyDescent="0.25">
      <c r="L343" s="2"/>
      <c r="M343" s="2"/>
      <c r="N343" s="2"/>
      <c r="AD343" s="3"/>
      <c r="AH343" s="3"/>
      <c r="AL343" s="3"/>
    </row>
    <row r="344" spans="12:38" x14ac:dyDescent="0.25">
      <c r="L344" s="2"/>
      <c r="M344" s="2"/>
      <c r="N344" s="2"/>
      <c r="AD344" s="3"/>
      <c r="AH344" s="3"/>
      <c r="AL344" s="3"/>
    </row>
    <row r="345" spans="12:38" x14ac:dyDescent="0.25">
      <c r="L345" s="2"/>
      <c r="M345" s="2"/>
      <c r="N345" s="2"/>
      <c r="AD345" s="3"/>
      <c r="AH345" s="3"/>
      <c r="AL345" s="3"/>
    </row>
    <row r="346" spans="12:38" x14ac:dyDescent="0.25">
      <c r="L346" s="2"/>
      <c r="M346" s="2"/>
      <c r="N346" s="2"/>
      <c r="AD346" s="3"/>
      <c r="AH346" s="3"/>
      <c r="AL346" s="3"/>
    </row>
    <row r="347" spans="12:38" x14ac:dyDescent="0.25">
      <c r="L347" s="2"/>
      <c r="M347" s="2"/>
      <c r="N347" s="2"/>
      <c r="AD347" s="3"/>
      <c r="AH347" s="3"/>
      <c r="AL347" s="3"/>
    </row>
    <row r="348" spans="12:38" x14ac:dyDescent="0.25">
      <c r="L348" s="2"/>
      <c r="M348" s="2"/>
      <c r="N348" s="2"/>
      <c r="AD348" s="3"/>
      <c r="AH348" s="3"/>
      <c r="AL348" s="3"/>
    </row>
    <row r="349" spans="12:38" x14ac:dyDescent="0.25">
      <c r="L349" s="2"/>
      <c r="M349" s="2"/>
      <c r="N349" s="2"/>
      <c r="AD349" s="3"/>
      <c r="AH349" s="3"/>
      <c r="AL349" s="3"/>
    </row>
    <row r="350" spans="12:38" x14ac:dyDescent="0.25">
      <c r="L350" s="2"/>
      <c r="M350" s="2"/>
      <c r="N350" s="2"/>
      <c r="AD350" s="3"/>
      <c r="AH350" s="3"/>
      <c r="AL350" s="3"/>
    </row>
    <row r="351" spans="12:38" x14ac:dyDescent="0.25">
      <c r="L351" s="2"/>
      <c r="M351" s="2"/>
      <c r="N351" s="2"/>
      <c r="AD351" s="3"/>
      <c r="AH351" s="3"/>
      <c r="AL351" s="3"/>
    </row>
    <row r="352" spans="12:38" x14ac:dyDescent="0.25">
      <c r="L352" s="2"/>
      <c r="M352" s="2"/>
      <c r="N352" s="2"/>
      <c r="AD352" s="3"/>
      <c r="AH352" s="3"/>
      <c r="AL352" s="3"/>
    </row>
    <row r="353" spans="12:38" x14ac:dyDescent="0.25">
      <c r="L353" s="2"/>
      <c r="M353" s="2"/>
      <c r="N353" s="2"/>
      <c r="AD353" s="3"/>
      <c r="AH353" s="3"/>
      <c r="AL353" s="3"/>
    </row>
    <row r="354" spans="12:38" x14ac:dyDescent="0.25">
      <c r="L354" s="2"/>
      <c r="M354" s="2"/>
      <c r="N354" s="2"/>
      <c r="AD354" s="3"/>
      <c r="AH354" s="3"/>
      <c r="AL354" s="3"/>
    </row>
    <row r="355" spans="12:38" x14ac:dyDescent="0.25">
      <c r="L355" s="2"/>
      <c r="M355" s="2"/>
      <c r="N355" s="2"/>
      <c r="AD355" s="3"/>
      <c r="AH355" s="3"/>
      <c r="AL355" s="3"/>
    </row>
    <row r="356" spans="12:38" x14ac:dyDescent="0.25">
      <c r="L356" s="2"/>
      <c r="M356" s="2"/>
      <c r="N356" s="2"/>
      <c r="AD356" s="3"/>
      <c r="AH356" s="3"/>
      <c r="AL356" s="3"/>
    </row>
    <row r="357" spans="12:38" x14ac:dyDescent="0.25">
      <c r="L357" s="2"/>
      <c r="M357" s="2"/>
      <c r="N357" s="2"/>
      <c r="AD357" s="3"/>
      <c r="AH357" s="3"/>
      <c r="AL357" s="3"/>
    </row>
    <row r="358" spans="12:38" x14ac:dyDescent="0.25">
      <c r="L358" s="2"/>
      <c r="M358" s="2"/>
      <c r="N358" s="2"/>
      <c r="AD358" s="3"/>
      <c r="AH358" s="3"/>
      <c r="AL358" s="3"/>
    </row>
    <row r="359" spans="12:38" x14ac:dyDescent="0.25">
      <c r="L359" s="2"/>
      <c r="M359" s="2"/>
      <c r="N359" s="2"/>
      <c r="AD359" s="3"/>
      <c r="AH359" s="3"/>
      <c r="AL359" s="3"/>
    </row>
    <row r="360" spans="12:38" x14ac:dyDescent="0.25">
      <c r="L360" s="2"/>
      <c r="M360" s="2"/>
      <c r="N360" s="2"/>
      <c r="AD360" s="3"/>
      <c r="AH360" s="3"/>
      <c r="AL360" s="3"/>
    </row>
    <row r="361" spans="12:38" x14ac:dyDescent="0.25">
      <c r="L361" s="2"/>
      <c r="M361" s="2"/>
      <c r="N361" s="2"/>
      <c r="AD361" s="3"/>
      <c r="AH361" s="3"/>
      <c r="AL361" s="3"/>
    </row>
    <row r="362" spans="12:38" x14ac:dyDescent="0.25">
      <c r="L362" s="2"/>
      <c r="M362" s="2"/>
      <c r="N362" s="2"/>
      <c r="AD362" s="3"/>
      <c r="AH362" s="3"/>
      <c r="AL362" s="3"/>
    </row>
    <row r="363" spans="12:38" x14ac:dyDescent="0.25">
      <c r="L363" s="2"/>
      <c r="M363" s="2"/>
      <c r="N363" s="2"/>
      <c r="AD363" s="3"/>
      <c r="AH363" s="3"/>
      <c r="AL363" s="3"/>
    </row>
    <row r="364" spans="12:38" x14ac:dyDescent="0.25">
      <c r="L364" s="2"/>
      <c r="M364" s="2"/>
      <c r="N364" s="2"/>
      <c r="AD364" s="3"/>
      <c r="AH364" s="3"/>
      <c r="AL364" s="3"/>
    </row>
    <row r="365" spans="12:38" x14ac:dyDescent="0.25">
      <c r="L365" s="2"/>
      <c r="M365" s="2"/>
      <c r="N365" s="2"/>
      <c r="AD365" s="3"/>
      <c r="AH365" s="3"/>
      <c r="AL365" s="3"/>
    </row>
    <row r="366" spans="12:38" x14ac:dyDescent="0.25">
      <c r="L366" s="2"/>
      <c r="M366" s="2"/>
      <c r="N366" s="2"/>
      <c r="AD366" s="3"/>
      <c r="AH366" s="3"/>
      <c r="AL366" s="3"/>
    </row>
    <row r="367" spans="12:38" x14ac:dyDescent="0.25">
      <c r="L367" s="2"/>
      <c r="M367" s="2"/>
      <c r="N367" s="2"/>
      <c r="AD367" s="3"/>
      <c r="AH367" s="3"/>
      <c r="AL367" s="3"/>
    </row>
    <row r="368" spans="12:38" x14ac:dyDescent="0.25">
      <c r="L368" s="2"/>
      <c r="M368" s="2"/>
      <c r="N368" s="2"/>
      <c r="AD368" s="3"/>
      <c r="AH368" s="3"/>
      <c r="AL368" s="3"/>
    </row>
    <row r="369" spans="12:38" x14ac:dyDescent="0.25">
      <c r="L369" s="2"/>
      <c r="M369" s="2"/>
      <c r="N369" s="2"/>
      <c r="AD369" s="3"/>
      <c r="AH369" s="3"/>
      <c r="AL369" s="3"/>
    </row>
    <row r="370" spans="12:38" x14ac:dyDescent="0.25">
      <c r="L370" s="2"/>
      <c r="M370" s="2"/>
      <c r="N370" s="2"/>
      <c r="AD370" s="3"/>
      <c r="AH370" s="3"/>
      <c r="AL370" s="3"/>
    </row>
    <row r="371" spans="12:38" x14ac:dyDescent="0.25">
      <c r="L371" s="2"/>
      <c r="M371" s="2"/>
      <c r="N371" s="2"/>
      <c r="AD371" s="3"/>
      <c r="AH371" s="3"/>
      <c r="AL371" s="3"/>
    </row>
    <row r="372" spans="12:38" x14ac:dyDescent="0.25">
      <c r="L372" s="2"/>
      <c r="M372" s="2"/>
      <c r="N372" s="2"/>
      <c r="AD372" s="3"/>
      <c r="AH372" s="3"/>
      <c r="AL372" s="3"/>
    </row>
    <row r="373" spans="12:38" x14ac:dyDescent="0.25">
      <c r="L373" s="2"/>
      <c r="M373" s="2"/>
      <c r="N373" s="2"/>
      <c r="AD373" s="3"/>
      <c r="AH373" s="3"/>
      <c r="AL373" s="3"/>
    </row>
    <row r="374" spans="12:38" x14ac:dyDescent="0.25">
      <c r="L374" s="2"/>
      <c r="M374" s="2"/>
      <c r="N374" s="2"/>
      <c r="AD374" s="3"/>
      <c r="AH374" s="3"/>
      <c r="AL374" s="3"/>
    </row>
    <row r="375" spans="12:38" x14ac:dyDescent="0.25">
      <c r="L375" s="2"/>
      <c r="M375" s="2"/>
      <c r="N375" s="2"/>
      <c r="AD375" s="3"/>
      <c r="AH375" s="3"/>
      <c r="AL375" s="3"/>
    </row>
    <row r="376" spans="12:38" x14ac:dyDescent="0.25">
      <c r="L376" s="2"/>
      <c r="M376" s="2"/>
      <c r="N376" s="2"/>
      <c r="AD376" s="3"/>
      <c r="AH376" s="3"/>
      <c r="AL376" s="3"/>
    </row>
    <row r="377" spans="12:38" x14ac:dyDescent="0.25">
      <c r="L377" s="2"/>
      <c r="M377" s="2"/>
      <c r="N377" s="2"/>
      <c r="AD377" s="3"/>
      <c r="AH377" s="3"/>
      <c r="AL377" s="3"/>
    </row>
    <row r="378" spans="12:38" x14ac:dyDescent="0.25">
      <c r="L378" s="2"/>
      <c r="M378" s="2"/>
      <c r="N378" s="2"/>
      <c r="AD378" s="3"/>
      <c r="AH378" s="3"/>
      <c r="AL378" s="3"/>
    </row>
    <row r="379" spans="12:38" x14ac:dyDescent="0.25">
      <c r="L379" s="2"/>
      <c r="M379" s="2"/>
      <c r="N379" s="2"/>
      <c r="AD379" s="3"/>
      <c r="AH379" s="3"/>
      <c r="AL379" s="3"/>
    </row>
    <row r="380" spans="12:38" x14ac:dyDescent="0.25">
      <c r="L380" s="2"/>
      <c r="M380" s="2"/>
      <c r="N380" s="2"/>
      <c r="AD380" s="3"/>
      <c r="AH380" s="3"/>
      <c r="AL380" s="3"/>
    </row>
    <row r="381" spans="12:38" x14ac:dyDescent="0.25">
      <c r="L381" s="2"/>
      <c r="M381" s="2"/>
      <c r="N381" s="2"/>
      <c r="AD381" s="3"/>
      <c r="AH381" s="3"/>
      <c r="AL381" s="3"/>
    </row>
    <row r="382" spans="12:38" x14ac:dyDescent="0.25">
      <c r="L382" s="2"/>
      <c r="M382" s="2"/>
      <c r="N382" s="2"/>
      <c r="AD382" s="3"/>
      <c r="AH382" s="3"/>
      <c r="AL382" s="3"/>
    </row>
    <row r="383" spans="12:38" x14ac:dyDescent="0.25">
      <c r="L383" s="2"/>
      <c r="M383" s="2"/>
      <c r="N383" s="2"/>
      <c r="AD383" s="3"/>
      <c r="AH383" s="3"/>
      <c r="AL383" s="3"/>
    </row>
    <row r="384" spans="12:38" x14ac:dyDescent="0.25">
      <c r="L384" s="2"/>
      <c r="M384" s="2"/>
      <c r="N384" s="2"/>
      <c r="AD384" s="3"/>
      <c r="AH384" s="3"/>
      <c r="AL384" s="3"/>
    </row>
    <row r="385" spans="12:38" x14ac:dyDescent="0.25">
      <c r="L385" s="2"/>
      <c r="M385" s="2"/>
      <c r="N385" s="2"/>
      <c r="AD385" s="3"/>
      <c r="AH385" s="3"/>
      <c r="AL385" s="3"/>
    </row>
    <row r="386" spans="12:38" x14ac:dyDescent="0.25">
      <c r="L386" s="2"/>
      <c r="M386" s="2"/>
      <c r="N386" s="2"/>
      <c r="AD386" s="3"/>
      <c r="AH386" s="3"/>
      <c r="AL386" s="3"/>
    </row>
    <row r="387" spans="12:38" x14ac:dyDescent="0.25">
      <c r="L387" s="2"/>
      <c r="M387" s="2"/>
      <c r="N387" s="2"/>
      <c r="AD387" s="3"/>
      <c r="AH387" s="3"/>
      <c r="AL387" s="3"/>
    </row>
    <row r="388" spans="12:38" x14ac:dyDescent="0.25">
      <c r="L388" s="2"/>
      <c r="M388" s="2"/>
      <c r="N388" s="2"/>
      <c r="AD388" s="3"/>
      <c r="AH388" s="3"/>
      <c r="AL388" s="3"/>
    </row>
    <row r="389" spans="12:38" x14ac:dyDescent="0.25">
      <c r="L389" s="2"/>
      <c r="M389" s="2"/>
      <c r="N389" s="2"/>
      <c r="AD389" s="3"/>
      <c r="AH389" s="3"/>
      <c r="AL389" s="3"/>
    </row>
    <row r="390" spans="12:38" x14ac:dyDescent="0.25">
      <c r="L390" s="2"/>
      <c r="M390" s="2"/>
      <c r="N390" s="2"/>
      <c r="AD390" s="3"/>
      <c r="AH390" s="3"/>
      <c r="AL390" s="3"/>
    </row>
    <row r="391" spans="12:38" x14ac:dyDescent="0.25">
      <c r="L391" s="2"/>
      <c r="M391" s="2"/>
      <c r="N391" s="2"/>
      <c r="AD391" s="3"/>
      <c r="AH391" s="3"/>
      <c r="AL391" s="3"/>
    </row>
    <row r="392" spans="12:38" x14ac:dyDescent="0.25">
      <c r="L392" s="2"/>
      <c r="M392" s="2"/>
      <c r="N392" s="2"/>
      <c r="AD392" s="3"/>
      <c r="AH392" s="3"/>
      <c r="AL392" s="3"/>
    </row>
    <row r="393" spans="12:38" x14ac:dyDescent="0.25">
      <c r="L393" s="2"/>
      <c r="M393" s="2"/>
      <c r="N393" s="2"/>
      <c r="AD393" s="3"/>
      <c r="AH393" s="3"/>
      <c r="AL393" s="3"/>
    </row>
    <row r="394" spans="12:38" x14ac:dyDescent="0.25">
      <c r="L394" s="2"/>
      <c r="M394" s="2"/>
      <c r="N394" s="2"/>
      <c r="AD394" s="3"/>
      <c r="AH394" s="3"/>
      <c r="AL394" s="3"/>
    </row>
    <row r="395" spans="12:38" x14ac:dyDescent="0.25">
      <c r="L395" s="2"/>
      <c r="M395" s="2"/>
      <c r="N395" s="2"/>
      <c r="AD395" s="3"/>
      <c r="AH395" s="3"/>
      <c r="AL395" s="3"/>
    </row>
    <row r="396" spans="12:38" x14ac:dyDescent="0.25">
      <c r="L396" s="2"/>
      <c r="M396" s="2"/>
      <c r="N396" s="2"/>
      <c r="AD396" s="3"/>
      <c r="AH396" s="3"/>
      <c r="AL396" s="3"/>
    </row>
    <row r="397" spans="12:38" x14ac:dyDescent="0.25">
      <c r="L397" s="2"/>
      <c r="M397" s="2"/>
      <c r="N397" s="2"/>
      <c r="AD397" s="3"/>
      <c r="AH397" s="3"/>
      <c r="AL397" s="3"/>
    </row>
    <row r="398" spans="12:38" x14ac:dyDescent="0.25">
      <c r="L398" s="2"/>
      <c r="M398" s="2"/>
      <c r="N398" s="2"/>
      <c r="AD398" s="3"/>
      <c r="AH398" s="3"/>
      <c r="AL398" s="3"/>
    </row>
    <row r="399" spans="12:38" x14ac:dyDescent="0.25">
      <c r="L399" s="2"/>
      <c r="M399" s="2"/>
      <c r="N399" s="2"/>
      <c r="AD399" s="3"/>
      <c r="AH399" s="3"/>
      <c r="AL399" s="3"/>
    </row>
    <row r="400" spans="12:38" x14ac:dyDescent="0.25">
      <c r="L400" s="2"/>
      <c r="M400" s="2"/>
      <c r="N400" s="2"/>
      <c r="AD400" s="3"/>
      <c r="AH400" s="3"/>
      <c r="AL400" s="3"/>
    </row>
    <row r="401" spans="12:38" x14ac:dyDescent="0.25">
      <c r="L401" s="2"/>
      <c r="M401" s="2"/>
      <c r="N401" s="2"/>
      <c r="AD401" s="3"/>
      <c r="AH401" s="3"/>
      <c r="AL401" s="3"/>
    </row>
    <row r="402" spans="12:38" x14ac:dyDescent="0.25">
      <c r="L402" s="2"/>
      <c r="M402" s="2"/>
      <c r="N402" s="2"/>
      <c r="AD402" s="3"/>
      <c r="AH402" s="3"/>
      <c r="AL402" s="3"/>
    </row>
    <row r="403" spans="12:38" x14ac:dyDescent="0.25">
      <c r="L403" s="2"/>
      <c r="M403" s="2"/>
      <c r="N403" s="2"/>
      <c r="AD403" s="3"/>
      <c r="AH403" s="3"/>
      <c r="AL403" s="3"/>
    </row>
    <row r="404" spans="12:38" x14ac:dyDescent="0.25">
      <c r="L404" s="2"/>
      <c r="M404" s="2"/>
      <c r="N404" s="2"/>
      <c r="AD404" s="3"/>
      <c r="AH404" s="3"/>
      <c r="AL404" s="3"/>
    </row>
    <row r="405" spans="12:38" x14ac:dyDescent="0.25">
      <c r="L405" s="2"/>
      <c r="M405" s="2"/>
      <c r="N405" s="2"/>
      <c r="AD405" s="3"/>
      <c r="AH405" s="3"/>
      <c r="AL405" s="3"/>
    </row>
    <row r="406" spans="12:38" x14ac:dyDescent="0.25">
      <c r="L406" s="2"/>
      <c r="M406" s="2"/>
      <c r="N406" s="2"/>
      <c r="AD406" s="3"/>
      <c r="AH406" s="3"/>
      <c r="AL406" s="3"/>
    </row>
    <row r="407" spans="12:38" x14ac:dyDescent="0.25">
      <c r="L407" s="2"/>
      <c r="M407" s="2"/>
      <c r="N407" s="2"/>
      <c r="AD407" s="3"/>
      <c r="AH407" s="3"/>
      <c r="AL407" s="3"/>
    </row>
    <row r="408" spans="12:38" x14ac:dyDescent="0.25">
      <c r="L408" s="2"/>
      <c r="M408" s="2"/>
      <c r="N408" s="2"/>
      <c r="AD408" s="3"/>
      <c r="AH408" s="3"/>
      <c r="AL408" s="3"/>
    </row>
    <row r="409" spans="12:38" x14ac:dyDescent="0.25">
      <c r="L409" s="2"/>
      <c r="M409" s="2"/>
      <c r="N409" s="2"/>
      <c r="AD409" s="3"/>
      <c r="AH409" s="3"/>
      <c r="AL409" s="3"/>
    </row>
    <row r="410" spans="12:38" x14ac:dyDescent="0.25">
      <c r="L410" s="2"/>
      <c r="M410" s="2"/>
      <c r="N410" s="2"/>
      <c r="AD410" s="3"/>
      <c r="AH410" s="3"/>
      <c r="AL410" s="3"/>
    </row>
    <row r="411" spans="12:38" x14ac:dyDescent="0.25">
      <c r="L411" s="2"/>
      <c r="M411" s="2"/>
      <c r="N411" s="2"/>
      <c r="AD411" s="3"/>
      <c r="AH411" s="3"/>
      <c r="AL411" s="3"/>
    </row>
    <row r="412" spans="12:38" x14ac:dyDescent="0.25">
      <c r="L412" s="2"/>
      <c r="M412" s="2"/>
      <c r="N412" s="2"/>
      <c r="AD412" s="3"/>
      <c r="AH412" s="3"/>
      <c r="AL412" s="3"/>
    </row>
    <row r="413" spans="12:38" x14ac:dyDescent="0.25">
      <c r="L413" s="2"/>
      <c r="M413" s="2"/>
      <c r="N413" s="2"/>
      <c r="AD413" s="3"/>
      <c r="AH413" s="3"/>
      <c r="AL413" s="3"/>
    </row>
    <row r="414" spans="12:38" x14ac:dyDescent="0.25">
      <c r="L414" s="2"/>
      <c r="M414" s="2"/>
      <c r="N414" s="2"/>
      <c r="AD414" s="3"/>
      <c r="AH414" s="3"/>
      <c r="AL414" s="3"/>
    </row>
    <row r="415" spans="12:38" x14ac:dyDescent="0.25">
      <c r="L415" s="2"/>
      <c r="M415" s="2"/>
      <c r="N415" s="2"/>
      <c r="AD415" s="3"/>
      <c r="AH415" s="3"/>
      <c r="AL415" s="3"/>
    </row>
    <row r="416" spans="12:38" x14ac:dyDescent="0.25">
      <c r="L416" s="2"/>
      <c r="M416" s="2"/>
      <c r="N416" s="2"/>
      <c r="AD416" s="3"/>
      <c r="AH416" s="3"/>
      <c r="AL416" s="3"/>
    </row>
    <row r="417" spans="12:38" x14ac:dyDescent="0.25">
      <c r="L417" s="2"/>
      <c r="M417" s="2"/>
      <c r="N417" s="2"/>
      <c r="AD417" s="3"/>
      <c r="AH417" s="3"/>
      <c r="AL417" s="3"/>
    </row>
    <row r="418" spans="12:38" x14ac:dyDescent="0.25">
      <c r="L418" s="2"/>
      <c r="M418" s="2"/>
      <c r="N418" s="2"/>
      <c r="AD418" s="3"/>
      <c r="AH418" s="3"/>
      <c r="AL418" s="3"/>
    </row>
    <row r="419" spans="12:38" x14ac:dyDescent="0.25">
      <c r="L419" s="2"/>
      <c r="M419" s="2"/>
      <c r="N419" s="2"/>
      <c r="AD419" s="3"/>
      <c r="AH419" s="3"/>
      <c r="AL419" s="3"/>
    </row>
    <row r="420" spans="12:38" x14ac:dyDescent="0.25">
      <c r="L420" s="2"/>
      <c r="M420" s="2"/>
      <c r="N420" s="2"/>
      <c r="AD420" s="3"/>
      <c r="AH420" s="3"/>
      <c r="AL420" s="3"/>
    </row>
    <row r="421" spans="12:38" x14ac:dyDescent="0.25">
      <c r="L421" s="2"/>
      <c r="M421" s="2"/>
      <c r="N421" s="2"/>
      <c r="AD421" s="3"/>
      <c r="AH421" s="3"/>
      <c r="AL421" s="3"/>
    </row>
    <row r="422" spans="12:38" x14ac:dyDescent="0.25">
      <c r="L422" s="2"/>
      <c r="M422" s="2"/>
      <c r="N422" s="2"/>
      <c r="AD422" s="3"/>
      <c r="AH422" s="3"/>
      <c r="AL422" s="3"/>
    </row>
    <row r="423" spans="12:38" x14ac:dyDescent="0.25">
      <c r="L423" s="2"/>
      <c r="M423" s="2"/>
      <c r="N423" s="2"/>
      <c r="AD423" s="3"/>
      <c r="AH423" s="3"/>
      <c r="AL423" s="3"/>
    </row>
    <row r="424" spans="12:38" x14ac:dyDescent="0.25">
      <c r="L424" s="2"/>
      <c r="M424" s="2"/>
      <c r="N424" s="2"/>
      <c r="AD424" s="3"/>
      <c r="AH424" s="3"/>
      <c r="AL424" s="3"/>
    </row>
    <row r="425" spans="12:38" x14ac:dyDescent="0.25">
      <c r="L425" s="2"/>
      <c r="M425" s="2"/>
      <c r="N425" s="2"/>
      <c r="AD425" s="3"/>
      <c r="AH425" s="3"/>
      <c r="AL425" s="3"/>
    </row>
    <row r="426" spans="12:38" x14ac:dyDescent="0.25">
      <c r="L426" s="2"/>
      <c r="M426" s="2"/>
      <c r="N426" s="2"/>
      <c r="AD426" s="3"/>
      <c r="AH426" s="3"/>
      <c r="AL426" s="3"/>
    </row>
    <row r="427" spans="12:38" x14ac:dyDescent="0.25">
      <c r="L427" s="2"/>
      <c r="M427" s="2"/>
      <c r="N427" s="2"/>
      <c r="AD427" s="3"/>
      <c r="AH427" s="3"/>
      <c r="AL427" s="3"/>
    </row>
    <row r="428" spans="12:38" x14ac:dyDescent="0.25">
      <c r="L428" s="2"/>
      <c r="M428" s="2"/>
      <c r="N428" s="2"/>
      <c r="AD428" s="3"/>
      <c r="AH428" s="3"/>
      <c r="AL428" s="3"/>
    </row>
    <row r="429" spans="12:38" x14ac:dyDescent="0.25">
      <c r="L429" s="2"/>
      <c r="M429" s="2"/>
      <c r="N429" s="2"/>
      <c r="AD429" s="3"/>
      <c r="AH429" s="3"/>
      <c r="AL429" s="3"/>
    </row>
    <row r="430" spans="12:38" x14ac:dyDescent="0.25">
      <c r="L430" s="2"/>
      <c r="M430" s="2"/>
      <c r="N430" s="2"/>
      <c r="AD430" s="3"/>
      <c r="AH430" s="3"/>
      <c r="AL430" s="3"/>
    </row>
    <row r="431" spans="12:38" x14ac:dyDescent="0.25">
      <c r="L431" s="2"/>
      <c r="M431" s="2"/>
      <c r="N431" s="2"/>
      <c r="AD431" s="3"/>
      <c r="AH431" s="3"/>
      <c r="AL431" s="3"/>
    </row>
    <row r="432" spans="12:38" x14ac:dyDescent="0.25">
      <c r="L432" s="2"/>
      <c r="M432" s="2"/>
      <c r="N432" s="2"/>
      <c r="AD432" s="3"/>
      <c r="AH432" s="3"/>
      <c r="AL432" s="3"/>
    </row>
    <row r="433" spans="12:38" x14ac:dyDescent="0.25">
      <c r="L433" s="2"/>
      <c r="M433" s="2"/>
      <c r="N433" s="2"/>
      <c r="AD433" s="3"/>
      <c r="AH433" s="3"/>
      <c r="AL433" s="3"/>
    </row>
    <row r="434" spans="12:38" x14ac:dyDescent="0.25">
      <c r="L434" s="2"/>
      <c r="M434" s="2"/>
      <c r="N434" s="2"/>
      <c r="AD434" s="3"/>
      <c r="AH434" s="3"/>
      <c r="AL434" s="3"/>
    </row>
    <row r="435" spans="12:38" x14ac:dyDescent="0.25">
      <c r="L435" s="2"/>
      <c r="M435" s="2"/>
      <c r="N435" s="2"/>
      <c r="AD435" s="3"/>
      <c r="AH435" s="3"/>
      <c r="AL435" s="3"/>
    </row>
    <row r="436" spans="12:38" x14ac:dyDescent="0.25">
      <c r="L436" s="2"/>
      <c r="M436" s="2"/>
      <c r="N436" s="2"/>
      <c r="AD436" s="3"/>
      <c r="AH436" s="3"/>
      <c r="AL436" s="3"/>
    </row>
    <row r="437" spans="12:38" x14ac:dyDescent="0.25">
      <c r="L437" s="2"/>
      <c r="M437" s="2"/>
      <c r="N437" s="2"/>
      <c r="AD437" s="3"/>
      <c r="AH437" s="3"/>
      <c r="AL437" s="3"/>
    </row>
    <row r="438" spans="12:38" x14ac:dyDescent="0.25">
      <c r="L438" s="2"/>
      <c r="M438" s="2"/>
      <c r="N438" s="2"/>
      <c r="AD438" s="3"/>
      <c r="AH438" s="3"/>
      <c r="AL438" s="3"/>
    </row>
    <row r="439" spans="12:38" x14ac:dyDescent="0.25">
      <c r="L439" s="2"/>
      <c r="M439" s="2"/>
      <c r="N439" s="2"/>
      <c r="AD439" s="3"/>
      <c r="AH439" s="3"/>
      <c r="AL439" s="3"/>
    </row>
    <row r="440" spans="12:38" x14ac:dyDescent="0.25">
      <c r="L440" s="2"/>
      <c r="M440" s="2"/>
      <c r="N440" s="2"/>
      <c r="AD440" s="3"/>
      <c r="AH440" s="3"/>
      <c r="AL440" s="3"/>
    </row>
    <row r="441" spans="12:38" x14ac:dyDescent="0.25">
      <c r="L441" s="2"/>
      <c r="M441" s="2"/>
      <c r="N441" s="2"/>
      <c r="AD441" s="3"/>
      <c r="AH441" s="3"/>
      <c r="AL441" s="3"/>
    </row>
    <row r="442" spans="12:38" x14ac:dyDescent="0.25">
      <c r="L442" s="2"/>
      <c r="M442" s="2"/>
      <c r="N442" s="2"/>
      <c r="AD442" s="3"/>
      <c r="AH442" s="3"/>
      <c r="AL442" s="3"/>
    </row>
    <row r="443" spans="12:38" x14ac:dyDescent="0.25">
      <c r="L443" s="2"/>
      <c r="M443" s="2"/>
      <c r="N443" s="2"/>
      <c r="AD443" s="3"/>
      <c r="AH443" s="3"/>
      <c r="AL443" s="3"/>
    </row>
    <row r="444" spans="12:38" x14ac:dyDescent="0.25">
      <c r="L444" s="2"/>
      <c r="M444" s="2"/>
      <c r="N444" s="2"/>
      <c r="AD444" s="3"/>
      <c r="AH444" s="3"/>
      <c r="AL444" s="3"/>
    </row>
    <row r="445" spans="12:38" x14ac:dyDescent="0.25">
      <c r="L445" s="2"/>
      <c r="M445" s="2"/>
      <c r="N445" s="2"/>
      <c r="AD445" s="3"/>
      <c r="AH445" s="3"/>
      <c r="AL445" s="3"/>
    </row>
    <row r="446" spans="12:38" x14ac:dyDescent="0.25">
      <c r="L446" s="2"/>
      <c r="M446" s="2"/>
      <c r="N446" s="2"/>
      <c r="AD446" s="3"/>
      <c r="AH446" s="3"/>
      <c r="AL446" s="3"/>
    </row>
    <row r="447" spans="12:38" x14ac:dyDescent="0.25">
      <c r="L447" s="2"/>
      <c r="M447" s="2"/>
      <c r="N447" s="2"/>
      <c r="AD447" s="3"/>
      <c r="AH447" s="3"/>
      <c r="AL447" s="3"/>
    </row>
    <row r="448" spans="12:38" x14ac:dyDescent="0.25">
      <c r="L448" s="2"/>
      <c r="M448" s="2"/>
      <c r="N448" s="2"/>
      <c r="AD448" s="3"/>
      <c r="AH448" s="3"/>
      <c r="AL448" s="3"/>
    </row>
    <row r="449" spans="12:38" x14ac:dyDescent="0.25">
      <c r="L449" s="2"/>
      <c r="M449" s="2"/>
      <c r="N449" s="2"/>
      <c r="AD449" s="3"/>
      <c r="AH449" s="3"/>
      <c r="AL449" s="3"/>
    </row>
    <row r="450" spans="12:38" x14ac:dyDescent="0.25">
      <c r="L450" s="2"/>
      <c r="M450" s="2"/>
      <c r="N450" s="2"/>
      <c r="AD450" s="3"/>
      <c r="AH450" s="3"/>
      <c r="AL450" s="3"/>
    </row>
    <row r="451" spans="12:38" x14ac:dyDescent="0.25">
      <c r="L451" s="2"/>
      <c r="M451" s="2"/>
      <c r="N451" s="2"/>
      <c r="AD451" s="3"/>
      <c r="AH451" s="3"/>
      <c r="AL451" s="3"/>
    </row>
    <row r="452" spans="12:38" x14ac:dyDescent="0.25">
      <c r="L452" s="2"/>
      <c r="M452" s="2"/>
      <c r="N452" s="2"/>
      <c r="AD452" s="3"/>
      <c r="AH452" s="3"/>
      <c r="AL452" s="3"/>
    </row>
    <row r="453" spans="12:38" x14ac:dyDescent="0.25">
      <c r="L453" s="2"/>
      <c r="M453" s="2"/>
      <c r="N453" s="2"/>
      <c r="AD453" s="3"/>
      <c r="AH453" s="3"/>
      <c r="AL453" s="3"/>
    </row>
    <row r="454" spans="12:38" x14ac:dyDescent="0.25">
      <c r="L454" s="2"/>
      <c r="M454" s="2"/>
      <c r="N454" s="2"/>
      <c r="AD454" s="3"/>
      <c r="AH454" s="3"/>
      <c r="AL454" s="3"/>
    </row>
    <row r="455" spans="12:38" x14ac:dyDescent="0.25">
      <c r="L455" s="2"/>
      <c r="M455" s="2"/>
      <c r="N455" s="2"/>
      <c r="AD455" s="3"/>
      <c r="AH455" s="3"/>
      <c r="AL455" s="3"/>
    </row>
    <row r="456" spans="12:38" x14ac:dyDescent="0.25">
      <c r="L456" s="2"/>
      <c r="M456" s="2"/>
      <c r="N456" s="2"/>
      <c r="AD456" s="3"/>
      <c r="AH456" s="3"/>
      <c r="AL456" s="3"/>
    </row>
    <row r="457" spans="12:38" x14ac:dyDescent="0.25">
      <c r="L457" s="2"/>
      <c r="M457" s="2"/>
      <c r="N457" s="2"/>
      <c r="AD457" s="3"/>
      <c r="AH457" s="3"/>
      <c r="AL457" s="3"/>
    </row>
    <row r="458" spans="12:38" x14ac:dyDescent="0.25">
      <c r="L458" s="2"/>
      <c r="M458" s="2"/>
      <c r="N458" s="2"/>
      <c r="AD458" s="3"/>
      <c r="AH458" s="3"/>
      <c r="AL458" s="3"/>
    </row>
    <row r="459" spans="12:38" x14ac:dyDescent="0.25">
      <c r="L459" s="2"/>
      <c r="M459" s="2"/>
      <c r="N459" s="2"/>
      <c r="AD459" s="3"/>
      <c r="AH459" s="3"/>
      <c r="AL459" s="3"/>
    </row>
    <row r="460" spans="12:38" x14ac:dyDescent="0.25">
      <c r="L460" s="2"/>
      <c r="M460" s="2"/>
      <c r="N460" s="2"/>
      <c r="AD460" s="3"/>
      <c r="AH460" s="3"/>
      <c r="AL460" s="3"/>
    </row>
    <row r="461" spans="12:38" x14ac:dyDescent="0.25">
      <c r="L461" s="2"/>
      <c r="M461" s="2"/>
      <c r="N461" s="2"/>
      <c r="AD461" s="3"/>
      <c r="AH461" s="3"/>
      <c r="AL461" s="3"/>
    </row>
    <row r="462" spans="12:38" x14ac:dyDescent="0.25">
      <c r="L462" s="2"/>
      <c r="M462" s="2"/>
      <c r="N462" s="2"/>
      <c r="AD462" s="3"/>
      <c r="AH462" s="3"/>
      <c r="AL462" s="3"/>
    </row>
    <row r="463" spans="12:38" x14ac:dyDescent="0.25">
      <c r="L463" s="2"/>
      <c r="M463" s="2"/>
      <c r="N463" s="2"/>
      <c r="AD463" s="3"/>
      <c r="AH463" s="3"/>
      <c r="AL463" s="3"/>
    </row>
    <row r="464" spans="12:38" x14ac:dyDescent="0.25">
      <c r="L464" s="2"/>
      <c r="M464" s="2"/>
      <c r="N464" s="2"/>
      <c r="AD464" s="3"/>
      <c r="AH464" s="3"/>
      <c r="AL464" s="3"/>
    </row>
    <row r="465" spans="12:38" x14ac:dyDescent="0.25">
      <c r="L465" s="2"/>
      <c r="M465" s="2"/>
      <c r="N465" s="2"/>
      <c r="AD465" s="3"/>
      <c r="AH465" s="3"/>
      <c r="AL465" s="3"/>
    </row>
    <row r="466" spans="12:38" x14ac:dyDescent="0.25">
      <c r="L466" s="2"/>
      <c r="M466" s="2"/>
      <c r="N466" s="2"/>
      <c r="AD466" s="3"/>
      <c r="AH466" s="3"/>
      <c r="AL466" s="3"/>
    </row>
    <row r="467" spans="12:38" x14ac:dyDescent="0.25">
      <c r="L467" s="2"/>
      <c r="M467" s="2"/>
      <c r="N467" s="2"/>
      <c r="AD467" s="3"/>
      <c r="AH467" s="3"/>
      <c r="AL467" s="3"/>
    </row>
    <row r="468" spans="12:38" x14ac:dyDescent="0.25">
      <c r="L468" s="2"/>
      <c r="M468" s="2"/>
      <c r="N468" s="2"/>
      <c r="AD468" s="3"/>
      <c r="AH468" s="3"/>
      <c r="AL468" s="3"/>
    </row>
    <row r="469" spans="12:38" x14ac:dyDescent="0.25">
      <c r="L469" s="2"/>
      <c r="M469" s="2"/>
      <c r="N469" s="2"/>
      <c r="AD469" s="3"/>
      <c r="AH469" s="3"/>
      <c r="AL469" s="3"/>
    </row>
    <row r="470" spans="12:38" x14ac:dyDescent="0.25">
      <c r="L470" s="2"/>
      <c r="M470" s="2"/>
      <c r="N470" s="2"/>
      <c r="AD470" s="3"/>
      <c r="AH470" s="3"/>
      <c r="AL470" s="3"/>
    </row>
    <row r="471" spans="12:38" x14ac:dyDescent="0.25">
      <c r="L471" s="2"/>
      <c r="M471" s="2"/>
      <c r="N471" s="2"/>
      <c r="AD471" s="3"/>
      <c r="AH471" s="3"/>
      <c r="AL471" s="3"/>
    </row>
    <row r="472" spans="12:38" x14ac:dyDescent="0.25">
      <c r="L472" s="2"/>
      <c r="M472" s="2"/>
      <c r="N472" s="2"/>
      <c r="AD472" s="3"/>
      <c r="AH472" s="3"/>
      <c r="AL472" s="3"/>
    </row>
    <row r="473" spans="12:38" x14ac:dyDescent="0.25">
      <c r="L473" s="2"/>
      <c r="M473" s="2"/>
      <c r="N473" s="2"/>
      <c r="AD473" s="3"/>
      <c r="AH473" s="3"/>
      <c r="AL473" s="3"/>
    </row>
    <row r="474" spans="12:38" x14ac:dyDescent="0.25">
      <c r="L474" s="2"/>
      <c r="M474" s="2"/>
      <c r="N474" s="2"/>
      <c r="AD474" s="3"/>
      <c r="AH474" s="3"/>
      <c r="AL474" s="3"/>
    </row>
    <row r="475" spans="12:38" x14ac:dyDescent="0.25">
      <c r="L475" s="2"/>
      <c r="M475" s="2"/>
      <c r="N475" s="2"/>
      <c r="AD475" s="3"/>
      <c r="AH475" s="3"/>
      <c r="AL475" s="3"/>
    </row>
    <row r="476" spans="12:38" x14ac:dyDescent="0.25">
      <c r="L476" s="2"/>
      <c r="M476" s="2"/>
      <c r="N476" s="2"/>
      <c r="AD476" s="3"/>
      <c r="AH476" s="3"/>
      <c r="AL476" s="3"/>
    </row>
    <row r="477" spans="12:38" x14ac:dyDescent="0.25">
      <c r="L477" s="2"/>
      <c r="M477" s="2"/>
      <c r="N477" s="2"/>
      <c r="AD477" s="3"/>
      <c r="AH477" s="3"/>
      <c r="AL477" s="3"/>
    </row>
    <row r="478" spans="12:38" x14ac:dyDescent="0.25">
      <c r="L478" s="2"/>
      <c r="M478" s="2"/>
      <c r="N478" s="2"/>
      <c r="AD478" s="3"/>
      <c r="AH478" s="3"/>
      <c r="AL478" s="3"/>
    </row>
    <row r="479" spans="12:38" x14ac:dyDescent="0.25">
      <c r="L479" s="2"/>
      <c r="M479" s="2"/>
      <c r="N479" s="2"/>
      <c r="AD479" s="3"/>
      <c r="AH479" s="3"/>
      <c r="AL479" s="3"/>
    </row>
    <row r="480" spans="12:38" x14ac:dyDescent="0.25">
      <c r="L480" s="2"/>
      <c r="M480" s="2"/>
      <c r="N480" s="2"/>
      <c r="AD480" s="3"/>
      <c r="AH480" s="3"/>
      <c r="AL480" s="3"/>
    </row>
    <row r="481" spans="12:38" x14ac:dyDescent="0.25">
      <c r="L481" s="2"/>
      <c r="M481" s="2"/>
      <c r="N481" s="2"/>
      <c r="AD481" s="3"/>
      <c r="AH481" s="3"/>
      <c r="AL481" s="3"/>
    </row>
    <row r="482" spans="12:38" x14ac:dyDescent="0.25">
      <c r="L482" s="2"/>
      <c r="M482" s="2"/>
      <c r="N482" s="2"/>
      <c r="AD482" s="3"/>
      <c r="AH482" s="3"/>
      <c r="AL482" s="3"/>
    </row>
    <row r="483" spans="12:38" x14ac:dyDescent="0.25">
      <c r="L483" s="2"/>
      <c r="M483" s="2"/>
      <c r="N483" s="2"/>
      <c r="AD483" s="3"/>
      <c r="AH483" s="3"/>
      <c r="AL483" s="3"/>
    </row>
    <row r="484" spans="12:38" x14ac:dyDescent="0.25">
      <c r="L484" s="2"/>
      <c r="M484" s="2"/>
      <c r="N484" s="2"/>
      <c r="AD484" s="3"/>
      <c r="AH484" s="3"/>
      <c r="AL484" s="3"/>
    </row>
    <row r="485" spans="12:38" x14ac:dyDescent="0.25">
      <c r="L485" s="2"/>
      <c r="M485" s="2"/>
      <c r="N485" s="2"/>
      <c r="AD485" s="3"/>
      <c r="AH485" s="3"/>
      <c r="AL485" s="3"/>
    </row>
    <row r="486" spans="12:38" x14ac:dyDescent="0.25">
      <c r="L486" s="2"/>
      <c r="M486" s="2"/>
      <c r="N486" s="2"/>
      <c r="AD486" s="3"/>
      <c r="AH486" s="3"/>
      <c r="AL486" s="3"/>
    </row>
    <row r="487" spans="12:38" x14ac:dyDescent="0.25">
      <c r="L487" s="2"/>
      <c r="M487" s="2"/>
      <c r="N487" s="2"/>
      <c r="AD487" s="3"/>
      <c r="AH487" s="3"/>
      <c r="AL487" s="3"/>
    </row>
    <row r="488" spans="12:38" x14ac:dyDescent="0.25">
      <c r="L488" s="2"/>
      <c r="M488" s="2"/>
      <c r="N488" s="2"/>
      <c r="AD488" s="3"/>
      <c r="AH488" s="3"/>
      <c r="AL488" s="3"/>
    </row>
    <row r="489" spans="12:38" x14ac:dyDescent="0.25">
      <c r="L489" s="2"/>
      <c r="M489" s="2"/>
      <c r="N489" s="2"/>
      <c r="AD489" s="3"/>
      <c r="AH489" s="3"/>
      <c r="AL489" s="3"/>
    </row>
    <row r="490" spans="12:38" x14ac:dyDescent="0.25">
      <c r="L490" s="2"/>
      <c r="M490" s="2"/>
      <c r="N490" s="2"/>
      <c r="AD490" s="3"/>
      <c r="AH490" s="3"/>
      <c r="AL490" s="3"/>
    </row>
    <row r="491" spans="12:38" x14ac:dyDescent="0.25">
      <c r="L491" s="2"/>
      <c r="M491" s="2"/>
      <c r="N491" s="2"/>
      <c r="AD491" s="3"/>
      <c r="AH491" s="3"/>
      <c r="AL491" s="3"/>
    </row>
    <row r="492" spans="12:38" x14ac:dyDescent="0.25">
      <c r="L492" s="2"/>
      <c r="M492" s="2"/>
      <c r="N492" s="2"/>
      <c r="AD492" s="3"/>
      <c r="AH492" s="3"/>
      <c r="AL492" s="3"/>
    </row>
    <row r="493" spans="12:38" x14ac:dyDescent="0.25">
      <c r="L493" s="2"/>
      <c r="M493" s="2"/>
      <c r="N493" s="2"/>
      <c r="AD493" s="3"/>
      <c r="AH493" s="3"/>
      <c r="AL493" s="3"/>
    </row>
    <row r="494" spans="12:38" x14ac:dyDescent="0.25">
      <c r="L494" s="2"/>
      <c r="M494" s="2"/>
      <c r="N494" s="2"/>
      <c r="AD494" s="3"/>
      <c r="AH494" s="3"/>
      <c r="AL494" s="3"/>
    </row>
    <row r="495" spans="12:38" x14ac:dyDescent="0.25">
      <c r="L495" s="2"/>
      <c r="M495" s="2"/>
      <c r="N495" s="2"/>
      <c r="AD495" s="3"/>
      <c r="AH495" s="3"/>
      <c r="AL495" s="3"/>
    </row>
    <row r="496" spans="12:38" x14ac:dyDescent="0.25">
      <c r="L496" s="2"/>
      <c r="M496" s="2"/>
      <c r="N496" s="2"/>
      <c r="AD496" s="3"/>
      <c r="AH496" s="3"/>
      <c r="AL496" s="3"/>
    </row>
    <row r="497" spans="12:38" x14ac:dyDescent="0.25">
      <c r="L497" s="2"/>
      <c r="M497" s="2"/>
      <c r="N497" s="2"/>
      <c r="AD497" s="3"/>
      <c r="AH497" s="3"/>
      <c r="AL497" s="3"/>
    </row>
    <row r="498" spans="12:38" x14ac:dyDescent="0.25">
      <c r="L498" s="2"/>
      <c r="M498" s="2"/>
      <c r="N498" s="2"/>
      <c r="AD498" s="3"/>
      <c r="AH498" s="3"/>
      <c r="AL498" s="3"/>
    </row>
    <row r="499" spans="12:38" x14ac:dyDescent="0.25">
      <c r="L499" s="2"/>
      <c r="M499" s="2"/>
      <c r="N499" s="2"/>
      <c r="AD499" s="3"/>
      <c r="AH499" s="3"/>
      <c r="AL499" s="3"/>
    </row>
    <row r="500" spans="12:38" x14ac:dyDescent="0.25">
      <c r="L500" s="2"/>
      <c r="M500" s="2"/>
      <c r="N500" s="2"/>
      <c r="AD500" s="3"/>
      <c r="AH500" s="3"/>
      <c r="AL500" s="3"/>
    </row>
    <row r="501" spans="12:38" x14ac:dyDescent="0.25">
      <c r="L501" s="2"/>
      <c r="M501" s="2"/>
      <c r="N501" s="2"/>
      <c r="AD501" s="3"/>
      <c r="AH501" s="3"/>
      <c r="AL501" s="3"/>
    </row>
    <row r="502" spans="12:38" x14ac:dyDescent="0.25">
      <c r="L502" s="2"/>
      <c r="M502" s="2"/>
      <c r="N502" s="2"/>
      <c r="AD502" s="3"/>
      <c r="AH502" s="3"/>
      <c r="AL502" s="3"/>
    </row>
    <row r="503" spans="12:38" x14ac:dyDescent="0.25">
      <c r="L503" s="2"/>
      <c r="M503" s="2"/>
      <c r="N503" s="2"/>
      <c r="AD503" s="3"/>
      <c r="AH503" s="3"/>
      <c r="AL503" s="3"/>
    </row>
    <row r="504" spans="12:38" x14ac:dyDescent="0.25">
      <c r="L504" s="2"/>
      <c r="M504" s="2"/>
      <c r="N504" s="2"/>
      <c r="AD504" s="3"/>
      <c r="AH504" s="3"/>
      <c r="AL504" s="3"/>
    </row>
    <row r="505" spans="12:38" x14ac:dyDescent="0.25">
      <c r="L505" s="2"/>
      <c r="M505" s="2"/>
      <c r="N505" s="2"/>
      <c r="AD505" s="3"/>
      <c r="AH505" s="3"/>
      <c r="AL505" s="3"/>
    </row>
    <row r="506" spans="12:38" x14ac:dyDescent="0.25">
      <c r="L506" s="2"/>
      <c r="M506" s="2"/>
      <c r="N506" s="2"/>
      <c r="AD506" s="3"/>
      <c r="AH506" s="3"/>
      <c r="AL506" s="3"/>
    </row>
    <row r="507" spans="12:38" x14ac:dyDescent="0.25">
      <c r="L507" s="2"/>
      <c r="M507" s="2"/>
      <c r="N507" s="2"/>
      <c r="AD507" s="3"/>
      <c r="AH507" s="3"/>
      <c r="AL507" s="3"/>
    </row>
    <row r="508" spans="12:38" x14ac:dyDescent="0.25">
      <c r="L508" s="2"/>
      <c r="M508" s="2"/>
      <c r="N508" s="2"/>
      <c r="AD508" s="3"/>
      <c r="AH508" s="3"/>
      <c r="AL508" s="3"/>
    </row>
    <row r="509" spans="12:38" x14ac:dyDescent="0.25">
      <c r="L509" s="2"/>
      <c r="M509" s="2"/>
      <c r="N509" s="2"/>
      <c r="AD509" s="3"/>
      <c r="AH509" s="3"/>
      <c r="AL509" s="3"/>
    </row>
    <row r="510" spans="12:38" x14ac:dyDescent="0.25">
      <c r="L510" s="2"/>
      <c r="M510" s="2"/>
      <c r="N510" s="2"/>
      <c r="AD510" s="3"/>
      <c r="AH510" s="3"/>
      <c r="AL510" s="3"/>
    </row>
    <row r="511" spans="12:38" x14ac:dyDescent="0.25">
      <c r="L511" s="2"/>
      <c r="M511" s="2"/>
      <c r="N511" s="2"/>
      <c r="AD511" s="3"/>
      <c r="AH511" s="3"/>
      <c r="AL511" s="3"/>
    </row>
    <row r="512" spans="12:38" x14ac:dyDescent="0.25">
      <c r="L512" s="2"/>
      <c r="M512" s="2"/>
      <c r="N512" s="2"/>
      <c r="AD512" s="3"/>
      <c r="AH512" s="3"/>
      <c r="AL512" s="3"/>
    </row>
    <row r="513" spans="12:38" x14ac:dyDescent="0.25">
      <c r="L513" s="2"/>
      <c r="M513" s="2"/>
      <c r="N513" s="2"/>
      <c r="AD513" s="3"/>
      <c r="AH513" s="3"/>
      <c r="AL513" s="3"/>
    </row>
    <row r="514" spans="12:38" x14ac:dyDescent="0.25">
      <c r="L514" s="2"/>
      <c r="M514" s="2"/>
      <c r="N514" s="2"/>
      <c r="AD514" s="3"/>
      <c r="AH514" s="3"/>
      <c r="AL514" s="3"/>
    </row>
    <row r="515" spans="12:38" x14ac:dyDescent="0.25">
      <c r="L515" s="2"/>
      <c r="M515" s="2"/>
      <c r="N515" s="2"/>
      <c r="AD515" s="3"/>
      <c r="AH515" s="3"/>
      <c r="AL515" s="3"/>
    </row>
    <row r="516" spans="12:38" x14ac:dyDescent="0.25">
      <c r="L516" s="2"/>
      <c r="M516" s="2"/>
      <c r="N516" s="2"/>
      <c r="AD516" s="3"/>
      <c r="AH516" s="3"/>
      <c r="AL516" s="3"/>
    </row>
    <row r="517" spans="12:38" x14ac:dyDescent="0.25">
      <c r="L517" s="2"/>
      <c r="M517" s="2"/>
      <c r="N517" s="2"/>
      <c r="AD517" s="3"/>
      <c r="AH517" s="3"/>
      <c r="AL517" s="3"/>
    </row>
    <row r="518" spans="12:38" x14ac:dyDescent="0.25">
      <c r="L518" s="2"/>
      <c r="M518" s="2"/>
      <c r="N518" s="2"/>
      <c r="AD518" s="3"/>
      <c r="AH518" s="3"/>
      <c r="AL518" s="3"/>
    </row>
    <row r="519" spans="12:38" x14ac:dyDescent="0.25">
      <c r="L519" s="2"/>
      <c r="M519" s="2"/>
      <c r="N519" s="2"/>
      <c r="AD519" s="3"/>
      <c r="AH519" s="3"/>
      <c r="AL519" s="3"/>
    </row>
    <row r="520" spans="12:38" x14ac:dyDescent="0.25">
      <c r="L520" s="2"/>
      <c r="M520" s="2"/>
      <c r="N520" s="2"/>
      <c r="AD520" s="3"/>
      <c r="AH520" s="3"/>
      <c r="AL520" s="3"/>
    </row>
    <row r="521" spans="12:38" x14ac:dyDescent="0.25">
      <c r="L521" s="2"/>
      <c r="M521" s="2"/>
      <c r="N521" s="2"/>
      <c r="AD521" s="3"/>
      <c r="AH521" s="3"/>
      <c r="AL521" s="3"/>
    </row>
    <row r="522" spans="12:38" x14ac:dyDescent="0.25">
      <c r="L522" s="2"/>
      <c r="M522" s="2"/>
      <c r="N522" s="2"/>
      <c r="AD522" s="3"/>
      <c r="AH522" s="3"/>
      <c r="AL522" s="3"/>
    </row>
    <row r="523" spans="12:38" x14ac:dyDescent="0.25">
      <c r="L523" s="2"/>
      <c r="M523" s="2"/>
      <c r="N523" s="2"/>
      <c r="AD523" s="3"/>
      <c r="AH523" s="3"/>
      <c r="AL523" s="3"/>
    </row>
    <row r="524" spans="12:38" x14ac:dyDescent="0.25">
      <c r="L524" s="2"/>
      <c r="M524" s="2"/>
      <c r="N524" s="2"/>
      <c r="AD524" s="3"/>
      <c r="AH524" s="3"/>
      <c r="AL524" s="3"/>
    </row>
    <row r="525" spans="12:38" x14ac:dyDescent="0.25">
      <c r="L525" s="2"/>
      <c r="M525" s="2"/>
      <c r="N525" s="2"/>
      <c r="AD525" s="3"/>
      <c r="AH525" s="3"/>
      <c r="AL525" s="3"/>
    </row>
    <row r="526" spans="12:38" x14ac:dyDescent="0.25">
      <c r="L526" s="2"/>
      <c r="M526" s="2"/>
      <c r="N526" s="2"/>
      <c r="AD526" s="3"/>
      <c r="AH526" s="3"/>
      <c r="AL526" s="3"/>
    </row>
    <row r="527" spans="12:38" x14ac:dyDescent="0.25">
      <c r="L527" s="2"/>
      <c r="M527" s="2"/>
      <c r="N527" s="2"/>
      <c r="AD527" s="3"/>
      <c r="AH527" s="3"/>
      <c r="AL527" s="3"/>
    </row>
    <row r="528" spans="12:38" x14ac:dyDescent="0.25">
      <c r="L528" s="2"/>
      <c r="M528" s="2"/>
      <c r="N528" s="2"/>
      <c r="AD528" s="3"/>
      <c r="AH528" s="3"/>
      <c r="AL528" s="3"/>
    </row>
    <row r="529" spans="12:38" x14ac:dyDescent="0.25">
      <c r="L529" s="2"/>
      <c r="M529" s="2"/>
      <c r="N529" s="2"/>
      <c r="AD529" s="3"/>
      <c r="AH529" s="3"/>
      <c r="AL529" s="3"/>
    </row>
    <row r="530" spans="12:38" x14ac:dyDescent="0.25">
      <c r="L530" s="2"/>
      <c r="M530" s="2"/>
      <c r="N530" s="2"/>
      <c r="AD530" s="3"/>
      <c r="AH530" s="3"/>
      <c r="AL530" s="3"/>
    </row>
    <row r="531" spans="12:38" x14ac:dyDescent="0.25">
      <c r="L531" s="2"/>
      <c r="M531" s="2"/>
      <c r="N531" s="2"/>
      <c r="AD531" s="3"/>
      <c r="AH531" s="3"/>
      <c r="AL531" s="3"/>
    </row>
    <row r="532" spans="12:38" x14ac:dyDescent="0.25">
      <c r="L532" s="2"/>
      <c r="M532" s="2"/>
      <c r="N532" s="2"/>
      <c r="AD532" s="3"/>
      <c r="AH532" s="3"/>
      <c r="AL532" s="3"/>
    </row>
    <row r="533" spans="12:38" x14ac:dyDescent="0.25">
      <c r="L533" s="2"/>
      <c r="M533" s="2"/>
      <c r="N533" s="2"/>
      <c r="AD533" s="3"/>
      <c r="AH533" s="3"/>
      <c r="AL533" s="3"/>
    </row>
    <row r="534" spans="12:38" x14ac:dyDescent="0.25">
      <c r="L534" s="2"/>
      <c r="M534" s="2"/>
      <c r="N534" s="2"/>
      <c r="AD534" s="3"/>
      <c r="AH534" s="3"/>
      <c r="AL534" s="3"/>
    </row>
    <row r="535" spans="12:38" x14ac:dyDescent="0.25">
      <c r="L535" s="2"/>
      <c r="M535" s="2"/>
      <c r="N535" s="2"/>
      <c r="AD535" s="3"/>
      <c r="AH535" s="3"/>
      <c r="AL535" s="3"/>
    </row>
    <row r="536" spans="12:38" x14ac:dyDescent="0.25">
      <c r="L536" s="2"/>
      <c r="M536" s="2"/>
      <c r="N536" s="2"/>
      <c r="AD536" s="3"/>
      <c r="AH536" s="3"/>
      <c r="AL536" s="3"/>
    </row>
    <row r="537" spans="12:38" x14ac:dyDescent="0.25">
      <c r="L537" s="2"/>
      <c r="M537" s="2"/>
      <c r="N537" s="2"/>
      <c r="AD537" s="3"/>
      <c r="AH537" s="3"/>
      <c r="AL537" s="3"/>
    </row>
    <row r="538" spans="12:38" x14ac:dyDescent="0.25">
      <c r="L538" s="2"/>
      <c r="M538" s="2"/>
      <c r="N538" s="2"/>
      <c r="AD538" s="3"/>
      <c r="AH538" s="3"/>
      <c r="AL538" s="3"/>
    </row>
    <row r="539" spans="12:38" x14ac:dyDescent="0.25">
      <c r="L539" s="2"/>
      <c r="M539" s="2"/>
      <c r="N539" s="2"/>
      <c r="AD539" s="3"/>
      <c r="AH539" s="3"/>
      <c r="AL539" s="3"/>
    </row>
    <row r="540" spans="12:38" x14ac:dyDescent="0.25">
      <c r="L540" s="2"/>
      <c r="M540" s="2"/>
      <c r="N540" s="2"/>
      <c r="AD540" s="3"/>
      <c r="AH540" s="3"/>
      <c r="AL540" s="3"/>
    </row>
    <row r="541" spans="12:38" x14ac:dyDescent="0.25">
      <c r="L541" s="2"/>
      <c r="M541" s="2"/>
      <c r="N541" s="2"/>
      <c r="AD541" s="3"/>
      <c r="AH541" s="3"/>
      <c r="AL541" s="3"/>
    </row>
    <row r="542" spans="12:38" x14ac:dyDescent="0.25">
      <c r="L542" s="2"/>
      <c r="M542" s="2"/>
      <c r="N542" s="2"/>
      <c r="AD542" s="3"/>
      <c r="AH542" s="3"/>
      <c r="AL542" s="3"/>
    </row>
    <row r="543" spans="12:38" x14ac:dyDescent="0.25">
      <c r="L543" s="2"/>
      <c r="M543" s="2"/>
      <c r="N543" s="2"/>
      <c r="AD543" s="3"/>
      <c r="AH543" s="3"/>
      <c r="AL543" s="3"/>
    </row>
    <row r="544" spans="12:38" x14ac:dyDescent="0.25">
      <c r="L544" s="2"/>
      <c r="M544" s="2"/>
      <c r="N544" s="2"/>
      <c r="AD544" s="3"/>
      <c r="AH544" s="3"/>
      <c r="AL544" s="3"/>
    </row>
    <row r="545" spans="12:38" x14ac:dyDescent="0.25">
      <c r="L545" s="2"/>
      <c r="M545" s="2"/>
      <c r="N545" s="2"/>
      <c r="AD545" s="3"/>
      <c r="AH545" s="3"/>
      <c r="AL545" s="3"/>
    </row>
    <row r="546" spans="12:38" x14ac:dyDescent="0.25">
      <c r="L546" s="2"/>
      <c r="M546" s="2"/>
      <c r="N546" s="2"/>
      <c r="AD546" s="3"/>
      <c r="AH546" s="3"/>
      <c r="AL546" s="3"/>
    </row>
    <row r="547" spans="12:38" x14ac:dyDescent="0.25">
      <c r="L547" s="2"/>
      <c r="M547" s="2"/>
      <c r="N547" s="2"/>
      <c r="AD547" s="3"/>
      <c r="AH547" s="3"/>
      <c r="AL547" s="3"/>
    </row>
    <row r="548" spans="12:38" x14ac:dyDescent="0.25">
      <c r="L548" s="2"/>
      <c r="M548" s="2"/>
      <c r="N548" s="2"/>
      <c r="AD548" s="3"/>
      <c r="AH548" s="3"/>
      <c r="AL548" s="3"/>
    </row>
    <row r="549" spans="12:38" x14ac:dyDescent="0.25">
      <c r="L549" s="2"/>
      <c r="M549" s="2"/>
      <c r="N549" s="2"/>
      <c r="AD549" s="3"/>
      <c r="AH549" s="3"/>
      <c r="AL549" s="3"/>
    </row>
    <row r="550" spans="12:38" x14ac:dyDescent="0.25">
      <c r="L550" s="2"/>
      <c r="M550" s="2"/>
      <c r="N550" s="2"/>
      <c r="AD550" s="3"/>
      <c r="AH550" s="3"/>
      <c r="AL550" s="3"/>
    </row>
    <row r="551" spans="12:38" x14ac:dyDescent="0.25">
      <c r="L551" s="2"/>
      <c r="M551" s="2"/>
      <c r="N551" s="2"/>
      <c r="AD551" s="3"/>
      <c r="AH551" s="3"/>
      <c r="AL551" s="3"/>
    </row>
    <row r="552" spans="12:38" x14ac:dyDescent="0.25">
      <c r="L552" s="2"/>
      <c r="M552" s="2"/>
      <c r="N552" s="2"/>
      <c r="AD552" s="3"/>
      <c r="AH552" s="3"/>
      <c r="AL552" s="3"/>
    </row>
    <row r="553" spans="12:38" x14ac:dyDescent="0.25">
      <c r="L553" s="2"/>
      <c r="M553" s="2"/>
      <c r="N553" s="2"/>
      <c r="AD553" s="3"/>
      <c r="AH553" s="3"/>
      <c r="AL553" s="3"/>
    </row>
    <row r="554" spans="12:38" x14ac:dyDescent="0.25">
      <c r="L554" s="2"/>
      <c r="M554" s="2"/>
      <c r="N554" s="2"/>
      <c r="AD554" s="3"/>
      <c r="AH554" s="3"/>
      <c r="AL554" s="3"/>
    </row>
    <row r="555" spans="12:38" x14ac:dyDescent="0.25">
      <c r="L555" s="2"/>
      <c r="M555" s="2"/>
      <c r="N555" s="2"/>
      <c r="AD555" s="3"/>
      <c r="AH555" s="3"/>
      <c r="AL555" s="3"/>
    </row>
    <row r="556" spans="12:38" x14ac:dyDescent="0.25">
      <c r="L556" s="2"/>
      <c r="M556" s="2"/>
      <c r="N556" s="2"/>
      <c r="AD556" s="3"/>
      <c r="AH556" s="3"/>
      <c r="AL556" s="3"/>
    </row>
    <row r="557" spans="12:38" x14ac:dyDescent="0.25">
      <c r="L557" s="2"/>
      <c r="M557" s="2"/>
      <c r="N557" s="2"/>
      <c r="AD557" s="3"/>
      <c r="AH557" s="3"/>
      <c r="AL557" s="3"/>
    </row>
    <row r="558" spans="12:38" x14ac:dyDescent="0.25">
      <c r="L558" s="2"/>
      <c r="M558" s="2"/>
      <c r="N558" s="2"/>
      <c r="AD558" s="3"/>
      <c r="AH558" s="3"/>
      <c r="AL558" s="3"/>
    </row>
    <row r="559" spans="12:38" x14ac:dyDescent="0.25">
      <c r="L559" s="2"/>
      <c r="M559" s="2"/>
      <c r="N559" s="2"/>
      <c r="AD559" s="3"/>
      <c r="AH559" s="3"/>
      <c r="AL559" s="3"/>
    </row>
    <row r="560" spans="12:38" x14ac:dyDescent="0.25">
      <c r="L560" s="2"/>
      <c r="M560" s="2"/>
      <c r="N560" s="2"/>
      <c r="AD560" s="3"/>
      <c r="AH560" s="3"/>
      <c r="AL560" s="3"/>
    </row>
    <row r="561" spans="12:38" x14ac:dyDescent="0.25">
      <c r="L561" s="2"/>
      <c r="M561" s="2"/>
      <c r="N561" s="2"/>
      <c r="AD561" s="3"/>
      <c r="AH561" s="3"/>
      <c r="AL561" s="3"/>
    </row>
    <row r="562" spans="12:38" x14ac:dyDescent="0.25">
      <c r="L562" s="2"/>
      <c r="M562" s="2"/>
      <c r="N562" s="2"/>
      <c r="AD562" s="3"/>
      <c r="AH562" s="3"/>
      <c r="AL562" s="3"/>
    </row>
    <row r="563" spans="12:38" x14ac:dyDescent="0.25">
      <c r="L563" s="2"/>
      <c r="M563" s="2"/>
      <c r="N563" s="2"/>
      <c r="AD563" s="3"/>
      <c r="AH563" s="3"/>
      <c r="AL563" s="3"/>
    </row>
    <row r="564" spans="12:38" x14ac:dyDescent="0.25">
      <c r="L564" s="2"/>
      <c r="M564" s="2"/>
      <c r="N564" s="2"/>
      <c r="AD564" s="3"/>
      <c r="AH564" s="3"/>
      <c r="AL564" s="3"/>
    </row>
    <row r="565" spans="12:38" x14ac:dyDescent="0.25">
      <c r="L565" s="2"/>
      <c r="M565" s="2"/>
      <c r="N565" s="2"/>
      <c r="AD565" s="3"/>
      <c r="AH565" s="3"/>
      <c r="AL565" s="3"/>
    </row>
    <row r="566" spans="12:38" x14ac:dyDescent="0.25">
      <c r="L566" s="2"/>
      <c r="M566" s="2"/>
      <c r="N566" s="2"/>
      <c r="AD566" s="3"/>
      <c r="AH566" s="3"/>
      <c r="AL566" s="3"/>
    </row>
    <row r="567" spans="12:38" x14ac:dyDescent="0.25">
      <c r="L567" s="2"/>
      <c r="M567" s="2"/>
      <c r="N567" s="2"/>
      <c r="AD567" s="3"/>
      <c r="AH567" s="3"/>
      <c r="AL567" s="3"/>
    </row>
    <row r="568" spans="12:38" x14ac:dyDescent="0.25">
      <c r="L568" s="2"/>
      <c r="M568" s="2"/>
      <c r="N568" s="2"/>
      <c r="AD568" s="3"/>
      <c r="AH568" s="3"/>
      <c r="AL568" s="3"/>
    </row>
    <row r="569" spans="12:38" x14ac:dyDescent="0.25">
      <c r="L569" s="2"/>
      <c r="M569" s="2"/>
      <c r="N569" s="2"/>
      <c r="AD569" s="3"/>
      <c r="AH569" s="3"/>
      <c r="AL569" s="3"/>
    </row>
    <row r="570" spans="12:38" x14ac:dyDescent="0.25">
      <c r="L570" s="2"/>
      <c r="M570" s="2"/>
      <c r="N570" s="2"/>
      <c r="AD570" s="3"/>
      <c r="AH570" s="3"/>
      <c r="AL570" s="3"/>
    </row>
    <row r="571" spans="12:38" x14ac:dyDescent="0.25">
      <c r="L571" s="2"/>
      <c r="M571" s="2"/>
      <c r="N571" s="2"/>
      <c r="AD571" s="3"/>
      <c r="AH571" s="3"/>
      <c r="AL571" s="3"/>
    </row>
    <row r="572" spans="12:38" x14ac:dyDescent="0.25">
      <c r="L572" s="2"/>
      <c r="M572" s="2"/>
      <c r="N572" s="2"/>
      <c r="AD572" s="3"/>
      <c r="AH572" s="3"/>
      <c r="AL572" s="3"/>
    </row>
    <row r="573" spans="12:38" x14ac:dyDescent="0.25">
      <c r="L573" s="2"/>
      <c r="M573" s="2"/>
      <c r="N573" s="2"/>
      <c r="AD573" s="3"/>
      <c r="AH573" s="3"/>
      <c r="AL573" s="3"/>
    </row>
    <row r="574" spans="12:38" x14ac:dyDescent="0.25">
      <c r="L574" s="2"/>
      <c r="M574" s="2"/>
      <c r="N574" s="2"/>
      <c r="AD574" s="3"/>
      <c r="AH574" s="3"/>
      <c r="AL574" s="3"/>
    </row>
    <row r="575" spans="12:38" x14ac:dyDescent="0.25">
      <c r="L575" s="2"/>
      <c r="M575" s="2"/>
      <c r="N575" s="2"/>
      <c r="AD575" s="3"/>
      <c r="AH575" s="3"/>
      <c r="AL575" s="3"/>
    </row>
    <row r="576" spans="12:38" x14ac:dyDescent="0.25">
      <c r="L576" s="2"/>
      <c r="M576" s="2"/>
      <c r="N576" s="2"/>
      <c r="AD576" s="3"/>
      <c r="AH576" s="3"/>
      <c r="AL576" s="3"/>
    </row>
    <row r="577" spans="12:38" x14ac:dyDescent="0.25">
      <c r="L577" s="2"/>
      <c r="M577" s="2"/>
      <c r="N577" s="2"/>
      <c r="AD577" s="3"/>
      <c r="AH577" s="3"/>
      <c r="AL577" s="3"/>
    </row>
    <row r="578" spans="12:38" x14ac:dyDescent="0.25">
      <c r="L578" s="2"/>
      <c r="M578" s="2"/>
      <c r="N578" s="2"/>
      <c r="AD578" s="3"/>
      <c r="AH578" s="3"/>
      <c r="AL578" s="3"/>
    </row>
    <row r="579" spans="12:38" x14ac:dyDescent="0.25">
      <c r="L579" s="2"/>
      <c r="M579" s="2"/>
      <c r="N579" s="2"/>
      <c r="AD579" s="3"/>
      <c r="AH579" s="3"/>
      <c r="AL579" s="3"/>
    </row>
    <row r="580" spans="12:38" x14ac:dyDescent="0.25">
      <c r="L580" s="2"/>
      <c r="M580" s="2"/>
      <c r="N580" s="2"/>
      <c r="AD580" s="3"/>
      <c r="AH580" s="3"/>
      <c r="AL580" s="3"/>
    </row>
    <row r="581" spans="12:38" x14ac:dyDescent="0.25">
      <c r="L581" s="2"/>
      <c r="M581" s="2"/>
      <c r="N581" s="2"/>
      <c r="AD581" s="3"/>
      <c r="AH581" s="3"/>
      <c r="AL581" s="3"/>
    </row>
    <row r="582" spans="12:38" x14ac:dyDescent="0.25">
      <c r="L582" s="2"/>
      <c r="M582" s="2"/>
      <c r="N582" s="2"/>
      <c r="AD582" s="3"/>
      <c r="AH582" s="3"/>
      <c r="AL582" s="3"/>
    </row>
    <row r="583" spans="12:38" x14ac:dyDescent="0.25">
      <c r="L583" s="2"/>
      <c r="M583" s="2"/>
      <c r="N583" s="2"/>
      <c r="AD583" s="3"/>
      <c r="AH583" s="3"/>
      <c r="AL583" s="3"/>
    </row>
    <row r="584" spans="12:38" x14ac:dyDescent="0.25">
      <c r="L584" s="2"/>
      <c r="M584" s="2"/>
      <c r="N584" s="2"/>
      <c r="AD584" s="3"/>
      <c r="AH584" s="3"/>
      <c r="AL584" s="3"/>
    </row>
    <row r="585" spans="12:38" x14ac:dyDescent="0.25">
      <c r="L585" s="2"/>
      <c r="M585" s="2"/>
      <c r="N585" s="2"/>
      <c r="AD585" s="3"/>
      <c r="AH585" s="3"/>
      <c r="AL585" s="3"/>
    </row>
    <row r="586" spans="12:38" x14ac:dyDescent="0.25">
      <c r="L586" s="2"/>
      <c r="M586" s="2"/>
      <c r="N586" s="2"/>
      <c r="AD586" s="3"/>
      <c r="AH586" s="3"/>
      <c r="AL586" s="3"/>
    </row>
    <row r="587" spans="12:38" x14ac:dyDescent="0.25">
      <c r="L587" s="2"/>
      <c r="M587" s="2"/>
      <c r="N587" s="2"/>
      <c r="AD587" s="3"/>
      <c r="AH587" s="3"/>
      <c r="AL587" s="3"/>
    </row>
    <row r="588" spans="12:38" x14ac:dyDescent="0.25">
      <c r="L588" s="2"/>
      <c r="M588" s="2"/>
      <c r="N588" s="2"/>
      <c r="AD588" s="3"/>
      <c r="AH588" s="3"/>
      <c r="AL588" s="3"/>
    </row>
    <row r="589" spans="12:38" x14ac:dyDescent="0.25">
      <c r="L589" s="2"/>
      <c r="M589" s="2"/>
      <c r="N589" s="2"/>
      <c r="AD589" s="3"/>
      <c r="AH589" s="3"/>
      <c r="AL589" s="3"/>
    </row>
    <row r="590" spans="12:38" x14ac:dyDescent="0.25">
      <c r="L590" s="2"/>
      <c r="M590" s="2"/>
      <c r="N590" s="2"/>
      <c r="AD590" s="3"/>
      <c r="AH590" s="3"/>
      <c r="AL590" s="3"/>
    </row>
    <row r="591" spans="12:38" x14ac:dyDescent="0.25">
      <c r="L591" s="2"/>
      <c r="M591" s="2"/>
      <c r="N591" s="2"/>
      <c r="AD591" s="3"/>
      <c r="AH591" s="3"/>
      <c r="AL591" s="3"/>
    </row>
    <row r="592" spans="12:38" x14ac:dyDescent="0.25">
      <c r="L592" s="2"/>
      <c r="M592" s="2"/>
      <c r="N592" s="2"/>
      <c r="AD592" s="3"/>
      <c r="AH592" s="3"/>
      <c r="AL592" s="3"/>
    </row>
    <row r="593" spans="12:38" x14ac:dyDescent="0.25">
      <c r="L593" s="2"/>
      <c r="M593" s="2"/>
      <c r="N593" s="2"/>
      <c r="AD593" s="3"/>
      <c r="AH593" s="3"/>
      <c r="AL593" s="3"/>
    </row>
    <row r="594" spans="12:38" x14ac:dyDescent="0.25">
      <c r="L594" s="2"/>
      <c r="M594" s="2"/>
      <c r="N594" s="2"/>
      <c r="AD594" s="3"/>
      <c r="AH594" s="3"/>
      <c r="AL594" s="3"/>
    </row>
    <row r="595" spans="12:38" x14ac:dyDescent="0.25">
      <c r="L595" s="2"/>
      <c r="M595" s="2"/>
      <c r="N595" s="2"/>
      <c r="AD595" s="3"/>
      <c r="AH595" s="3"/>
      <c r="AL595" s="3"/>
    </row>
    <row r="596" spans="12:38" x14ac:dyDescent="0.25">
      <c r="L596" s="2"/>
      <c r="M596" s="2"/>
      <c r="N596" s="2"/>
      <c r="AD596" s="3"/>
      <c r="AH596" s="3"/>
      <c r="AL596" s="3"/>
    </row>
    <row r="597" spans="12:38" x14ac:dyDescent="0.25">
      <c r="L597" s="2"/>
      <c r="M597" s="2"/>
      <c r="N597" s="2"/>
      <c r="AD597" s="3"/>
      <c r="AH597" s="3"/>
      <c r="AL597" s="3"/>
    </row>
    <row r="598" spans="12:38" x14ac:dyDescent="0.25">
      <c r="L598" s="2"/>
      <c r="M598" s="2"/>
      <c r="N598" s="2"/>
      <c r="AD598" s="3"/>
      <c r="AH598" s="3"/>
      <c r="AL598" s="3"/>
    </row>
    <row r="599" spans="12:38" x14ac:dyDescent="0.25">
      <c r="L599" s="2"/>
      <c r="M599" s="2"/>
      <c r="N599" s="2"/>
      <c r="AD599" s="3"/>
      <c r="AH599" s="3"/>
      <c r="AL599" s="3"/>
    </row>
    <row r="600" spans="12:38" x14ac:dyDescent="0.25">
      <c r="L600" s="2"/>
      <c r="M600" s="2"/>
      <c r="N600" s="2"/>
      <c r="AD600" s="3"/>
      <c r="AH600" s="3"/>
      <c r="AL600" s="3"/>
    </row>
    <row r="601" spans="12:38" x14ac:dyDescent="0.25">
      <c r="L601" s="2"/>
      <c r="M601" s="2"/>
      <c r="N601" s="2"/>
      <c r="AD601" s="3"/>
      <c r="AH601" s="3"/>
      <c r="AL601" s="3"/>
    </row>
    <row r="602" spans="12:38" x14ac:dyDescent="0.25">
      <c r="L602" s="2"/>
      <c r="M602" s="2"/>
      <c r="N602" s="2"/>
      <c r="AD602" s="3"/>
      <c r="AH602" s="3"/>
      <c r="AL602" s="3"/>
    </row>
    <row r="603" spans="12:38" x14ac:dyDescent="0.25">
      <c r="L603" s="2"/>
      <c r="M603" s="2"/>
      <c r="N603" s="2"/>
      <c r="AD603" s="3"/>
      <c r="AH603" s="3"/>
      <c r="AL603" s="3"/>
    </row>
    <row r="604" spans="12:38" x14ac:dyDescent="0.25">
      <c r="L604" s="2"/>
      <c r="M604" s="2"/>
      <c r="N604" s="2"/>
      <c r="AD604" s="3"/>
      <c r="AH604" s="3"/>
      <c r="AL604" s="3"/>
    </row>
    <row r="605" spans="12:38" x14ac:dyDescent="0.25">
      <c r="L605" s="2"/>
      <c r="M605" s="2"/>
      <c r="N605" s="2"/>
      <c r="AD605" s="3"/>
      <c r="AH605" s="3"/>
      <c r="AL605" s="3"/>
    </row>
    <row r="606" spans="12:38" x14ac:dyDescent="0.25">
      <c r="L606" s="2"/>
      <c r="M606" s="2"/>
      <c r="N606" s="2"/>
      <c r="AD606" s="3"/>
      <c r="AH606" s="3"/>
      <c r="AL606" s="3"/>
    </row>
    <row r="607" spans="12:38" x14ac:dyDescent="0.25">
      <c r="L607" s="2"/>
      <c r="M607" s="2"/>
      <c r="N607" s="2"/>
      <c r="AD607" s="3"/>
      <c r="AH607" s="3"/>
      <c r="AL607" s="3"/>
    </row>
    <row r="608" spans="12:38" x14ac:dyDescent="0.25">
      <c r="L608" s="2"/>
      <c r="M608" s="2"/>
      <c r="N608" s="2"/>
      <c r="AD608" s="3"/>
      <c r="AH608" s="3"/>
      <c r="AL608" s="3"/>
    </row>
    <row r="609" spans="12:38" x14ac:dyDescent="0.25">
      <c r="L609" s="2"/>
      <c r="M609" s="2"/>
      <c r="N609" s="2"/>
      <c r="AD609" s="3"/>
      <c r="AH609" s="3"/>
      <c r="AL609" s="3"/>
    </row>
    <row r="610" spans="12:38" x14ac:dyDescent="0.25">
      <c r="L610" s="2"/>
      <c r="M610" s="2"/>
      <c r="N610" s="2"/>
      <c r="AD610" s="3"/>
      <c r="AH610" s="3"/>
      <c r="AL610" s="3"/>
    </row>
    <row r="611" spans="12:38" x14ac:dyDescent="0.25">
      <c r="L611" s="2"/>
      <c r="M611" s="2"/>
      <c r="N611" s="2"/>
      <c r="AD611" s="3"/>
      <c r="AH611" s="3"/>
      <c r="AL611" s="3"/>
    </row>
    <row r="612" spans="12:38" x14ac:dyDescent="0.25">
      <c r="L612" s="2"/>
      <c r="M612" s="2"/>
      <c r="N612" s="2"/>
      <c r="AD612" s="3"/>
      <c r="AH612" s="3"/>
      <c r="AL612" s="3"/>
    </row>
    <row r="613" spans="12:38" x14ac:dyDescent="0.25">
      <c r="L613" s="2"/>
      <c r="M613" s="2"/>
      <c r="N613" s="2"/>
      <c r="AD613" s="3"/>
      <c r="AH613" s="3"/>
      <c r="AL613" s="3"/>
    </row>
    <row r="614" spans="12:38" x14ac:dyDescent="0.25">
      <c r="L614" s="2"/>
      <c r="M614" s="2"/>
      <c r="N614" s="2"/>
      <c r="AD614" s="3"/>
      <c r="AH614" s="3"/>
      <c r="AL614" s="3"/>
    </row>
    <row r="615" spans="12:38" x14ac:dyDescent="0.25">
      <c r="L615" s="2"/>
      <c r="M615" s="2"/>
      <c r="N615" s="2"/>
      <c r="AD615" s="3"/>
      <c r="AH615" s="3"/>
      <c r="AL615" s="3"/>
    </row>
    <row r="616" spans="12:38" x14ac:dyDescent="0.25">
      <c r="L616" s="2"/>
      <c r="M616" s="2"/>
      <c r="N616" s="2"/>
      <c r="AD616" s="3"/>
      <c r="AH616" s="3"/>
      <c r="AL616" s="3"/>
    </row>
    <row r="617" spans="12:38" x14ac:dyDescent="0.25">
      <c r="L617" s="2"/>
      <c r="M617" s="2"/>
      <c r="N617" s="2"/>
      <c r="AD617" s="3"/>
      <c r="AH617" s="3"/>
      <c r="AL617" s="3"/>
    </row>
    <row r="618" spans="12:38" x14ac:dyDescent="0.25">
      <c r="L618" s="2"/>
      <c r="M618" s="2"/>
      <c r="N618" s="2"/>
      <c r="AD618" s="3"/>
      <c r="AH618" s="3"/>
      <c r="AL618" s="3"/>
    </row>
    <row r="619" spans="12:38" x14ac:dyDescent="0.25">
      <c r="L619" s="2"/>
      <c r="M619" s="2"/>
      <c r="N619" s="2"/>
      <c r="AD619" s="3"/>
      <c r="AH619" s="3"/>
      <c r="AL619" s="3"/>
    </row>
    <row r="620" spans="12:38" x14ac:dyDescent="0.25">
      <c r="L620" s="2"/>
      <c r="M620" s="2"/>
      <c r="N620" s="2"/>
      <c r="AD620" s="3"/>
      <c r="AH620" s="3"/>
      <c r="AL620" s="3"/>
    </row>
    <row r="621" spans="12:38" x14ac:dyDescent="0.25">
      <c r="L621" s="2"/>
      <c r="M621" s="2"/>
      <c r="N621" s="2"/>
      <c r="AD621" s="3"/>
      <c r="AH621" s="3"/>
      <c r="AL621" s="3"/>
    </row>
    <row r="622" spans="12:38" x14ac:dyDescent="0.25">
      <c r="L622" s="2"/>
      <c r="M622" s="2"/>
      <c r="N622" s="2"/>
      <c r="AD622" s="3"/>
      <c r="AH622" s="3"/>
      <c r="AL622" s="3"/>
    </row>
    <row r="623" spans="12:38" x14ac:dyDescent="0.25">
      <c r="L623" s="2"/>
      <c r="M623" s="2"/>
      <c r="N623" s="2"/>
      <c r="AD623" s="3"/>
      <c r="AH623" s="3"/>
      <c r="AL623" s="3"/>
    </row>
    <row r="624" spans="12:38" x14ac:dyDescent="0.25">
      <c r="L624" s="2"/>
      <c r="M624" s="2"/>
      <c r="N624" s="2"/>
      <c r="AD624" s="3"/>
      <c r="AH624" s="3"/>
      <c r="AL624" s="3"/>
    </row>
    <row r="625" spans="12:38" x14ac:dyDescent="0.25">
      <c r="L625" s="2"/>
      <c r="M625" s="2"/>
      <c r="N625" s="2"/>
      <c r="AD625" s="3"/>
      <c r="AH625" s="3"/>
      <c r="AL625" s="3"/>
    </row>
    <row r="626" spans="12:38" x14ac:dyDescent="0.25">
      <c r="L626" s="2"/>
      <c r="M626" s="2"/>
      <c r="N626" s="2"/>
      <c r="AD626" s="3"/>
      <c r="AH626" s="3"/>
      <c r="AL626" s="3"/>
    </row>
    <row r="627" spans="12:38" x14ac:dyDescent="0.25">
      <c r="L627" s="2"/>
      <c r="M627" s="2"/>
      <c r="N627" s="2"/>
      <c r="AD627" s="3"/>
      <c r="AH627" s="3"/>
      <c r="AL627" s="3"/>
    </row>
    <row r="628" spans="12:38" x14ac:dyDescent="0.25">
      <c r="L628" s="2"/>
      <c r="M628" s="2"/>
      <c r="N628" s="2"/>
      <c r="AD628" s="3"/>
      <c r="AH628" s="3"/>
      <c r="AL628" s="3"/>
    </row>
    <row r="629" spans="12:38" x14ac:dyDescent="0.25">
      <c r="L629" s="2"/>
      <c r="M629" s="2"/>
      <c r="N629" s="2"/>
      <c r="AD629" s="3"/>
      <c r="AH629" s="3"/>
      <c r="AL629" s="3"/>
    </row>
    <row r="630" spans="12:38" x14ac:dyDescent="0.25">
      <c r="L630" s="2"/>
      <c r="M630" s="2"/>
      <c r="N630" s="2"/>
      <c r="AD630" s="3"/>
      <c r="AH630" s="3"/>
      <c r="AL630" s="3"/>
    </row>
    <row r="631" spans="12:38" x14ac:dyDescent="0.25">
      <c r="L631" s="2"/>
      <c r="M631" s="2"/>
      <c r="N631" s="2"/>
      <c r="AD631" s="3"/>
      <c r="AH631" s="3"/>
      <c r="AL631" s="3"/>
    </row>
    <row r="632" spans="12:38" x14ac:dyDescent="0.25">
      <c r="L632" s="2"/>
      <c r="M632" s="2"/>
      <c r="N632" s="2"/>
      <c r="AD632" s="3"/>
      <c r="AH632" s="3"/>
      <c r="AL632" s="3"/>
    </row>
    <row r="633" spans="12:38" x14ac:dyDescent="0.25">
      <c r="L633" s="2"/>
      <c r="M633" s="2"/>
      <c r="N633" s="2"/>
      <c r="AD633" s="3"/>
      <c r="AH633" s="3"/>
      <c r="AL633" s="3"/>
    </row>
    <row r="634" spans="12:38" x14ac:dyDescent="0.25">
      <c r="L634" s="2"/>
      <c r="M634" s="2"/>
      <c r="N634" s="2"/>
      <c r="AD634" s="3"/>
      <c r="AH634" s="3"/>
      <c r="AL634" s="3"/>
    </row>
    <row r="635" spans="12:38" x14ac:dyDescent="0.25">
      <c r="L635" s="2"/>
      <c r="M635" s="2"/>
      <c r="N635" s="2"/>
      <c r="AD635" s="3"/>
      <c r="AH635" s="3"/>
      <c r="AL635" s="3"/>
    </row>
    <row r="636" spans="12:38" x14ac:dyDescent="0.25">
      <c r="L636" s="2"/>
      <c r="M636" s="2"/>
      <c r="N636" s="2"/>
      <c r="AD636" s="3"/>
      <c r="AH636" s="3"/>
      <c r="AL636" s="3"/>
    </row>
    <row r="637" spans="12:38" x14ac:dyDescent="0.25">
      <c r="L637" s="2"/>
      <c r="M637" s="2"/>
      <c r="N637" s="2"/>
      <c r="AD637" s="3"/>
      <c r="AH637" s="3"/>
      <c r="AL637" s="3"/>
    </row>
    <row r="638" spans="12:38" x14ac:dyDescent="0.25">
      <c r="L638" s="2"/>
      <c r="M638" s="2"/>
      <c r="N638" s="2"/>
      <c r="AD638" s="3"/>
      <c r="AH638" s="3"/>
      <c r="AL638" s="3"/>
    </row>
    <row r="639" spans="12:38" x14ac:dyDescent="0.25">
      <c r="L639" s="2"/>
      <c r="M639" s="2"/>
      <c r="N639" s="2"/>
      <c r="AD639" s="3"/>
      <c r="AH639" s="3"/>
      <c r="AL639" s="3"/>
    </row>
    <row r="640" spans="12:38" x14ac:dyDescent="0.25">
      <c r="L640" s="2"/>
      <c r="M640" s="2"/>
      <c r="N640" s="2"/>
      <c r="AD640" s="3"/>
      <c r="AH640" s="3"/>
      <c r="AL640" s="3"/>
    </row>
    <row r="641" spans="12:38" x14ac:dyDescent="0.25">
      <c r="L641" s="2"/>
      <c r="M641" s="2"/>
      <c r="N641" s="2"/>
      <c r="AD641" s="3"/>
      <c r="AH641" s="3"/>
      <c r="AL641" s="3"/>
    </row>
    <row r="642" spans="12:38" x14ac:dyDescent="0.25">
      <c r="L642" s="2"/>
      <c r="M642" s="2"/>
      <c r="N642" s="2"/>
      <c r="AD642" s="3"/>
      <c r="AH642" s="3"/>
      <c r="AL642" s="3"/>
    </row>
    <row r="643" spans="12:38" x14ac:dyDescent="0.25">
      <c r="L643" s="2"/>
      <c r="M643" s="2"/>
      <c r="N643" s="2"/>
      <c r="AD643" s="3"/>
      <c r="AH643" s="3"/>
      <c r="AL643" s="3"/>
    </row>
    <row r="644" spans="12:38" x14ac:dyDescent="0.25">
      <c r="L644" s="2"/>
      <c r="M644" s="2"/>
      <c r="N644" s="2"/>
      <c r="AD644" s="3"/>
      <c r="AH644" s="3"/>
      <c r="AL644" s="3"/>
    </row>
    <row r="645" spans="12:38" x14ac:dyDescent="0.25">
      <c r="L645" s="2"/>
      <c r="M645" s="2"/>
      <c r="N645" s="2"/>
      <c r="AD645" s="3"/>
      <c r="AH645" s="3"/>
      <c r="AL645" s="3"/>
    </row>
    <row r="646" spans="12:38" x14ac:dyDescent="0.25">
      <c r="L646" s="2"/>
      <c r="M646" s="2"/>
      <c r="N646" s="2"/>
      <c r="AD646" s="3"/>
      <c r="AH646" s="3"/>
      <c r="AL646" s="3"/>
    </row>
    <row r="647" spans="12:38" x14ac:dyDescent="0.25">
      <c r="L647" s="2"/>
      <c r="M647" s="2"/>
      <c r="N647" s="2"/>
      <c r="AD647" s="3"/>
      <c r="AH647" s="3"/>
      <c r="AL647" s="3"/>
    </row>
    <row r="648" spans="12:38" x14ac:dyDescent="0.25">
      <c r="L648" s="2"/>
      <c r="M648" s="2"/>
      <c r="N648" s="2"/>
      <c r="AD648" s="3"/>
      <c r="AH648" s="3"/>
      <c r="AL648" s="3"/>
    </row>
    <row r="649" spans="12:38" x14ac:dyDescent="0.25">
      <c r="L649" s="2"/>
      <c r="M649" s="2"/>
      <c r="N649" s="2"/>
      <c r="AD649" s="3"/>
      <c r="AH649" s="3"/>
      <c r="AL649" s="3"/>
    </row>
    <row r="650" spans="12:38" x14ac:dyDescent="0.25">
      <c r="L650" s="2"/>
      <c r="M650" s="2"/>
      <c r="N650" s="2"/>
      <c r="AD650" s="3"/>
      <c r="AH650" s="3"/>
      <c r="AL650" s="3"/>
    </row>
    <row r="651" spans="12:38" x14ac:dyDescent="0.25">
      <c r="L651" s="2"/>
      <c r="M651" s="2"/>
      <c r="N651" s="2"/>
      <c r="AD651" s="3"/>
      <c r="AH651" s="3"/>
      <c r="AL651" s="3"/>
    </row>
    <row r="652" spans="12:38" x14ac:dyDescent="0.25">
      <c r="L652" s="2"/>
      <c r="M652" s="2"/>
      <c r="N652" s="2"/>
      <c r="AD652" s="3"/>
      <c r="AH652" s="3"/>
      <c r="AL652" s="3"/>
    </row>
    <row r="653" spans="12:38" x14ac:dyDescent="0.25">
      <c r="L653" s="2"/>
      <c r="M653" s="2"/>
      <c r="N653" s="2"/>
      <c r="AD653" s="3"/>
      <c r="AH653" s="3"/>
      <c r="AL653" s="3"/>
    </row>
    <row r="654" spans="12:38" x14ac:dyDescent="0.25">
      <c r="L654" s="2"/>
      <c r="M654" s="2"/>
      <c r="N654" s="2"/>
      <c r="AD654" s="3"/>
      <c r="AH654" s="3"/>
      <c r="AL654" s="3"/>
    </row>
    <row r="655" spans="12:38" x14ac:dyDescent="0.25">
      <c r="L655" s="2"/>
      <c r="M655" s="2"/>
      <c r="N655" s="2"/>
      <c r="AD655" s="3"/>
      <c r="AH655" s="3"/>
      <c r="AL655" s="3"/>
    </row>
    <row r="656" spans="12:38" x14ac:dyDescent="0.25">
      <c r="L656" s="2"/>
      <c r="M656" s="2"/>
      <c r="N656" s="2"/>
      <c r="AD656" s="3"/>
      <c r="AH656" s="3"/>
      <c r="AL656" s="3"/>
    </row>
    <row r="657" spans="12:38" x14ac:dyDescent="0.25">
      <c r="L657" s="2"/>
      <c r="M657" s="2"/>
      <c r="N657" s="2"/>
      <c r="AD657" s="3"/>
      <c r="AH657" s="3"/>
      <c r="AL657" s="3"/>
    </row>
    <row r="658" spans="12:38" x14ac:dyDescent="0.25">
      <c r="L658" s="2"/>
      <c r="M658" s="2"/>
      <c r="N658" s="2"/>
      <c r="AD658" s="3"/>
      <c r="AH658" s="3"/>
      <c r="AL658" s="3"/>
    </row>
    <row r="659" spans="12:38" x14ac:dyDescent="0.25">
      <c r="L659" s="2"/>
      <c r="M659" s="2"/>
      <c r="N659" s="2"/>
      <c r="AD659" s="3"/>
      <c r="AH659" s="3"/>
      <c r="AL659" s="3"/>
    </row>
    <row r="660" spans="12:38" x14ac:dyDescent="0.25">
      <c r="L660" s="2"/>
      <c r="M660" s="2"/>
      <c r="N660" s="2"/>
      <c r="AD660" s="3"/>
      <c r="AH660" s="3"/>
      <c r="AL660" s="3"/>
    </row>
    <row r="661" spans="12:38" x14ac:dyDescent="0.25">
      <c r="L661" s="2"/>
      <c r="M661" s="2"/>
      <c r="N661" s="2"/>
      <c r="AD661" s="3"/>
      <c r="AH661" s="3"/>
      <c r="AL661" s="3"/>
    </row>
    <row r="662" spans="12:38" x14ac:dyDescent="0.25">
      <c r="L662" s="2"/>
      <c r="M662" s="2"/>
      <c r="N662" s="2"/>
      <c r="AD662" s="3"/>
      <c r="AH662" s="3"/>
      <c r="AL662" s="3"/>
    </row>
    <row r="663" spans="12:38" x14ac:dyDescent="0.25">
      <c r="L663" s="2"/>
      <c r="M663" s="2"/>
      <c r="N663" s="2"/>
      <c r="AD663" s="3"/>
      <c r="AH663" s="3"/>
      <c r="AL663" s="3"/>
    </row>
    <row r="664" spans="12:38" x14ac:dyDescent="0.25">
      <c r="L664" s="2"/>
      <c r="M664" s="2"/>
      <c r="N664" s="2"/>
      <c r="AD664" s="3"/>
      <c r="AH664" s="3"/>
      <c r="AL664" s="3"/>
    </row>
    <row r="665" spans="12:38" x14ac:dyDescent="0.25">
      <c r="L665" s="2"/>
      <c r="M665" s="2"/>
      <c r="N665" s="2"/>
      <c r="AD665" s="3"/>
      <c r="AH665" s="3"/>
      <c r="AL665" s="3"/>
    </row>
    <row r="666" spans="12:38" x14ac:dyDescent="0.25">
      <c r="L666" s="2"/>
      <c r="M666" s="2"/>
      <c r="N666" s="2"/>
      <c r="AD666" s="3"/>
      <c r="AH666" s="3"/>
      <c r="AL666" s="3"/>
    </row>
    <row r="667" spans="12:38" x14ac:dyDescent="0.25">
      <c r="L667" s="2"/>
      <c r="M667" s="2"/>
      <c r="N667" s="2"/>
      <c r="AD667" s="3"/>
      <c r="AH667" s="3"/>
      <c r="AL667" s="3"/>
    </row>
    <row r="668" spans="12:38" x14ac:dyDescent="0.25">
      <c r="L668" s="2"/>
      <c r="M668" s="2"/>
      <c r="N668" s="2"/>
      <c r="AD668" s="3"/>
      <c r="AH668" s="3"/>
      <c r="AL668" s="3"/>
    </row>
    <row r="669" spans="12:38" x14ac:dyDescent="0.25">
      <c r="L669" s="2"/>
      <c r="M669" s="2"/>
      <c r="N669" s="2"/>
      <c r="AD669" s="3"/>
      <c r="AH669" s="3"/>
      <c r="AL669" s="3"/>
    </row>
    <row r="670" spans="12:38" x14ac:dyDescent="0.25">
      <c r="L670" s="2"/>
      <c r="M670" s="2"/>
      <c r="N670" s="2"/>
      <c r="AD670" s="3"/>
      <c r="AH670" s="3"/>
      <c r="AL670" s="3"/>
    </row>
    <row r="671" spans="12:38" x14ac:dyDescent="0.25">
      <c r="L671" s="2"/>
      <c r="M671" s="2"/>
      <c r="N671" s="2"/>
      <c r="AD671" s="3"/>
      <c r="AH671" s="3"/>
      <c r="AL671" s="3"/>
    </row>
    <row r="672" spans="12:38" x14ac:dyDescent="0.25">
      <c r="L672" s="2"/>
      <c r="M672" s="2"/>
      <c r="N672" s="2"/>
      <c r="AD672" s="3"/>
      <c r="AH672" s="3"/>
      <c r="AL672" s="3"/>
    </row>
    <row r="673" spans="12:38" x14ac:dyDescent="0.25">
      <c r="L673" s="2"/>
      <c r="M673" s="2"/>
      <c r="N673" s="2"/>
      <c r="AD673" s="3"/>
      <c r="AH673" s="3"/>
      <c r="AL673" s="3"/>
    </row>
    <row r="674" spans="12:38" x14ac:dyDescent="0.25">
      <c r="L674" s="2"/>
      <c r="M674" s="2"/>
      <c r="N674" s="2"/>
      <c r="AD674" s="3"/>
      <c r="AH674" s="3"/>
      <c r="AL674" s="3"/>
    </row>
    <row r="675" spans="12:38" x14ac:dyDescent="0.25">
      <c r="L675" s="2"/>
      <c r="M675" s="2"/>
      <c r="N675" s="2"/>
      <c r="AD675" s="3"/>
      <c r="AH675" s="3"/>
      <c r="AL675" s="3"/>
    </row>
    <row r="676" spans="12:38" x14ac:dyDescent="0.25">
      <c r="L676" s="2"/>
      <c r="M676" s="2"/>
      <c r="N676" s="2"/>
      <c r="AD676" s="3"/>
      <c r="AH676" s="3"/>
      <c r="AL676" s="3"/>
    </row>
    <row r="677" spans="12:38" x14ac:dyDescent="0.25">
      <c r="L677" s="2"/>
      <c r="M677" s="2"/>
      <c r="N677" s="2"/>
      <c r="AD677" s="3"/>
      <c r="AH677" s="3"/>
      <c r="AL677" s="3"/>
    </row>
    <row r="678" spans="12:38" x14ac:dyDescent="0.25">
      <c r="L678" s="2"/>
      <c r="M678" s="2"/>
      <c r="N678" s="2"/>
      <c r="AD678" s="3"/>
      <c r="AH678" s="3"/>
      <c r="AL678" s="3"/>
    </row>
    <row r="679" spans="12:38" x14ac:dyDescent="0.25">
      <c r="L679" s="2"/>
      <c r="M679" s="2"/>
      <c r="N679" s="2"/>
      <c r="AD679" s="3"/>
      <c r="AH679" s="3"/>
      <c r="AL679" s="3"/>
    </row>
    <row r="680" spans="12:38" x14ac:dyDescent="0.25">
      <c r="L680" s="2"/>
      <c r="M680" s="2"/>
      <c r="N680" s="2"/>
      <c r="AD680" s="3"/>
      <c r="AH680" s="3"/>
      <c r="AL680" s="3"/>
    </row>
    <row r="681" spans="12:38" x14ac:dyDescent="0.25">
      <c r="L681" s="2"/>
      <c r="M681" s="2"/>
      <c r="N681" s="2"/>
      <c r="AD681" s="3"/>
      <c r="AH681" s="3"/>
      <c r="AL681" s="3"/>
    </row>
    <row r="682" spans="12:38" x14ac:dyDescent="0.25">
      <c r="L682" s="2"/>
      <c r="M682" s="2"/>
      <c r="N682" s="2"/>
      <c r="AD682" s="3"/>
      <c r="AH682" s="3"/>
      <c r="AL682" s="3"/>
    </row>
    <row r="683" spans="12:38" x14ac:dyDescent="0.25">
      <c r="L683" s="2"/>
      <c r="M683" s="2"/>
      <c r="N683" s="2"/>
      <c r="AD683" s="3"/>
      <c r="AH683" s="3"/>
      <c r="AL683" s="3"/>
    </row>
    <row r="684" spans="12:38" x14ac:dyDescent="0.25">
      <c r="L684" s="2"/>
      <c r="M684" s="2"/>
      <c r="N684" s="2"/>
      <c r="AD684" s="3"/>
      <c r="AH684" s="3"/>
      <c r="AL684" s="3"/>
    </row>
    <row r="685" spans="12:38" x14ac:dyDescent="0.25">
      <c r="L685" s="2"/>
      <c r="M685" s="2"/>
      <c r="N685" s="2"/>
      <c r="AD685" s="3"/>
      <c r="AH685" s="3"/>
      <c r="AL685" s="3"/>
    </row>
    <row r="686" spans="12:38" x14ac:dyDescent="0.25">
      <c r="L686" s="2"/>
      <c r="M686" s="2"/>
      <c r="N686" s="2"/>
      <c r="AD686" s="3"/>
      <c r="AH686" s="3"/>
      <c r="AL686" s="3"/>
    </row>
    <row r="687" spans="12:38" x14ac:dyDescent="0.25">
      <c r="L687" s="2"/>
      <c r="M687" s="2"/>
      <c r="N687" s="2"/>
      <c r="AD687" s="3"/>
      <c r="AH687" s="3"/>
      <c r="AL687" s="3"/>
    </row>
    <row r="688" spans="12:38" x14ac:dyDescent="0.25">
      <c r="L688" s="2"/>
      <c r="M688" s="2"/>
      <c r="N688" s="2"/>
      <c r="AD688" s="3"/>
      <c r="AH688" s="3"/>
      <c r="AL688" s="3"/>
    </row>
    <row r="689" spans="12:38" x14ac:dyDescent="0.25">
      <c r="L689" s="2"/>
      <c r="M689" s="2"/>
      <c r="N689" s="2"/>
      <c r="AD689" s="3"/>
      <c r="AH689" s="3"/>
      <c r="AL689" s="3"/>
    </row>
    <row r="690" spans="12:38" x14ac:dyDescent="0.25">
      <c r="L690" s="2"/>
      <c r="M690" s="2"/>
      <c r="N690" s="2"/>
      <c r="AD690" s="3"/>
      <c r="AH690" s="3"/>
      <c r="AL690" s="3"/>
    </row>
    <row r="691" spans="12:38" x14ac:dyDescent="0.25">
      <c r="L691" s="2"/>
      <c r="M691" s="2"/>
      <c r="N691" s="2"/>
      <c r="AD691" s="3"/>
      <c r="AH691" s="3"/>
      <c r="AL691" s="3"/>
    </row>
    <row r="692" spans="12:38" x14ac:dyDescent="0.25">
      <c r="L692" s="2"/>
      <c r="M692" s="2"/>
      <c r="N692" s="2"/>
      <c r="AD692" s="3"/>
      <c r="AH692" s="3"/>
      <c r="AL692" s="3"/>
    </row>
    <row r="693" spans="12:38" x14ac:dyDescent="0.25">
      <c r="L693" s="2"/>
      <c r="M693" s="2"/>
      <c r="N693" s="2"/>
      <c r="AD693" s="3"/>
      <c r="AH693" s="3"/>
      <c r="AL693" s="3"/>
    </row>
    <row r="694" spans="12:38" x14ac:dyDescent="0.25">
      <c r="L694" s="2"/>
      <c r="M694" s="2"/>
      <c r="N694" s="2"/>
      <c r="AD694" s="3"/>
      <c r="AH694" s="3"/>
      <c r="AL694" s="3"/>
    </row>
    <row r="695" spans="12:38" x14ac:dyDescent="0.25">
      <c r="L695" s="2"/>
      <c r="M695" s="2"/>
      <c r="N695" s="2"/>
      <c r="AD695" s="3"/>
      <c r="AH695" s="3"/>
      <c r="AL695" s="3"/>
    </row>
    <row r="696" spans="12:38" x14ac:dyDescent="0.25">
      <c r="L696" s="2"/>
      <c r="M696" s="2"/>
      <c r="N696" s="2"/>
      <c r="AD696" s="3"/>
      <c r="AH696" s="3"/>
      <c r="AL696" s="3"/>
    </row>
    <row r="697" spans="12:38" x14ac:dyDescent="0.25">
      <c r="L697" s="2"/>
      <c r="M697" s="2"/>
      <c r="N697" s="2"/>
      <c r="AD697" s="3"/>
      <c r="AH697" s="3"/>
      <c r="AL697" s="3"/>
    </row>
    <row r="698" spans="12:38" x14ac:dyDescent="0.25">
      <c r="L698" s="2"/>
      <c r="M698" s="2"/>
      <c r="N698" s="2"/>
      <c r="AD698" s="3"/>
      <c r="AH698" s="3"/>
      <c r="AL698" s="3"/>
    </row>
    <row r="699" spans="12:38" x14ac:dyDescent="0.25">
      <c r="L699" s="2"/>
      <c r="M699" s="2"/>
      <c r="N699" s="2"/>
      <c r="AD699" s="3"/>
      <c r="AH699" s="3"/>
      <c r="AL699" s="3"/>
    </row>
    <row r="700" spans="12:38" x14ac:dyDescent="0.25">
      <c r="L700" s="2"/>
      <c r="M700" s="2"/>
      <c r="N700" s="2"/>
      <c r="AD700" s="3"/>
      <c r="AH700" s="3"/>
      <c r="AL700" s="3"/>
    </row>
    <row r="701" spans="12:38" x14ac:dyDescent="0.25">
      <c r="L701" s="2"/>
      <c r="M701" s="2"/>
      <c r="N701" s="2"/>
      <c r="AD701" s="3"/>
      <c r="AH701" s="3"/>
      <c r="AL701" s="3"/>
    </row>
    <row r="702" spans="12:38" x14ac:dyDescent="0.25">
      <c r="L702" s="2"/>
      <c r="M702" s="2"/>
      <c r="N702" s="2"/>
      <c r="AD702" s="3"/>
      <c r="AH702" s="3"/>
      <c r="AL702" s="3"/>
    </row>
    <row r="703" spans="12:38" x14ac:dyDescent="0.25">
      <c r="L703" s="2"/>
      <c r="M703" s="2"/>
      <c r="N703" s="2"/>
      <c r="AD703" s="3"/>
      <c r="AH703" s="3"/>
      <c r="AL703" s="3"/>
    </row>
    <row r="704" spans="12:38" x14ac:dyDescent="0.25">
      <c r="L704" s="2"/>
      <c r="M704" s="2"/>
      <c r="N704" s="2"/>
      <c r="AD704" s="3"/>
      <c r="AH704" s="3"/>
      <c r="AL704" s="3"/>
    </row>
    <row r="705" spans="12:38" x14ac:dyDescent="0.25">
      <c r="L705" s="2"/>
      <c r="M705" s="2"/>
      <c r="N705" s="2"/>
      <c r="AD705" s="3"/>
      <c r="AH705" s="3"/>
      <c r="AL705" s="3"/>
    </row>
    <row r="706" spans="12:38" x14ac:dyDescent="0.25">
      <c r="L706" s="2"/>
      <c r="M706" s="2"/>
      <c r="N706" s="2"/>
      <c r="AD706" s="3"/>
      <c r="AH706" s="3"/>
      <c r="AL706" s="3"/>
    </row>
    <row r="707" spans="12:38" x14ac:dyDescent="0.25">
      <c r="L707" s="2"/>
      <c r="M707" s="2"/>
      <c r="N707" s="2"/>
      <c r="AD707" s="3"/>
      <c r="AH707" s="3"/>
      <c r="AL707" s="3"/>
    </row>
    <row r="708" spans="12:38" x14ac:dyDescent="0.25">
      <c r="L708" s="2"/>
      <c r="M708" s="2"/>
      <c r="N708" s="2"/>
      <c r="AD708" s="3"/>
      <c r="AH708" s="3"/>
      <c r="AL708" s="3"/>
    </row>
    <row r="709" spans="12:38" x14ac:dyDescent="0.25">
      <c r="L709" s="2"/>
      <c r="M709" s="2"/>
      <c r="N709" s="2"/>
      <c r="AD709" s="3"/>
      <c r="AH709" s="3"/>
      <c r="AL709" s="3"/>
    </row>
    <row r="710" spans="12:38" x14ac:dyDescent="0.25">
      <c r="L710" s="2"/>
      <c r="M710" s="2"/>
      <c r="N710" s="2"/>
      <c r="AD710" s="3"/>
      <c r="AH710" s="3"/>
      <c r="AL710" s="3"/>
    </row>
    <row r="711" spans="12:38" x14ac:dyDescent="0.25">
      <c r="L711" s="2"/>
      <c r="M711" s="2"/>
      <c r="N711" s="2"/>
      <c r="AD711" s="3"/>
      <c r="AH711" s="3"/>
      <c r="AL711" s="3"/>
    </row>
    <row r="712" spans="12:38" x14ac:dyDescent="0.25">
      <c r="L712" s="2"/>
      <c r="M712" s="2"/>
      <c r="N712" s="2"/>
      <c r="AD712" s="3"/>
      <c r="AH712" s="3"/>
      <c r="AL712" s="3"/>
    </row>
    <row r="713" spans="12:38" x14ac:dyDescent="0.25">
      <c r="L713" s="2"/>
      <c r="M713" s="2"/>
      <c r="N713" s="2"/>
      <c r="AD713" s="3"/>
      <c r="AH713" s="3"/>
      <c r="AL713" s="3"/>
    </row>
    <row r="714" spans="12:38" x14ac:dyDescent="0.25">
      <c r="L714" s="2"/>
      <c r="M714" s="2"/>
      <c r="N714" s="2"/>
      <c r="AD714" s="3"/>
      <c r="AH714" s="3"/>
      <c r="AL714" s="3"/>
    </row>
    <row r="715" spans="12:38" x14ac:dyDescent="0.25">
      <c r="L715" s="2"/>
      <c r="M715" s="2"/>
      <c r="N715" s="2"/>
      <c r="AD715" s="3"/>
      <c r="AH715" s="3"/>
      <c r="AL715" s="3"/>
    </row>
    <row r="716" spans="12:38" x14ac:dyDescent="0.25">
      <c r="L716" s="2"/>
      <c r="M716" s="2"/>
      <c r="N716" s="2"/>
      <c r="AD716" s="3"/>
      <c r="AH716" s="3"/>
      <c r="AL716" s="3"/>
    </row>
    <row r="717" spans="12:38" x14ac:dyDescent="0.25">
      <c r="L717" s="2"/>
      <c r="M717" s="2"/>
      <c r="N717" s="2"/>
      <c r="AD717" s="3"/>
      <c r="AH717" s="3"/>
      <c r="AL717" s="3"/>
    </row>
    <row r="718" spans="12:38" x14ac:dyDescent="0.25">
      <c r="L718" s="2"/>
      <c r="M718" s="2"/>
      <c r="N718" s="2"/>
      <c r="AD718" s="3"/>
      <c r="AH718" s="3"/>
      <c r="AL718" s="3"/>
    </row>
    <row r="719" spans="12:38" x14ac:dyDescent="0.25">
      <c r="L719" s="2"/>
      <c r="M719" s="2"/>
      <c r="N719" s="2"/>
      <c r="AD719" s="3"/>
      <c r="AH719" s="3"/>
      <c r="AL719" s="3"/>
    </row>
    <row r="720" spans="12:38" x14ac:dyDescent="0.25">
      <c r="L720" s="2"/>
      <c r="M720" s="2"/>
      <c r="N720" s="2"/>
      <c r="AD720" s="3"/>
      <c r="AH720" s="3"/>
      <c r="AL720" s="3"/>
    </row>
    <row r="721" spans="12:38" x14ac:dyDescent="0.25">
      <c r="L721" s="2"/>
      <c r="M721" s="2"/>
      <c r="N721" s="2"/>
      <c r="AD721" s="3"/>
      <c r="AH721" s="3"/>
      <c r="AL721" s="3"/>
    </row>
    <row r="722" spans="12:38" x14ac:dyDescent="0.25">
      <c r="L722" s="2"/>
      <c r="M722" s="2"/>
      <c r="N722" s="2"/>
      <c r="AD722" s="3"/>
      <c r="AH722" s="3"/>
      <c r="AL722" s="3"/>
    </row>
    <row r="723" spans="12:38" x14ac:dyDescent="0.25">
      <c r="L723" s="2"/>
      <c r="M723" s="2"/>
      <c r="N723" s="2"/>
      <c r="AD723" s="3"/>
      <c r="AH723" s="3"/>
      <c r="AL723" s="3"/>
    </row>
    <row r="724" spans="12:38" x14ac:dyDescent="0.25">
      <c r="L724" s="2"/>
      <c r="M724" s="2"/>
      <c r="N724" s="2"/>
      <c r="AD724" s="3"/>
      <c r="AH724" s="3"/>
      <c r="AL724" s="3"/>
    </row>
    <row r="725" spans="12:38" x14ac:dyDescent="0.25">
      <c r="L725" s="2"/>
      <c r="M725" s="2"/>
      <c r="N725" s="2"/>
      <c r="AD725" s="3"/>
      <c r="AH725" s="3"/>
      <c r="AL725" s="3"/>
    </row>
    <row r="726" spans="12:38" x14ac:dyDescent="0.25">
      <c r="L726" s="2"/>
      <c r="M726" s="2"/>
      <c r="N726" s="2"/>
      <c r="AD726" s="3"/>
      <c r="AH726" s="3"/>
      <c r="AL726" s="3"/>
    </row>
    <row r="727" spans="12:38" x14ac:dyDescent="0.25">
      <c r="L727" s="2"/>
      <c r="M727" s="2"/>
      <c r="N727" s="2"/>
      <c r="AD727" s="3"/>
      <c r="AH727" s="3"/>
      <c r="AL727" s="3"/>
    </row>
    <row r="728" spans="12:38" x14ac:dyDescent="0.25">
      <c r="L728" s="2"/>
      <c r="M728" s="2"/>
      <c r="N728" s="2"/>
      <c r="AD728" s="3"/>
      <c r="AH728" s="3"/>
      <c r="AL728" s="3"/>
    </row>
    <row r="729" spans="12:38" x14ac:dyDescent="0.25">
      <c r="L729" s="2"/>
      <c r="M729" s="2"/>
      <c r="N729" s="2"/>
      <c r="AD729" s="3"/>
      <c r="AH729" s="3"/>
      <c r="AL729" s="3"/>
    </row>
    <row r="730" spans="12:38" x14ac:dyDescent="0.25">
      <c r="L730" s="2"/>
      <c r="M730" s="2"/>
      <c r="N730" s="2"/>
      <c r="AD730" s="3"/>
      <c r="AH730" s="3"/>
      <c r="AL730" s="3"/>
    </row>
    <row r="731" spans="12:38" x14ac:dyDescent="0.25">
      <c r="L731" s="2"/>
      <c r="M731" s="2"/>
      <c r="N731" s="2"/>
      <c r="AD731" s="3"/>
      <c r="AH731" s="3"/>
      <c r="AL731" s="3"/>
    </row>
    <row r="732" spans="12:38" x14ac:dyDescent="0.25">
      <c r="L732" s="2"/>
      <c r="M732" s="2"/>
      <c r="N732" s="2"/>
      <c r="AD732" s="3"/>
      <c r="AH732" s="3"/>
      <c r="AL732" s="3"/>
    </row>
    <row r="733" spans="12:38" x14ac:dyDescent="0.25">
      <c r="L733" s="2"/>
      <c r="M733" s="2"/>
      <c r="N733" s="2"/>
      <c r="AD733" s="3"/>
      <c r="AH733" s="3"/>
      <c r="AL733" s="3"/>
    </row>
    <row r="734" spans="12:38" x14ac:dyDescent="0.25">
      <c r="L734" s="2"/>
      <c r="M734" s="2"/>
      <c r="N734" s="2"/>
      <c r="AD734" s="3"/>
      <c r="AH734" s="3"/>
      <c r="AL734" s="3"/>
    </row>
    <row r="735" spans="12:38" x14ac:dyDescent="0.25">
      <c r="L735" s="2"/>
      <c r="M735" s="2"/>
      <c r="N735" s="2"/>
      <c r="AD735" s="3"/>
      <c r="AH735" s="3"/>
      <c r="AL735" s="3"/>
    </row>
    <row r="736" spans="12:38" x14ac:dyDescent="0.25">
      <c r="L736" s="2"/>
      <c r="M736" s="2"/>
      <c r="N736" s="2"/>
      <c r="AD736" s="3"/>
      <c r="AH736" s="3"/>
      <c r="AL736" s="3"/>
    </row>
    <row r="737" spans="12:38" x14ac:dyDescent="0.25">
      <c r="L737" s="2"/>
      <c r="M737" s="2"/>
      <c r="N737" s="2"/>
      <c r="AD737" s="3"/>
      <c r="AH737" s="3"/>
      <c r="AL737" s="3"/>
    </row>
    <row r="738" spans="12:38" x14ac:dyDescent="0.25">
      <c r="L738" s="2"/>
      <c r="M738" s="2"/>
      <c r="N738" s="2"/>
      <c r="AD738" s="3"/>
      <c r="AH738" s="3"/>
      <c r="AL738" s="3"/>
    </row>
    <row r="739" spans="12:38" x14ac:dyDescent="0.25">
      <c r="L739" s="2"/>
      <c r="M739" s="2"/>
      <c r="N739" s="2"/>
      <c r="AD739" s="3"/>
      <c r="AH739" s="3"/>
      <c r="AL739" s="3"/>
    </row>
    <row r="740" spans="12:38" x14ac:dyDescent="0.25">
      <c r="L740" s="2"/>
      <c r="M740" s="2"/>
      <c r="N740" s="2"/>
      <c r="AD740" s="3"/>
      <c r="AH740" s="3"/>
      <c r="AL740" s="3"/>
    </row>
    <row r="741" spans="12:38" x14ac:dyDescent="0.25">
      <c r="L741" s="2"/>
      <c r="M741" s="2"/>
      <c r="N741" s="2"/>
      <c r="AD741" s="3"/>
      <c r="AH741" s="3"/>
      <c r="AL741" s="3"/>
    </row>
    <row r="742" spans="12:38" x14ac:dyDescent="0.25">
      <c r="L742" s="2"/>
      <c r="M742" s="2"/>
      <c r="N742" s="2"/>
      <c r="AD742" s="3"/>
      <c r="AH742" s="3"/>
      <c r="AL742" s="3"/>
    </row>
    <row r="743" spans="12:38" x14ac:dyDescent="0.25">
      <c r="L743" s="2"/>
      <c r="M743" s="2"/>
      <c r="N743" s="2"/>
      <c r="AD743" s="3"/>
      <c r="AH743" s="3"/>
      <c r="AL743" s="3"/>
    </row>
    <row r="744" spans="12:38" x14ac:dyDescent="0.25">
      <c r="L744" s="2"/>
      <c r="M744" s="2"/>
      <c r="N744" s="2"/>
      <c r="AD744" s="3"/>
      <c r="AH744" s="3"/>
      <c r="AL744" s="3"/>
    </row>
    <row r="745" spans="12:38" x14ac:dyDescent="0.25">
      <c r="L745" s="2"/>
      <c r="M745" s="2"/>
      <c r="N745" s="2"/>
      <c r="AD745" s="3"/>
      <c r="AH745" s="3"/>
      <c r="AL745" s="3"/>
    </row>
    <row r="746" spans="12:38" x14ac:dyDescent="0.25">
      <c r="L746" s="2"/>
      <c r="M746" s="2"/>
      <c r="N746" s="2"/>
      <c r="AD746" s="3"/>
      <c r="AH746" s="3"/>
      <c r="AL746" s="3"/>
    </row>
    <row r="747" spans="12:38" x14ac:dyDescent="0.25">
      <c r="L747" s="2"/>
      <c r="M747" s="2"/>
      <c r="N747" s="2"/>
      <c r="AD747" s="3"/>
      <c r="AH747" s="3"/>
      <c r="AL747" s="3"/>
    </row>
    <row r="748" spans="12:38" x14ac:dyDescent="0.25">
      <c r="L748" s="2"/>
      <c r="M748" s="2"/>
      <c r="N748" s="2"/>
      <c r="AD748" s="3"/>
      <c r="AH748" s="3"/>
      <c r="AL748" s="3"/>
    </row>
    <row r="749" spans="12:38" x14ac:dyDescent="0.25">
      <c r="L749" s="2"/>
      <c r="M749" s="2"/>
      <c r="N749" s="2"/>
      <c r="AD749" s="3"/>
      <c r="AH749" s="3"/>
      <c r="AL749" s="3"/>
    </row>
    <row r="750" spans="12:38" x14ac:dyDescent="0.25">
      <c r="L750" s="2"/>
      <c r="M750" s="2"/>
      <c r="N750" s="2"/>
      <c r="AD750" s="3"/>
      <c r="AH750" s="3"/>
      <c r="AL750" s="3"/>
    </row>
    <row r="751" spans="12:38" x14ac:dyDescent="0.25">
      <c r="L751" s="2"/>
      <c r="M751" s="2"/>
      <c r="N751" s="2"/>
      <c r="AD751" s="3"/>
      <c r="AH751" s="3"/>
      <c r="AL751" s="3"/>
    </row>
    <row r="752" spans="12:38" x14ac:dyDescent="0.25">
      <c r="L752" s="2"/>
      <c r="M752" s="2"/>
      <c r="N752" s="2"/>
      <c r="AD752" s="3"/>
      <c r="AH752" s="3"/>
      <c r="AL752" s="3"/>
    </row>
    <row r="753" spans="12:38" x14ac:dyDescent="0.25">
      <c r="L753" s="2"/>
      <c r="M753" s="2"/>
      <c r="N753" s="2"/>
      <c r="AD753" s="3"/>
      <c r="AH753" s="3"/>
      <c r="AL753" s="3"/>
    </row>
    <row r="754" spans="12:38" x14ac:dyDescent="0.25">
      <c r="L754" s="2"/>
      <c r="M754" s="2"/>
      <c r="N754" s="2"/>
      <c r="AD754" s="3"/>
      <c r="AH754" s="3"/>
      <c r="AL754" s="3"/>
    </row>
    <row r="755" spans="12:38" x14ac:dyDescent="0.25">
      <c r="L755" s="2"/>
      <c r="M755" s="2"/>
      <c r="N755" s="2"/>
      <c r="AD755" s="3"/>
      <c r="AH755" s="3"/>
      <c r="AL755" s="3"/>
    </row>
    <row r="756" spans="12:38" x14ac:dyDescent="0.25">
      <c r="L756" s="2"/>
      <c r="M756" s="2"/>
      <c r="N756" s="2"/>
      <c r="AD756" s="3"/>
      <c r="AH756" s="3"/>
      <c r="AL756" s="3"/>
    </row>
    <row r="757" spans="12:38" x14ac:dyDescent="0.25">
      <c r="L757" s="2"/>
      <c r="M757" s="2"/>
      <c r="N757" s="2"/>
      <c r="AD757" s="3"/>
      <c r="AH757" s="3"/>
      <c r="AL757" s="3"/>
    </row>
    <row r="758" spans="12:38" x14ac:dyDescent="0.25">
      <c r="L758" s="2"/>
      <c r="M758" s="2"/>
      <c r="N758" s="2"/>
      <c r="AD758" s="3"/>
      <c r="AH758" s="3"/>
      <c r="AL758" s="3"/>
    </row>
    <row r="759" spans="12:38" x14ac:dyDescent="0.25">
      <c r="L759" s="2"/>
      <c r="M759" s="2"/>
      <c r="N759" s="2"/>
      <c r="AD759" s="3"/>
      <c r="AH759" s="3"/>
      <c r="AL759" s="3"/>
    </row>
    <row r="760" spans="12:38" x14ac:dyDescent="0.25">
      <c r="L760" s="2"/>
      <c r="M760" s="2"/>
      <c r="N760" s="2"/>
      <c r="AD760" s="3"/>
      <c r="AH760" s="3"/>
      <c r="AL760" s="3"/>
    </row>
    <row r="761" spans="12:38" x14ac:dyDescent="0.25">
      <c r="L761" s="2"/>
      <c r="M761" s="2"/>
      <c r="N761" s="2"/>
      <c r="AD761" s="3"/>
      <c r="AH761" s="3"/>
      <c r="AL761" s="3"/>
    </row>
    <row r="762" spans="12:38" x14ac:dyDescent="0.25">
      <c r="L762" s="2"/>
      <c r="M762" s="2"/>
      <c r="N762" s="2"/>
      <c r="AD762" s="3"/>
      <c r="AH762" s="3"/>
      <c r="AL762" s="3"/>
    </row>
    <row r="763" spans="12:38" x14ac:dyDescent="0.25">
      <c r="L763" s="2"/>
      <c r="M763" s="2"/>
      <c r="N763" s="2"/>
      <c r="AD763" s="3"/>
      <c r="AH763" s="3"/>
      <c r="AL763" s="3"/>
    </row>
    <row r="764" spans="12:38" x14ac:dyDescent="0.25">
      <c r="L764" s="2"/>
      <c r="M764" s="2"/>
      <c r="N764" s="2"/>
      <c r="AD764" s="3"/>
      <c r="AH764" s="3"/>
      <c r="AL764" s="3"/>
    </row>
    <row r="765" spans="12:38" x14ac:dyDescent="0.25">
      <c r="L765" s="2"/>
      <c r="M765" s="2"/>
      <c r="N765" s="2"/>
      <c r="AD765" s="3"/>
      <c r="AH765" s="3"/>
      <c r="AL765" s="3"/>
    </row>
    <row r="766" spans="12:38" x14ac:dyDescent="0.25">
      <c r="L766" s="2"/>
      <c r="M766" s="2"/>
      <c r="N766" s="2"/>
      <c r="AD766" s="3"/>
      <c r="AH766" s="3"/>
      <c r="AL766" s="3"/>
    </row>
    <row r="767" spans="12:38" x14ac:dyDescent="0.25">
      <c r="L767" s="2"/>
      <c r="M767" s="2"/>
      <c r="N767" s="2"/>
      <c r="AD767" s="3"/>
      <c r="AH767" s="3"/>
      <c r="AL767" s="3"/>
    </row>
    <row r="768" spans="12:38" x14ac:dyDescent="0.25">
      <c r="L768" s="2"/>
      <c r="M768" s="2"/>
      <c r="N768" s="2"/>
      <c r="AD768" s="3"/>
      <c r="AH768" s="3"/>
      <c r="AL768" s="3"/>
    </row>
    <row r="769" spans="12:38" x14ac:dyDescent="0.25">
      <c r="L769" s="2"/>
      <c r="M769" s="2"/>
      <c r="N769" s="2"/>
      <c r="AD769" s="3"/>
      <c r="AH769" s="3"/>
      <c r="AL769" s="3"/>
    </row>
    <row r="770" spans="12:38" x14ac:dyDescent="0.25">
      <c r="L770" s="2"/>
      <c r="M770" s="2"/>
      <c r="N770" s="2"/>
      <c r="AD770" s="3"/>
      <c r="AH770" s="3"/>
      <c r="AL770" s="3"/>
    </row>
    <row r="771" spans="12:38" x14ac:dyDescent="0.25">
      <c r="L771" s="2"/>
      <c r="M771" s="2"/>
      <c r="N771" s="2"/>
      <c r="AD771" s="3"/>
      <c r="AH771" s="3"/>
      <c r="AL771" s="3"/>
    </row>
    <row r="772" spans="12:38" x14ac:dyDescent="0.25">
      <c r="L772" s="2"/>
      <c r="M772" s="2"/>
      <c r="N772" s="2"/>
      <c r="AD772" s="3"/>
      <c r="AH772" s="3"/>
      <c r="AL772" s="3"/>
    </row>
    <row r="773" spans="12:38" x14ac:dyDescent="0.25">
      <c r="L773" s="2"/>
      <c r="M773" s="2"/>
      <c r="N773" s="2"/>
      <c r="AD773" s="3"/>
      <c r="AH773" s="3"/>
      <c r="AL773" s="3"/>
    </row>
    <row r="774" spans="12:38" x14ac:dyDescent="0.25">
      <c r="L774" s="2"/>
      <c r="M774" s="2"/>
      <c r="N774" s="2"/>
      <c r="AD774" s="3"/>
      <c r="AH774" s="3"/>
      <c r="AL774" s="3"/>
    </row>
    <row r="775" spans="12:38" x14ac:dyDescent="0.25">
      <c r="L775" s="2"/>
      <c r="M775" s="2"/>
      <c r="N775" s="2"/>
      <c r="AD775" s="3"/>
      <c r="AH775" s="3"/>
      <c r="AL775" s="3"/>
    </row>
    <row r="776" spans="12:38" x14ac:dyDescent="0.25">
      <c r="L776" s="2"/>
      <c r="M776" s="2"/>
      <c r="N776" s="2"/>
      <c r="AD776" s="3"/>
      <c r="AH776" s="3"/>
      <c r="AL776" s="3"/>
    </row>
    <row r="777" spans="12:38" x14ac:dyDescent="0.25">
      <c r="L777" s="2"/>
      <c r="M777" s="2"/>
      <c r="N777" s="2"/>
      <c r="AD777" s="3"/>
      <c r="AH777" s="3"/>
      <c r="AL777" s="3"/>
    </row>
    <row r="778" spans="12:38" x14ac:dyDescent="0.25">
      <c r="L778" s="2"/>
      <c r="M778" s="2"/>
      <c r="N778" s="2"/>
      <c r="AD778" s="3"/>
      <c r="AH778" s="3"/>
      <c r="AL778" s="3"/>
    </row>
    <row r="779" spans="12:38" x14ac:dyDescent="0.25">
      <c r="L779" s="2"/>
      <c r="M779" s="2"/>
      <c r="N779" s="2"/>
      <c r="AD779" s="3"/>
      <c r="AH779" s="3"/>
      <c r="AL779" s="3"/>
    </row>
    <row r="780" spans="12:38" x14ac:dyDescent="0.25">
      <c r="L780" s="2"/>
      <c r="M780" s="2"/>
      <c r="N780" s="2"/>
      <c r="AD780" s="3"/>
      <c r="AH780" s="3"/>
      <c r="AL780" s="3"/>
    </row>
    <row r="781" spans="12:38" x14ac:dyDescent="0.25">
      <c r="L781" s="2"/>
      <c r="M781" s="2"/>
      <c r="N781" s="2"/>
      <c r="AD781" s="3"/>
      <c r="AH781" s="3"/>
      <c r="AL781" s="3"/>
    </row>
    <row r="782" spans="12:38" x14ac:dyDescent="0.25">
      <c r="L782" s="2"/>
      <c r="M782" s="2"/>
      <c r="N782" s="2"/>
      <c r="AD782" s="3"/>
      <c r="AH782" s="3"/>
      <c r="AL782" s="3"/>
    </row>
    <row r="783" spans="12:38" x14ac:dyDescent="0.25">
      <c r="L783" s="2"/>
      <c r="M783" s="2"/>
      <c r="N783" s="2"/>
      <c r="AD783" s="3"/>
      <c r="AH783" s="3"/>
      <c r="AL783" s="3"/>
    </row>
    <row r="784" spans="12:38" x14ac:dyDescent="0.25">
      <c r="L784" s="2"/>
      <c r="M784" s="2"/>
      <c r="N784" s="2"/>
      <c r="AD784" s="3"/>
      <c r="AH784" s="3"/>
      <c r="AL784" s="3"/>
    </row>
    <row r="785" spans="12:38" x14ac:dyDescent="0.25">
      <c r="L785" s="2"/>
      <c r="M785" s="2"/>
      <c r="N785" s="2"/>
      <c r="AD785" s="3"/>
      <c r="AH785" s="3"/>
      <c r="AL785" s="3"/>
    </row>
    <row r="786" spans="12:38" x14ac:dyDescent="0.25">
      <c r="L786" s="2"/>
      <c r="M786" s="2"/>
      <c r="N786" s="2"/>
      <c r="AD786" s="3"/>
      <c r="AH786" s="3"/>
      <c r="AL786" s="3"/>
    </row>
    <row r="787" spans="12:38" x14ac:dyDescent="0.25">
      <c r="L787" s="2"/>
      <c r="M787" s="2"/>
      <c r="N787" s="2"/>
      <c r="AD787" s="3"/>
      <c r="AH787" s="3"/>
      <c r="AL787" s="3"/>
    </row>
    <row r="788" spans="12:38" x14ac:dyDescent="0.25">
      <c r="L788" s="2"/>
      <c r="M788" s="2"/>
      <c r="N788" s="2"/>
      <c r="AD788" s="3"/>
      <c r="AH788" s="3"/>
      <c r="AL788" s="3"/>
    </row>
    <row r="789" spans="12:38" x14ac:dyDescent="0.25">
      <c r="L789" s="2"/>
      <c r="M789" s="2"/>
      <c r="N789" s="2"/>
      <c r="AD789" s="3"/>
      <c r="AH789" s="3"/>
      <c r="AL789" s="3"/>
    </row>
    <row r="790" spans="12:38" x14ac:dyDescent="0.25">
      <c r="L790" s="2"/>
      <c r="M790" s="2"/>
      <c r="N790" s="2"/>
      <c r="AD790" s="3"/>
      <c r="AH790" s="3"/>
      <c r="AL790" s="3"/>
    </row>
    <row r="791" spans="12:38" x14ac:dyDescent="0.25">
      <c r="L791" s="2"/>
      <c r="M791" s="2"/>
      <c r="N791" s="2"/>
      <c r="AD791" s="3"/>
      <c r="AH791" s="3"/>
      <c r="AL791" s="3"/>
    </row>
    <row r="792" spans="12:38" x14ac:dyDescent="0.25">
      <c r="L792" s="2"/>
      <c r="M792" s="2"/>
      <c r="N792" s="2"/>
      <c r="AD792" s="3"/>
      <c r="AH792" s="3"/>
      <c r="AL792" s="3"/>
    </row>
    <row r="793" spans="12:38" x14ac:dyDescent="0.25">
      <c r="L793" s="2"/>
      <c r="M793" s="2"/>
      <c r="N793" s="2"/>
      <c r="AD793" s="3"/>
      <c r="AH793" s="3"/>
      <c r="AL793" s="3"/>
    </row>
    <row r="794" spans="12:38" x14ac:dyDescent="0.25">
      <c r="L794" s="2"/>
      <c r="M794" s="2"/>
      <c r="N794" s="2"/>
      <c r="AD794" s="3"/>
      <c r="AH794" s="3"/>
      <c r="AL794" s="3"/>
    </row>
    <row r="795" spans="12:38" x14ac:dyDescent="0.25">
      <c r="L795" s="2"/>
      <c r="M795" s="2"/>
      <c r="N795" s="2"/>
      <c r="AD795" s="3"/>
      <c r="AH795" s="3"/>
      <c r="AL795" s="3"/>
    </row>
    <row r="796" spans="12:38" x14ac:dyDescent="0.25">
      <c r="L796" s="2"/>
      <c r="M796" s="2"/>
      <c r="N796" s="2"/>
      <c r="AD796" s="3"/>
      <c r="AH796" s="3"/>
      <c r="AL796" s="3"/>
    </row>
    <row r="797" spans="12:38" x14ac:dyDescent="0.25">
      <c r="L797" s="2"/>
      <c r="M797" s="2"/>
      <c r="N797" s="2"/>
      <c r="AD797" s="3"/>
      <c r="AH797" s="3"/>
      <c r="AL797" s="3"/>
    </row>
    <row r="798" spans="12:38" x14ac:dyDescent="0.25">
      <c r="L798" s="2"/>
      <c r="M798" s="2"/>
      <c r="N798" s="2"/>
      <c r="AD798" s="3"/>
      <c r="AH798" s="3"/>
      <c r="AL798" s="3"/>
    </row>
    <row r="799" spans="12:38" x14ac:dyDescent="0.25">
      <c r="L799" s="2"/>
      <c r="M799" s="2"/>
      <c r="N799" s="2"/>
      <c r="AD799" s="3"/>
      <c r="AH799" s="3"/>
      <c r="AL799" s="3"/>
    </row>
    <row r="800" spans="12:38" x14ac:dyDescent="0.25">
      <c r="L800" s="2"/>
      <c r="M800" s="2"/>
      <c r="N800" s="2"/>
      <c r="AD800" s="3"/>
      <c r="AH800" s="3"/>
      <c r="AL800" s="3"/>
    </row>
    <row r="801" spans="12:38" x14ac:dyDescent="0.25">
      <c r="L801" s="2"/>
      <c r="M801" s="2"/>
      <c r="N801" s="2"/>
      <c r="AD801" s="3"/>
      <c r="AH801" s="3"/>
      <c r="AL801" s="3"/>
    </row>
    <row r="802" spans="12:38" x14ac:dyDescent="0.25">
      <c r="L802" s="2"/>
      <c r="M802" s="2"/>
      <c r="N802" s="2"/>
      <c r="AD802" s="3"/>
      <c r="AH802" s="3"/>
      <c r="AL802" s="3"/>
    </row>
    <row r="803" spans="12:38" x14ac:dyDescent="0.25">
      <c r="L803" s="2"/>
      <c r="M803" s="2"/>
      <c r="N803" s="2"/>
      <c r="AD803" s="3"/>
      <c r="AH803" s="3"/>
      <c r="AL803" s="3"/>
    </row>
    <row r="804" spans="12:38" x14ac:dyDescent="0.25">
      <c r="L804" s="2"/>
      <c r="M804" s="2"/>
      <c r="N804" s="2"/>
      <c r="AD804" s="3"/>
      <c r="AH804" s="3"/>
      <c r="AL804" s="3"/>
    </row>
    <row r="805" spans="12:38" x14ac:dyDescent="0.25">
      <c r="L805" s="2"/>
      <c r="M805" s="2"/>
      <c r="N805" s="2"/>
      <c r="AD805" s="3"/>
      <c r="AH805" s="3"/>
      <c r="AL805" s="3"/>
    </row>
    <row r="806" spans="12:38" x14ac:dyDescent="0.25">
      <c r="L806" s="2"/>
      <c r="M806" s="2"/>
      <c r="N806" s="2"/>
      <c r="AD806" s="3"/>
      <c r="AH806" s="3"/>
      <c r="AL806" s="3"/>
    </row>
    <row r="807" spans="12:38" x14ac:dyDescent="0.25">
      <c r="L807" s="2"/>
      <c r="M807" s="2"/>
      <c r="N807" s="2"/>
      <c r="AD807" s="3"/>
      <c r="AH807" s="3"/>
      <c r="AL807" s="3"/>
    </row>
    <row r="808" spans="12:38" x14ac:dyDescent="0.25">
      <c r="L808" s="2"/>
      <c r="M808" s="2"/>
      <c r="N808" s="2"/>
      <c r="AD808" s="3"/>
      <c r="AH808" s="3"/>
      <c r="AL808" s="3"/>
    </row>
    <row r="809" spans="12:38" x14ac:dyDescent="0.25">
      <c r="L809" s="2"/>
      <c r="M809" s="2"/>
      <c r="N809" s="2"/>
      <c r="AD809" s="3"/>
      <c r="AH809" s="3"/>
      <c r="AL809" s="3"/>
    </row>
    <row r="810" spans="12:38" x14ac:dyDescent="0.25">
      <c r="L810" s="2"/>
      <c r="M810" s="2"/>
      <c r="N810" s="2"/>
      <c r="AD810" s="3"/>
      <c r="AH810" s="3"/>
      <c r="AL810" s="3"/>
    </row>
    <row r="811" spans="12:38" x14ac:dyDescent="0.25">
      <c r="L811" s="2"/>
      <c r="M811" s="2"/>
      <c r="N811" s="2"/>
      <c r="AD811" s="3"/>
      <c r="AH811" s="3"/>
      <c r="AL811" s="3"/>
    </row>
    <row r="812" spans="12:38" x14ac:dyDescent="0.25">
      <c r="L812" s="2"/>
      <c r="M812" s="2"/>
      <c r="N812" s="2"/>
      <c r="AD812" s="3"/>
      <c r="AH812" s="3"/>
      <c r="AL812" s="3"/>
    </row>
    <row r="813" spans="12:38" x14ac:dyDescent="0.25">
      <c r="L813" s="2"/>
      <c r="M813" s="2"/>
      <c r="N813" s="2"/>
      <c r="AD813" s="3"/>
      <c r="AH813" s="3"/>
      <c r="AL813" s="3"/>
    </row>
    <row r="814" spans="12:38" x14ac:dyDescent="0.25">
      <c r="L814" s="2"/>
      <c r="M814" s="2"/>
      <c r="N814" s="2"/>
      <c r="AD814" s="3"/>
      <c r="AH814" s="3"/>
      <c r="AL814" s="3"/>
    </row>
    <row r="815" spans="12:38" x14ac:dyDescent="0.25">
      <c r="L815" s="2"/>
      <c r="M815" s="2"/>
      <c r="N815" s="2"/>
      <c r="AD815" s="3"/>
      <c r="AH815" s="3"/>
      <c r="AL815" s="3"/>
    </row>
    <row r="816" spans="12:38" x14ac:dyDescent="0.25">
      <c r="L816" s="2"/>
      <c r="M816" s="2"/>
      <c r="N816" s="2"/>
      <c r="AD816" s="3"/>
      <c r="AH816" s="3"/>
      <c r="AL816" s="3"/>
    </row>
    <row r="817" spans="12:38" x14ac:dyDescent="0.25">
      <c r="L817" s="2"/>
      <c r="M817" s="2"/>
      <c r="N817" s="2"/>
      <c r="AD817" s="3"/>
      <c r="AH817" s="3"/>
      <c r="AL817" s="3"/>
    </row>
    <row r="818" spans="12:38" x14ac:dyDescent="0.25">
      <c r="L818" s="2"/>
      <c r="M818" s="2"/>
      <c r="N818" s="2"/>
      <c r="AD818" s="3"/>
      <c r="AH818" s="3"/>
      <c r="AL818" s="3"/>
    </row>
    <row r="819" spans="12:38" x14ac:dyDescent="0.25">
      <c r="L819" s="2"/>
      <c r="M819" s="2"/>
      <c r="N819" s="2"/>
      <c r="AD819" s="3"/>
      <c r="AH819" s="3"/>
      <c r="AL819" s="3"/>
    </row>
    <row r="820" spans="12:38" x14ac:dyDescent="0.25">
      <c r="L820" s="2"/>
      <c r="M820" s="2"/>
      <c r="N820" s="2"/>
      <c r="AD820" s="3"/>
      <c r="AH820" s="3"/>
      <c r="AL820" s="3"/>
    </row>
    <row r="821" spans="12:38" x14ac:dyDescent="0.25">
      <c r="L821" s="2"/>
      <c r="M821" s="2"/>
      <c r="N821" s="2"/>
      <c r="AD821" s="3"/>
      <c r="AH821" s="3"/>
      <c r="AL821" s="3"/>
    </row>
    <row r="822" spans="12:38" x14ac:dyDescent="0.25">
      <c r="L822" s="2"/>
      <c r="M822" s="2"/>
      <c r="N822" s="2"/>
      <c r="AD822" s="3"/>
      <c r="AH822" s="3"/>
      <c r="AL822" s="3"/>
    </row>
    <row r="823" spans="12:38" x14ac:dyDescent="0.25">
      <c r="L823" s="2"/>
      <c r="M823" s="2"/>
      <c r="N823" s="2"/>
      <c r="AD823" s="3"/>
      <c r="AH823" s="3"/>
      <c r="AL823" s="3"/>
    </row>
    <row r="824" spans="12:38" x14ac:dyDescent="0.25">
      <c r="L824" s="2"/>
      <c r="M824" s="2"/>
      <c r="N824" s="2"/>
      <c r="AD824" s="3"/>
      <c r="AH824" s="3"/>
      <c r="AL824" s="3"/>
    </row>
    <row r="825" spans="12:38" x14ac:dyDescent="0.25">
      <c r="L825" s="2"/>
      <c r="M825" s="2"/>
      <c r="N825" s="2"/>
      <c r="AD825" s="3"/>
      <c r="AH825" s="3"/>
      <c r="AL825" s="3"/>
    </row>
    <row r="826" spans="12:38" x14ac:dyDescent="0.25">
      <c r="L826" s="2"/>
      <c r="M826" s="2"/>
      <c r="N826" s="2"/>
      <c r="AD826" s="3"/>
      <c r="AH826" s="3"/>
      <c r="AL826" s="3"/>
    </row>
    <row r="827" spans="12:38" x14ac:dyDescent="0.25">
      <c r="L827" s="2"/>
      <c r="M827" s="2"/>
      <c r="N827" s="2"/>
      <c r="AD827" s="3"/>
      <c r="AH827" s="3"/>
      <c r="AL827" s="3"/>
    </row>
    <row r="828" spans="12:38" x14ac:dyDescent="0.25">
      <c r="L828" s="2"/>
      <c r="M828" s="2"/>
      <c r="N828" s="2"/>
      <c r="AD828" s="3"/>
      <c r="AH828" s="3"/>
      <c r="AL828" s="3"/>
    </row>
    <row r="829" spans="12:38" x14ac:dyDescent="0.25">
      <c r="L829" s="2"/>
      <c r="M829" s="2"/>
      <c r="N829" s="2"/>
      <c r="AD829" s="3"/>
      <c r="AH829" s="3"/>
      <c r="AL829" s="3"/>
    </row>
    <row r="830" spans="12:38" x14ac:dyDescent="0.25">
      <c r="L830" s="2"/>
      <c r="M830" s="2"/>
      <c r="N830" s="2"/>
      <c r="AD830" s="3"/>
      <c r="AH830" s="3"/>
      <c r="AL830" s="3"/>
    </row>
    <row r="831" spans="12:38" x14ac:dyDescent="0.25">
      <c r="L831" s="2"/>
      <c r="M831" s="2"/>
      <c r="N831" s="2"/>
      <c r="AD831" s="3"/>
      <c r="AH831" s="3"/>
      <c r="AL831" s="3"/>
    </row>
    <row r="832" spans="12:38" x14ac:dyDescent="0.25">
      <c r="L832" s="2"/>
      <c r="M832" s="2"/>
      <c r="N832" s="2"/>
      <c r="AD832" s="3"/>
      <c r="AH832" s="3"/>
      <c r="AL832" s="3"/>
    </row>
    <row r="833" spans="12:38" x14ac:dyDescent="0.25">
      <c r="L833" s="2"/>
      <c r="M833" s="2"/>
      <c r="N833" s="2"/>
      <c r="AD833" s="3"/>
      <c r="AH833" s="3"/>
      <c r="AL833" s="3"/>
    </row>
    <row r="834" spans="12:38" x14ac:dyDescent="0.25">
      <c r="L834" s="2"/>
      <c r="M834" s="2"/>
      <c r="N834" s="2"/>
      <c r="AD834" s="3"/>
      <c r="AH834" s="3"/>
      <c r="AL834" s="3"/>
    </row>
    <row r="835" spans="12:38" x14ac:dyDescent="0.25">
      <c r="L835" s="2"/>
      <c r="M835" s="2"/>
      <c r="N835" s="2"/>
      <c r="AD835" s="3"/>
      <c r="AH835" s="3"/>
      <c r="AL835" s="3"/>
    </row>
    <row r="836" spans="12:38" x14ac:dyDescent="0.25">
      <c r="L836" s="2"/>
      <c r="M836" s="2"/>
      <c r="N836" s="2"/>
      <c r="AD836" s="3"/>
      <c r="AH836" s="3"/>
      <c r="AL836" s="3"/>
    </row>
    <row r="837" spans="12:38" x14ac:dyDescent="0.25">
      <c r="L837" s="2"/>
      <c r="M837" s="2"/>
      <c r="N837" s="2"/>
      <c r="AD837" s="3"/>
      <c r="AH837" s="3"/>
      <c r="AL837" s="3"/>
    </row>
    <row r="838" spans="12:38" x14ac:dyDescent="0.25">
      <c r="L838" s="2"/>
      <c r="M838" s="2"/>
      <c r="N838" s="2"/>
      <c r="AD838" s="3"/>
      <c r="AH838" s="3"/>
      <c r="AL838" s="3"/>
    </row>
    <row r="839" spans="12:38" x14ac:dyDescent="0.25">
      <c r="L839" s="2"/>
      <c r="M839" s="2"/>
      <c r="N839" s="2"/>
      <c r="AD839" s="3"/>
      <c r="AH839" s="3"/>
      <c r="AL839" s="3"/>
    </row>
    <row r="840" spans="12:38" x14ac:dyDescent="0.25">
      <c r="L840" s="2"/>
      <c r="M840" s="2"/>
      <c r="N840" s="2"/>
      <c r="AD840" s="3"/>
      <c r="AH840" s="3"/>
      <c r="AL840" s="3"/>
    </row>
    <row r="841" spans="12:38" x14ac:dyDescent="0.25">
      <c r="L841" s="2"/>
      <c r="M841" s="2"/>
      <c r="N841" s="2"/>
      <c r="AD841" s="3"/>
      <c r="AH841" s="3"/>
      <c r="AL841" s="3"/>
    </row>
    <row r="842" spans="12:38" x14ac:dyDescent="0.25">
      <c r="L842" s="2"/>
      <c r="M842" s="2"/>
      <c r="N842" s="2"/>
      <c r="AD842" s="3"/>
      <c r="AH842" s="3"/>
      <c r="AL842" s="3"/>
    </row>
    <row r="843" spans="12:38" x14ac:dyDescent="0.25">
      <c r="L843" s="2"/>
      <c r="M843" s="2"/>
      <c r="N843" s="2"/>
      <c r="AD843" s="3"/>
      <c r="AH843" s="3"/>
      <c r="AL843" s="3"/>
    </row>
    <row r="844" spans="12:38" x14ac:dyDescent="0.25">
      <c r="L844" s="2"/>
      <c r="M844" s="2"/>
      <c r="N844" s="2"/>
      <c r="AD844" s="3"/>
      <c r="AH844" s="3"/>
      <c r="AL844" s="3"/>
    </row>
    <row r="845" spans="12:38" x14ac:dyDescent="0.25">
      <c r="L845" s="2"/>
      <c r="M845" s="2"/>
      <c r="N845" s="2"/>
      <c r="AD845" s="3"/>
      <c r="AH845" s="3"/>
      <c r="AL845" s="3"/>
    </row>
    <row r="846" spans="12:38" x14ac:dyDescent="0.25">
      <c r="L846" s="2"/>
      <c r="M846" s="2"/>
      <c r="N846" s="2"/>
      <c r="AD846" s="3"/>
      <c r="AH846" s="3"/>
      <c r="AL846" s="3"/>
    </row>
    <row r="847" spans="12:38" x14ac:dyDescent="0.25">
      <c r="L847" s="2"/>
      <c r="M847" s="2"/>
      <c r="N847" s="2"/>
      <c r="AD847" s="3"/>
      <c r="AH847" s="3"/>
      <c r="AL847" s="3"/>
    </row>
    <row r="848" spans="12:38" x14ac:dyDescent="0.25">
      <c r="L848" s="2"/>
      <c r="M848" s="2"/>
      <c r="N848" s="2"/>
      <c r="AD848" s="3"/>
      <c r="AH848" s="3"/>
      <c r="AL848" s="3"/>
    </row>
    <row r="849" spans="12:38" x14ac:dyDescent="0.25">
      <c r="L849" s="2"/>
      <c r="M849" s="2"/>
      <c r="N849" s="2"/>
      <c r="AD849" s="3"/>
      <c r="AH849" s="3"/>
      <c r="AL849" s="3"/>
    </row>
    <row r="850" spans="12:38" x14ac:dyDescent="0.25">
      <c r="L850" s="2"/>
      <c r="M850" s="2"/>
      <c r="N850" s="2"/>
      <c r="AD850" s="3"/>
      <c r="AH850" s="3"/>
      <c r="AL850" s="3"/>
    </row>
    <row r="851" spans="12:38" x14ac:dyDescent="0.25">
      <c r="L851" s="2"/>
      <c r="M851" s="2"/>
      <c r="N851" s="2"/>
      <c r="AD851" s="3"/>
      <c r="AH851" s="3"/>
      <c r="AL851" s="3"/>
    </row>
    <row r="852" spans="12:38" x14ac:dyDescent="0.25">
      <c r="L852" s="2"/>
      <c r="M852" s="2"/>
      <c r="N852" s="2"/>
      <c r="AD852" s="3"/>
      <c r="AH852" s="3"/>
      <c r="AL852" s="3"/>
    </row>
    <row r="853" spans="12:38" x14ac:dyDescent="0.25">
      <c r="L853" s="2"/>
      <c r="M853" s="2"/>
      <c r="N853" s="2"/>
      <c r="AD853" s="3"/>
      <c r="AH853" s="3"/>
      <c r="AL853" s="3"/>
    </row>
    <row r="854" spans="12:38" x14ac:dyDescent="0.25">
      <c r="L854" s="2"/>
      <c r="M854" s="2"/>
      <c r="N854" s="2"/>
      <c r="AD854" s="3"/>
      <c r="AH854" s="3"/>
      <c r="AL854" s="3"/>
    </row>
    <row r="855" spans="12:38" x14ac:dyDescent="0.25">
      <c r="L855" s="2"/>
      <c r="M855" s="2"/>
      <c r="N855" s="2"/>
      <c r="AD855" s="3"/>
      <c r="AH855" s="3"/>
      <c r="AL855" s="3"/>
    </row>
    <row r="856" spans="12:38" x14ac:dyDescent="0.25">
      <c r="L856" s="2"/>
      <c r="M856" s="2"/>
      <c r="N856" s="2"/>
      <c r="AD856" s="3"/>
      <c r="AH856" s="3"/>
      <c r="AL856" s="3"/>
    </row>
    <row r="857" spans="12:38" x14ac:dyDescent="0.25">
      <c r="L857" s="2"/>
      <c r="M857" s="2"/>
      <c r="N857" s="2"/>
      <c r="AD857" s="3"/>
      <c r="AH857" s="3"/>
      <c r="AL857" s="3"/>
    </row>
    <row r="858" spans="12:38" x14ac:dyDescent="0.25">
      <c r="L858" s="2"/>
      <c r="M858" s="2"/>
      <c r="N858" s="2"/>
      <c r="AD858" s="3"/>
      <c r="AH858" s="3"/>
      <c r="AL858" s="3"/>
    </row>
    <row r="859" spans="12:38" x14ac:dyDescent="0.25">
      <c r="L859" s="2"/>
      <c r="M859" s="2"/>
      <c r="N859" s="2"/>
      <c r="AD859" s="3"/>
      <c r="AH859" s="3"/>
      <c r="AL859" s="3"/>
    </row>
    <row r="860" spans="12:38" x14ac:dyDescent="0.25">
      <c r="L860" s="2"/>
      <c r="M860" s="2"/>
      <c r="N860" s="2"/>
      <c r="AD860" s="3"/>
      <c r="AH860" s="3"/>
      <c r="AL860" s="3"/>
    </row>
    <row r="861" spans="12:38" x14ac:dyDescent="0.25">
      <c r="L861" s="2"/>
      <c r="M861" s="2"/>
      <c r="N861" s="2"/>
      <c r="AD861" s="3"/>
      <c r="AH861" s="3"/>
      <c r="AL861" s="3"/>
    </row>
    <row r="862" spans="12:38" x14ac:dyDescent="0.25">
      <c r="L862" s="2"/>
      <c r="M862" s="2"/>
      <c r="N862" s="2"/>
      <c r="AD862" s="3"/>
      <c r="AH862" s="3"/>
      <c r="AL862" s="3"/>
    </row>
    <row r="863" spans="12:38" x14ac:dyDescent="0.25">
      <c r="L863" s="2"/>
      <c r="M863" s="2"/>
      <c r="N863" s="2"/>
      <c r="AD863" s="3"/>
      <c r="AH863" s="3"/>
      <c r="AL863" s="3"/>
    </row>
    <row r="864" spans="12:38" x14ac:dyDescent="0.25">
      <c r="L864" s="2"/>
      <c r="M864" s="2"/>
      <c r="N864" s="2"/>
      <c r="AD864" s="3"/>
      <c r="AH864" s="3"/>
      <c r="AL864" s="3"/>
    </row>
    <row r="865" spans="12:38" x14ac:dyDescent="0.25">
      <c r="L865" s="2"/>
      <c r="M865" s="2"/>
      <c r="N865" s="2"/>
      <c r="AD865" s="3"/>
      <c r="AH865" s="3"/>
      <c r="AL865" s="3"/>
    </row>
    <row r="866" spans="12:38" x14ac:dyDescent="0.25">
      <c r="L866" s="2"/>
      <c r="M866" s="2"/>
      <c r="N866" s="2"/>
      <c r="AD866" s="3"/>
      <c r="AH866" s="3"/>
      <c r="AL866" s="3"/>
    </row>
    <row r="867" spans="12:38" x14ac:dyDescent="0.25">
      <c r="L867" s="2"/>
      <c r="M867" s="2"/>
      <c r="N867" s="2"/>
      <c r="AD867" s="3"/>
      <c r="AH867" s="3"/>
      <c r="AL867" s="3"/>
    </row>
    <row r="868" spans="12:38" x14ac:dyDescent="0.25">
      <c r="L868" s="2"/>
      <c r="M868" s="2"/>
      <c r="N868" s="2"/>
      <c r="AD868" s="3"/>
      <c r="AH868" s="3"/>
      <c r="AL868" s="3"/>
    </row>
    <row r="869" spans="12:38" x14ac:dyDescent="0.25">
      <c r="L869" s="2"/>
      <c r="M869" s="2"/>
      <c r="N869" s="2"/>
      <c r="AD869" s="3"/>
      <c r="AH869" s="3"/>
      <c r="AL869" s="3"/>
    </row>
    <row r="870" spans="12:38" x14ac:dyDescent="0.25">
      <c r="L870" s="2"/>
      <c r="M870" s="2"/>
      <c r="N870" s="2"/>
      <c r="AD870" s="3"/>
      <c r="AH870" s="3"/>
      <c r="AL870" s="3"/>
    </row>
    <row r="871" spans="12:38" x14ac:dyDescent="0.25">
      <c r="L871" s="2"/>
      <c r="M871" s="2"/>
      <c r="N871" s="2"/>
      <c r="AD871" s="3"/>
      <c r="AH871" s="3"/>
      <c r="AL871" s="3"/>
    </row>
    <row r="872" spans="12:38" x14ac:dyDescent="0.25">
      <c r="L872" s="2"/>
      <c r="M872" s="2"/>
      <c r="N872" s="2"/>
      <c r="AD872" s="3"/>
      <c r="AH872" s="3"/>
      <c r="AL872" s="3"/>
    </row>
    <row r="873" spans="12:38" x14ac:dyDescent="0.25">
      <c r="L873" s="2"/>
      <c r="M873" s="2"/>
      <c r="N873" s="2"/>
      <c r="AD873" s="3"/>
      <c r="AH873" s="3"/>
      <c r="AL873" s="3"/>
    </row>
    <row r="874" spans="12:38" x14ac:dyDescent="0.25">
      <c r="L874" s="2"/>
      <c r="M874" s="2"/>
      <c r="N874" s="2"/>
      <c r="AD874" s="3"/>
      <c r="AH874" s="3"/>
      <c r="AL874" s="3"/>
    </row>
    <row r="875" spans="12:38" x14ac:dyDescent="0.25">
      <c r="L875" s="2"/>
      <c r="M875" s="2"/>
      <c r="N875" s="2"/>
      <c r="AD875" s="3"/>
      <c r="AH875" s="3"/>
      <c r="AL875" s="3"/>
    </row>
    <row r="876" spans="12:38" x14ac:dyDescent="0.25">
      <c r="L876" s="2"/>
      <c r="M876" s="2"/>
      <c r="N876" s="2"/>
      <c r="AD876" s="3"/>
      <c r="AH876" s="3"/>
      <c r="AL876" s="3"/>
    </row>
    <row r="877" spans="12:38" x14ac:dyDescent="0.25">
      <c r="L877" s="2"/>
      <c r="M877" s="2"/>
      <c r="N877" s="2"/>
      <c r="AD877" s="3"/>
      <c r="AH877" s="3"/>
      <c r="AL877" s="3"/>
    </row>
    <row r="878" spans="12:38" x14ac:dyDescent="0.25">
      <c r="L878" s="2"/>
      <c r="M878" s="2"/>
      <c r="N878" s="2"/>
      <c r="AD878" s="3"/>
      <c r="AH878" s="3"/>
      <c r="AL878" s="3"/>
    </row>
    <row r="879" spans="12:38" x14ac:dyDescent="0.25">
      <c r="L879" s="2"/>
      <c r="M879" s="2"/>
      <c r="N879" s="2"/>
      <c r="AD879" s="3"/>
      <c r="AH879" s="3"/>
      <c r="AL879" s="3"/>
    </row>
    <row r="880" spans="12:38" x14ac:dyDescent="0.25">
      <c r="L880" s="2"/>
      <c r="M880" s="2"/>
      <c r="N880" s="2"/>
      <c r="AD880" s="3"/>
      <c r="AH880" s="3"/>
      <c r="AL880" s="3"/>
    </row>
    <row r="881" spans="12:38" x14ac:dyDescent="0.25">
      <c r="L881" s="2"/>
      <c r="M881" s="2"/>
      <c r="N881" s="2"/>
      <c r="AD881" s="3"/>
      <c r="AH881" s="3"/>
      <c r="AL881" s="3"/>
    </row>
    <row r="882" spans="12:38" x14ac:dyDescent="0.25">
      <c r="L882" s="2"/>
      <c r="M882" s="2"/>
      <c r="N882" s="2"/>
      <c r="AD882" s="3"/>
      <c r="AH882" s="3"/>
      <c r="AL882" s="3"/>
    </row>
    <row r="883" spans="12:38" x14ac:dyDescent="0.25">
      <c r="L883" s="2"/>
      <c r="M883" s="2"/>
      <c r="N883" s="2"/>
      <c r="AD883" s="3"/>
      <c r="AH883" s="3"/>
      <c r="AL883" s="3"/>
    </row>
    <row r="884" spans="12:38" x14ac:dyDescent="0.25">
      <c r="L884" s="2"/>
      <c r="M884" s="2"/>
      <c r="N884" s="2"/>
      <c r="AD884" s="3"/>
      <c r="AH884" s="3"/>
      <c r="AL884" s="3"/>
    </row>
    <row r="885" spans="12:38" x14ac:dyDescent="0.25">
      <c r="L885" s="2"/>
      <c r="M885" s="2"/>
      <c r="N885" s="2"/>
      <c r="AD885" s="3"/>
      <c r="AH885" s="3"/>
      <c r="AL885" s="3"/>
    </row>
    <row r="886" spans="12:38" x14ac:dyDescent="0.25">
      <c r="L886" s="2"/>
      <c r="M886" s="2"/>
      <c r="N886" s="2"/>
      <c r="AD886" s="3"/>
      <c r="AH886" s="3"/>
      <c r="AL886" s="3"/>
    </row>
    <row r="887" spans="12:38" x14ac:dyDescent="0.25">
      <c r="L887" s="2"/>
      <c r="M887" s="2"/>
      <c r="N887" s="2"/>
      <c r="AD887" s="3"/>
      <c r="AH887" s="3"/>
      <c r="AL887" s="3"/>
    </row>
    <row r="888" spans="12:38" x14ac:dyDescent="0.25">
      <c r="L888" s="2"/>
      <c r="M888" s="2"/>
      <c r="N888" s="2"/>
      <c r="AD888" s="3"/>
      <c r="AH888" s="3"/>
      <c r="AL888" s="3"/>
    </row>
    <row r="889" spans="12:38" x14ac:dyDescent="0.25">
      <c r="L889" s="2"/>
      <c r="M889" s="2"/>
      <c r="N889" s="2"/>
      <c r="AD889" s="3"/>
      <c r="AH889" s="3"/>
      <c r="AL889" s="3"/>
    </row>
    <row r="890" spans="12:38" x14ac:dyDescent="0.25">
      <c r="L890" s="2"/>
      <c r="M890" s="2"/>
      <c r="N890" s="2"/>
      <c r="AD890" s="3"/>
      <c r="AH890" s="3"/>
      <c r="AL890" s="3"/>
    </row>
    <row r="891" spans="12:38" x14ac:dyDescent="0.25">
      <c r="L891" s="2"/>
      <c r="M891" s="2"/>
      <c r="N891" s="2"/>
      <c r="AD891" s="3"/>
      <c r="AH891" s="3"/>
      <c r="AL891" s="3"/>
    </row>
    <row r="892" spans="12:38" x14ac:dyDescent="0.25">
      <c r="L892" s="2"/>
      <c r="M892" s="2"/>
      <c r="N892" s="2"/>
      <c r="AD892" s="3"/>
      <c r="AH892" s="3"/>
      <c r="AL892" s="3"/>
    </row>
    <row r="893" spans="12:38" x14ac:dyDescent="0.25">
      <c r="L893" s="2"/>
      <c r="M893" s="2"/>
      <c r="N893" s="2"/>
      <c r="AD893" s="3"/>
      <c r="AH893" s="3"/>
      <c r="AL893" s="3"/>
    </row>
    <row r="894" spans="12:38" x14ac:dyDescent="0.25">
      <c r="L894" s="2"/>
      <c r="M894" s="2"/>
      <c r="N894" s="2"/>
      <c r="AD894" s="3"/>
      <c r="AH894" s="3"/>
      <c r="AL894" s="3"/>
    </row>
    <row r="895" spans="12:38" x14ac:dyDescent="0.25">
      <c r="L895" s="2"/>
      <c r="M895" s="2"/>
      <c r="N895" s="2"/>
      <c r="AD895" s="3"/>
      <c r="AH895" s="3"/>
      <c r="AL895" s="3"/>
    </row>
    <row r="896" spans="12:38" x14ac:dyDescent="0.25">
      <c r="L896" s="2"/>
      <c r="M896" s="2"/>
      <c r="N896" s="2"/>
      <c r="AD896" s="3"/>
      <c r="AH896" s="3"/>
      <c r="AL896" s="3"/>
    </row>
    <row r="897" spans="12:38" x14ac:dyDescent="0.25">
      <c r="L897" s="2"/>
      <c r="M897" s="2"/>
      <c r="N897" s="2"/>
      <c r="AD897" s="3"/>
      <c r="AH897" s="3"/>
      <c r="AL897" s="3"/>
    </row>
    <row r="898" spans="12:38" x14ac:dyDescent="0.25">
      <c r="L898" s="2"/>
      <c r="M898" s="2"/>
      <c r="N898" s="2"/>
      <c r="AD898" s="3"/>
      <c r="AH898" s="3"/>
      <c r="AL898" s="3"/>
    </row>
    <row r="899" spans="12:38" x14ac:dyDescent="0.25">
      <c r="L899" s="2"/>
      <c r="M899" s="2"/>
      <c r="N899" s="2"/>
      <c r="AD899" s="3"/>
      <c r="AH899" s="3"/>
      <c r="AL899" s="3"/>
    </row>
    <row r="900" spans="12:38" x14ac:dyDescent="0.25">
      <c r="L900" s="2"/>
      <c r="M900" s="2"/>
      <c r="N900" s="2"/>
      <c r="AD900" s="3"/>
      <c r="AH900" s="3"/>
      <c r="AL900" s="3"/>
    </row>
    <row r="901" spans="12:38" x14ac:dyDescent="0.25">
      <c r="L901" s="2"/>
      <c r="M901" s="2"/>
      <c r="N901" s="2"/>
      <c r="AD901" s="3"/>
      <c r="AH901" s="3"/>
      <c r="AL901" s="3"/>
    </row>
    <row r="902" spans="12:38" x14ac:dyDescent="0.25">
      <c r="L902" s="2"/>
      <c r="M902" s="2"/>
      <c r="N902" s="2"/>
      <c r="AD902" s="3"/>
      <c r="AH902" s="3"/>
      <c r="AL902" s="3"/>
    </row>
    <row r="903" spans="12:38" x14ac:dyDescent="0.25">
      <c r="L903" s="2"/>
      <c r="M903" s="2"/>
      <c r="N903" s="2"/>
      <c r="AD903" s="3"/>
      <c r="AH903" s="3"/>
      <c r="AL903" s="3"/>
    </row>
    <row r="904" spans="12:38" x14ac:dyDescent="0.25">
      <c r="L904" s="2"/>
      <c r="M904" s="2"/>
      <c r="N904" s="2"/>
      <c r="AD904" s="3"/>
      <c r="AH904" s="3"/>
      <c r="AL904" s="3"/>
    </row>
    <row r="905" spans="12:38" x14ac:dyDescent="0.25">
      <c r="L905" s="2"/>
      <c r="M905" s="2"/>
      <c r="N905" s="2"/>
      <c r="AD905" s="3"/>
      <c r="AH905" s="3"/>
      <c r="AL905" s="3"/>
    </row>
    <row r="906" spans="12:38" x14ac:dyDescent="0.25">
      <c r="L906" s="2"/>
      <c r="M906" s="2"/>
      <c r="N906" s="2"/>
      <c r="AD906" s="3"/>
      <c r="AH906" s="3"/>
      <c r="AL906" s="3"/>
    </row>
    <row r="907" spans="12:38" x14ac:dyDescent="0.25">
      <c r="L907" s="2"/>
      <c r="M907" s="2"/>
      <c r="N907" s="2"/>
      <c r="AD907" s="3"/>
      <c r="AH907" s="3"/>
      <c r="AL907" s="3"/>
    </row>
    <row r="908" spans="12:38" x14ac:dyDescent="0.25">
      <c r="L908" s="2"/>
      <c r="M908" s="2"/>
      <c r="N908" s="2"/>
      <c r="AD908" s="3"/>
      <c r="AH908" s="3"/>
      <c r="AL908" s="3"/>
    </row>
    <row r="909" spans="12:38" x14ac:dyDescent="0.25">
      <c r="L909" s="2"/>
      <c r="M909" s="2"/>
      <c r="N909" s="2"/>
      <c r="AD909" s="3"/>
      <c r="AH909" s="3"/>
      <c r="AL909" s="3"/>
    </row>
    <row r="910" spans="12:38" x14ac:dyDescent="0.25">
      <c r="L910" s="2"/>
      <c r="M910" s="2"/>
      <c r="N910" s="2"/>
      <c r="AD910" s="3"/>
      <c r="AH910" s="3"/>
      <c r="AL910" s="3"/>
    </row>
    <row r="911" spans="12:38" x14ac:dyDescent="0.25">
      <c r="L911" s="2"/>
      <c r="M911" s="2"/>
      <c r="N911" s="2"/>
      <c r="AD911" s="3"/>
      <c r="AH911" s="3"/>
      <c r="AL911" s="3"/>
    </row>
    <row r="912" spans="12:38" x14ac:dyDescent="0.25">
      <c r="L912" s="2"/>
      <c r="M912" s="2"/>
      <c r="N912" s="2"/>
      <c r="AD912" s="3"/>
      <c r="AH912" s="3"/>
      <c r="AL912" s="3"/>
    </row>
    <row r="913" spans="12:38" x14ac:dyDescent="0.25">
      <c r="L913" s="2"/>
      <c r="M913" s="2"/>
      <c r="N913" s="2"/>
      <c r="AD913" s="3"/>
      <c r="AH913" s="3"/>
      <c r="AL913" s="3"/>
    </row>
    <row r="914" spans="12:38" x14ac:dyDescent="0.25">
      <c r="L914" s="2"/>
      <c r="M914" s="2"/>
      <c r="N914" s="2"/>
      <c r="AD914" s="3"/>
      <c r="AH914" s="3"/>
      <c r="AL914" s="3"/>
    </row>
    <row r="915" spans="12:38" x14ac:dyDescent="0.25">
      <c r="L915" s="2"/>
      <c r="M915" s="2"/>
      <c r="N915" s="2"/>
      <c r="AD915" s="3"/>
      <c r="AH915" s="3"/>
      <c r="AL915" s="3"/>
    </row>
    <row r="916" spans="12:38" x14ac:dyDescent="0.25">
      <c r="L916" s="2"/>
      <c r="M916" s="2"/>
      <c r="N916" s="2"/>
      <c r="AD916" s="3"/>
      <c r="AH916" s="3"/>
      <c r="AL916" s="3"/>
    </row>
    <row r="917" spans="12:38" x14ac:dyDescent="0.25">
      <c r="L917" s="2"/>
      <c r="M917" s="2"/>
      <c r="N917" s="2"/>
      <c r="AD917" s="3"/>
      <c r="AH917" s="3"/>
      <c r="AL917" s="3"/>
    </row>
    <row r="918" spans="12:38" x14ac:dyDescent="0.25">
      <c r="L918" s="2"/>
      <c r="M918" s="2"/>
      <c r="N918" s="2"/>
      <c r="AD918" s="3"/>
      <c r="AH918" s="3"/>
      <c r="AL918" s="3"/>
    </row>
    <row r="919" spans="12:38" x14ac:dyDescent="0.25">
      <c r="L919" s="2"/>
      <c r="M919" s="2"/>
      <c r="N919" s="2"/>
      <c r="AD919" s="3"/>
      <c r="AH919" s="3"/>
      <c r="AL919" s="3"/>
    </row>
    <row r="920" spans="12:38" x14ac:dyDescent="0.25">
      <c r="L920" s="2"/>
      <c r="M920" s="2"/>
      <c r="N920" s="2"/>
      <c r="AD920" s="3"/>
      <c r="AH920" s="3"/>
      <c r="AL920" s="3"/>
    </row>
    <row r="921" spans="12:38" x14ac:dyDescent="0.25">
      <c r="L921" s="2"/>
      <c r="M921" s="2"/>
      <c r="N921" s="2"/>
      <c r="AD921" s="3"/>
      <c r="AH921" s="3"/>
      <c r="AL921" s="3"/>
    </row>
    <row r="922" spans="12:38" x14ac:dyDescent="0.25">
      <c r="L922" s="2"/>
      <c r="M922" s="2"/>
      <c r="N922" s="2"/>
      <c r="AD922" s="3"/>
      <c r="AH922" s="3"/>
      <c r="AL922" s="3"/>
    </row>
    <row r="923" spans="12:38" x14ac:dyDescent="0.25">
      <c r="L923" s="2"/>
      <c r="M923" s="2"/>
      <c r="N923" s="2"/>
      <c r="AD923" s="3"/>
      <c r="AH923" s="3"/>
      <c r="AL923" s="3"/>
    </row>
    <row r="924" spans="12:38" x14ac:dyDescent="0.25">
      <c r="L924" s="2"/>
      <c r="M924" s="2"/>
      <c r="N924" s="2"/>
      <c r="AD924" s="3"/>
      <c r="AH924" s="3"/>
      <c r="AL924" s="3"/>
    </row>
    <row r="925" spans="12:38" x14ac:dyDescent="0.25">
      <c r="L925" s="2"/>
      <c r="M925" s="2"/>
      <c r="N925" s="2"/>
      <c r="AD925" s="3"/>
      <c r="AH925" s="3"/>
      <c r="AL925" s="3"/>
    </row>
    <row r="926" spans="12:38" x14ac:dyDescent="0.25">
      <c r="L926" s="2"/>
      <c r="M926" s="2"/>
      <c r="N926" s="2"/>
      <c r="AD926" s="3"/>
      <c r="AH926" s="3"/>
      <c r="AL926" s="3"/>
    </row>
    <row r="927" spans="12:38" x14ac:dyDescent="0.25">
      <c r="L927" s="2"/>
      <c r="M927" s="2"/>
      <c r="N927" s="2"/>
      <c r="AD927" s="3"/>
      <c r="AH927" s="3"/>
      <c r="AL927" s="3"/>
    </row>
    <row r="928" spans="12:38" x14ac:dyDescent="0.25">
      <c r="L928" s="2"/>
      <c r="M928" s="2"/>
      <c r="N928" s="2"/>
      <c r="AD928" s="3"/>
      <c r="AH928" s="3"/>
      <c r="AL928" s="3"/>
    </row>
    <row r="929" spans="12:38" x14ac:dyDescent="0.25">
      <c r="L929" s="2"/>
      <c r="M929" s="2"/>
      <c r="N929" s="2"/>
      <c r="AD929" s="3"/>
      <c r="AH929" s="3"/>
      <c r="AL929" s="3"/>
    </row>
    <row r="930" spans="12:38" x14ac:dyDescent="0.25">
      <c r="L930" s="2"/>
      <c r="M930" s="2"/>
      <c r="N930" s="2"/>
      <c r="AD930" s="3"/>
      <c r="AH930" s="3"/>
      <c r="AL930" s="3"/>
    </row>
    <row r="931" spans="12:38" x14ac:dyDescent="0.25">
      <c r="L931" s="2"/>
      <c r="M931" s="2"/>
      <c r="N931" s="2"/>
      <c r="AD931" s="3"/>
      <c r="AH931" s="3"/>
      <c r="AL931" s="3"/>
    </row>
    <row r="932" spans="12:38" x14ac:dyDescent="0.25">
      <c r="L932" s="2"/>
      <c r="M932" s="2"/>
      <c r="N932" s="2"/>
      <c r="AD932" s="3"/>
      <c r="AH932" s="3"/>
      <c r="AL932" s="3"/>
    </row>
    <row r="933" spans="12:38" x14ac:dyDescent="0.25">
      <c r="L933" s="2"/>
      <c r="M933" s="2"/>
      <c r="N933" s="2"/>
      <c r="AD933" s="3"/>
      <c r="AH933" s="3"/>
      <c r="AL933" s="3"/>
    </row>
    <row r="934" spans="12:38" x14ac:dyDescent="0.25">
      <c r="L934" s="2"/>
      <c r="M934" s="2"/>
      <c r="N934" s="2"/>
      <c r="AD934" s="3"/>
      <c r="AH934" s="3"/>
      <c r="AL934" s="3"/>
    </row>
    <row r="935" spans="12:38" x14ac:dyDescent="0.25">
      <c r="L935" s="2"/>
      <c r="M935" s="2"/>
      <c r="N935" s="2"/>
      <c r="AD935" s="3"/>
      <c r="AH935" s="3"/>
      <c r="AL935" s="3"/>
    </row>
    <row r="936" spans="12:38" x14ac:dyDescent="0.25">
      <c r="L936" s="2"/>
      <c r="M936" s="2"/>
      <c r="N936" s="2"/>
      <c r="AD936" s="3"/>
      <c r="AH936" s="3"/>
      <c r="AL936" s="3"/>
    </row>
    <row r="937" spans="12:38" x14ac:dyDescent="0.25">
      <c r="L937" s="2"/>
      <c r="M937" s="2"/>
      <c r="N937" s="2"/>
      <c r="AD937" s="3"/>
      <c r="AH937" s="3"/>
      <c r="AL937" s="3"/>
    </row>
    <row r="938" spans="12:38" x14ac:dyDescent="0.25">
      <c r="L938" s="2"/>
      <c r="M938" s="2"/>
      <c r="N938" s="2"/>
      <c r="AD938" s="3"/>
      <c r="AH938" s="3"/>
      <c r="AL938" s="3"/>
    </row>
    <row r="939" spans="12:38" x14ac:dyDescent="0.25">
      <c r="L939" s="2"/>
      <c r="M939" s="2"/>
      <c r="N939" s="2"/>
      <c r="AD939" s="3"/>
      <c r="AH939" s="3"/>
      <c r="AL939" s="3"/>
    </row>
    <row r="940" spans="12:38" x14ac:dyDescent="0.25">
      <c r="L940" s="2"/>
      <c r="M940" s="2"/>
      <c r="N940" s="2"/>
      <c r="AD940" s="3"/>
      <c r="AH940" s="3"/>
      <c r="AL940" s="3"/>
    </row>
    <row r="941" spans="12:38" x14ac:dyDescent="0.25">
      <c r="L941" s="2"/>
      <c r="M941" s="2"/>
      <c r="N941" s="2"/>
      <c r="AD941" s="3"/>
      <c r="AH941" s="3"/>
      <c r="AL941" s="3"/>
    </row>
    <row r="942" spans="12:38" x14ac:dyDescent="0.25">
      <c r="L942" s="2"/>
      <c r="M942" s="2"/>
      <c r="N942" s="2"/>
      <c r="AD942" s="3"/>
      <c r="AH942" s="3"/>
      <c r="AL942" s="3"/>
    </row>
    <row r="943" spans="12:38" x14ac:dyDescent="0.25">
      <c r="L943" s="2"/>
      <c r="M943" s="2"/>
      <c r="N943" s="2"/>
      <c r="AD943" s="3"/>
      <c r="AH943" s="3"/>
      <c r="AL943" s="3"/>
    </row>
    <row r="944" spans="12:38" x14ac:dyDescent="0.25">
      <c r="L944" s="2"/>
      <c r="M944" s="2"/>
      <c r="N944" s="2"/>
      <c r="AD944" s="3"/>
      <c r="AH944" s="3"/>
      <c r="AL944" s="3"/>
    </row>
    <row r="945" spans="12:38" x14ac:dyDescent="0.25">
      <c r="L945" s="2"/>
      <c r="M945" s="2"/>
      <c r="N945" s="2"/>
      <c r="AD945" s="3"/>
      <c r="AH945" s="3"/>
      <c r="AL945" s="3"/>
    </row>
    <row r="946" spans="12:38" x14ac:dyDescent="0.25">
      <c r="L946" s="2"/>
      <c r="M946" s="2"/>
      <c r="N946" s="2"/>
      <c r="AD946" s="3"/>
      <c r="AH946" s="3"/>
      <c r="AL946" s="3"/>
    </row>
    <row r="947" spans="12:38" x14ac:dyDescent="0.25">
      <c r="L947" s="2"/>
      <c r="M947" s="2"/>
      <c r="N947" s="2"/>
      <c r="AD947" s="3"/>
      <c r="AH947" s="3"/>
      <c r="AL947" s="3"/>
    </row>
    <row r="948" spans="12:38" x14ac:dyDescent="0.25">
      <c r="L948" s="2"/>
      <c r="M948" s="2"/>
      <c r="N948" s="2"/>
      <c r="AD948" s="3"/>
      <c r="AH948" s="3"/>
      <c r="AL948" s="3"/>
    </row>
    <row r="949" spans="12:38" x14ac:dyDescent="0.25">
      <c r="L949" s="2"/>
      <c r="M949" s="2"/>
      <c r="N949" s="2"/>
      <c r="AD949" s="3"/>
      <c r="AH949" s="3"/>
      <c r="AL949" s="3"/>
    </row>
    <row r="950" spans="12:38" x14ac:dyDescent="0.25">
      <c r="L950" s="2"/>
      <c r="M950" s="2"/>
      <c r="N950" s="2"/>
      <c r="AD950" s="3"/>
      <c r="AH950" s="3"/>
      <c r="AL950" s="3"/>
    </row>
    <row r="951" spans="12:38" x14ac:dyDescent="0.25">
      <c r="L951" s="2"/>
      <c r="M951" s="2"/>
      <c r="N951" s="2"/>
      <c r="AD951" s="3"/>
      <c r="AH951" s="3"/>
      <c r="AL951" s="3"/>
    </row>
    <row r="952" spans="12:38" x14ac:dyDescent="0.25">
      <c r="L952" s="2"/>
      <c r="M952" s="2"/>
      <c r="N952" s="2"/>
      <c r="AD952" s="3"/>
      <c r="AH952" s="3"/>
      <c r="AL952" s="3"/>
    </row>
    <row r="953" spans="12:38" x14ac:dyDescent="0.25">
      <c r="L953" s="2"/>
      <c r="M953" s="2"/>
      <c r="N953" s="2"/>
      <c r="AD953" s="3"/>
      <c r="AH953" s="3"/>
      <c r="AL953" s="3"/>
    </row>
    <row r="954" spans="12:38" x14ac:dyDescent="0.25">
      <c r="L954" s="2"/>
      <c r="M954" s="2"/>
      <c r="N954" s="2"/>
      <c r="AD954" s="3"/>
      <c r="AH954" s="3"/>
      <c r="AL954" s="3"/>
    </row>
    <row r="955" spans="12:38" x14ac:dyDescent="0.25">
      <c r="L955" s="2"/>
      <c r="M955" s="2"/>
      <c r="N955" s="2"/>
      <c r="AD955" s="3"/>
      <c r="AH955" s="3"/>
      <c r="AL955" s="3"/>
    </row>
    <row r="956" spans="12:38" x14ac:dyDescent="0.25">
      <c r="L956" s="2"/>
      <c r="M956" s="2"/>
      <c r="N956" s="2"/>
      <c r="AD956" s="3"/>
      <c r="AH956" s="3"/>
      <c r="AL956" s="3"/>
    </row>
    <row r="957" spans="12:38" x14ac:dyDescent="0.25">
      <c r="L957" s="2"/>
      <c r="M957" s="2"/>
      <c r="N957" s="2"/>
      <c r="AD957" s="3"/>
      <c r="AH957" s="3"/>
      <c r="AL957" s="3"/>
    </row>
    <row r="958" spans="12:38" x14ac:dyDescent="0.25">
      <c r="L958" s="2"/>
      <c r="M958" s="2"/>
      <c r="N958" s="2"/>
      <c r="AD958" s="3"/>
      <c r="AH958" s="3"/>
      <c r="AL958" s="3"/>
    </row>
    <row r="959" spans="12:38" x14ac:dyDescent="0.25">
      <c r="L959" s="2"/>
      <c r="M959" s="2"/>
      <c r="N959" s="2"/>
      <c r="AD959" s="3"/>
      <c r="AH959" s="3"/>
      <c r="AL959" s="3"/>
    </row>
    <row r="960" spans="12:38" x14ac:dyDescent="0.25">
      <c r="L960" s="2"/>
      <c r="M960" s="2"/>
      <c r="N960" s="2"/>
      <c r="AD960" s="3"/>
      <c r="AH960" s="3"/>
      <c r="AL960" s="3"/>
    </row>
    <row r="961" spans="12:38" x14ac:dyDescent="0.25">
      <c r="L961" s="2"/>
      <c r="M961" s="2"/>
      <c r="N961" s="2"/>
      <c r="AD961" s="3"/>
      <c r="AH961" s="3"/>
      <c r="AL961" s="3"/>
    </row>
    <row r="962" spans="12:38" x14ac:dyDescent="0.25">
      <c r="L962" s="2"/>
      <c r="M962" s="2"/>
      <c r="N962" s="2"/>
      <c r="AD962" s="3"/>
      <c r="AH962" s="3"/>
      <c r="AL962" s="3"/>
    </row>
    <row r="963" spans="12:38" x14ac:dyDescent="0.25">
      <c r="L963" s="2"/>
      <c r="M963" s="2"/>
      <c r="N963" s="2"/>
      <c r="AD963" s="3"/>
      <c r="AH963" s="3"/>
      <c r="AL963" s="3"/>
    </row>
    <row r="964" spans="12:38" x14ac:dyDescent="0.25">
      <c r="L964" s="2"/>
      <c r="M964" s="2"/>
      <c r="N964" s="2"/>
      <c r="AD964" s="3"/>
      <c r="AH964" s="3"/>
      <c r="AL964" s="3"/>
    </row>
    <row r="965" spans="12:38" x14ac:dyDescent="0.25">
      <c r="L965" s="2"/>
      <c r="M965" s="2"/>
      <c r="N965" s="2"/>
      <c r="AD965" s="3"/>
      <c r="AH965" s="3"/>
      <c r="AL965" s="3"/>
    </row>
    <row r="966" spans="12:38" x14ac:dyDescent="0.25">
      <c r="L966" s="2"/>
      <c r="M966" s="2"/>
      <c r="N966" s="2"/>
      <c r="AD966" s="3"/>
      <c r="AH966" s="3"/>
      <c r="AL966" s="3"/>
    </row>
    <row r="967" spans="12:38" x14ac:dyDescent="0.25">
      <c r="L967" s="2"/>
      <c r="M967" s="2"/>
      <c r="N967" s="2"/>
      <c r="AD967" s="3"/>
      <c r="AH967" s="3"/>
      <c r="AL967" s="3"/>
    </row>
    <row r="968" spans="12:38" x14ac:dyDescent="0.25">
      <c r="L968" s="2"/>
      <c r="M968" s="2"/>
      <c r="N968" s="2"/>
      <c r="AD968" s="3"/>
      <c r="AH968" s="3"/>
      <c r="AL968" s="3"/>
    </row>
    <row r="969" spans="12:38" x14ac:dyDescent="0.25">
      <c r="L969" s="2"/>
      <c r="M969" s="2"/>
      <c r="N969" s="2"/>
      <c r="AD969" s="3"/>
      <c r="AH969" s="3"/>
      <c r="AL969" s="3"/>
    </row>
    <row r="970" spans="12:38" x14ac:dyDescent="0.25">
      <c r="L970" s="2"/>
      <c r="M970" s="2"/>
      <c r="N970" s="2"/>
      <c r="AD970" s="3"/>
      <c r="AH970" s="3"/>
      <c r="AL970" s="3"/>
    </row>
    <row r="971" spans="12:38" x14ac:dyDescent="0.25">
      <c r="L971" s="2"/>
      <c r="M971" s="2"/>
      <c r="N971" s="2"/>
      <c r="AD971" s="3"/>
      <c r="AH971" s="3"/>
      <c r="AL971" s="3"/>
    </row>
    <row r="972" spans="12:38" x14ac:dyDescent="0.25">
      <c r="L972" s="2"/>
      <c r="M972" s="2"/>
      <c r="N972" s="2"/>
      <c r="AD972" s="3"/>
      <c r="AH972" s="3"/>
      <c r="AL972" s="3"/>
    </row>
    <row r="973" spans="12:38" x14ac:dyDescent="0.25">
      <c r="L973" s="2"/>
      <c r="M973" s="2"/>
      <c r="N973" s="2"/>
      <c r="AD973" s="3"/>
      <c r="AH973" s="3"/>
      <c r="AL973" s="3"/>
    </row>
    <row r="974" spans="12:38" x14ac:dyDescent="0.25">
      <c r="L974" s="2"/>
      <c r="M974" s="2"/>
      <c r="N974" s="2"/>
      <c r="AD974" s="3"/>
      <c r="AH974" s="3"/>
      <c r="AL974" s="3"/>
    </row>
    <row r="975" spans="12:38" x14ac:dyDescent="0.25">
      <c r="L975" s="2"/>
      <c r="M975" s="2"/>
      <c r="N975" s="2"/>
      <c r="AD975" s="3"/>
      <c r="AH975" s="3"/>
      <c r="AL975" s="3"/>
    </row>
    <row r="976" spans="12:38" x14ac:dyDescent="0.25">
      <c r="L976" s="2"/>
      <c r="M976" s="2"/>
      <c r="N976" s="2"/>
      <c r="AD976" s="3"/>
      <c r="AH976" s="3"/>
      <c r="AL976" s="3"/>
    </row>
    <row r="977" spans="12:38" x14ac:dyDescent="0.25">
      <c r="L977" s="2"/>
      <c r="M977" s="2"/>
      <c r="N977" s="2"/>
      <c r="AD977" s="3"/>
      <c r="AH977" s="3"/>
      <c r="AL977" s="3"/>
    </row>
    <row r="978" spans="12:38" x14ac:dyDescent="0.25">
      <c r="L978" s="2"/>
      <c r="M978" s="2"/>
      <c r="N978" s="2"/>
      <c r="AD978" s="3"/>
      <c r="AH978" s="3"/>
      <c r="AL978" s="3"/>
    </row>
    <row r="979" spans="12:38" x14ac:dyDescent="0.25">
      <c r="L979" s="2"/>
      <c r="M979" s="2"/>
      <c r="N979" s="2"/>
      <c r="AD979" s="3"/>
      <c r="AH979" s="3"/>
      <c r="AL979" s="3"/>
    </row>
    <row r="980" spans="12:38" x14ac:dyDescent="0.25">
      <c r="L980" s="2"/>
      <c r="M980" s="2"/>
      <c r="N980" s="2"/>
      <c r="AD980" s="3"/>
      <c r="AH980" s="3"/>
      <c r="AL980" s="3"/>
    </row>
    <row r="981" spans="12:38" x14ac:dyDescent="0.25">
      <c r="L981" s="2"/>
      <c r="M981" s="2"/>
      <c r="N981" s="2"/>
      <c r="AD981" s="3"/>
      <c r="AH981" s="3"/>
      <c r="AL981" s="3"/>
    </row>
    <row r="982" spans="12:38" x14ac:dyDescent="0.25">
      <c r="L982" s="2"/>
      <c r="M982" s="2"/>
      <c r="N982" s="2"/>
      <c r="AD982" s="3"/>
      <c r="AH982" s="3"/>
      <c r="AL982" s="3"/>
    </row>
    <row r="983" spans="12:38" x14ac:dyDescent="0.25">
      <c r="L983" s="2"/>
      <c r="M983" s="2"/>
      <c r="N983" s="2"/>
      <c r="AD983" s="3"/>
      <c r="AH983" s="3"/>
      <c r="AL983" s="3"/>
    </row>
    <row r="984" spans="12:38" x14ac:dyDescent="0.25">
      <c r="L984" s="2"/>
      <c r="M984" s="2"/>
      <c r="N984" s="2"/>
      <c r="AD984" s="3"/>
      <c r="AH984" s="3"/>
      <c r="AL984" s="3"/>
    </row>
    <row r="985" spans="12:38" x14ac:dyDescent="0.25">
      <c r="L985" s="2"/>
      <c r="M985" s="2"/>
      <c r="N985" s="2"/>
      <c r="AD985" s="3"/>
      <c r="AH985" s="3"/>
      <c r="AL985" s="3"/>
    </row>
    <row r="986" spans="12:38" x14ac:dyDescent="0.25">
      <c r="L986" s="2"/>
      <c r="M986" s="2"/>
      <c r="N986" s="2"/>
      <c r="AD986" s="3"/>
      <c r="AH986" s="3"/>
      <c r="AL986" s="3"/>
    </row>
    <row r="987" spans="12:38" x14ac:dyDescent="0.25">
      <c r="L987" s="2"/>
      <c r="M987" s="2"/>
      <c r="N987" s="2"/>
      <c r="AD987" s="3"/>
      <c r="AH987" s="3"/>
      <c r="AL987" s="3"/>
    </row>
    <row r="988" spans="12:38" x14ac:dyDescent="0.25">
      <c r="L988" s="2"/>
      <c r="M988" s="2"/>
      <c r="N988" s="2"/>
      <c r="AD988" s="3"/>
      <c r="AH988" s="3"/>
      <c r="AL988" s="3"/>
    </row>
    <row r="989" spans="12:38" x14ac:dyDescent="0.25">
      <c r="L989" s="2"/>
      <c r="M989" s="2"/>
      <c r="N989" s="2"/>
      <c r="AD989" s="3"/>
      <c r="AH989" s="3"/>
      <c r="AL989" s="3"/>
    </row>
    <row r="990" spans="12:38" x14ac:dyDescent="0.25">
      <c r="L990" s="2"/>
      <c r="M990" s="2"/>
      <c r="N990" s="2"/>
      <c r="AD990" s="3"/>
      <c r="AH990" s="3"/>
      <c r="AL990" s="3"/>
    </row>
    <row r="991" spans="12:38" x14ac:dyDescent="0.25">
      <c r="L991" s="2"/>
      <c r="M991" s="2"/>
      <c r="N991" s="2"/>
      <c r="AD991" s="3"/>
      <c r="AH991" s="3"/>
      <c r="AL991" s="3"/>
    </row>
    <row r="992" spans="12:38" x14ac:dyDescent="0.25">
      <c r="L992" s="2"/>
      <c r="M992" s="2"/>
      <c r="N992" s="2"/>
      <c r="AD992" s="3"/>
      <c r="AH992" s="3"/>
      <c r="AL992" s="3"/>
    </row>
    <row r="993" spans="12:38" x14ac:dyDescent="0.25">
      <c r="L993" s="2"/>
      <c r="M993" s="2"/>
      <c r="N993" s="2"/>
      <c r="AD993" s="3"/>
      <c r="AH993" s="3"/>
      <c r="AL993" s="3"/>
    </row>
    <row r="994" spans="12:38" x14ac:dyDescent="0.25">
      <c r="L994" s="2"/>
      <c r="M994" s="2"/>
      <c r="N994" s="2"/>
      <c r="AD994" s="3"/>
      <c r="AH994" s="3"/>
      <c r="AL994" s="3"/>
    </row>
    <row r="995" spans="12:38" x14ac:dyDescent="0.25">
      <c r="L995" s="2"/>
      <c r="M995" s="2"/>
      <c r="N995" s="2"/>
      <c r="AD995" s="3"/>
      <c r="AH995" s="3"/>
      <c r="AL995" s="3"/>
    </row>
    <row r="996" spans="12:38" x14ac:dyDescent="0.25">
      <c r="L996" s="2"/>
      <c r="M996" s="2"/>
      <c r="N996" s="2"/>
      <c r="AD996" s="3"/>
      <c r="AH996" s="3"/>
      <c r="AL996" s="3"/>
    </row>
    <row r="997" spans="12:38" x14ac:dyDescent="0.25">
      <c r="L997" s="2"/>
      <c r="M997" s="2"/>
      <c r="N997" s="2"/>
      <c r="AD997" s="3"/>
      <c r="AH997" s="3"/>
      <c r="AL997" s="3"/>
    </row>
    <row r="998" spans="12:38" x14ac:dyDescent="0.25">
      <c r="L998" s="2"/>
      <c r="M998" s="2"/>
      <c r="N998" s="2"/>
      <c r="AD998" s="3"/>
      <c r="AH998" s="3"/>
      <c r="AL998" s="3"/>
    </row>
    <row r="999" spans="12:38" x14ac:dyDescent="0.25">
      <c r="L999" s="2"/>
      <c r="M999" s="2"/>
      <c r="N999" s="2"/>
      <c r="AD999" s="3"/>
      <c r="AH999" s="3"/>
      <c r="AL999" s="3"/>
    </row>
    <row r="1000" spans="12:38" x14ac:dyDescent="0.25">
      <c r="L1000" s="2"/>
      <c r="M1000" s="2"/>
      <c r="N1000" s="2"/>
      <c r="AD1000" s="3"/>
      <c r="AH1000" s="3"/>
      <c r="AL1000" s="3"/>
    </row>
    <row r="1001" spans="12:38" x14ac:dyDescent="0.25">
      <c r="L1001" s="2"/>
      <c r="M1001" s="2"/>
      <c r="N1001" s="2"/>
      <c r="AD1001" s="3"/>
      <c r="AH1001" s="3"/>
      <c r="AL1001" s="3"/>
    </row>
    <row r="1002" spans="12:38" x14ac:dyDescent="0.25">
      <c r="L1002" s="2"/>
      <c r="M1002" s="2"/>
      <c r="N1002" s="2"/>
      <c r="AD1002" s="3"/>
      <c r="AH1002" s="3"/>
      <c r="AL1002" s="3"/>
    </row>
    <row r="1003" spans="12:38" x14ac:dyDescent="0.25">
      <c r="L1003" s="2"/>
      <c r="M1003" s="2"/>
      <c r="N1003" s="2"/>
      <c r="AD1003" s="3"/>
      <c r="AH1003" s="3"/>
      <c r="AL1003" s="3"/>
    </row>
    <row r="1004" spans="12:38" x14ac:dyDescent="0.25">
      <c r="L1004" s="2"/>
      <c r="M1004" s="2"/>
      <c r="N1004" s="2"/>
      <c r="AD1004" s="3"/>
      <c r="AH1004" s="3"/>
      <c r="AL1004" s="3"/>
    </row>
    <row r="1005" spans="12:38" x14ac:dyDescent="0.25">
      <c r="L1005" s="2"/>
      <c r="M1005" s="2"/>
      <c r="N1005" s="2"/>
      <c r="AD1005" s="3"/>
      <c r="AH1005" s="3"/>
      <c r="AL1005" s="3"/>
    </row>
    <row r="1006" spans="12:38" x14ac:dyDescent="0.25">
      <c r="L1006" s="2"/>
      <c r="M1006" s="2"/>
      <c r="N1006" s="2"/>
      <c r="AD1006" s="3"/>
      <c r="AH1006" s="3"/>
      <c r="AL1006" s="3"/>
    </row>
    <row r="1007" spans="12:38" x14ac:dyDescent="0.25">
      <c r="L1007" s="2"/>
      <c r="M1007" s="2"/>
      <c r="N1007" s="2"/>
      <c r="AD1007" s="3"/>
      <c r="AH1007" s="3"/>
      <c r="AL1007" s="3"/>
    </row>
    <row r="1008" spans="12:38" x14ac:dyDescent="0.25">
      <c r="L1008" s="2"/>
      <c r="M1008" s="2"/>
      <c r="N1008" s="2"/>
      <c r="AD1008" s="3"/>
      <c r="AH1008" s="3"/>
      <c r="AL1008" s="3"/>
    </row>
    <row r="1009" spans="12:38" x14ac:dyDescent="0.25">
      <c r="L1009" s="2"/>
      <c r="M1009" s="2"/>
      <c r="N1009" s="2"/>
      <c r="AD1009" s="3"/>
      <c r="AH1009" s="3"/>
      <c r="AL1009" s="3"/>
    </row>
    <row r="1010" spans="12:38" x14ac:dyDescent="0.25">
      <c r="L1010" s="2"/>
      <c r="M1010" s="2"/>
      <c r="N1010" s="2"/>
      <c r="AD1010" s="3"/>
      <c r="AH1010" s="3"/>
      <c r="AL1010" s="3"/>
    </row>
    <row r="1011" spans="12:38" x14ac:dyDescent="0.25">
      <c r="L1011" s="2"/>
      <c r="M1011" s="2"/>
      <c r="N1011" s="2"/>
      <c r="AD1011" s="3"/>
      <c r="AH1011" s="3"/>
      <c r="AL1011" s="3"/>
    </row>
    <row r="1012" spans="12:38" x14ac:dyDescent="0.25">
      <c r="L1012" s="2"/>
      <c r="M1012" s="2"/>
      <c r="N1012" s="2"/>
      <c r="AD1012" s="3"/>
      <c r="AH1012" s="3"/>
      <c r="AL1012" s="3"/>
    </row>
    <row r="1013" spans="12:38" x14ac:dyDescent="0.25">
      <c r="L1013" s="2"/>
      <c r="M1013" s="2"/>
      <c r="N1013" s="2"/>
      <c r="AD1013" s="3"/>
      <c r="AH1013" s="3"/>
      <c r="AL1013" s="3"/>
    </row>
    <row r="1014" spans="12:38" x14ac:dyDescent="0.25">
      <c r="L1014" s="2"/>
      <c r="M1014" s="2"/>
      <c r="N1014" s="2"/>
      <c r="AD1014" s="3"/>
      <c r="AH1014" s="3"/>
      <c r="AL1014" s="3"/>
    </row>
    <row r="1015" spans="12:38" x14ac:dyDescent="0.25">
      <c r="L1015" s="2"/>
      <c r="M1015" s="2"/>
      <c r="N1015" s="2"/>
      <c r="AD1015" s="3"/>
      <c r="AH1015" s="3"/>
      <c r="AL1015" s="3"/>
    </row>
    <row r="1016" spans="12:38" x14ac:dyDescent="0.25">
      <c r="L1016" s="2"/>
      <c r="M1016" s="2"/>
      <c r="N1016" s="2"/>
      <c r="AD1016" s="3"/>
      <c r="AH1016" s="3"/>
      <c r="AL1016" s="3"/>
    </row>
    <row r="1017" spans="12:38" x14ac:dyDescent="0.25">
      <c r="L1017" s="2"/>
      <c r="M1017" s="2"/>
      <c r="N1017" s="2"/>
      <c r="AD1017" s="3"/>
      <c r="AH1017" s="3"/>
      <c r="AL1017" s="3"/>
    </row>
    <row r="1018" spans="12:38" x14ac:dyDescent="0.25">
      <c r="L1018" s="2"/>
      <c r="M1018" s="2"/>
      <c r="N1018" s="2"/>
      <c r="AD1018" s="3"/>
      <c r="AH1018" s="3"/>
      <c r="AL1018" s="3"/>
    </row>
    <row r="1019" spans="12:38" x14ac:dyDescent="0.25">
      <c r="L1019" s="2"/>
      <c r="M1019" s="2"/>
      <c r="N1019" s="2"/>
      <c r="AD1019" s="3"/>
      <c r="AH1019" s="3"/>
      <c r="AL1019" s="3"/>
    </row>
    <row r="1020" spans="12:38" x14ac:dyDescent="0.25">
      <c r="L1020" s="2"/>
      <c r="M1020" s="2"/>
      <c r="N1020" s="2"/>
      <c r="AD1020" s="3"/>
      <c r="AH1020" s="3"/>
      <c r="AL1020" s="3"/>
    </row>
    <row r="1021" spans="12:38" x14ac:dyDescent="0.25">
      <c r="L1021" s="2"/>
      <c r="M1021" s="2"/>
      <c r="N1021" s="2"/>
      <c r="AD1021" s="3"/>
      <c r="AH1021" s="3"/>
      <c r="AL1021" s="3"/>
    </row>
    <row r="1022" spans="12:38" x14ac:dyDescent="0.25">
      <c r="L1022" s="2"/>
      <c r="M1022" s="2"/>
      <c r="N1022" s="2"/>
      <c r="AD1022" s="3"/>
      <c r="AH1022" s="3"/>
      <c r="AL1022" s="3"/>
    </row>
    <row r="1023" spans="12:38" x14ac:dyDescent="0.25">
      <c r="L1023" s="2"/>
      <c r="M1023" s="2"/>
      <c r="N1023" s="2"/>
      <c r="AD1023" s="3"/>
      <c r="AH1023" s="3"/>
      <c r="AL1023" s="3"/>
    </row>
    <row r="1024" spans="12:38" x14ac:dyDescent="0.25">
      <c r="L1024" s="2"/>
      <c r="M1024" s="2"/>
      <c r="N1024" s="2"/>
      <c r="AD1024" s="3"/>
      <c r="AH1024" s="3"/>
      <c r="AL1024" s="3"/>
    </row>
    <row r="1025" spans="12:38" x14ac:dyDescent="0.25">
      <c r="L1025" s="2"/>
      <c r="M1025" s="2"/>
      <c r="N1025" s="2"/>
      <c r="AD1025" s="3"/>
      <c r="AH1025" s="3"/>
      <c r="AL1025" s="3"/>
    </row>
    <row r="1026" spans="12:38" x14ac:dyDescent="0.25">
      <c r="L1026" s="2"/>
      <c r="M1026" s="2"/>
      <c r="N1026" s="2"/>
      <c r="AD1026" s="3"/>
      <c r="AH1026" s="3"/>
      <c r="AL1026" s="3"/>
    </row>
    <row r="1027" spans="12:38" x14ac:dyDescent="0.25">
      <c r="L1027" s="2"/>
      <c r="M1027" s="2"/>
      <c r="N1027" s="2"/>
      <c r="AD1027" s="3"/>
      <c r="AH1027" s="3"/>
      <c r="AL1027" s="3"/>
    </row>
    <row r="1028" spans="12:38" x14ac:dyDescent="0.25">
      <c r="L1028" s="2"/>
      <c r="M1028" s="2"/>
      <c r="N1028" s="2"/>
      <c r="AD1028" s="3"/>
      <c r="AH1028" s="3"/>
      <c r="AL1028" s="3"/>
    </row>
    <row r="1029" spans="12:38" x14ac:dyDescent="0.25">
      <c r="L1029" s="2"/>
      <c r="M1029" s="2"/>
      <c r="N1029" s="2"/>
      <c r="AD1029" s="3"/>
      <c r="AH1029" s="3"/>
      <c r="AL1029" s="3"/>
    </row>
    <row r="1030" spans="12:38" x14ac:dyDescent="0.25">
      <c r="L1030" s="2"/>
      <c r="M1030" s="2"/>
      <c r="N1030" s="2"/>
      <c r="AD1030" s="3"/>
      <c r="AH1030" s="3"/>
      <c r="AL1030" s="3"/>
    </row>
    <row r="1031" spans="12:38" x14ac:dyDescent="0.25">
      <c r="L1031" s="2"/>
      <c r="M1031" s="2"/>
      <c r="N1031" s="2"/>
      <c r="AD1031" s="3"/>
      <c r="AH1031" s="3"/>
      <c r="AL1031" s="3"/>
    </row>
    <row r="1032" spans="12:38" x14ac:dyDescent="0.25">
      <c r="L1032" s="2"/>
      <c r="M1032" s="2"/>
      <c r="N1032" s="2"/>
      <c r="AD1032" s="3"/>
      <c r="AH1032" s="3"/>
      <c r="AL1032" s="3"/>
    </row>
    <row r="1033" spans="12:38" x14ac:dyDescent="0.25">
      <c r="L1033" s="2"/>
      <c r="M1033" s="2"/>
      <c r="N1033" s="2"/>
      <c r="AD1033" s="3"/>
      <c r="AH1033" s="3"/>
      <c r="AL1033" s="3"/>
    </row>
    <row r="1034" spans="12:38" x14ac:dyDescent="0.25">
      <c r="L1034" s="2"/>
      <c r="M1034" s="2"/>
      <c r="N1034" s="2"/>
      <c r="AD1034" s="3"/>
      <c r="AH1034" s="3"/>
      <c r="AL1034" s="3"/>
    </row>
    <row r="1035" spans="12:38" x14ac:dyDescent="0.25">
      <c r="L1035" s="2"/>
      <c r="M1035" s="2"/>
      <c r="N1035" s="2"/>
      <c r="AD1035" s="3"/>
      <c r="AH1035" s="3"/>
      <c r="AL1035" s="3"/>
    </row>
    <row r="1036" spans="12:38" x14ac:dyDescent="0.25">
      <c r="L1036" s="2"/>
      <c r="M1036" s="2"/>
      <c r="N1036" s="2"/>
      <c r="AD1036" s="3"/>
      <c r="AH1036" s="3"/>
      <c r="AL1036" s="3"/>
    </row>
    <row r="1037" spans="12:38" x14ac:dyDescent="0.25">
      <c r="L1037" s="2"/>
      <c r="M1037" s="2"/>
      <c r="N1037" s="2"/>
      <c r="AD1037" s="3"/>
      <c r="AH1037" s="3"/>
      <c r="AL1037" s="3"/>
    </row>
    <row r="1038" spans="12:38" x14ac:dyDescent="0.25">
      <c r="L1038" s="2"/>
      <c r="M1038" s="2"/>
      <c r="N1038" s="2"/>
      <c r="AD1038" s="3"/>
      <c r="AH1038" s="3"/>
      <c r="AL1038" s="3"/>
    </row>
    <row r="1039" spans="12:38" x14ac:dyDescent="0.25">
      <c r="L1039" s="2"/>
      <c r="M1039" s="2"/>
      <c r="N1039" s="2"/>
      <c r="AD1039" s="3"/>
      <c r="AH1039" s="3"/>
      <c r="AL1039" s="3"/>
    </row>
    <row r="1040" spans="12:38" x14ac:dyDescent="0.25">
      <c r="L1040" s="2"/>
      <c r="M1040" s="2"/>
      <c r="N1040" s="2"/>
      <c r="AD1040" s="3"/>
      <c r="AH1040" s="3"/>
      <c r="AL1040" s="3"/>
    </row>
    <row r="1041" spans="12:38" x14ac:dyDescent="0.25">
      <c r="L1041" s="2"/>
      <c r="M1041" s="2"/>
      <c r="N1041" s="2"/>
      <c r="AD1041" s="3"/>
      <c r="AH1041" s="3"/>
      <c r="AL1041" s="3"/>
    </row>
    <row r="1042" spans="12:38" x14ac:dyDescent="0.25">
      <c r="L1042" s="2"/>
      <c r="M1042" s="2"/>
      <c r="N1042" s="2"/>
      <c r="AD1042" s="3"/>
      <c r="AH1042" s="3"/>
      <c r="AL1042" s="3"/>
    </row>
    <row r="1043" spans="12:38" x14ac:dyDescent="0.25">
      <c r="L1043" s="2"/>
      <c r="M1043" s="2"/>
      <c r="N1043" s="2"/>
      <c r="AD1043" s="3"/>
      <c r="AH1043" s="3"/>
      <c r="AL1043" s="3"/>
    </row>
    <row r="1044" spans="12:38" x14ac:dyDescent="0.25">
      <c r="L1044" s="2"/>
      <c r="M1044" s="2"/>
      <c r="N1044" s="2"/>
      <c r="AD1044" s="3"/>
      <c r="AH1044" s="3"/>
      <c r="AL1044" s="3"/>
    </row>
    <row r="1045" spans="12:38" x14ac:dyDescent="0.25">
      <c r="L1045" s="2"/>
      <c r="M1045" s="2"/>
      <c r="N1045" s="2"/>
      <c r="AD1045" s="3"/>
      <c r="AH1045" s="3"/>
      <c r="AL1045" s="3"/>
    </row>
    <row r="1046" spans="12:38" x14ac:dyDescent="0.25">
      <c r="L1046" s="2"/>
      <c r="M1046" s="2"/>
      <c r="N1046" s="2"/>
      <c r="AD1046" s="3"/>
      <c r="AH1046" s="3"/>
      <c r="AL1046" s="3"/>
    </row>
    <row r="1047" spans="12:38" x14ac:dyDescent="0.25">
      <c r="L1047" s="2"/>
      <c r="M1047" s="2"/>
      <c r="N1047" s="2"/>
      <c r="AD1047" s="3"/>
      <c r="AH1047" s="3"/>
      <c r="AL1047" s="3"/>
    </row>
    <row r="1048" spans="12:38" x14ac:dyDescent="0.25">
      <c r="L1048" s="2"/>
      <c r="M1048" s="2"/>
      <c r="N1048" s="2"/>
      <c r="AD1048" s="3"/>
      <c r="AH1048" s="3"/>
      <c r="AL1048" s="3"/>
    </row>
    <row r="1049" spans="12:38" x14ac:dyDescent="0.25">
      <c r="L1049" s="2"/>
      <c r="M1049" s="2"/>
      <c r="N1049" s="2"/>
      <c r="AD1049" s="3"/>
      <c r="AH1049" s="3"/>
      <c r="AL1049" s="3"/>
    </row>
    <row r="1050" spans="12:38" x14ac:dyDescent="0.25">
      <c r="L1050" s="2"/>
      <c r="M1050" s="2"/>
      <c r="N1050" s="2"/>
      <c r="AD1050" s="3"/>
      <c r="AH1050" s="3"/>
      <c r="AL1050" s="3"/>
    </row>
    <row r="1051" spans="12:38" x14ac:dyDescent="0.25">
      <c r="L1051" s="2"/>
      <c r="M1051" s="2"/>
      <c r="N1051" s="2"/>
      <c r="AD1051" s="3"/>
      <c r="AH1051" s="3"/>
      <c r="AL1051" s="3"/>
    </row>
    <row r="1052" spans="12:38" x14ac:dyDescent="0.25">
      <c r="L1052" s="2"/>
      <c r="M1052" s="2"/>
      <c r="N1052" s="2"/>
      <c r="AD1052" s="3"/>
      <c r="AH1052" s="3"/>
      <c r="AL1052" s="3"/>
    </row>
    <row r="1053" spans="12:38" x14ac:dyDescent="0.25">
      <c r="L1053" s="2"/>
      <c r="M1053" s="2"/>
      <c r="N1053" s="2"/>
      <c r="AD1053" s="3"/>
      <c r="AH1053" s="3"/>
      <c r="AL1053" s="3"/>
    </row>
    <row r="1054" spans="12:38" x14ac:dyDescent="0.25">
      <c r="L1054" s="2"/>
      <c r="M1054" s="2"/>
      <c r="N1054" s="2"/>
      <c r="AD1054" s="3"/>
      <c r="AH1054" s="3"/>
      <c r="AL1054" s="3"/>
    </row>
    <row r="1055" spans="12:38" x14ac:dyDescent="0.25">
      <c r="L1055" s="2"/>
      <c r="M1055" s="2"/>
      <c r="N1055" s="2"/>
      <c r="AD1055" s="3"/>
      <c r="AH1055" s="3"/>
      <c r="AL1055" s="3"/>
    </row>
    <row r="1056" spans="12:38" x14ac:dyDescent="0.25">
      <c r="L1056" s="2"/>
      <c r="M1056" s="2"/>
      <c r="N1056" s="2"/>
      <c r="AD1056" s="3"/>
      <c r="AH1056" s="3"/>
      <c r="AL1056" s="3"/>
    </row>
    <row r="1057" spans="12:38" x14ac:dyDescent="0.25">
      <c r="L1057" s="2"/>
      <c r="M1057" s="2"/>
      <c r="N1057" s="2"/>
      <c r="AD1057" s="3"/>
      <c r="AH1057" s="3"/>
      <c r="AL1057" s="3"/>
    </row>
    <row r="1058" spans="12:38" x14ac:dyDescent="0.25">
      <c r="L1058" s="2"/>
      <c r="M1058" s="2"/>
      <c r="N1058" s="2"/>
      <c r="AD1058" s="3"/>
      <c r="AH1058" s="3"/>
      <c r="AL1058" s="3"/>
    </row>
    <row r="1059" spans="12:38" x14ac:dyDescent="0.25">
      <c r="L1059" s="2"/>
      <c r="M1059" s="2"/>
      <c r="N1059" s="2"/>
      <c r="AD1059" s="3"/>
      <c r="AH1059" s="3"/>
      <c r="AL1059" s="3"/>
    </row>
    <row r="1060" spans="12:38" x14ac:dyDescent="0.25">
      <c r="L1060" s="2"/>
      <c r="M1060" s="2"/>
      <c r="N1060" s="2"/>
      <c r="AD1060" s="3"/>
      <c r="AH1060" s="3"/>
      <c r="AL1060" s="3"/>
    </row>
    <row r="1061" spans="12:38" x14ac:dyDescent="0.25">
      <c r="L1061" s="2"/>
      <c r="M1061" s="2"/>
      <c r="N1061" s="2"/>
      <c r="AD1061" s="3"/>
      <c r="AH1061" s="3"/>
      <c r="AL1061" s="3"/>
    </row>
    <row r="1062" spans="12:38" x14ac:dyDescent="0.25">
      <c r="L1062" s="2"/>
      <c r="M1062" s="2"/>
      <c r="N1062" s="2"/>
      <c r="AD1062" s="3"/>
      <c r="AH1062" s="3"/>
      <c r="AL1062" s="3"/>
    </row>
    <row r="1063" spans="12:38" x14ac:dyDescent="0.25">
      <c r="L1063" s="2"/>
      <c r="M1063" s="2"/>
      <c r="N1063" s="2"/>
      <c r="AD1063" s="3"/>
      <c r="AH1063" s="3"/>
      <c r="AL1063" s="3"/>
    </row>
    <row r="1064" spans="12:38" x14ac:dyDescent="0.25">
      <c r="L1064" s="2"/>
      <c r="M1064" s="2"/>
      <c r="N1064" s="2"/>
      <c r="AD1064" s="3"/>
      <c r="AH1064" s="3"/>
      <c r="AL1064" s="3"/>
    </row>
    <row r="1065" spans="12:38" x14ac:dyDescent="0.25">
      <c r="L1065" s="2"/>
      <c r="M1065" s="2"/>
      <c r="N1065" s="2"/>
      <c r="AD1065" s="3"/>
      <c r="AH1065" s="3"/>
      <c r="AL1065" s="3"/>
    </row>
    <row r="1066" spans="12:38" x14ac:dyDescent="0.25">
      <c r="L1066" s="2"/>
      <c r="M1066" s="2"/>
      <c r="N1066" s="2"/>
      <c r="AD1066" s="3"/>
      <c r="AH1066" s="3"/>
      <c r="AL1066" s="3"/>
    </row>
    <row r="1067" spans="12:38" x14ac:dyDescent="0.25">
      <c r="L1067" s="2"/>
      <c r="M1067" s="2"/>
      <c r="N1067" s="2"/>
      <c r="AD1067" s="3"/>
      <c r="AH1067" s="3"/>
      <c r="AL1067" s="3"/>
    </row>
    <row r="1068" spans="12:38" x14ac:dyDescent="0.25">
      <c r="L1068" s="2"/>
      <c r="M1068" s="2"/>
      <c r="N1068" s="2"/>
      <c r="AD1068" s="3"/>
      <c r="AH1068" s="3"/>
      <c r="AL1068" s="3"/>
    </row>
    <row r="1069" spans="12:38" x14ac:dyDescent="0.25">
      <c r="L1069" s="2"/>
      <c r="M1069" s="2"/>
      <c r="N1069" s="2"/>
      <c r="AD1069" s="3"/>
      <c r="AH1069" s="3"/>
      <c r="AL1069" s="3"/>
    </row>
    <row r="1070" spans="12:38" x14ac:dyDescent="0.25">
      <c r="L1070" s="2"/>
      <c r="M1070" s="2"/>
      <c r="N1070" s="2"/>
      <c r="AD1070" s="3"/>
      <c r="AH1070" s="3"/>
      <c r="AL1070" s="3"/>
    </row>
    <row r="1071" spans="12:38" x14ac:dyDescent="0.25">
      <c r="L1071" s="2"/>
      <c r="M1071" s="2"/>
      <c r="N1071" s="2"/>
      <c r="AD1071" s="3"/>
      <c r="AH1071" s="3"/>
      <c r="AL1071" s="3"/>
    </row>
    <row r="1072" spans="12:38" x14ac:dyDescent="0.25">
      <c r="L1072" s="2"/>
      <c r="M1072" s="2"/>
      <c r="N1072" s="2"/>
      <c r="AD1072" s="3"/>
      <c r="AH1072" s="3"/>
      <c r="AL1072" s="3"/>
    </row>
    <row r="1073" spans="12:38" x14ac:dyDescent="0.25">
      <c r="L1073" s="2"/>
      <c r="M1073" s="2"/>
      <c r="N1073" s="2"/>
      <c r="AD1073" s="3"/>
      <c r="AH1073" s="3"/>
      <c r="AL1073" s="3"/>
    </row>
    <row r="1074" spans="12:38" x14ac:dyDescent="0.25">
      <c r="L1074" s="2"/>
      <c r="M1074" s="2"/>
      <c r="N1074" s="2"/>
      <c r="AD1074" s="3"/>
      <c r="AH1074" s="3"/>
      <c r="AL1074" s="3"/>
    </row>
    <row r="1075" spans="12:38" x14ac:dyDescent="0.25">
      <c r="L1075" s="2"/>
      <c r="M1075" s="2"/>
      <c r="N1075" s="2"/>
      <c r="AD1075" s="3"/>
      <c r="AH1075" s="3"/>
      <c r="AL1075" s="3"/>
    </row>
    <row r="1076" spans="12:38" x14ac:dyDescent="0.25">
      <c r="L1076" s="2"/>
      <c r="M1076" s="2"/>
      <c r="N1076" s="2"/>
      <c r="AD1076" s="3"/>
      <c r="AH1076" s="3"/>
      <c r="AL1076" s="3"/>
    </row>
    <row r="1077" spans="12:38" x14ac:dyDescent="0.25">
      <c r="L1077" s="2"/>
      <c r="M1077" s="2"/>
      <c r="N1077" s="2"/>
      <c r="AD1077" s="3"/>
      <c r="AH1077" s="3"/>
      <c r="AL1077" s="3"/>
    </row>
    <row r="1078" spans="12:38" x14ac:dyDescent="0.25">
      <c r="L1078" s="2"/>
      <c r="M1078" s="2"/>
      <c r="N1078" s="2"/>
      <c r="AD1078" s="3"/>
      <c r="AH1078" s="3"/>
      <c r="AL1078" s="3"/>
    </row>
    <row r="1079" spans="12:38" x14ac:dyDescent="0.25">
      <c r="L1079" s="2"/>
      <c r="M1079" s="2"/>
      <c r="N1079" s="2"/>
      <c r="AD1079" s="3"/>
      <c r="AH1079" s="3"/>
      <c r="AL1079" s="3"/>
    </row>
    <row r="1080" spans="12:38" x14ac:dyDescent="0.25">
      <c r="L1080" s="2"/>
      <c r="M1080" s="2"/>
      <c r="N1080" s="2"/>
      <c r="AD1080" s="3"/>
      <c r="AH1080" s="3"/>
      <c r="AL1080" s="3"/>
    </row>
    <row r="1081" spans="12:38" x14ac:dyDescent="0.25">
      <c r="L1081" s="2"/>
      <c r="M1081" s="2"/>
      <c r="N1081" s="2"/>
      <c r="AD1081" s="3"/>
      <c r="AH1081" s="3"/>
      <c r="AL1081" s="3"/>
    </row>
    <row r="1082" spans="12:38" x14ac:dyDescent="0.25">
      <c r="L1082" s="2"/>
      <c r="M1082" s="2"/>
      <c r="N1082" s="2"/>
      <c r="AD1082" s="3"/>
      <c r="AH1082" s="3"/>
      <c r="AL1082" s="3"/>
    </row>
    <row r="1083" spans="12:38" x14ac:dyDescent="0.25">
      <c r="L1083" s="2"/>
      <c r="M1083" s="2"/>
      <c r="N1083" s="2"/>
      <c r="AD1083" s="3"/>
      <c r="AH1083" s="3"/>
      <c r="AL1083" s="3"/>
    </row>
    <row r="1084" spans="12:38" x14ac:dyDescent="0.25">
      <c r="L1084" s="2"/>
      <c r="M1084" s="2"/>
      <c r="N1084" s="2"/>
      <c r="AD1084" s="3"/>
      <c r="AH1084" s="3"/>
      <c r="AL1084" s="3"/>
    </row>
    <row r="1085" spans="12:38" x14ac:dyDescent="0.25">
      <c r="L1085" s="2"/>
      <c r="M1085" s="2"/>
      <c r="N1085" s="2"/>
      <c r="AD1085" s="3"/>
      <c r="AH1085" s="3"/>
      <c r="AL1085" s="3"/>
    </row>
    <row r="1086" spans="12:38" x14ac:dyDescent="0.25">
      <c r="L1086" s="2"/>
      <c r="M1086" s="2"/>
      <c r="N1086" s="2"/>
      <c r="AD1086" s="3"/>
      <c r="AH1086" s="3"/>
      <c r="AL1086" s="3"/>
    </row>
    <row r="1087" spans="12:38" x14ac:dyDescent="0.25">
      <c r="L1087" s="2"/>
      <c r="M1087" s="2"/>
      <c r="N1087" s="2"/>
      <c r="AD1087" s="3"/>
      <c r="AH1087" s="3"/>
      <c r="AL1087" s="3"/>
    </row>
    <row r="1088" spans="12:38" x14ac:dyDescent="0.25">
      <c r="L1088" s="2"/>
      <c r="M1088" s="2"/>
      <c r="N1088" s="2"/>
      <c r="AD1088" s="3"/>
      <c r="AH1088" s="3"/>
      <c r="AL1088" s="3"/>
    </row>
    <row r="1089" spans="12:38" x14ac:dyDescent="0.25">
      <c r="L1089" s="2"/>
      <c r="M1089" s="2"/>
      <c r="N1089" s="2"/>
      <c r="AD1089" s="3"/>
      <c r="AH1089" s="3"/>
      <c r="AL1089" s="3"/>
    </row>
    <row r="1090" spans="12:38" x14ac:dyDescent="0.25">
      <c r="L1090" s="2"/>
      <c r="M1090" s="2"/>
      <c r="N1090" s="2"/>
      <c r="AD1090" s="3"/>
      <c r="AH1090" s="3"/>
      <c r="AL1090" s="3"/>
    </row>
    <row r="1091" spans="12:38" x14ac:dyDescent="0.25">
      <c r="L1091" s="2"/>
      <c r="M1091" s="2"/>
      <c r="N1091" s="2"/>
      <c r="AD1091" s="3"/>
      <c r="AH1091" s="3"/>
      <c r="AL1091" s="3"/>
    </row>
    <row r="1092" spans="12:38" x14ac:dyDescent="0.25">
      <c r="L1092" s="2"/>
      <c r="M1092" s="2"/>
      <c r="N1092" s="2"/>
      <c r="AD1092" s="3"/>
      <c r="AH1092" s="3"/>
      <c r="AL1092" s="3"/>
    </row>
    <row r="1093" spans="12:38" x14ac:dyDescent="0.25">
      <c r="L1093" s="2"/>
      <c r="M1093" s="2"/>
      <c r="N1093" s="2"/>
      <c r="AD1093" s="3"/>
      <c r="AH1093" s="3"/>
      <c r="AL1093" s="3"/>
    </row>
    <row r="1094" spans="12:38" x14ac:dyDescent="0.25">
      <c r="L1094" s="2"/>
      <c r="M1094" s="2"/>
      <c r="N1094" s="2"/>
      <c r="AD1094" s="3"/>
      <c r="AH1094" s="3"/>
      <c r="AL1094" s="3"/>
    </row>
    <row r="1095" spans="12:38" x14ac:dyDescent="0.25">
      <c r="L1095" s="2"/>
      <c r="M1095" s="2"/>
      <c r="N1095" s="2"/>
      <c r="AD1095" s="3"/>
      <c r="AH1095" s="3"/>
      <c r="AL1095" s="3"/>
    </row>
    <row r="1096" spans="12:38" x14ac:dyDescent="0.25">
      <c r="L1096" s="2"/>
      <c r="M1096" s="2"/>
      <c r="N1096" s="2"/>
      <c r="AD1096" s="3"/>
      <c r="AH1096" s="3"/>
      <c r="AL1096" s="3"/>
    </row>
    <row r="1097" spans="12:38" x14ac:dyDescent="0.25">
      <c r="L1097" s="2"/>
      <c r="M1097" s="2"/>
      <c r="N1097" s="2"/>
      <c r="AD1097" s="3"/>
      <c r="AH1097" s="3"/>
      <c r="AL1097" s="3"/>
    </row>
    <row r="1098" spans="12:38" x14ac:dyDescent="0.25">
      <c r="L1098" s="2"/>
      <c r="M1098" s="2"/>
      <c r="N1098" s="2"/>
      <c r="AD1098" s="3"/>
      <c r="AH1098" s="3"/>
      <c r="AL1098" s="3"/>
    </row>
    <row r="1099" spans="12:38" x14ac:dyDescent="0.25">
      <c r="L1099" s="2"/>
      <c r="M1099" s="2"/>
      <c r="N1099" s="2"/>
      <c r="AD1099" s="3"/>
      <c r="AH1099" s="3"/>
      <c r="AL1099" s="3"/>
    </row>
    <row r="1100" spans="12:38" x14ac:dyDescent="0.25">
      <c r="L1100" s="2"/>
      <c r="M1100" s="2"/>
      <c r="N1100" s="2"/>
      <c r="AD1100" s="3"/>
      <c r="AH1100" s="3"/>
      <c r="AL1100" s="3"/>
    </row>
    <row r="1101" spans="12:38" x14ac:dyDescent="0.25">
      <c r="L1101" s="2"/>
      <c r="M1101" s="2"/>
      <c r="N1101" s="2"/>
      <c r="AD1101" s="3"/>
      <c r="AH1101" s="3"/>
      <c r="AL1101" s="3"/>
    </row>
    <row r="1102" spans="12:38" x14ac:dyDescent="0.25">
      <c r="L1102" s="2"/>
      <c r="M1102" s="2"/>
      <c r="N1102" s="2"/>
      <c r="AD1102" s="3"/>
      <c r="AH1102" s="3"/>
      <c r="AL1102" s="3"/>
    </row>
    <row r="1103" spans="12:38" x14ac:dyDescent="0.25">
      <c r="L1103" s="2"/>
      <c r="M1103" s="2"/>
      <c r="N1103" s="2"/>
      <c r="AD1103" s="3"/>
      <c r="AH1103" s="3"/>
      <c r="AL1103" s="3"/>
    </row>
    <row r="1104" spans="12:38" x14ac:dyDescent="0.25">
      <c r="L1104" s="2"/>
      <c r="M1104" s="2"/>
      <c r="N1104" s="2"/>
      <c r="AD1104" s="3"/>
      <c r="AH1104" s="3"/>
      <c r="AL1104" s="3"/>
    </row>
    <row r="1105" spans="12:38" x14ac:dyDescent="0.25">
      <c r="L1105" s="2"/>
      <c r="M1105" s="2"/>
      <c r="N1105" s="2"/>
      <c r="AD1105" s="3"/>
      <c r="AH1105" s="3"/>
      <c r="AL1105" s="3"/>
    </row>
    <row r="1106" spans="12:38" x14ac:dyDescent="0.25">
      <c r="L1106" s="2"/>
      <c r="M1106" s="2"/>
      <c r="N1106" s="2"/>
      <c r="AD1106" s="3"/>
      <c r="AH1106" s="3"/>
      <c r="AL1106" s="3"/>
    </row>
    <row r="1107" spans="12:38" x14ac:dyDescent="0.25">
      <c r="L1107" s="2"/>
      <c r="M1107" s="2"/>
      <c r="N1107" s="2"/>
      <c r="AD1107" s="3"/>
      <c r="AH1107" s="3"/>
      <c r="AL1107" s="3"/>
    </row>
    <row r="1108" spans="12:38" x14ac:dyDescent="0.25">
      <c r="L1108" s="2"/>
      <c r="M1108" s="2"/>
      <c r="N1108" s="2"/>
      <c r="AD1108" s="3"/>
      <c r="AH1108" s="3"/>
      <c r="AL1108" s="3"/>
    </row>
    <row r="1109" spans="12:38" x14ac:dyDescent="0.25">
      <c r="L1109" s="2"/>
      <c r="M1109" s="2"/>
      <c r="N1109" s="2"/>
      <c r="AD1109" s="3"/>
      <c r="AH1109" s="3"/>
      <c r="AL1109" s="3"/>
    </row>
    <row r="1110" spans="12:38" x14ac:dyDescent="0.25">
      <c r="L1110" s="2"/>
      <c r="M1110" s="2"/>
      <c r="N1110" s="2"/>
      <c r="AD1110" s="3"/>
      <c r="AH1110" s="3"/>
      <c r="AL1110" s="3"/>
    </row>
    <row r="1111" spans="12:38" x14ac:dyDescent="0.25">
      <c r="L1111" s="2"/>
      <c r="M1111" s="2"/>
      <c r="N1111" s="2"/>
      <c r="AD1111" s="3"/>
      <c r="AH1111" s="3"/>
      <c r="AL1111" s="3"/>
    </row>
    <row r="1112" spans="12:38" x14ac:dyDescent="0.25">
      <c r="L1112" s="2"/>
      <c r="M1112" s="2"/>
      <c r="N1112" s="2"/>
      <c r="AD1112" s="3"/>
      <c r="AH1112" s="3"/>
      <c r="AL1112" s="3"/>
    </row>
    <row r="1113" spans="12:38" x14ac:dyDescent="0.25">
      <c r="L1113" s="2"/>
      <c r="M1113" s="2"/>
      <c r="N1113" s="2"/>
      <c r="AD1113" s="3"/>
      <c r="AH1113" s="3"/>
      <c r="AL1113" s="3"/>
    </row>
    <row r="1114" spans="12:38" x14ac:dyDescent="0.25">
      <c r="L1114" s="2"/>
      <c r="M1114" s="2"/>
      <c r="N1114" s="2"/>
      <c r="AD1114" s="3"/>
      <c r="AH1114" s="3"/>
      <c r="AL1114" s="3"/>
    </row>
    <row r="1115" spans="12:38" x14ac:dyDescent="0.25">
      <c r="L1115" s="2"/>
      <c r="M1115" s="2"/>
      <c r="N1115" s="2"/>
      <c r="AD1115" s="3"/>
      <c r="AH1115" s="3"/>
      <c r="AL1115" s="3"/>
    </row>
    <row r="1116" spans="12:38" x14ac:dyDescent="0.25">
      <c r="L1116" s="2"/>
      <c r="M1116" s="2"/>
      <c r="N1116" s="2"/>
      <c r="AD1116" s="3"/>
      <c r="AH1116" s="3"/>
      <c r="AL1116" s="3"/>
    </row>
    <row r="1117" spans="12:38" x14ac:dyDescent="0.25">
      <c r="L1117" s="2"/>
      <c r="M1117" s="2"/>
      <c r="N1117" s="2"/>
      <c r="AD1117" s="3"/>
      <c r="AH1117" s="3"/>
      <c r="AL1117" s="3"/>
    </row>
    <row r="1118" spans="12:38" x14ac:dyDescent="0.25">
      <c r="L1118" s="2"/>
      <c r="M1118" s="2"/>
      <c r="N1118" s="2"/>
      <c r="AD1118" s="3"/>
      <c r="AH1118" s="3"/>
      <c r="AL1118" s="3"/>
    </row>
    <row r="1119" spans="12:38" x14ac:dyDescent="0.25">
      <c r="L1119" s="2"/>
      <c r="M1119" s="2"/>
      <c r="N1119" s="2"/>
      <c r="AD1119" s="3"/>
      <c r="AH1119" s="3"/>
      <c r="AL1119" s="3"/>
    </row>
    <row r="1120" spans="12:38" x14ac:dyDescent="0.25">
      <c r="L1120" s="2"/>
      <c r="M1120" s="2"/>
      <c r="N1120" s="2"/>
      <c r="AD1120" s="3"/>
      <c r="AH1120" s="3"/>
      <c r="AL1120" s="3"/>
    </row>
    <row r="1121" spans="12:38" x14ac:dyDescent="0.25">
      <c r="L1121" s="2"/>
      <c r="M1121" s="2"/>
      <c r="N1121" s="2"/>
      <c r="AD1121" s="3"/>
      <c r="AH1121" s="3"/>
      <c r="AL1121" s="3"/>
    </row>
    <row r="1122" spans="12:38" x14ac:dyDescent="0.25">
      <c r="L1122" s="2"/>
      <c r="M1122" s="2"/>
      <c r="N1122" s="2"/>
      <c r="AD1122" s="3"/>
      <c r="AH1122" s="3"/>
      <c r="AL1122" s="3"/>
    </row>
    <row r="1123" spans="12:38" x14ac:dyDescent="0.25">
      <c r="L1123" s="2"/>
      <c r="M1123" s="2"/>
      <c r="N1123" s="2"/>
      <c r="AD1123" s="3"/>
      <c r="AH1123" s="3"/>
      <c r="AL1123" s="3"/>
    </row>
    <row r="1124" spans="12:38" x14ac:dyDescent="0.25">
      <c r="L1124" s="2"/>
      <c r="M1124" s="2"/>
      <c r="N1124" s="2"/>
      <c r="AD1124" s="3"/>
      <c r="AH1124" s="3"/>
      <c r="AL1124" s="3"/>
    </row>
    <row r="1125" spans="12:38" x14ac:dyDescent="0.25">
      <c r="L1125" s="2"/>
      <c r="M1125" s="2"/>
      <c r="N1125" s="2"/>
      <c r="AD1125" s="3"/>
      <c r="AH1125" s="3"/>
      <c r="AL1125" s="3"/>
    </row>
    <row r="1126" spans="12:38" x14ac:dyDescent="0.25">
      <c r="L1126" s="2"/>
      <c r="M1126" s="2"/>
      <c r="N1126" s="2"/>
      <c r="AD1126" s="3"/>
      <c r="AH1126" s="3"/>
      <c r="AL1126" s="3"/>
    </row>
    <row r="1127" spans="12:38" x14ac:dyDescent="0.25">
      <c r="L1127" s="2"/>
      <c r="M1127" s="2"/>
      <c r="N1127" s="2"/>
      <c r="AD1127" s="3"/>
      <c r="AH1127" s="3"/>
      <c r="AL1127" s="3"/>
    </row>
    <row r="1128" spans="12:38" x14ac:dyDescent="0.25">
      <c r="L1128" s="2"/>
      <c r="M1128" s="2"/>
      <c r="N1128" s="2"/>
      <c r="AD1128" s="3"/>
      <c r="AH1128" s="3"/>
      <c r="AL1128" s="3"/>
    </row>
    <row r="1129" spans="12:38" x14ac:dyDescent="0.25">
      <c r="L1129" s="2"/>
      <c r="M1129" s="2"/>
      <c r="N1129" s="2"/>
      <c r="AD1129" s="3"/>
      <c r="AH1129" s="3"/>
      <c r="AL1129" s="3"/>
    </row>
    <row r="1130" spans="12:38" x14ac:dyDescent="0.25">
      <c r="L1130" s="2"/>
      <c r="M1130" s="2"/>
      <c r="N1130" s="2"/>
      <c r="AD1130" s="3"/>
      <c r="AH1130" s="3"/>
      <c r="AL1130" s="3"/>
    </row>
    <row r="1131" spans="12:38" x14ac:dyDescent="0.25">
      <c r="L1131" s="2"/>
      <c r="M1131" s="2"/>
      <c r="N1131" s="2"/>
      <c r="AD1131" s="3"/>
      <c r="AH1131" s="3"/>
      <c r="AL1131" s="3"/>
    </row>
    <row r="1132" spans="12:38" x14ac:dyDescent="0.25">
      <c r="L1132" s="2"/>
      <c r="M1132" s="2"/>
      <c r="N1132" s="2"/>
      <c r="AD1132" s="3"/>
      <c r="AH1132" s="3"/>
      <c r="AL1132" s="3"/>
    </row>
    <row r="1133" spans="12:38" x14ac:dyDescent="0.25">
      <c r="L1133" s="2"/>
      <c r="M1133" s="2"/>
      <c r="N1133" s="2"/>
      <c r="AD1133" s="3"/>
      <c r="AH1133" s="3"/>
      <c r="AL1133" s="3"/>
    </row>
    <row r="1134" spans="12:38" x14ac:dyDescent="0.25">
      <c r="L1134" s="2"/>
      <c r="M1134" s="2"/>
      <c r="N1134" s="2"/>
      <c r="AD1134" s="3"/>
      <c r="AH1134" s="3"/>
      <c r="AL1134" s="3"/>
    </row>
    <row r="1135" spans="12:38" x14ac:dyDescent="0.25">
      <c r="L1135" s="2"/>
      <c r="M1135" s="2"/>
      <c r="N1135" s="2"/>
      <c r="AD1135" s="3"/>
      <c r="AH1135" s="3"/>
      <c r="AL1135" s="3"/>
    </row>
    <row r="1136" spans="12:38" x14ac:dyDescent="0.25">
      <c r="L1136" s="2"/>
      <c r="M1136" s="2"/>
      <c r="N1136" s="2"/>
      <c r="AD1136" s="3"/>
      <c r="AH1136" s="3"/>
      <c r="AL1136" s="3"/>
    </row>
    <row r="1137" spans="12:38" x14ac:dyDescent="0.25">
      <c r="L1137" s="2"/>
      <c r="M1137" s="2"/>
      <c r="N1137" s="2"/>
      <c r="AD1137" s="3"/>
      <c r="AH1137" s="3"/>
      <c r="AL1137" s="3"/>
    </row>
    <row r="1138" spans="12:38" x14ac:dyDescent="0.25">
      <c r="L1138" s="2"/>
      <c r="M1138" s="2"/>
      <c r="N1138" s="2"/>
      <c r="AD1138" s="3"/>
      <c r="AH1138" s="3"/>
      <c r="AL1138" s="3"/>
    </row>
    <row r="1139" spans="12:38" x14ac:dyDescent="0.25">
      <c r="L1139" s="2"/>
      <c r="M1139" s="2"/>
      <c r="N1139" s="2"/>
      <c r="AD1139" s="3"/>
      <c r="AH1139" s="3"/>
      <c r="AL1139" s="3"/>
    </row>
    <row r="1140" spans="12:38" x14ac:dyDescent="0.25">
      <c r="L1140" s="2"/>
      <c r="M1140" s="2"/>
      <c r="N1140" s="2"/>
      <c r="AD1140" s="3"/>
      <c r="AH1140" s="3"/>
      <c r="AL1140" s="3"/>
    </row>
    <row r="1141" spans="12:38" x14ac:dyDescent="0.25">
      <c r="L1141" s="2"/>
      <c r="M1141" s="2"/>
      <c r="N1141" s="2"/>
      <c r="AD1141" s="3"/>
      <c r="AH1141" s="3"/>
      <c r="AL1141" s="3"/>
    </row>
    <row r="1142" spans="12:38" x14ac:dyDescent="0.25">
      <c r="L1142" s="2"/>
      <c r="M1142" s="2"/>
      <c r="N1142" s="2"/>
      <c r="AD1142" s="3"/>
      <c r="AH1142" s="3"/>
      <c r="AL1142" s="3"/>
    </row>
    <row r="1143" spans="12:38" x14ac:dyDescent="0.25">
      <c r="L1143" s="2"/>
      <c r="M1143" s="2"/>
      <c r="N1143" s="2"/>
      <c r="AD1143" s="3"/>
      <c r="AH1143" s="3"/>
      <c r="AL1143" s="3"/>
    </row>
    <row r="1144" spans="12:38" x14ac:dyDescent="0.25">
      <c r="L1144" s="2"/>
      <c r="M1144" s="2"/>
      <c r="N1144" s="2"/>
      <c r="AD1144" s="3"/>
      <c r="AH1144" s="3"/>
      <c r="AL1144" s="3"/>
    </row>
    <row r="1145" spans="12:38" x14ac:dyDescent="0.25">
      <c r="L1145" s="2"/>
      <c r="M1145" s="2"/>
      <c r="N1145" s="2"/>
      <c r="AD1145" s="3"/>
      <c r="AH1145" s="3"/>
      <c r="AL1145" s="3"/>
    </row>
    <row r="1146" spans="12:38" x14ac:dyDescent="0.25">
      <c r="L1146" s="2"/>
      <c r="M1146" s="2"/>
      <c r="N1146" s="2"/>
      <c r="AD1146" s="3"/>
      <c r="AH1146" s="3"/>
      <c r="AL1146" s="3"/>
    </row>
    <row r="1147" spans="12:38" x14ac:dyDescent="0.25">
      <c r="L1147" s="2"/>
      <c r="M1147" s="2"/>
      <c r="N1147" s="2"/>
      <c r="AD1147" s="3"/>
      <c r="AH1147" s="3"/>
      <c r="AL1147" s="3"/>
    </row>
    <row r="1148" spans="12:38" x14ac:dyDescent="0.25">
      <c r="L1148" s="2"/>
      <c r="M1148" s="2"/>
      <c r="N1148" s="2"/>
      <c r="AD1148" s="3"/>
      <c r="AH1148" s="3"/>
      <c r="AL1148" s="3"/>
    </row>
    <row r="1149" spans="12:38" x14ac:dyDescent="0.25">
      <c r="L1149" s="2"/>
      <c r="M1149" s="2"/>
      <c r="N1149" s="2"/>
      <c r="AD1149" s="3"/>
      <c r="AH1149" s="3"/>
      <c r="AL1149" s="3"/>
    </row>
    <row r="1150" spans="12:38" x14ac:dyDescent="0.25">
      <c r="L1150" s="2"/>
      <c r="M1150" s="2"/>
      <c r="N1150" s="2"/>
      <c r="AD1150" s="3"/>
      <c r="AH1150" s="3"/>
      <c r="AL1150" s="3"/>
    </row>
    <row r="1151" spans="12:38" x14ac:dyDescent="0.25">
      <c r="L1151" s="2"/>
      <c r="M1151" s="2"/>
      <c r="N1151" s="2"/>
      <c r="AD1151" s="3"/>
      <c r="AH1151" s="3"/>
      <c r="AL1151" s="3"/>
    </row>
    <row r="1152" spans="12:38" x14ac:dyDescent="0.25">
      <c r="L1152" s="2"/>
      <c r="M1152" s="2"/>
      <c r="N1152" s="2"/>
      <c r="AD1152" s="3"/>
      <c r="AH1152" s="3"/>
      <c r="AL1152" s="3"/>
    </row>
    <row r="1153" spans="12:38" x14ac:dyDescent="0.25">
      <c r="L1153" s="2"/>
      <c r="M1153" s="2"/>
      <c r="N1153" s="2"/>
      <c r="AD1153" s="3"/>
      <c r="AH1153" s="3"/>
      <c r="AL1153" s="3"/>
    </row>
    <row r="1154" spans="12:38" x14ac:dyDescent="0.25">
      <c r="L1154" s="2"/>
      <c r="M1154" s="2"/>
      <c r="N1154" s="2"/>
      <c r="AD1154" s="3"/>
      <c r="AH1154" s="3"/>
      <c r="AL1154" s="3"/>
    </row>
    <row r="1155" spans="12:38" x14ac:dyDescent="0.25">
      <c r="L1155" s="2"/>
      <c r="M1155" s="2"/>
      <c r="N1155" s="2"/>
      <c r="AD1155" s="3"/>
      <c r="AH1155" s="3"/>
      <c r="AL1155" s="3"/>
    </row>
    <row r="1156" spans="12:38" x14ac:dyDescent="0.25">
      <c r="L1156" s="2"/>
      <c r="M1156" s="2"/>
      <c r="N1156" s="2"/>
      <c r="AD1156" s="3"/>
      <c r="AH1156" s="3"/>
      <c r="AL1156" s="3"/>
    </row>
    <row r="1157" spans="12:38" x14ac:dyDescent="0.25">
      <c r="L1157" s="2"/>
      <c r="M1157" s="2"/>
      <c r="N1157" s="2"/>
      <c r="AD1157" s="3"/>
      <c r="AH1157" s="3"/>
      <c r="AL1157" s="3"/>
    </row>
    <row r="1158" spans="12:38" x14ac:dyDescent="0.25">
      <c r="L1158" s="2"/>
      <c r="M1158" s="2"/>
      <c r="N1158" s="2"/>
      <c r="AD1158" s="3"/>
      <c r="AH1158" s="3"/>
      <c r="AL1158" s="3"/>
    </row>
    <row r="1159" spans="12:38" x14ac:dyDescent="0.25">
      <c r="L1159" s="2"/>
      <c r="M1159" s="2"/>
      <c r="N1159" s="2"/>
      <c r="AD1159" s="3"/>
      <c r="AH1159" s="3"/>
      <c r="AL1159" s="3"/>
    </row>
    <row r="1160" spans="12:38" x14ac:dyDescent="0.25">
      <c r="L1160" s="2"/>
      <c r="M1160" s="2"/>
      <c r="N1160" s="2"/>
      <c r="AD1160" s="3"/>
      <c r="AH1160" s="3"/>
      <c r="AL1160" s="3"/>
    </row>
    <row r="1161" spans="12:38" x14ac:dyDescent="0.25">
      <c r="L1161" s="2"/>
      <c r="M1161" s="2"/>
      <c r="N1161" s="2"/>
      <c r="AD1161" s="3"/>
      <c r="AH1161" s="3"/>
      <c r="AL1161" s="3"/>
    </row>
    <row r="1162" spans="12:38" x14ac:dyDescent="0.25">
      <c r="L1162" s="2"/>
      <c r="M1162" s="2"/>
      <c r="N1162" s="2"/>
      <c r="AD1162" s="3"/>
      <c r="AH1162" s="3"/>
      <c r="AL1162" s="3"/>
    </row>
    <row r="1163" spans="12:38" x14ac:dyDescent="0.25">
      <c r="L1163" s="2"/>
      <c r="M1163" s="2"/>
      <c r="N1163" s="2"/>
      <c r="AD1163" s="3"/>
      <c r="AH1163" s="3"/>
      <c r="AL1163" s="3"/>
    </row>
    <row r="1164" spans="12:38" x14ac:dyDescent="0.25">
      <c r="L1164" s="2"/>
      <c r="M1164" s="2"/>
      <c r="N1164" s="2"/>
      <c r="AD1164" s="3"/>
      <c r="AH1164" s="3"/>
      <c r="AL1164" s="3"/>
    </row>
    <row r="1165" spans="12:38" x14ac:dyDescent="0.25">
      <c r="L1165" s="2"/>
      <c r="M1165" s="2"/>
      <c r="N1165" s="2"/>
      <c r="AD1165" s="3"/>
      <c r="AH1165" s="3"/>
      <c r="AL1165" s="3"/>
    </row>
    <row r="1166" spans="12:38" x14ac:dyDescent="0.25">
      <c r="L1166" s="2"/>
      <c r="M1166" s="2"/>
      <c r="N1166" s="2"/>
      <c r="AD1166" s="3"/>
      <c r="AH1166" s="3"/>
      <c r="AL1166" s="3"/>
    </row>
    <row r="1167" spans="12:38" x14ac:dyDescent="0.25">
      <c r="L1167" s="2"/>
      <c r="M1167" s="2"/>
      <c r="N1167" s="2"/>
      <c r="AD1167" s="3"/>
      <c r="AH1167" s="3"/>
      <c r="AL1167" s="3"/>
    </row>
    <row r="1168" spans="12:38" x14ac:dyDescent="0.25">
      <c r="L1168" s="2"/>
      <c r="M1168" s="2"/>
      <c r="N1168" s="2"/>
      <c r="AD1168" s="3"/>
      <c r="AH1168" s="3"/>
      <c r="AL1168" s="3"/>
    </row>
    <row r="1169" spans="12:38" x14ac:dyDescent="0.25">
      <c r="L1169" s="2"/>
      <c r="M1169" s="2"/>
      <c r="N1169" s="2"/>
      <c r="AD1169" s="3"/>
      <c r="AH1169" s="3"/>
      <c r="AL1169" s="3"/>
    </row>
    <row r="1170" spans="12:38" x14ac:dyDescent="0.25">
      <c r="L1170" s="2"/>
      <c r="M1170" s="2"/>
      <c r="N1170" s="2"/>
      <c r="AD1170" s="3"/>
      <c r="AH1170" s="3"/>
      <c r="AL1170" s="3"/>
    </row>
    <row r="1171" spans="12:38" x14ac:dyDescent="0.25">
      <c r="L1171" s="2"/>
      <c r="M1171" s="2"/>
      <c r="N1171" s="2"/>
      <c r="AD1171" s="3"/>
      <c r="AH1171" s="3"/>
      <c r="AL1171" s="3"/>
    </row>
    <row r="1172" spans="12:38" x14ac:dyDescent="0.25">
      <c r="L1172" s="2"/>
      <c r="M1172" s="2"/>
      <c r="N1172" s="2"/>
      <c r="AD1172" s="3"/>
      <c r="AH1172" s="3"/>
      <c r="AL1172" s="3"/>
    </row>
    <row r="1173" spans="12:38" x14ac:dyDescent="0.25">
      <c r="L1173" s="2"/>
      <c r="M1173" s="2"/>
      <c r="N1173" s="2"/>
      <c r="AD1173" s="3"/>
      <c r="AH1173" s="3"/>
      <c r="AL1173" s="3"/>
    </row>
    <row r="1174" spans="12:38" x14ac:dyDescent="0.25">
      <c r="L1174" s="2"/>
      <c r="M1174" s="2"/>
      <c r="N1174" s="2"/>
      <c r="AD1174" s="3"/>
      <c r="AH1174" s="3"/>
      <c r="AL1174" s="3"/>
    </row>
    <row r="1175" spans="12:38" x14ac:dyDescent="0.25">
      <c r="L1175" s="2"/>
      <c r="M1175" s="2"/>
      <c r="N1175" s="2"/>
      <c r="AD1175" s="3"/>
      <c r="AH1175" s="3"/>
      <c r="AL1175" s="3"/>
    </row>
    <row r="1176" spans="12:38" x14ac:dyDescent="0.25">
      <c r="L1176" s="2"/>
      <c r="M1176" s="2"/>
      <c r="N1176" s="2"/>
      <c r="AD1176" s="3"/>
      <c r="AH1176" s="3"/>
      <c r="AL1176" s="3"/>
    </row>
    <row r="1177" spans="12:38" x14ac:dyDescent="0.25">
      <c r="L1177" s="2"/>
      <c r="M1177" s="2"/>
      <c r="N1177" s="2"/>
      <c r="AD1177" s="3"/>
      <c r="AH1177" s="3"/>
      <c r="AL1177" s="3"/>
    </row>
    <row r="1178" spans="12:38" x14ac:dyDescent="0.25">
      <c r="L1178" s="2"/>
      <c r="M1178" s="2"/>
      <c r="N1178" s="2"/>
      <c r="AD1178" s="3"/>
      <c r="AH1178" s="3"/>
      <c r="AL1178" s="3"/>
    </row>
    <row r="1179" spans="12:38" x14ac:dyDescent="0.25">
      <c r="L1179" s="2"/>
      <c r="M1179" s="2"/>
      <c r="N1179" s="2"/>
      <c r="AD1179" s="3"/>
      <c r="AH1179" s="3"/>
      <c r="AL1179" s="3"/>
    </row>
    <row r="1180" spans="12:38" x14ac:dyDescent="0.25">
      <c r="L1180" s="2"/>
      <c r="M1180" s="2"/>
      <c r="N1180" s="2"/>
      <c r="AD1180" s="3"/>
      <c r="AH1180" s="3"/>
      <c r="AL1180" s="3"/>
    </row>
    <row r="1181" spans="12:38" x14ac:dyDescent="0.25">
      <c r="L1181" s="2"/>
      <c r="M1181" s="2"/>
      <c r="N1181" s="2"/>
      <c r="AD1181" s="3"/>
      <c r="AH1181" s="3"/>
      <c r="AL1181" s="3"/>
    </row>
    <row r="1182" spans="12:38" x14ac:dyDescent="0.25">
      <c r="L1182" s="2"/>
      <c r="M1182" s="2"/>
      <c r="N1182" s="2"/>
      <c r="AD1182" s="3"/>
      <c r="AH1182" s="3"/>
      <c r="AL1182" s="3"/>
    </row>
    <row r="1183" spans="12:38" x14ac:dyDescent="0.25">
      <c r="L1183" s="2"/>
      <c r="M1183" s="2"/>
      <c r="N1183" s="2"/>
      <c r="AD1183" s="3"/>
      <c r="AH1183" s="3"/>
      <c r="AL1183" s="3"/>
    </row>
    <row r="1184" spans="12:38" x14ac:dyDescent="0.25">
      <c r="L1184" s="2"/>
      <c r="M1184" s="2"/>
      <c r="N1184" s="2"/>
      <c r="AD1184" s="3"/>
      <c r="AH1184" s="3"/>
      <c r="AL1184" s="3"/>
    </row>
    <row r="1185" spans="12:38" x14ac:dyDescent="0.25">
      <c r="L1185" s="2"/>
      <c r="M1185" s="2"/>
      <c r="N1185" s="2"/>
      <c r="AD1185" s="3"/>
      <c r="AH1185" s="3"/>
      <c r="AL1185" s="3"/>
    </row>
    <row r="1186" spans="12:38" x14ac:dyDescent="0.25">
      <c r="L1186" s="2"/>
      <c r="M1186" s="2"/>
      <c r="N1186" s="2"/>
      <c r="AD1186" s="3"/>
      <c r="AH1186" s="3"/>
      <c r="AL1186" s="3"/>
    </row>
    <row r="1187" spans="12:38" x14ac:dyDescent="0.25">
      <c r="L1187" s="2"/>
      <c r="M1187" s="2"/>
      <c r="N1187" s="2"/>
      <c r="AD1187" s="3"/>
      <c r="AH1187" s="3"/>
      <c r="AL1187" s="3"/>
    </row>
    <row r="1188" spans="12:38" x14ac:dyDescent="0.25">
      <c r="L1188" s="2"/>
      <c r="M1188" s="2"/>
      <c r="N1188" s="2"/>
      <c r="AD1188" s="3"/>
      <c r="AH1188" s="3"/>
      <c r="AL1188" s="3"/>
    </row>
    <row r="1189" spans="12:38" x14ac:dyDescent="0.25">
      <c r="L1189" s="2"/>
      <c r="M1189" s="2"/>
      <c r="N1189" s="2"/>
      <c r="AD1189" s="3"/>
      <c r="AH1189" s="3"/>
      <c r="AL1189" s="3"/>
    </row>
    <row r="1190" spans="12:38" x14ac:dyDescent="0.25">
      <c r="L1190" s="2"/>
      <c r="M1190" s="2"/>
      <c r="N1190" s="2"/>
      <c r="AD1190" s="3"/>
      <c r="AH1190" s="3"/>
      <c r="AL1190" s="3"/>
    </row>
    <row r="1191" spans="12:38" x14ac:dyDescent="0.25">
      <c r="L1191" s="2"/>
      <c r="M1191" s="2"/>
      <c r="N1191" s="2"/>
      <c r="AD1191" s="3"/>
      <c r="AH1191" s="3"/>
      <c r="AL1191" s="3"/>
    </row>
    <row r="1192" spans="12:38" x14ac:dyDescent="0.25">
      <c r="L1192" s="2"/>
      <c r="M1192" s="2"/>
      <c r="N1192" s="2"/>
      <c r="AD1192" s="3"/>
      <c r="AH1192" s="3"/>
      <c r="AL1192" s="3"/>
    </row>
    <row r="1193" spans="12:38" x14ac:dyDescent="0.25">
      <c r="L1193" s="2"/>
      <c r="M1193" s="2"/>
      <c r="N1193" s="2"/>
      <c r="AD1193" s="3"/>
      <c r="AH1193" s="3"/>
      <c r="AL1193" s="3"/>
    </row>
    <row r="1194" spans="12:38" x14ac:dyDescent="0.25">
      <c r="L1194" s="2"/>
      <c r="M1194" s="2"/>
      <c r="N1194" s="2"/>
      <c r="AD1194" s="3"/>
      <c r="AH1194" s="3"/>
      <c r="AL1194" s="3"/>
    </row>
    <row r="1195" spans="12:38" x14ac:dyDescent="0.25">
      <c r="L1195" s="2"/>
      <c r="M1195" s="2"/>
      <c r="N1195" s="2"/>
      <c r="AD1195" s="3"/>
      <c r="AH1195" s="3"/>
      <c r="AL1195" s="3"/>
    </row>
    <row r="1196" spans="12:38" x14ac:dyDescent="0.25">
      <c r="L1196" s="2"/>
      <c r="M1196" s="2"/>
      <c r="N1196" s="2"/>
      <c r="AD1196" s="3"/>
      <c r="AH1196" s="3"/>
      <c r="AL1196" s="3"/>
    </row>
    <row r="1197" spans="12:38" x14ac:dyDescent="0.25">
      <c r="L1197" s="2"/>
      <c r="M1197" s="2"/>
      <c r="N1197" s="2"/>
      <c r="AD1197" s="3"/>
      <c r="AH1197" s="3"/>
      <c r="AL1197" s="3"/>
    </row>
    <row r="1198" spans="12:38" x14ac:dyDescent="0.25">
      <c r="L1198" s="2"/>
      <c r="M1198" s="2"/>
      <c r="N1198" s="2"/>
      <c r="AD1198" s="3"/>
      <c r="AH1198" s="3"/>
      <c r="AL1198" s="3"/>
    </row>
    <row r="1199" spans="12:38" x14ac:dyDescent="0.25">
      <c r="L1199" s="2"/>
      <c r="M1199" s="2"/>
      <c r="N1199" s="2"/>
      <c r="AD1199" s="3"/>
      <c r="AH1199" s="3"/>
      <c r="AL1199" s="3"/>
    </row>
    <row r="1200" spans="12:38" x14ac:dyDescent="0.25">
      <c r="L1200" s="2"/>
      <c r="M1200" s="2"/>
      <c r="N1200" s="2"/>
      <c r="AD1200" s="3"/>
      <c r="AH1200" s="3"/>
      <c r="AL1200" s="3"/>
    </row>
    <row r="1201" spans="12:38" x14ac:dyDescent="0.25">
      <c r="L1201" s="2"/>
      <c r="M1201" s="2"/>
      <c r="N1201" s="2"/>
      <c r="AD1201" s="3"/>
      <c r="AH1201" s="3"/>
      <c r="AL1201" s="3"/>
    </row>
    <row r="1202" spans="12:38" x14ac:dyDescent="0.25">
      <c r="L1202" s="2"/>
      <c r="M1202" s="2"/>
      <c r="N1202" s="2"/>
      <c r="AD1202" s="3"/>
      <c r="AH1202" s="3"/>
      <c r="AL1202" s="3"/>
    </row>
    <row r="1203" spans="12:38" x14ac:dyDescent="0.25">
      <c r="L1203" s="2"/>
      <c r="M1203" s="2"/>
      <c r="N1203" s="2"/>
      <c r="AD1203" s="3"/>
      <c r="AH1203" s="3"/>
      <c r="AL1203" s="3"/>
    </row>
    <row r="1204" spans="12:38" x14ac:dyDescent="0.25">
      <c r="L1204" s="2"/>
      <c r="M1204" s="2"/>
      <c r="N1204" s="2"/>
      <c r="AD1204" s="3"/>
      <c r="AH1204" s="3"/>
      <c r="AL1204" s="3"/>
    </row>
    <row r="1205" spans="12:38" x14ac:dyDescent="0.25">
      <c r="L1205" s="2"/>
      <c r="M1205" s="2"/>
      <c r="N1205" s="2"/>
      <c r="AD1205" s="3"/>
      <c r="AH1205" s="3"/>
      <c r="AL1205" s="3"/>
    </row>
    <row r="1206" spans="12:38" x14ac:dyDescent="0.25">
      <c r="L1206" s="2"/>
      <c r="M1206" s="2"/>
      <c r="N1206" s="2"/>
      <c r="AD1206" s="3"/>
      <c r="AH1206" s="3"/>
      <c r="AL1206" s="3"/>
    </row>
    <row r="1207" spans="12:38" x14ac:dyDescent="0.25">
      <c r="L1207" s="2"/>
      <c r="M1207" s="2"/>
      <c r="N1207" s="2"/>
      <c r="AD1207" s="3"/>
      <c r="AH1207" s="3"/>
      <c r="AL1207" s="3"/>
    </row>
    <row r="1208" spans="12:38" x14ac:dyDescent="0.25">
      <c r="L1208" s="2"/>
      <c r="M1208" s="2"/>
      <c r="N1208" s="2"/>
      <c r="AD1208" s="3"/>
      <c r="AH1208" s="3"/>
      <c r="AL1208" s="3"/>
    </row>
    <row r="1209" spans="12:38" x14ac:dyDescent="0.25">
      <c r="L1209" s="2"/>
      <c r="M1209" s="2"/>
      <c r="N1209" s="2"/>
      <c r="AD1209" s="3"/>
      <c r="AH1209" s="3"/>
      <c r="AL1209" s="3"/>
    </row>
    <row r="1210" spans="12:38" x14ac:dyDescent="0.25">
      <c r="L1210" s="2"/>
      <c r="M1210" s="2"/>
      <c r="N1210" s="2"/>
      <c r="AD1210" s="3"/>
      <c r="AH1210" s="3"/>
      <c r="AL1210" s="3"/>
    </row>
    <row r="1211" spans="12:38" x14ac:dyDescent="0.25">
      <c r="L1211" s="2"/>
      <c r="M1211" s="2"/>
      <c r="N1211" s="2"/>
      <c r="AD1211" s="3"/>
      <c r="AH1211" s="3"/>
      <c r="AL1211" s="3"/>
    </row>
    <row r="1212" spans="12:38" x14ac:dyDescent="0.25">
      <c r="L1212" s="2"/>
      <c r="M1212" s="2"/>
      <c r="N1212" s="2"/>
      <c r="AD1212" s="3"/>
      <c r="AH1212" s="3"/>
      <c r="AL1212" s="3"/>
    </row>
    <row r="1213" spans="12:38" x14ac:dyDescent="0.25">
      <c r="L1213" s="2"/>
      <c r="M1213" s="2"/>
      <c r="N1213" s="2"/>
      <c r="AD1213" s="3"/>
      <c r="AH1213" s="3"/>
      <c r="AL1213" s="3"/>
    </row>
    <row r="1214" spans="12:38" x14ac:dyDescent="0.25">
      <c r="L1214" s="2"/>
      <c r="M1214" s="2"/>
      <c r="N1214" s="2"/>
      <c r="AD1214" s="3"/>
      <c r="AH1214" s="3"/>
      <c r="AL1214" s="3"/>
    </row>
    <row r="1215" spans="12:38" x14ac:dyDescent="0.25">
      <c r="L1215" s="2"/>
      <c r="M1215" s="2"/>
      <c r="N1215" s="2"/>
      <c r="AD1215" s="3"/>
      <c r="AH1215" s="3"/>
      <c r="AL1215" s="3"/>
    </row>
    <row r="1216" spans="12:38" x14ac:dyDescent="0.25">
      <c r="L1216" s="2"/>
      <c r="M1216" s="2"/>
      <c r="N1216" s="2"/>
      <c r="AD1216" s="3"/>
      <c r="AH1216" s="3"/>
      <c r="AL1216" s="3"/>
    </row>
    <row r="1217" spans="12:38" x14ac:dyDescent="0.25">
      <c r="L1217" s="2"/>
      <c r="M1217" s="2"/>
      <c r="N1217" s="2"/>
      <c r="AD1217" s="3"/>
      <c r="AH1217" s="3"/>
      <c r="AL1217" s="3"/>
    </row>
    <row r="1218" spans="12:38" x14ac:dyDescent="0.25">
      <c r="L1218" s="2"/>
      <c r="M1218" s="2"/>
      <c r="N1218" s="2"/>
      <c r="AD1218" s="3"/>
      <c r="AH1218" s="3"/>
      <c r="AL1218" s="3"/>
    </row>
    <row r="1219" spans="12:38" x14ac:dyDescent="0.25">
      <c r="L1219" s="2"/>
      <c r="M1219" s="2"/>
      <c r="N1219" s="2"/>
      <c r="AD1219" s="3"/>
      <c r="AH1219" s="3"/>
      <c r="AL1219" s="3"/>
    </row>
    <row r="1220" spans="12:38" x14ac:dyDescent="0.25">
      <c r="L1220" s="2"/>
      <c r="M1220" s="2"/>
      <c r="N1220" s="2"/>
      <c r="AD1220" s="3"/>
      <c r="AH1220" s="3"/>
      <c r="AL1220" s="3"/>
    </row>
    <row r="1221" spans="12:38" x14ac:dyDescent="0.25">
      <c r="L1221" s="2"/>
      <c r="M1221" s="2"/>
      <c r="N1221" s="2"/>
      <c r="AD1221" s="3"/>
      <c r="AH1221" s="3"/>
      <c r="AL1221" s="3"/>
    </row>
    <row r="1222" spans="12:38" x14ac:dyDescent="0.25">
      <c r="L1222" s="2"/>
      <c r="M1222" s="2"/>
      <c r="N1222" s="2"/>
      <c r="AD1222" s="3"/>
      <c r="AH1222" s="3"/>
      <c r="AL1222" s="3"/>
    </row>
    <row r="1223" spans="12:38" x14ac:dyDescent="0.25">
      <c r="L1223" s="2"/>
      <c r="M1223" s="2"/>
      <c r="N1223" s="2"/>
      <c r="AD1223" s="3"/>
      <c r="AH1223" s="3"/>
      <c r="AL1223" s="3"/>
    </row>
    <row r="1224" spans="12:38" x14ac:dyDescent="0.25">
      <c r="L1224" s="2"/>
      <c r="M1224" s="2"/>
      <c r="N1224" s="2"/>
      <c r="AD1224" s="3"/>
      <c r="AH1224" s="3"/>
      <c r="AL1224" s="3"/>
    </row>
    <row r="1225" spans="12:38" x14ac:dyDescent="0.25">
      <c r="L1225" s="2"/>
      <c r="M1225" s="2"/>
      <c r="N1225" s="2"/>
      <c r="AD1225" s="3"/>
      <c r="AH1225" s="3"/>
      <c r="AL1225" s="3"/>
    </row>
    <row r="1226" spans="12:38" x14ac:dyDescent="0.25">
      <c r="L1226" s="2"/>
      <c r="M1226" s="2"/>
      <c r="N1226" s="2"/>
      <c r="AD1226" s="3"/>
      <c r="AH1226" s="3"/>
      <c r="AL1226" s="3"/>
    </row>
    <row r="1227" spans="12:38" x14ac:dyDescent="0.25">
      <c r="L1227" s="2"/>
      <c r="M1227" s="2"/>
      <c r="N1227" s="2"/>
      <c r="AD1227" s="3"/>
      <c r="AH1227" s="3"/>
      <c r="AL1227" s="3"/>
    </row>
    <row r="1228" spans="12:38" x14ac:dyDescent="0.25">
      <c r="L1228" s="2"/>
      <c r="M1228" s="2"/>
      <c r="N1228" s="2"/>
      <c r="AD1228" s="3"/>
      <c r="AH1228" s="3"/>
      <c r="AL1228" s="3"/>
    </row>
    <row r="1229" spans="12:38" x14ac:dyDescent="0.25">
      <c r="L1229" s="2"/>
      <c r="M1229" s="2"/>
      <c r="N1229" s="2"/>
      <c r="AD1229" s="3"/>
      <c r="AH1229" s="3"/>
      <c r="AL1229" s="3"/>
    </row>
    <row r="1230" spans="12:38" x14ac:dyDescent="0.25">
      <c r="L1230" s="2"/>
      <c r="M1230" s="2"/>
      <c r="N1230" s="2"/>
      <c r="AD1230" s="3"/>
      <c r="AH1230" s="3"/>
      <c r="AL1230" s="3"/>
    </row>
    <row r="1231" spans="12:38" x14ac:dyDescent="0.25">
      <c r="L1231" s="2"/>
      <c r="M1231" s="2"/>
      <c r="N1231" s="2"/>
      <c r="AD1231" s="3"/>
      <c r="AH1231" s="3"/>
      <c r="AL1231" s="3"/>
    </row>
    <row r="1232" spans="12:38" x14ac:dyDescent="0.25">
      <c r="L1232" s="2"/>
      <c r="M1232" s="2"/>
      <c r="N1232" s="2"/>
      <c r="AD1232" s="3"/>
      <c r="AH1232" s="3"/>
      <c r="AL1232" s="3"/>
    </row>
    <row r="1233" spans="12:38" x14ac:dyDescent="0.25">
      <c r="L1233" s="2"/>
      <c r="M1233" s="2"/>
      <c r="N1233" s="2"/>
      <c r="AD1233" s="3"/>
      <c r="AH1233" s="3"/>
      <c r="AL1233" s="3"/>
    </row>
    <row r="1234" spans="12:38" x14ac:dyDescent="0.25">
      <c r="L1234" s="2"/>
      <c r="M1234" s="2"/>
      <c r="N1234" s="2"/>
      <c r="AD1234" s="3"/>
      <c r="AH1234" s="3"/>
      <c r="AL1234" s="3"/>
    </row>
    <row r="1235" spans="12:38" x14ac:dyDescent="0.25">
      <c r="L1235" s="2"/>
      <c r="M1235" s="2"/>
      <c r="N1235" s="2"/>
      <c r="AD1235" s="3"/>
      <c r="AH1235" s="3"/>
      <c r="AL1235" s="3"/>
    </row>
    <row r="1236" spans="12:38" x14ac:dyDescent="0.25">
      <c r="L1236" s="2"/>
      <c r="M1236" s="2"/>
      <c r="N1236" s="2"/>
      <c r="AD1236" s="3"/>
      <c r="AH1236" s="3"/>
      <c r="AL1236" s="3"/>
    </row>
    <row r="1237" spans="12:38" x14ac:dyDescent="0.25">
      <c r="L1237" s="2"/>
      <c r="M1237" s="2"/>
      <c r="N1237" s="2"/>
      <c r="AD1237" s="3"/>
      <c r="AH1237" s="3"/>
      <c r="AL1237" s="3"/>
    </row>
    <row r="1238" spans="12:38" x14ac:dyDescent="0.25">
      <c r="L1238" s="2"/>
      <c r="M1238" s="2"/>
      <c r="N1238" s="2"/>
      <c r="AD1238" s="3"/>
      <c r="AH1238" s="3"/>
      <c r="AL1238" s="3"/>
    </row>
    <row r="1239" spans="12:38" x14ac:dyDescent="0.25">
      <c r="L1239" s="2"/>
      <c r="M1239" s="2"/>
      <c r="N1239" s="2"/>
      <c r="AD1239" s="3"/>
      <c r="AH1239" s="3"/>
      <c r="AL1239" s="3"/>
    </row>
    <row r="1240" spans="12:38" x14ac:dyDescent="0.25">
      <c r="L1240" s="2"/>
      <c r="M1240" s="2"/>
      <c r="N1240" s="2"/>
      <c r="AD1240" s="3"/>
      <c r="AH1240" s="3"/>
      <c r="AL1240" s="3"/>
    </row>
    <row r="1241" spans="12:38" x14ac:dyDescent="0.25">
      <c r="L1241" s="2"/>
      <c r="M1241" s="2"/>
      <c r="N1241" s="2"/>
      <c r="AD1241" s="3"/>
      <c r="AH1241" s="3"/>
      <c r="AL1241" s="3"/>
    </row>
    <row r="1242" spans="12:38" x14ac:dyDescent="0.25">
      <c r="L1242" s="2"/>
      <c r="M1242" s="2"/>
      <c r="N1242" s="2"/>
      <c r="AD1242" s="3"/>
      <c r="AH1242" s="3"/>
      <c r="AL1242" s="3"/>
    </row>
    <row r="1243" spans="12:38" x14ac:dyDescent="0.25">
      <c r="L1243" s="2"/>
      <c r="M1243" s="2"/>
      <c r="N1243" s="2"/>
      <c r="AD1243" s="3"/>
      <c r="AH1243" s="3"/>
      <c r="AL1243" s="3"/>
    </row>
    <row r="1244" spans="12:38" x14ac:dyDescent="0.25">
      <c r="L1244" s="2"/>
      <c r="M1244" s="2"/>
      <c r="N1244" s="2"/>
      <c r="AD1244" s="3"/>
      <c r="AH1244" s="3"/>
      <c r="AL1244" s="3"/>
    </row>
    <row r="1245" spans="12:38" x14ac:dyDescent="0.25">
      <c r="L1245" s="2"/>
      <c r="M1245" s="2"/>
      <c r="N1245" s="2"/>
      <c r="AD1245" s="3"/>
      <c r="AH1245" s="3"/>
      <c r="AL1245" s="3"/>
    </row>
    <row r="1246" spans="12:38" x14ac:dyDescent="0.25">
      <c r="L1246" s="2"/>
      <c r="M1246" s="2"/>
      <c r="N1246" s="2"/>
      <c r="AD1246" s="3"/>
      <c r="AH1246" s="3"/>
      <c r="AL1246" s="3"/>
    </row>
    <row r="1247" spans="12:38" x14ac:dyDescent="0.25">
      <c r="L1247" s="2"/>
      <c r="M1247" s="2"/>
      <c r="N1247" s="2"/>
      <c r="AD1247" s="3"/>
      <c r="AH1247" s="3"/>
      <c r="AL1247" s="3"/>
    </row>
    <row r="1248" spans="12:38" x14ac:dyDescent="0.25">
      <c r="L1248" s="2"/>
      <c r="M1248" s="2"/>
      <c r="N1248" s="2"/>
      <c r="AD1248" s="3"/>
      <c r="AH1248" s="3"/>
      <c r="AL1248" s="3"/>
    </row>
    <row r="1249" spans="12:38" x14ac:dyDescent="0.25">
      <c r="L1249" s="2"/>
      <c r="M1249" s="2"/>
      <c r="N1249" s="2"/>
      <c r="AD1249" s="3"/>
      <c r="AH1249" s="3"/>
      <c r="AL1249" s="3"/>
    </row>
    <row r="1250" spans="12:38" x14ac:dyDescent="0.25">
      <c r="L1250" s="2"/>
      <c r="M1250" s="2"/>
      <c r="N1250" s="2"/>
      <c r="AD1250" s="3"/>
      <c r="AH1250" s="3"/>
      <c r="AL1250" s="3"/>
    </row>
    <row r="1251" spans="12:38" x14ac:dyDescent="0.25">
      <c r="L1251" s="2"/>
      <c r="M1251" s="2"/>
      <c r="N1251" s="2"/>
      <c r="AD1251" s="3"/>
      <c r="AH1251" s="3"/>
      <c r="AL1251" s="3"/>
    </row>
    <row r="1252" spans="12:38" x14ac:dyDescent="0.25">
      <c r="L1252" s="2"/>
      <c r="M1252" s="2"/>
      <c r="N1252" s="2"/>
      <c r="AD1252" s="3"/>
      <c r="AH1252" s="3"/>
      <c r="AL1252" s="3"/>
    </row>
    <row r="1253" spans="12:38" x14ac:dyDescent="0.25">
      <c r="L1253" s="2"/>
      <c r="M1253" s="2"/>
      <c r="N1253" s="2"/>
      <c r="AD1253" s="3"/>
      <c r="AH1253" s="3"/>
      <c r="AL1253" s="3"/>
    </row>
    <row r="1254" spans="12:38" x14ac:dyDescent="0.25">
      <c r="L1254" s="2"/>
      <c r="M1254" s="2"/>
      <c r="N1254" s="2"/>
      <c r="AD1254" s="3"/>
      <c r="AH1254" s="3"/>
      <c r="AL1254" s="3"/>
    </row>
    <row r="1255" spans="12:38" x14ac:dyDescent="0.25">
      <c r="L1255" s="2"/>
      <c r="M1255" s="2"/>
      <c r="N1255" s="2"/>
      <c r="AD1255" s="3"/>
      <c r="AH1255" s="3"/>
      <c r="AL1255" s="3"/>
    </row>
    <row r="1256" spans="12:38" x14ac:dyDescent="0.25">
      <c r="L1256" s="2"/>
      <c r="M1256" s="2"/>
      <c r="N1256" s="2"/>
      <c r="AD1256" s="3"/>
      <c r="AH1256" s="3"/>
      <c r="AL1256" s="3"/>
    </row>
    <row r="1257" spans="12:38" x14ac:dyDescent="0.25">
      <c r="L1257" s="2"/>
      <c r="M1257" s="2"/>
      <c r="N1257" s="2"/>
      <c r="AD1257" s="3"/>
      <c r="AH1257" s="3"/>
      <c r="AL1257" s="3"/>
    </row>
    <row r="1258" spans="12:38" x14ac:dyDescent="0.25">
      <c r="L1258" s="2"/>
      <c r="M1258" s="2"/>
      <c r="N1258" s="2"/>
      <c r="AD1258" s="3"/>
      <c r="AH1258" s="3"/>
      <c r="AL1258" s="3"/>
    </row>
    <row r="1259" spans="12:38" x14ac:dyDescent="0.25">
      <c r="L1259" s="2"/>
      <c r="M1259" s="2"/>
      <c r="N1259" s="2"/>
      <c r="AD1259" s="3"/>
      <c r="AH1259" s="3"/>
      <c r="AL1259" s="3"/>
    </row>
    <row r="1260" spans="12:38" x14ac:dyDescent="0.25">
      <c r="L1260" s="2"/>
      <c r="M1260" s="2"/>
      <c r="N1260" s="2"/>
      <c r="AD1260" s="3"/>
      <c r="AH1260" s="3"/>
      <c r="AL1260" s="3"/>
    </row>
    <row r="1261" spans="12:38" x14ac:dyDescent="0.25">
      <c r="L1261" s="2"/>
      <c r="M1261" s="2"/>
      <c r="N1261" s="2"/>
      <c r="AD1261" s="3"/>
      <c r="AH1261" s="3"/>
      <c r="AL1261" s="3"/>
    </row>
    <row r="1262" spans="12:38" x14ac:dyDescent="0.25">
      <c r="L1262" s="2"/>
      <c r="M1262" s="2"/>
      <c r="N1262" s="2"/>
      <c r="AD1262" s="3"/>
      <c r="AH1262" s="3"/>
      <c r="AL1262" s="3"/>
    </row>
    <row r="1263" spans="12:38" x14ac:dyDescent="0.25">
      <c r="L1263" s="2"/>
      <c r="M1263" s="2"/>
      <c r="N1263" s="2"/>
      <c r="AD1263" s="3"/>
      <c r="AH1263" s="3"/>
      <c r="AL1263" s="3"/>
    </row>
    <row r="1264" spans="12:38" x14ac:dyDescent="0.25">
      <c r="L1264" s="2"/>
      <c r="M1264" s="2"/>
      <c r="N1264" s="2"/>
      <c r="AD1264" s="3"/>
      <c r="AH1264" s="3"/>
      <c r="AL1264" s="3"/>
    </row>
    <row r="1265" spans="12:38" x14ac:dyDescent="0.25">
      <c r="L1265" s="2"/>
      <c r="M1265" s="2"/>
      <c r="N1265" s="2"/>
      <c r="AD1265" s="3"/>
      <c r="AH1265" s="3"/>
      <c r="AL1265" s="3"/>
    </row>
    <row r="1266" spans="12:38" x14ac:dyDescent="0.25">
      <c r="L1266" s="2"/>
      <c r="M1266" s="2"/>
      <c r="N1266" s="2"/>
      <c r="AD1266" s="3"/>
      <c r="AH1266" s="3"/>
      <c r="AL1266" s="3"/>
    </row>
    <row r="1267" spans="12:38" x14ac:dyDescent="0.25">
      <c r="L1267" s="2"/>
      <c r="M1267" s="2"/>
      <c r="N1267" s="2"/>
      <c r="AD1267" s="3"/>
      <c r="AH1267" s="3"/>
      <c r="AL1267" s="3"/>
    </row>
    <row r="1268" spans="12:38" x14ac:dyDescent="0.25">
      <c r="L1268" s="2"/>
      <c r="M1268" s="2"/>
      <c r="N1268" s="2"/>
      <c r="AD1268" s="3"/>
      <c r="AH1268" s="3"/>
      <c r="AL1268" s="3"/>
    </row>
    <row r="1269" spans="12:38" x14ac:dyDescent="0.25">
      <c r="L1269" s="2"/>
      <c r="M1269" s="2"/>
      <c r="N1269" s="2"/>
      <c r="AD1269" s="3"/>
      <c r="AH1269" s="3"/>
      <c r="AL1269" s="3"/>
    </row>
    <row r="1270" spans="12:38" x14ac:dyDescent="0.25">
      <c r="L1270" s="2"/>
      <c r="M1270" s="2"/>
      <c r="N1270" s="2"/>
      <c r="AD1270" s="3"/>
      <c r="AH1270" s="3"/>
      <c r="AL1270" s="3"/>
    </row>
    <row r="1271" spans="12:38" x14ac:dyDescent="0.25">
      <c r="L1271" s="2"/>
      <c r="M1271" s="2"/>
      <c r="N1271" s="2"/>
      <c r="AD1271" s="3"/>
      <c r="AH1271" s="3"/>
      <c r="AL1271" s="3"/>
    </row>
    <row r="1272" spans="12:38" x14ac:dyDescent="0.25">
      <c r="L1272" s="2"/>
      <c r="M1272" s="2"/>
      <c r="N1272" s="2"/>
      <c r="AD1272" s="3"/>
      <c r="AH1272" s="3"/>
      <c r="AL1272" s="3"/>
    </row>
    <row r="1273" spans="12:38" x14ac:dyDescent="0.25">
      <c r="L1273" s="2"/>
      <c r="M1273" s="2"/>
      <c r="N1273" s="2"/>
      <c r="AD1273" s="3"/>
      <c r="AH1273" s="3"/>
      <c r="AL1273" s="3"/>
    </row>
    <row r="1274" spans="12:38" x14ac:dyDescent="0.25">
      <c r="L1274" s="2"/>
      <c r="M1274" s="2"/>
      <c r="N1274" s="2"/>
      <c r="AD1274" s="3"/>
      <c r="AH1274" s="3"/>
      <c r="AL1274" s="3"/>
    </row>
    <row r="1275" spans="12:38" x14ac:dyDescent="0.25">
      <c r="L1275" s="2"/>
      <c r="M1275" s="2"/>
      <c r="N1275" s="2"/>
      <c r="AD1275" s="3"/>
      <c r="AH1275" s="3"/>
      <c r="AL1275" s="3"/>
    </row>
    <row r="1276" spans="12:38" x14ac:dyDescent="0.25">
      <c r="L1276" s="2"/>
      <c r="M1276" s="2"/>
      <c r="N1276" s="2"/>
      <c r="AD1276" s="3"/>
      <c r="AH1276" s="3"/>
      <c r="AL1276" s="3"/>
    </row>
    <row r="1277" spans="12:38" x14ac:dyDescent="0.25">
      <c r="L1277" s="2"/>
      <c r="M1277" s="2"/>
      <c r="N1277" s="2"/>
      <c r="AD1277" s="3"/>
      <c r="AH1277" s="3"/>
      <c r="AL1277" s="3"/>
    </row>
    <row r="1278" spans="12:38" x14ac:dyDescent="0.25">
      <c r="L1278" s="2"/>
      <c r="M1278" s="2"/>
      <c r="N1278" s="2"/>
      <c r="AD1278" s="3"/>
      <c r="AH1278" s="3"/>
      <c r="AL1278" s="3"/>
    </row>
    <row r="1279" spans="12:38" x14ac:dyDescent="0.25">
      <c r="L1279" s="2"/>
      <c r="M1279" s="2"/>
      <c r="N1279" s="2"/>
      <c r="AD1279" s="3"/>
      <c r="AH1279" s="3"/>
      <c r="AL1279" s="3"/>
    </row>
    <row r="1280" spans="12:38" x14ac:dyDescent="0.25">
      <c r="L1280" s="2"/>
      <c r="M1280" s="2"/>
      <c r="N1280" s="2"/>
      <c r="AD1280" s="3"/>
      <c r="AH1280" s="3"/>
      <c r="AL1280" s="3"/>
    </row>
    <row r="1281" spans="12:38" x14ac:dyDescent="0.25">
      <c r="L1281" s="2"/>
      <c r="M1281" s="2"/>
      <c r="N1281" s="2"/>
      <c r="AD1281" s="3"/>
      <c r="AH1281" s="3"/>
      <c r="AL1281" s="3"/>
    </row>
    <row r="1282" spans="12:38" x14ac:dyDescent="0.25">
      <c r="L1282" s="2"/>
      <c r="M1282" s="2"/>
      <c r="N1282" s="2"/>
      <c r="AD1282" s="3"/>
      <c r="AH1282" s="3"/>
      <c r="AL1282" s="3"/>
    </row>
    <row r="1283" spans="12:38" x14ac:dyDescent="0.25">
      <c r="L1283" s="2"/>
      <c r="M1283" s="2"/>
      <c r="N1283" s="2"/>
      <c r="AD1283" s="3"/>
      <c r="AH1283" s="3"/>
      <c r="AL1283" s="3"/>
    </row>
    <row r="1284" spans="12:38" x14ac:dyDescent="0.25">
      <c r="L1284" s="2"/>
      <c r="M1284" s="2"/>
      <c r="N1284" s="2"/>
      <c r="AD1284" s="3"/>
      <c r="AH1284" s="3"/>
      <c r="AL1284" s="3"/>
    </row>
    <row r="1285" spans="12:38" x14ac:dyDescent="0.25">
      <c r="L1285" s="2"/>
      <c r="M1285" s="2"/>
      <c r="N1285" s="2"/>
      <c r="AD1285" s="3"/>
      <c r="AH1285" s="3"/>
      <c r="AL1285" s="3"/>
    </row>
    <row r="1286" spans="12:38" x14ac:dyDescent="0.25">
      <c r="L1286" s="2"/>
      <c r="M1286" s="2"/>
      <c r="N1286" s="2"/>
      <c r="AD1286" s="3"/>
      <c r="AH1286" s="3"/>
      <c r="AL1286" s="3"/>
    </row>
    <row r="1287" spans="12:38" x14ac:dyDescent="0.25">
      <c r="L1287" s="2"/>
      <c r="M1287" s="2"/>
      <c r="N1287" s="2"/>
      <c r="AD1287" s="3"/>
      <c r="AH1287" s="3"/>
      <c r="AL1287" s="3"/>
    </row>
    <row r="1288" spans="12:38" x14ac:dyDescent="0.25">
      <c r="L1288" s="2"/>
      <c r="M1288" s="2"/>
      <c r="N1288" s="2"/>
      <c r="AD1288" s="3"/>
      <c r="AH1288" s="3"/>
      <c r="AL1288" s="3"/>
    </row>
    <row r="1289" spans="12:38" x14ac:dyDescent="0.25">
      <c r="L1289" s="2"/>
      <c r="M1289" s="2"/>
      <c r="N1289" s="2"/>
      <c r="AD1289" s="3"/>
      <c r="AH1289" s="3"/>
      <c r="AL1289" s="3"/>
    </row>
    <row r="1290" spans="12:38" x14ac:dyDescent="0.25">
      <c r="L1290" s="2"/>
      <c r="M1290" s="2"/>
      <c r="N1290" s="2"/>
      <c r="AD1290" s="3"/>
      <c r="AH1290" s="3"/>
      <c r="AL1290" s="3"/>
    </row>
    <row r="1291" spans="12:38" x14ac:dyDescent="0.25">
      <c r="L1291" s="2"/>
      <c r="M1291" s="2"/>
      <c r="N1291" s="2"/>
      <c r="AD1291" s="3"/>
      <c r="AH1291" s="3"/>
      <c r="AL1291" s="3"/>
    </row>
    <row r="1292" spans="12:38" x14ac:dyDescent="0.25">
      <c r="L1292" s="2"/>
      <c r="M1292" s="2"/>
      <c r="N1292" s="2"/>
      <c r="AD1292" s="3"/>
      <c r="AH1292" s="3"/>
      <c r="AL1292" s="3"/>
    </row>
    <row r="1293" spans="12:38" x14ac:dyDescent="0.25">
      <c r="L1293" s="2"/>
      <c r="M1293" s="2"/>
      <c r="N1293" s="2"/>
      <c r="AD1293" s="3"/>
      <c r="AH1293" s="3"/>
      <c r="AL1293" s="3"/>
    </row>
    <row r="1294" spans="12:38" x14ac:dyDescent="0.25">
      <c r="L1294" s="2"/>
      <c r="M1294" s="2"/>
      <c r="N1294" s="2"/>
      <c r="AD1294" s="3"/>
      <c r="AH1294" s="3"/>
      <c r="AL1294" s="3"/>
    </row>
    <row r="1295" spans="12:38" x14ac:dyDescent="0.25">
      <c r="L1295" s="2"/>
      <c r="M1295" s="2"/>
      <c r="N1295" s="2"/>
      <c r="AD1295" s="3"/>
      <c r="AH1295" s="3"/>
      <c r="AL1295" s="3"/>
    </row>
    <row r="1296" spans="12:38" x14ac:dyDescent="0.25">
      <c r="L1296" s="2"/>
      <c r="M1296" s="2"/>
      <c r="N1296" s="2"/>
      <c r="AD1296" s="3"/>
      <c r="AH1296" s="3"/>
      <c r="AL1296" s="3"/>
    </row>
    <row r="1297" spans="12:38" x14ac:dyDescent="0.25">
      <c r="L1297" s="2"/>
      <c r="M1297" s="2"/>
      <c r="N1297" s="2"/>
      <c r="AD1297" s="3"/>
      <c r="AH1297" s="3"/>
      <c r="AL1297" s="3"/>
    </row>
    <row r="1298" spans="12:38" x14ac:dyDescent="0.25">
      <c r="L1298" s="2"/>
      <c r="M1298" s="2"/>
      <c r="N1298" s="2"/>
      <c r="AD1298" s="3"/>
      <c r="AH1298" s="3"/>
      <c r="AL1298" s="3"/>
    </row>
    <row r="1299" spans="12:38" x14ac:dyDescent="0.25">
      <c r="L1299" s="2"/>
      <c r="M1299" s="2"/>
      <c r="N1299" s="2"/>
      <c r="AD1299" s="3"/>
      <c r="AH1299" s="3"/>
      <c r="AL1299" s="3"/>
    </row>
    <row r="1300" spans="12:38" x14ac:dyDescent="0.25">
      <c r="L1300" s="2"/>
      <c r="M1300" s="2"/>
      <c r="N1300" s="2"/>
      <c r="AD1300" s="3"/>
      <c r="AH1300" s="3"/>
      <c r="AL1300" s="3"/>
    </row>
    <row r="1301" spans="12:38" x14ac:dyDescent="0.25">
      <c r="L1301" s="2"/>
      <c r="M1301" s="2"/>
      <c r="N1301" s="2"/>
      <c r="AD1301" s="3"/>
      <c r="AH1301" s="3"/>
      <c r="AL1301" s="3"/>
    </row>
    <row r="1302" spans="12:38" x14ac:dyDescent="0.25">
      <c r="L1302" s="2"/>
      <c r="M1302" s="2"/>
      <c r="N1302" s="2"/>
      <c r="AD1302" s="3"/>
      <c r="AH1302" s="3"/>
      <c r="AL1302" s="3"/>
    </row>
    <row r="1303" spans="12:38" x14ac:dyDescent="0.25">
      <c r="L1303" s="2"/>
      <c r="M1303" s="2"/>
      <c r="N1303" s="2"/>
      <c r="AD1303" s="3"/>
      <c r="AH1303" s="3"/>
      <c r="AL1303" s="3"/>
    </row>
    <row r="1304" spans="12:38" x14ac:dyDescent="0.25">
      <c r="L1304" s="2"/>
      <c r="M1304" s="2"/>
      <c r="N1304" s="2"/>
      <c r="AD1304" s="3"/>
      <c r="AH1304" s="3"/>
      <c r="AL1304" s="3"/>
    </row>
    <row r="1305" spans="12:38" x14ac:dyDescent="0.25">
      <c r="L1305" s="2"/>
      <c r="M1305" s="2"/>
      <c r="N1305" s="2"/>
      <c r="AD1305" s="3"/>
      <c r="AH1305" s="3"/>
      <c r="AL1305" s="3"/>
    </row>
    <row r="1306" spans="12:38" x14ac:dyDescent="0.25">
      <c r="L1306" s="2"/>
      <c r="M1306" s="2"/>
      <c r="N1306" s="2"/>
      <c r="AD1306" s="3"/>
      <c r="AH1306" s="3"/>
      <c r="AL1306" s="3"/>
    </row>
    <row r="1307" spans="12:38" x14ac:dyDescent="0.25">
      <c r="L1307" s="2"/>
      <c r="M1307" s="2"/>
      <c r="N1307" s="2"/>
      <c r="AD1307" s="3"/>
      <c r="AH1307" s="3"/>
      <c r="AL1307" s="3"/>
    </row>
    <row r="1308" spans="12:38" x14ac:dyDescent="0.25">
      <c r="L1308" s="2"/>
      <c r="M1308" s="2"/>
      <c r="N1308" s="2"/>
      <c r="AD1308" s="3"/>
      <c r="AH1308" s="3"/>
      <c r="AL1308" s="3"/>
    </row>
    <row r="1309" spans="12:38" x14ac:dyDescent="0.25">
      <c r="L1309" s="2"/>
      <c r="M1309" s="2"/>
      <c r="N1309" s="2"/>
      <c r="AD1309" s="3"/>
      <c r="AH1309" s="3"/>
      <c r="AL1309" s="3"/>
    </row>
    <row r="1310" spans="12:38" x14ac:dyDescent="0.25">
      <c r="L1310" s="2"/>
      <c r="M1310" s="2"/>
      <c r="N1310" s="2"/>
      <c r="AD1310" s="3"/>
      <c r="AH1310" s="3"/>
      <c r="AL1310" s="3"/>
    </row>
    <row r="1311" spans="12:38" x14ac:dyDescent="0.25">
      <c r="L1311" s="2"/>
      <c r="M1311" s="2"/>
      <c r="N1311" s="2"/>
      <c r="AD1311" s="3"/>
      <c r="AH1311" s="3"/>
      <c r="AL1311" s="3"/>
    </row>
    <row r="1312" spans="12:38" x14ac:dyDescent="0.25">
      <c r="L1312" s="2"/>
      <c r="M1312" s="2"/>
      <c r="N1312" s="2"/>
      <c r="AD1312" s="3"/>
      <c r="AH1312" s="3"/>
      <c r="AL1312" s="3"/>
    </row>
    <row r="1313" spans="12:38" x14ac:dyDescent="0.25">
      <c r="L1313" s="2"/>
      <c r="M1313" s="2"/>
      <c r="N1313" s="2"/>
      <c r="AD1313" s="3"/>
      <c r="AH1313" s="3"/>
      <c r="AL1313" s="3"/>
    </row>
    <row r="1314" spans="12:38" x14ac:dyDescent="0.25">
      <c r="L1314" s="2"/>
      <c r="M1314" s="2"/>
      <c r="N1314" s="2"/>
      <c r="AD1314" s="3"/>
      <c r="AH1314" s="3"/>
      <c r="AL1314" s="3"/>
    </row>
    <row r="1315" spans="12:38" x14ac:dyDescent="0.25">
      <c r="L1315" s="2"/>
      <c r="M1315" s="2"/>
      <c r="N1315" s="2"/>
      <c r="AD1315" s="3"/>
      <c r="AH1315" s="3"/>
      <c r="AL1315" s="3"/>
    </row>
    <row r="1316" spans="12:38" x14ac:dyDescent="0.25">
      <c r="L1316" s="2"/>
      <c r="M1316" s="2"/>
      <c r="N1316" s="2"/>
      <c r="AD1316" s="3"/>
      <c r="AH1316" s="3"/>
      <c r="AL1316" s="3"/>
    </row>
    <row r="1317" spans="12:38" x14ac:dyDescent="0.25">
      <c r="L1317" s="2"/>
      <c r="M1317" s="2"/>
      <c r="N1317" s="2"/>
      <c r="AD1317" s="3"/>
      <c r="AH1317" s="3"/>
      <c r="AL1317" s="3"/>
    </row>
    <row r="1318" spans="12:38" x14ac:dyDescent="0.25">
      <c r="L1318" s="2"/>
      <c r="M1318" s="2"/>
      <c r="N1318" s="2"/>
      <c r="AD1318" s="3"/>
      <c r="AH1318" s="3"/>
      <c r="AL1318" s="3"/>
    </row>
    <row r="1319" spans="12:38" x14ac:dyDescent="0.25">
      <c r="L1319" s="2"/>
      <c r="M1319" s="2"/>
      <c r="N1319" s="2"/>
      <c r="AD1319" s="3"/>
      <c r="AH1319" s="3"/>
      <c r="AL1319" s="3"/>
    </row>
    <row r="1320" spans="12:38" x14ac:dyDescent="0.25">
      <c r="L1320" s="2"/>
      <c r="M1320" s="2"/>
      <c r="N1320" s="2"/>
      <c r="AD1320" s="3"/>
      <c r="AH1320" s="3"/>
      <c r="AL1320" s="3"/>
    </row>
    <row r="1321" spans="12:38" x14ac:dyDescent="0.25">
      <c r="L1321" s="2"/>
      <c r="M1321" s="2"/>
      <c r="N1321" s="2"/>
      <c r="AD1321" s="3"/>
      <c r="AH1321" s="3"/>
      <c r="AL1321" s="3"/>
    </row>
    <row r="1322" spans="12:38" x14ac:dyDescent="0.25">
      <c r="L1322" s="2"/>
      <c r="M1322" s="2"/>
      <c r="N1322" s="2"/>
      <c r="AD1322" s="3"/>
      <c r="AH1322" s="3"/>
      <c r="AL1322" s="3"/>
    </row>
    <row r="1323" spans="12:38" x14ac:dyDescent="0.25">
      <c r="L1323" s="2"/>
      <c r="M1323" s="2"/>
      <c r="N1323" s="2"/>
      <c r="AD1323" s="3"/>
      <c r="AH1323" s="3"/>
      <c r="AL1323" s="3"/>
    </row>
    <row r="1324" spans="12:38" x14ac:dyDescent="0.25">
      <c r="L1324" s="2"/>
      <c r="M1324" s="2"/>
      <c r="N1324" s="2"/>
      <c r="AD1324" s="3"/>
      <c r="AH1324" s="3"/>
      <c r="AL1324" s="3"/>
    </row>
    <row r="1325" spans="12:38" x14ac:dyDescent="0.25">
      <c r="L1325" s="2"/>
      <c r="M1325" s="2"/>
      <c r="N1325" s="2"/>
      <c r="AD1325" s="3"/>
      <c r="AH1325" s="3"/>
      <c r="AL1325" s="3"/>
    </row>
    <row r="1326" spans="12:38" x14ac:dyDescent="0.25">
      <c r="L1326" s="2"/>
      <c r="M1326" s="2"/>
      <c r="N1326" s="2"/>
      <c r="AD1326" s="3"/>
      <c r="AH1326" s="3"/>
      <c r="AL1326" s="3"/>
    </row>
    <row r="1327" spans="12:38" x14ac:dyDescent="0.25">
      <c r="L1327" s="2"/>
      <c r="M1327" s="2"/>
      <c r="N1327" s="2"/>
      <c r="AD1327" s="3"/>
      <c r="AH1327" s="3"/>
      <c r="AL1327" s="3"/>
    </row>
    <row r="1328" spans="12:38" x14ac:dyDescent="0.25">
      <c r="L1328" s="2"/>
      <c r="M1328" s="2"/>
      <c r="N1328" s="2"/>
      <c r="AD1328" s="3"/>
      <c r="AH1328" s="3"/>
      <c r="AL1328" s="3"/>
    </row>
    <row r="1329" spans="12:38" x14ac:dyDescent="0.25">
      <c r="L1329" s="2"/>
      <c r="M1329" s="2"/>
      <c r="N1329" s="2"/>
      <c r="AD1329" s="3"/>
      <c r="AH1329" s="3"/>
      <c r="AL1329" s="3"/>
    </row>
    <row r="1330" spans="12:38" x14ac:dyDescent="0.25">
      <c r="L1330" s="2"/>
      <c r="M1330" s="2"/>
      <c r="N1330" s="2"/>
      <c r="AD1330" s="3"/>
      <c r="AH1330" s="3"/>
      <c r="AL1330" s="3"/>
    </row>
    <row r="1331" spans="12:38" x14ac:dyDescent="0.25">
      <c r="L1331" s="2"/>
      <c r="M1331" s="2"/>
      <c r="N1331" s="2"/>
      <c r="AD1331" s="3"/>
      <c r="AH1331" s="3"/>
      <c r="AL1331" s="3"/>
    </row>
    <row r="1332" spans="12:38" x14ac:dyDescent="0.25">
      <c r="L1332" s="2"/>
      <c r="M1332" s="2"/>
      <c r="N1332" s="2"/>
      <c r="AD1332" s="3"/>
      <c r="AH1332" s="3"/>
      <c r="AL1332" s="3"/>
    </row>
    <row r="1333" spans="12:38" x14ac:dyDescent="0.25">
      <c r="L1333" s="2"/>
      <c r="M1333" s="2"/>
      <c r="N1333" s="2"/>
      <c r="AD1333" s="3"/>
      <c r="AH1333" s="3"/>
      <c r="AL1333" s="3"/>
    </row>
    <row r="1334" spans="12:38" x14ac:dyDescent="0.25">
      <c r="L1334" s="2"/>
      <c r="M1334" s="2"/>
      <c r="N1334" s="2"/>
      <c r="AD1334" s="3"/>
      <c r="AH1334" s="3"/>
      <c r="AL1334" s="3"/>
    </row>
    <row r="1335" spans="12:38" x14ac:dyDescent="0.25">
      <c r="L1335" s="2"/>
      <c r="M1335" s="2"/>
      <c r="N1335" s="2"/>
      <c r="AD1335" s="3"/>
      <c r="AH1335" s="3"/>
      <c r="AL1335" s="3"/>
    </row>
    <row r="1336" spans="12:38" x14ac:dyDescent="0.25">
      <c r="L1336" s="2"/>
      <c r="M1336" s="2"/>
      <c r="N1336" s="2"/>
      <c r="AD1336" s="3"/>
      <c r="AH1336" s="3"/>
      <c r="AL1336" s="3"/>
    </row>
    <row r="1337" spans="12:38" x14ac:dyDescent="0.25">
      <c r="L1337" s="2"/>
      <c r="M1337" s="2"/>
      <c r="N1337" s="2"/>
      <c r="AD1337" s="3"/>
      <c r="AH1337" s="3"/>
      <c r="AL1337" s="3"/>
    </row>
    <row r="1338" spans="12:38" x14ac:dyDescent="0.25">
      <c r="L1338" s="2"/>
      <c r="M1338" s="2"/>
      <c r="N1338" s="2"/>
      <c r="AD1338" s="3"/>
      <c r="AH1338" s="3"/>
      <c r="AL1338" s="3"/>
    </row>
    <row r="1339" spans="12:38" x14ac:dyDescent="0.25">
      <c r="L1339" s="2"/>
      <c r="M1339" s="2"/>
      <c r="N1339" s="2"/>
      <c r="AD1339" s="3"/>
      <c r="AH1339" s="3"/>
      <c r="AL1339" s="3"/>
    </row>
    <row r="1340" spans="12:38" x14ac:dyDescent="0.25">
      <c r="L1340" s="2"/>
      <c r="M1340" s="2"/>
      <c r="N1340" s="2"/>
      <c r="AD1340" s="3"/>
      <c r="AH1340" s="3"/>
      <c r="AL1340" s="3"/>
    </row>
    <row r="1341" spans="12:38" x14ac:dyDescent="0.25">
      <c r="L1341" s="2"/>
      <c r="M1341" s="2"/>
      <c r="N1341" s="2"/>
      <c r="AD1341" s="3"/>
      <c r="AH1341" s="3"/>
      <c r="AL1341" s="3"/>
    </row>
    <row r="1342" spans="12:38" x14ac:dyDescent="0.25">
      <c r="L1342" s="2"/>
      <c r="M1342" s="2"/>
      <c r="N1342" s="2"/>
      <c r="AD1342" s="3"/>
      <c r="AH1342" s="3"/>
      <c r="AL1342" s="3"/>
    </row>
    <row r="1343" spans="12:38" x14ac:dyDescent="0.25">
      <c r="L1343" s="2"/>
      <c r="M1343" s="2"/>
      <c r="N1343" s="2"/>
      <c r="AD1343" s="3"/>
      <c r="AH1343" s="3"/>
      <c r="AL1343" s="3"/>
    </row>
    <row r="1344" spans="12:38" x14ac:dyDescent="0.25">
      <c r="L1344" s="2"/>
      <c r="M1344" s="2"/>
      <c r="N1344" s="2"/>
      <c r="AD1344" s="3"/>
      <c r="AH1344" s="3"/>
      <c r="AL1344" s="3"/>
    </row>
    <row r="1345" spans="12:38" x14ac:dyDescent="0.25">
      <c r="L1345" s="2"/>
      <c r="M1345" s="2"/>
      <c r="N1345" s="2"/>
      <c r="AD1345" s="3"/>
      <c r="AH1345" s="3"/>
      <c r="AL1345" s="3"/>
    </row>
    <row r="1346" spans="12:38" x14ac:dyDescent="0.25">
      <c r="L1346" s="2"/>
      <c r="M1346" s="2"/>
      <c r="N1346" s="2"/>
      <c r="AD1346" s="3"/>
      <c r="AH1346" s="3"/>
      <c r="AL1346" s="3"/>
    </row>
    <row r="1347" spans="12:38" x14ac:dyDescent="0.25">
      <c r="L1347" s="2"/>
      <c r="M1347" s="2"/>
      <c r="N1347" s="2"/>
      <c r="AD1347" s="3"/>
      <c r="AH1347" s="3"/>
      <c r="AL1347" s="3"/>
    </row>
    <row r="1348" spans="12:38" x14ac:dyDescent="0.25">
      <c r="L1348" s="2"/>
      <c r="M1348" s="2"/>
      <c r="N1348" s="2"/>
      <c r="AD1348" s="3"/>
      <c r="AH1348" s="3"/>
      <c r="AL1348" s="3"/>
    </row>
    <row r="1349" spans="12:38" x14ac:dyDescent="0.25">
      <c r="L1349" s="2"/>
      <c r="M1349" s="2"/>
      <c r="N1349" s="2"/>
      <c r="AD1349" s="3"/>
      <c r="AH1349" s="3"/>
      <c r="AL1349" s="3"/>
    </row>
    <row r="1350" spans="12:38" x14ac:dyDescent="0.25">
      <c r="L1350" s="2"/>
      <c r="M1350" s="2"/>
      <c r="N1350" s="2"/>
      <c r="AD1350" s="3"/>
      <c r="AH1350" s="3"/>
      <c r="AL1350" s="3"/>
    </row>
    <row r="1351" spans="12:38" x14ac:dyDescent="0.25">
      <c r="L1351" s="2"/>
      <c r="M1351" s="2"/>
      <c r="N1351" s="2"/>
      <c r="AD1351" s="3"/>
      <c r="AH1351" s="3"/>
      <c r="AL1351" s="3"/>
    </row>
    <row r="1352" spans="12:38" x14ac:dyDescent="0.25">
      <c r="L1352" s="2"/>
      <c r="M1352" s="2"/>
      <c r="N1352" s="2"/>
      <c r="AD1352" s="3"/>
      <c r="AH1352" s="3"/>
      <c r="AL1352" s="3"/>
    </row>
    <row r="1353" spans="12:38" x14ac:dyDescent="0.25">
      <c r="L1353" s="2"/>
      <c r="M1353" s="2"/>
      <c r="N1353" s="2"/>
      <c r="AD1353" s="3"/>
      <c r="AH1353" s="3"/>
      <c r="AL1353" s="3"/>
    </row>
    <row r="1354" spans="12:38" x14ac:dyDescent="0.25">
      <c r="L1354" s="2"/>
      <c r="M1354" s="2"/>
      <c r="N1354" s="2"/>
      <c r="AD1354" s="3"/>
      <c r="AH1354" s="3"/>
      <c r="AL1354" s="3"/>
    </row>
    <row r="1355" spans="12:38" x14ac:dyDescent="0.25">
      <c r="L1355" s="2"/>
      <c r="M1355" s="2"/>
      <c r="N1355" s="2"/>
      <c r="AD1355" s="3"/>
      <c r="AH1355" s="3"/>
      <c r="AL1355" s="3"/>
    </row>
    <row r="1356" spans="12:38" x14ac:dyDescent="0.25">
      <c r="L1356" s="2"/>
      <c r="M1356" s="2"/>
      <c r="N1356" s="2"/>
      <c r="AD1356" s="3"/>
      <c r="AH1356" s="3"/>
      <c r="AL1356" s="3"/>
    </row>
    <row r="1357" spans="12:38" x14ac:dyDescent="0.25">
      <c r="L1357" s="2"/>
      <c r="M1357" s="2"/>
      <c r="N1357" s="2"/>
      <c r="AD1357" s="3"/>
      <c r="AH1357" s="3"/>
      <c r="AL1357" s="3"/>
    </row>
    <row r="1358" spans="12:38" x14ac:dyDescent="0.25">
      <c r="L1358" s="2"/>
      <c r="M1358" s="2"/>
      <c r="N1358" s="2"/>
      <c r="AD1358" s="3"/>
      <c r="AH1358" s="3"/>
      <c r="AL1358" s="3"/>
    </row>
    <row r="1359" spans="12:38" x14ac:dyDescent="0.25">
      <c r="L1359" s="2"/>
      <c r="M1359" s="2"/>
      <c r="N1359" s="2"/>
      <c r="AD1359" s="3"/>
      <c r="AH1359" s="3"/>
      <c r="AL1359" s="3"/>
    </row>
    <row r="1360" spans="12:38" x14ac:dyDescent="0.25">
      <c r="L1360" s="2"/>
      <c r="M1360" s="2"/>
      <c r="N1360" s="2"/>
      <c r="AD1360" s="3"/>
      <c r="AH1360" s="3"/>
      <c r="AL1360" s="3"/>
    </row>
    <row r="1361" spans="12:38" x14ac:dyDescent="0.25">
      <c r="L1361" s="2"/>
      <c r="M1361" s="2"/>
      <c r="N1361" s="2"/>
      <c r="AD1361" s="3"/>
      <c r="AH1361" s="3"/>
      <c r="AL1361" s="3"/>
    </row>
    <row r="1362" spans="12:38" x14ac:dyDescent="0.25">
      <c r="L1362" s="2"/>
      <c r="M1362" s="2"/>
      <c r="N1362" s="2"/>
      <c r="AD1362" s="3"/>
      <c r="AH1362" s="3"/>
      <c r="AL1362" s="3"/>
    </row>
    <row r="1363" spans="12:38" x14ac:dyDescent="0.25">
      <c r="L1363" s="2"/>
      <c r="M1363" s="2"/>
      <c r="N1363" s="2"/>
      <c r="AD1363" s="3"/>
      <c r="AH1363" s="3"/>
      <c r="AL1363" s="3"/>
    </row>
    <row r="1364" spans="12:38" x14ac:dyDescent="0.25">
      <c r="L1364" s="2"/>
      <c r="M1364" s="2"/>
      <c r="N1364" s="2"/>
      <c r="AD1364" s="3"/>
      <c r="AH1364" s="3"/>
      <c r="AL1364" s="3"/>
    </row>
    <row r="1365" spans="12:38" x14ac:dyDescent="0.25">
      <c r="L1365" s="2"/>
      <c r="M1365" s="2"/>
      <c r="N1365" s="2"/>
      <c r="AD1365" s="3"/>
      <c r="AH1365" s="3"/>
      <c r="AL1365" s="3"/>
    </row>
    <row r="1366" spans="12:38" x14ac:dyDescent="0.25">
      <c r="L1366" s="2"/>
      <c r="M1366" s="2"/>
      <c r="N1366" s="2"/>
      <c r="AD1366" s="3"/>
      <c r="AH1366" s="3"/>
      <c r="AL1366" s="3"/>
    </row>
    <row r="1367" spans="12:38" x14ac:dyDescent="0.25">
      <c r="L1367" s="2"/>
      <c r="M1367" s="2"/>
      <c r="N1367" s="2"/>
      <c r="AD1367" s="3"/>
      <c r="AH1367" s="3"/>
      <c r="AL1367" s="3"/>
    </row>
    <row r="1368" spans="12:38" x14ac:dyDescent="0.25">
      <c r="L1368" s="2"/>
      <c r="M1368" s="2"/>
      <c r="N1368" s="2"/>
      <c r="AD1368" s="3"/>
      <c r="AH1368" s="3"/>
      <c r="AL1368" s="3"/>
    </row>
    <row r="1369" spans="12:38" x14ac:dyDescent="0.25">
      <c r="L1369" s="2"/>
      <c r="M1369" s="2"/>
      <c r="N1369" s="2"/>
      <c r="AD1369" s="3"/>
      <c r="AH1369" s="3"/>
      <c r="AL1369" s="3"/>
    </row>
    <row r="1370" spans="12:38" x14ac:dyDescent="0.25">
      <c r="L1370" s="2"/>
      <c r="M1370" s="2"/>
      <c r="N1370" s="2"/>
      <c r="AD1370" s="3"/>
      <c r="AH1370" s="3"/>
      <c r="AL1370" s="3"/>
    </row>
    <row r="1371" spans="12:38" x14ac:dyDescent="0.25">
      <c r="L1371" s="2"/>
      <c r="M1371" s="2"/>
      <c r="N1371" s="2"/>
      <c r="AD1371" s="3"/>
      <c r="AH1371" s="3"/>
      <c r="AL1371" s="3"/>
    </row>
    <row r="1372" spans="12:38" x14ac:dyDescent="0.25">
      <c r="L1372" s="2"/>
      <c r="M1372" s="2"/>
      <c r="N1372" s="2"/>
      <c r="AD1372" s="3"/>
      <c r="AH1372" s="3"/>
      <c r="AL1372" s="3"/>
    </row>
    <row r="1373" spans="12:38" x14ac:dyDescent="0.25">
      <c r="L1373" s="2"/>
      <c r="M1373" s="2"/>
      <c r="N1373" s="2"/>
      <c r="AD1373" s="3"/>
      <c r="AH1373" s="3"/>
      <c r="AL1373" s="3"/>
    </row>
    <row r="1374" spans="12:38" x14ac:dyDescent="0.25">
      <c r="L1374" s="2"/>
      <c r="M1374" s="2"/>
      <c r="N1374" s="2"/>
      <c r="AD1374" s="3"/>
      <c r="AH1374" s="3"/>
      <c r="AL1374" s="3"/>
    </row>
    <row r="1375" spans="12:38" x14ac:dyDescent="0.25">
      <c r="L1375" s="2"/>
      <c r="M1375" s="2"/>
      <c r="N1375" s="2"/>
      <c r="AD1375" s="3"/>
      <c r="AH1375" s="3"/>
      <c r="AL1375" s="3"/>
    </row>
    <row r="1376" spans="12:38" x14ac:dyDescent="0.25">
      <c r="L1376" s="2"/>
      <c r="M1376" s="2"/>
      <c r="N1376" s="2"/>
      <c r="AD1376" s="3"/>
      <c r="AH1376" s="3"/>
      <c r="AL1376" s="3"/>
    </row>
    <row r="1377" spans="12:38" x14ac:dyDescent="0.25">
      <c r="L1377" s="2"/>
      <c r="M1377" s="2"/>
      <c r="N1377" s="2"/>
      <c r="AD1377" s="3"/>
      <c r="AH1377" s="3"/>
      <c r="AL1377" s="3"/>
    </row>
    <row r="1378" spans="12:38" x14ac:dyDescent="0.25">
      <c r="L1378" s="2"/>
      <c r="M1378" s="2"/>
      <c r="N1378" s="2"/>
      <c r="AD1378" s="3"/>
      <c r="AH1378" s="3"/>
      <c r="AL1378" s="3"/>
    </row>
    <row r="1379" spans="12:38" x14ac:dyDescent="0.25">
      <c r="L1379" s="2"/>
      <c r="M1379" s="2"/>
      <c r="N1379" s="2"/>
      <c r="AD1379" s="3"/>
      <c r="AH1379" s="3"/>
      <c r="AL1379" s="3"/>
    </row>
    <row r="1380" spans="12:38" x14ac:dyDescent="0.25">
      <c r="L1380" s="2"/>
      <c r="M1380" s="2"/>
      <c r="N1380" s="2"/>
      <c r="AD1380" s="3"/>
      <c r="AH1380" s="3"/>
      <c r="AL1380" s="3"/>
    </row>
    <row r="1381" spans="12:38" x14ac:dyDescent="0.25">
      <c r="L1381" s="2"/>
      <c r="M1381" s="2"/>
      <c r="N1381" s="2"/>
      <c r="AD1381" s="3"/>
      <c r="AH1381" s="3"/>
      <c r="AL1381" s="3"/>
    </row>
    <row r="1382" spans="12:38" x14ac:dyDescent="0.25">
      <c r="L1382" s="2"/>
      <c r="M1382" s="2"/>
      <c r="N1382" s="2"/>
      <c r="AD1382" s="3"/>
      <c r="AH1382" s="3"/>
      <c r="AL1382" s="3"/>
    </row>
    <row r="1383" spans="12:38" x14ac:dyDescent="0.25">
      <c r="L1383" s="2"/>
      <c r="M1383" s="2"/>
      <c r="N1383" s="2"/>
      <c r="AD1383" s="3"/>
      <c r="AH1383" s="3"/>
      <c r="AL1383" s="3"/>
    </row>
    <row r="1384" spans="12:38" x14ac:dyDescent="0.25">
      <c r="L1384" s="2"/>
      <c r="M1384" s="2"/>
      <c r="N1384" s="2"/>
      <c r="AD1384" s="3"/>
      <c r="AH1384" s="3"/>
      <c r="AL1384" s="3"/>
    </row>
    <row r="1385" spans="12:38" x14ac:dyDescent="0.25">
      <c r="L1385" s="2"/>
      <c r="M1385" s="2"/>
      <c r="N1385" s="2"/>
      <c r="AD1385" s="3"/>
      <c r="AH1385" s="3"/>
      <c r="AL1385" s="3"/>
    </row>
    <row r="1386" spans="12:38" x14ac:dyDescent="0.25">
      <c r="L1386" s="2"/>
      <c r="M1386" s="2"/>
      <c r="N1386" s="2"/>
      <c r="AD1386" s="3"/>
      <c r="AH1386" s="3"/>
      <c r="AL1386" s="3"/>
    </row>
    <row r="1387" spans="12:38" x14ac:dyDescent="0.25">
      <c r="L1387" s="2"/>
      <c r="M1387" s="2"/>
      <c r="N1387" s="2"/>
      <c r="AD1387" s="3"/>
      <c r="AH1387" s="3"/>
      <c r="AL1387" s="3"/>
    </row>
    <row r="1388" spans="12:38" x14ac:dyDescent="0.25">
      <c r="L1388" s="2"/>
      <c r="M1388" s="2"/>
      <c r="N1388" s="2"/>
      <c r="AD1388" s="3"/>
      <c r="AH1388" s="3"/>
      <c r="AL1388" s="3"/>
    </row>
    <row r="1389" spans="12:38" x14ac:dyDescent="0.25">
      <c r="L1389" s="2"/>
      <c r="M1389" s="2"/>
      <c r="N1389" s="2"/>
      <c r="AD1389" s="3"/>
      <c r="AH1389" s="3"/>
      <c r="AL1389" s="3"/>
    </row>
    <row r="1390" spans="12:38" x14ac:dyDescent="0.25">
      <c r="L1390" s="2"/>
      <c r="M1390" s="2"/>
      <c r="N1390" s="2"/>
      <c r="AD1390" s="3"/>
      <c r="AH1390" s="3"/>
      <c r="AL1390" s="3"/>
    </row>
    <row r="1391" spans="12:38" x14ac:dyDescent="0.25">
      <c r="L1391" s="2"/>
      <c r="M1391" s="2"/>
      <c r="N1391" s="2"/>
      <c r="AD1391" s="3"/>
      <c r="AH1391" s="3"/>
      <c r="AL1391" s="3"/>
    </row>
    <row r="1392" spans="12:38" x14ac:dyDescent="0.25">
      <c r="L1392" s="2"/>
      <c r="M1392" s="2"/>
      <c r="N1392" s="2"/>
      <c r="AD1392" s="3"/>
      <c r="AH1392" s="3"/>
      <c r="AL1392" s="3"/>
    </row>
    <row r="1393" spans="12:38" x14ac:dyDescent="0.25">
      <c r="L1393" s="2"/>
      <c r="M1393" s="2"/>
      <c r="N1393" s="2"/>
      <c r="AD1393" s="3"/>
      <c r="AH1393" s="3"/>
      <c r="AL1393" s="3"/>
    </row>
    <row r="1394" spans="12:38" x14ac:dyDescent="0.25">
      <c r="L1394" s="2"/>
      <c r="M1394" s="2"/>
      <c r="N1394" s="2"/>
      <c r="AD1394" s="3"/>
      <c r="AH1394" s="3"/>
      <c r="AL1394" s="3"/>
    </row>
    <row r="1395" spans="12:38" x14ac:dyDescent="0.25">
      <c r="L1395" s="2"/>
      <c r="M1395" s="2"/>
      <c r="N1395" s="2"/>
      <c r="AD1395" s="3"/>
      <c r="AH1395" s="3"/>
      <c r="AL1395" s="3"/>
    </row>
    <row r="1396" spans="12:38" x14ac:dyDescent="0.25">
      <c r="L1396" s="2"/>
      <c r="M1396" s="2"/>
      <c r="N1396" s="2"/>
      <c r="AD1396" s="3"/>
      <c r="AH1396" s="3"/>
      <c r="AL1396" s="3"/>
    </row>
    <row r="1397" spans="12:38" x14ac:dyDescent="0.25">
      <c r="L1397" s="2"/>
      <c r="M1397" s="2"/>
      <c r="N1397" s="2"/>
      <c r="AD1397" s="3"/>
      <c r="AH1397" s="3"/>
      <c r="AL1397" s="3"/>
    </row>
    <row r="1398" spans="12:38" x14ac:dyDescent="0.25">
      <c r="L1398" s="2"/>
      <c r="M1398" s="2"/>
      <c r="N1398" s="2"/>
      <c r="AD1398" s="3"/>
      <c r="AH1398" s="3"/>
      <c r="AL1398" s="3"/>
    </row>
    <row r="1399" spans="12:38" x14ac:dyDescent="0.25">
      <c r="L1399" s="2"/>
      <c r="M1399" s="2"/>
      <c r="N1399" s="2"/>
      <c r="AD1399" s="3"/>
      <c r="AH1399" s="3"/>
      <c r="AL1399" s="3"/>
    </row>
    <row r="1400" spans="12:38" x14ac:dyDescent="0.25">
      <c r="L1400" s="2"/>
      <c r="M1400" s="2"/>
      <c r="N1400" s="2"/>
      <c r="AD1400" s="3"/>
      <c r="AH1400" s="3"/>
      <c r="AL1400" s="3"/>
    </row>
    <row r="1401" spans="12:38" x14ac:dyDescent="0.25">
      <c r="L1401" s="2"/>
      <c r="M1401" s="2"/>
      <c r="N1401" s="2"/>
      <c r="AD1401" s="3"/>
      <c r="AH1401" s="3"/>
      <c r="AL1401" s="3"/>
    </row>
    <row r="1402" spans="12:38" x14ac:dyDescent="0.25">
      <c r="L1402" s="2"/>
      <c r="M1402" s="2"/>
      <c r="N1402" s="2"/>
      <c r="AD1402" s="3"/>
      <c r="AH1402" s="3"/>
      <c r="AL1402" s="3"/>
    </row>
    <row r="1403" spans="12:38" x14ac:dyDescent="0.25">
      <c r="L1403" s="2"/>
      <c r="M1403" s="2"/>
      <c r="N1403" s="2"/>
      <c r="AD1403" s="3"/>
      <c r="AH1403" s="3"/>
      <c r="AL1403" s="3"/>
    </row>
    <row r="1404" spans="12:38" x14ac:dyDescent="0.25">
      <c r="L1404" s="2"/>
      <c r="M1404" s="2"/>
      <c r="N1404" s="2"/>
      <c r="AD1404" s="3"/>
      <c r="AH1404" s="3"/>
      <c r="AL1404" s="3"/>
    </row>
    <row r="1405" spans="12:38" x14ac:dyDescent="0.25">
      <c r="L1405" s="2"/>
      <c r="M1405" s="2"/>
      <c r="N1405" s="2"/>
      <c r="AD1405" s="3"/>
      <c r="AH1405" s="3"/>
      <c r="AL1405" s="3"/>
    </row>
    <row r="1406" spans="12:38" x14ac:dyDescent="0.25">
      <c r="L1406" s="2"/>
      <c r="M1406" s="2"/>
      <c r="N1406" s="2"/>
      <c r="AD1406" s="3"/>
      <c r="AH1406" s="3"/>
      <c r="AL1406" s="3"/>
    </row>
    <row r="1407" spans="12:38" x14ac:dyDescent="0.25">
      <c r="L1407" s="2"/>
      <c r="M1407" s="2"/>
      <c r="N1407" s="2"/>
      <c r="AD1407" s="3"/>
      <c r="AH1407" s="3"/>
      <c r="AL1407" s="3"/>
    </row>
    <row r="1408" spans="12:38" x14ac:dyDescent="0.25">
      <c r="L1408" s="2"/>
      <c r="M1408" s="2"/>
      <c r="N1408" s="2"/>
      <c r="AD1408" s="3"/>
      <c r="AH1408" s="3"/>
      <c r="AL1408" s="3"/>
    </row>
    <row r="1409" spans="12:38" x14ac:dyDescent="0.25">
      <c r="L1409" s="2"/>
      <c r="M1409" s="2"/>
      <c r="N1409" s="2"/>
      <c r="AD1409" s="3"/>
      <c r="AH1409" s="3"/>
      <c r="AL1409" s="3"/>
    </row>
    <row r="1410" spans="12:38" x14ac:dyDescent="0.25">
      <c r="L1410" s="2"/>
      <c r="M1410" s="2"/>
      <c r="N1410" s="2"/>
      <c r="AD1410" s="3"/>
      <c r="AH1410" s="3"/>
      <c r="AL1410" s="3"/>
    </row>
    <row r="1411" spans="12:38" x14ac:dyDescent="0.25">
      <c r="L1411" s="2"/>
      <c r="M1411" s="2"/>
      <c r="N1411" s="2"/>
      <c r="AD1411" s="3"/>
      <c r="AH1411" s="3"/>
      <c r="AL1411" s="3"/>
    </row>
    <row r="1412" spans="12:38" x14ac:dyDescent="0.25">
      <c r="L1412" s="2"/>
      <c r="M1412" s="2"/>
      <c r="N1412" s="2"/>
      <c r="AD1412" s="3"/>
      <c r="AH1412" s="3"/>
      <c r="AL1412" s="3"/>
    </row>
    <row r="1413" spans="12:38" x14ac:dyDescent="0.25">
      <c r="L1413" s="2"/>
      <c r="M1413" s="2"/>
      <c r="N1413" s="2"/>
      <c r="AD1413" s="3"/>
      <c r="AH1413" s="3"/>
      <c r="AL1413" s="3"/>
    </row>
    <row r="1414" spans="12:38" x14ac:dyDescent="0.25">
      <c r="L1414" s="2"/>
      <c r="M1414" s="2"/>
      <c r="N1414" s="2"/>
      <c r="AD1414" s="3"/>
      <c r="AH1414" s="3"/>
      <c r="AL1414" s="3"/>
    </row>
    <row r="1415" spans="12:38" x14ac:dyDescent="0.25">
      <c r="L1415" s="2"/>
      <c r="M1415" s="2"/>
      <c r="N1415" s="2"/>
      <c r="AD1415" s="3"/>
      <c r="AH1415" s="3"/>
      <c r="AL1415" s="3"/>
    </row>
    <row r="1416" spans="12:38" x14ac:dyDescent="0.25">
      <c r="L1416" s="2"/>
      <c r="M1416" s="2"/>
      <c r="N1416" s="2"/>
      <c r="AD1416" s="3"/>
      <c r="AH1416" s="3"/>
      <c r="AL1416" s="3"/>
    </row>
    <row r="1417" spans="12:38" x14ac:dyDescent="0.25">
      <c r="L1417" s="2"/>
      <c r="M1417" s="2"/>
      <c r="N1417" s="2"/>
      <c r="AD1417" s="3"/>
      <c r="AH1417" s="3"/>
      <c r="AL1417" s="3"/>
    </row>
    <row r="1418" spans="12:38" x14ac:dyDescent="0.25">
      <c r="L1418" s="2"/>
      <c r="M1418" s="2"/>
      <c r="N1418" s="2"/>
      <c r="AD1418" s="3"/>
      <c r="AH1418" s="3"/>
      <c r="AL1418" s="3"/>
    </row>
    <row r="1419" spans="12:38" x14ac:dyDescent="0.25">
      <c r="L1419" s="2"/>
      <c r="M1419" s="2"/>
      <c r="N1419" s="2"/>
      <c r="AD1419" s="3"/>
      <c r="AH1419" s="3"/>
      <c r="AL1419" s="3"/>
    </row>
    <row r="1420" spans="12:38" x14ac:dyDescent="0.25">
      <c r="L1420" s="2"/>
      <c r="M1420" s="2"/>
      <c r="N1420" s="2"/>
      <c r="AD1420" s="3"/>
      <c r="AH1420" s="3"/>
      <c r="AL1420" s="3"/>
    </row>
    <row r="1421" spans="12:38" x14ac:dyDescent="0.25">
      <c r="L1421" s="2"/>
      <c r="M1421" s="2"/>
      <c r="N1421" s="2"/>
      <c r="AD1421" s="3"/>
      <c r="AH1421" s="3"/>
      <c r="AL1421" s="3"/>
    </row>
    <row r="1422" spans="12:38" x14ac:dyDescent="0.25">
      <c r="L1422" s="2"/>
      <c r="M1422" s="2"/>
      <c r="N1422" s="2"/>
      <c r="AD1422" s="3"/>
      <c r="AH1422" s="3"/>
      <c r="AL1422" s="3"/>
    </row>
    <row r="1423" spans="12:38" x14ac:dyDescent="0.25">
      <c r="L1423" s="2"/>
      <c r="M1423" s="2"/>
      <c r="N1423" s="2"/>
      <c r="AD1423" s="3"/>
      <c r="AH1423" s="3"/>
      <c r="AL1423" s="3"/>
    </row>
    <row r="1424" spans="12:38" x14ac:dyDescent="0.25">
      <c r="L1424" s="2"/>
      <c r="M1424" s="2"/>
      <c r="N1424" s="2"/>
      <c r="AD1424" s="3"/>
      <c r="AH1424" s="3"/>
      <c r="AL1424" s="3"/>
    </row>
    <row r="1425" spans="12:38" x14ac:dyDescent="0.25">
      <c r="L1425" s="2"/>
      <c r="M1425" s="2"/>
      <c r="N1425" s="2"/>
      <c r="AD1425" s="3"/>
      <c r="AH1425" s="3"/>
      <c r="AL1425" s="3"/>
    </row>
    <row r="1426" spans="12:38" x14ac:dyDescent="0.25">
      <c r="L1426" s="2"/>
      <c r="M1426" s="2"/>
      <c r="N1426" s="2"/>
      <c r="AD1426" s="3"/>
      <c r="AH1426" s="3"/>
      <c r="AL1426" s="3"/>
    </row>
    <row r="1427" spans="12:38" x14ac:dyDescent="0.25">
      <c r="L1427" s="2"/>
      <c r="M1427" s="2"/>
      <c r="N1427" s="2"/>
      <c r="AD1427" s="3"/>
      <c r="AH1427" s="3"/>
      <c r="AL1427" s="3"/>
    </row>
    <row r="1428" spans="12:38" x14ac:dyDescent="0.25">
      <c r="L1428" s="2"/>
      <c r="M1428" s="2"/>
      <c r="N1428" s="2"/>
      <c r="AD1428" s="3"/>
      <c r="AH1428" s="3"/>
      <c r="AL1428" s="3"/>
    </row>
    <row r="1429" spans="12:38" x14ac:dyDescent="0.25">
      <c r="L1429" s="2"/>
      <c r="M1429" s="2"/>
      <c r="N1429" s="2"/>
      <c r="AD1429" s="3"/>
      <c r="AH1429" s="3"/>
      <c r="AL1429" s="3"/>
    </row>
    <row r="1430" spans="12:38" x14ac:dyDescent="0.25">
      <c r="L1430" s="2"/>
      <c r="M1430" s="2"/>
      <c r="N1430" s="2"/>
      <c r="AD1430" s="3"/>
      <c r="AH1430" s="3"/>
      <c r="AL1430" s="3"/>
    </row>
    <row r="1431" spans="12:38" x14ac:dyDescent="0.25">
      <c r="L1431" s="2"/>
      <c r="M1431" s="2"/>
      <c r="N1431" s="2"/>
      <c r="AD1431" s="3"/>
      <c r="AH1431" s="3"/>
      <c r="AL1431" s="3"/>
    </row>
    <row r="1432" spans="12:38" x14ac:dyDescent="0.25">
      <c r="L1432" s="2"/>
      <c r="M1432" s="2"/>
      <c r="N1432" s="2"/>
      <c r="AD1432" s="3"/>
      <c r="AH1432" s="3"/>
      <c r="AL1432" s="3"/>
    </row>
    <row r="1433" spans="12:38" x14ac:dyDescent="0.25">
      <c r="L1433" s="2"/>
      <c r="M1433" s="2"/>
      <c r="N1433" s="2"/>
      <c r="AD1433" s="3"/>
      <c r="AH1433" s="3"/>
      <c r="AL1433" s="3"/>
    </row>
    <row r="1434" spans="12:38" x14ac:dyDescent="0.25">
      <c r="L1434" s="2"/>
      <c r="M1434" s="2"/>
      <c r="N1434" s="2"/>
      <c r="AD1434" s="3"/>
      <c r="AH1434" s="3"/>
      <c r="AL1434" s="3"/>
    </row>
    <row r="1435" spans="12:38" x14ac:dyDescent="0.25">
      <c r="L1435" s="2"/>
      <c r="M1435" s="2"/>
      <c r="N1435" s="2"/>
      <c r="AD1435" s="3"/>
      <c r="AH1435" s="3"/>
      <c r="AL1435" s="3"/>
    </row>
    <row r="1436" spans="12:38" x14ac:dyDescent="0.25">
      <c r="L1436" s="2"/>
      <c r="M1436" s="2"/>
      <c r="N1436" s="2"/>
      <c r="AD1436" s="3"/>
      <c r="AH1436" s="3"/>
      <c r="AL1436" s="3"/>
    </row>
    <row r="1437" spans="12:38" x14ac:dyDescent="0.25">
      <c r="L1437" s="2"/>
      <c r="M1437" s="2"/>
      <c r="N1437" s="2"/>
      <c r="AD1437" s="3"/>
      <c r="AH1437" s="3"/>
      <c r="AL1437" s="3"/>
    </row>
    <row r="1438" spans="12:38" x14ac:dyDescent="0.25">
      <c r="L1438" s="2"/>
      <c r="M1438" s="2"/>
      <c r="N1438" s="2"/>
      <c r="AD1438" s="3"/>
      <c r="AH1438" s="3"/>
      <c r="AL1438" s="3"/>
    </row>
    <row r="1439" spans="12:38" x14ac:dyDescent="0.25">
      <c r="L1439" s="2"/>
      <c r="M1439" s="2"/>
      <c r="N1439" s="2"/>
      <c r="AD1439" s="3"/>
      <c r="AH1439" s="3"/>
      <c r="AL1439" s="3"/>
    </row>
    <row r="1440" spans="12:38" x14ac:dyDescent="0.25">
      <c r="L1440" s="2"/>
      <c r="M1440" s="2"/>
      <c r="N1440" s="2"/>
      <c r="AD1440" s="3"/>
      <c r="AH1440" s="3"/>
      <c r="AL1440" s="3"/>
    </row>
    <row r="1441" spans="12:38" x14ac:dyDescent="0.25">
      <c r="L1441" s="2"/>
      <c r="M1441" s="2"/>
      <c r="N1441" s="2"/>
      <c r="AD1441" s="3"/>
      <c r="AH1441" s="3"/>
      <c r="AL1441" s="3"/>
    </row>
    <row r="1442" spans="12:38" x14ac:dyDescent="0.25">
      <c r="L1442" s="2"/>
      <c r="M1442" s="2"/>
      <c r="N1442" s="2"/>
      <c r="AD1442" s="3"/>
      <c r="AH1442" s="3"/>
      <c r="AL1442" s="3"/>
    </row>
    <row r="1443" spans="12:38" x14ac:dyDescent="0.25">
      <c r="L1443" s="2"/>
      <c r="M1443" s="2"/>
      <c r="N1443" s="2"/>
      <c r="AD1443" s="3"/>
      <c r="AH1443" s="3"/>
      <c r="AL1443" s="3"/>
    </row>
    <row r="1444" spans="12:38" x14ac:dyDescent="0.25">
      <c r="L1444" s="2"/>
      <c r="M1444" s="2"/>
      <c r="N1444" s="2"/>
      <c r="AD1444" s="3"/>
      <c r="AH1444" s="3"/>
      <c r="AL1444" s="3"/>
    </row>
    <row r="1445" spans="12:38" x14ac:dyDescent="0.25">
      <c r="L1445" s="2"/>
      <c r="M1445" s="2"/>
      <c r="N1445" s="2"/>
      <c r="AD1445" s="3"/>
      <c r="AH1445" s="3"/>
      <c r="AL1445" s="3"/>
    </row>
    <row r="1446" spans="12:38" x14ac:dyDescent="0.25">
      <c r="L1446" s="2"/>
      <c r="M1446" s="2"/>
      <c r="N1446" s="2"/>
      <c r="AD1446" s="3"/>
      <c r="AH1446" s="3"/>
      <c r="AL1446" s="3"/>
    </row>
    <row r="1447" spans="12:38" x14ac:dyDescent="0.25">
      <c r="L1447" s="2"/>
      <c r="M1447" s="2"/>
      <c r="N1447" s="2"/>
      <c r="AD1447" s="3"/>
      <c r="AH1447" s="3"/>
      <c r="AL1447" s="3"/>
    </row>
    <row r="1448" spans="12:38" x14ac:dyDescent="0.25">
      <c r="L1448" s="2"/>
      <c r="M1448" s="2"/>
      <c r="N1448" s="2"/>
      <c r="AD1448" s="3"/>
      <c r="AH1448" s="3"/>
      <c r="AL1448" s="3"/>
    </row>
    <row r="1449" spans="12:38" x14ac:dyDescent="0.25">
      <c r="L1449" s="2"/>
      <c r="M1449" s="2"/>
      <c r="N1449" s="2"/>
      <c r="AD1449" s="3"/>
      <c r="AH1449" s="3"/>
      <c r="AL1449" s="3"/>
    </row>
    <row r="1450" spans="12:38" x14ac:dyDescent="0.25">
      <c r="L1450" s="2"/>
      <c r="M1450" s="2"/>
      <c r="N1450" s="2"/>
      <c r="AD1450" s="3"/>
      <c r="AH1450" s="3"/>
      <c r="AL1450" s="3"/>
    </row>
    <row r="1451" spans="12:38" x14ac:dyDescent="0.25">
      <c r="L1451" s="2"/>
      <c r="M1451" s="2"/>
      <c r="N1451" s="2"/>
      <c r="AD1451" s="3"/>
      <c r="AH1451" s="3"/>
      <c r="AL1451" s="3"/>
    </row>
    <row r="1452" spans="12:38" x14ac:dyDescent="0.25">
      <c r="L1452" s="2"/>
      <c r="M1452" s="2"/>
      <c r="N1452" s="2"/>
      <c r="AD1452" s="3"/>
      <c r="AH1452" s="3"/>
      <c r="AL1452" s="3"/>
    </row>
    <row r="1453" spans="12:38" x14ac:dyDescent="0.25">
      <c r="L1453" s="2"/>
      <c r="M1453" s="2"/>
      <c r="N1453" s="2"/>
      <c r="AD1453" s="3"/>
      <c r="AH1453" s="3"/>
      <c r="AL1453" s="3"/>
    </row>
    <row r="1454" spans="12:38" x14ac:dyDescent="0.25">
      <c r="L1454" s="2"/>
      <c r="M1454" s="2"/>
      <c r="N1454" s="2"/>
      <c r="AD1454" s="3"/>
      <c r="AH1454" s="3"/>
      <c r="AL1454" s="3"/>
    </row>
    <row r="1455" spans="12:38" x14ac:dyDescent="0.25">
      <c r="L1455" s="2"/>
      <c r="M1455" s="2"/>
      <c r="N1455" s="2"/>
      <c r="AD1455" s="3"/>
      <c r="AH1455" s="3"/>
      <c r="AL1455" s="3"/>
    </row>
    <row r="1456" spans="12:38" x14ac:dyDescent="0.25">
      <c r="L1456" s="2"/>
      <c r="M1456" s="2"/>
      <c r="N1456" s="2"/>
      <c r="AD1456" s="3"/>
      <c r="AH1456" s="3"/>
      <c r="AL1456" s="3"/>
    </row>
    <row r="1457" spans="12:38" x14ac:dyDescent="0.25">
      <c r="L1457" s="2"/>
      <c r="M1457" s="2"/>
      <c r="N1457" s="2"/>
      <c r="AD1457" s="3"/>
      <c r="AH1457" s="3"/>
      <c r="AL1457" s="3"/>
    </row>
    <row r="1458" spans="12:38" x14ac:dyDescent="0.25">
      <c r="L1458" s="2"/>
      <c r="M1458" s="2"/>
      <c r="N1458" s="2"/>
      <c r="AD1458" s="3"/>
      <c r="AH1458" s="3"/>
      <c r="AL1458" s="3"/>
    </row>
    <row r="1459" spans="12:38" x14ac:dyDescent="0.25">
      <c r="L1459" s="2"/>
      <c r="M1459" s="2"/>
      <c r="N1459" s="2"/>
      <c r="AD1459" s="3"/>
      <c r="AH1459" s="3"/>
      <c r="AL1459" s="3"/>
    </row>
    <row r="1460" spans="12:38" x14ac:dyDescent="0.25">
      <c r="L1460" s="2"/>
      <c r="M1460" s="2"/>
      <c r="N1460" s="2"/>
      <c r="AD1460" s="3"/>
      <c r="AH1460" s="3"/>
      <c r="AL1460" s="3"/>
    </row>
    <row r="1461" spans="12:38" x14ac:dyDescent="0.25">
      <c r="L1461" s="2"/>
      <c r="M1461" s="2"/>
      <c r="N1461" s="2"/>
      <c r="AD1461" s="3"/>
      <c r="AH1461" s="3"/>
      <c r="AL1461" s="3"/>
    </row>
    <row r="1462" spans="12:38" x14ac:dyDescent="0.25">
      <c r="L1462" s="2"/>
      <c r="M1462" s="2"/>
      <c r="N1462" s="2"/>
      <c r="AD1462" s="3"/>
      <c r="AH1462" s="3"/>
      <c r="AL1462" s="3"/>
    </row>
    <row r="1463" spans="12:38" x14ac:dyDescent="0.25">
      <c r="L1463" s="2"/>
      <c r="M1463" s="2"/>
      <c r="N1463" s="2"/>
      <c r="AD1463" s="3"/>
      <c r="AH1463" s="3"/>
      <c r="AL1463" s="3"/>
    </row>
    <row r="1464" spans="12:38" x14ac:dyDescent="0.25">
      <c r="L1464" s="2"/>
      <c r="M1464" s="2"/>
      <c r="N1464" s="2"/>
      <c r="AD1464" s="3"/>
      <c r="AH1464" s="3"/>
      <c r="AL1464" s="3"/>
    </row>
    <row r="1465" spans="12:38" x14ac:dyDescent="0.25">
      <c r="L1465" s="2"/>
      <c r="M1465" s="2"/>
      <c r="N1465" s="2"/>
      <c r="AD1465" s="3"/>
      <c r="AH1465" s="3"/>
      <c r="AL1465" s="3"/>
    </row>
    <row r="1466" spans="12:38" x14ac:dyDescent="0.25">
      <c r="L1466" s="2"/>
      <c r="M1466" s="2"/>
      <c r="N1466" s="2"/>
      <c r="AD1466" s="3"/>
      <c r="AH1466" s="3"/>
      <c r="AL1466" s="3"/>
    </row>
    <row r="1467" spans="12:38" x14ac:dyDescent="0.25">
      <c r="L1467" s="2"/>
      <c r="M1467" s="2"/>
      <c r="N1467" s="2"/>
      <c r="AD1467" s="3"/>
      <c r="AH1467" s="3"/>
      <c r="AL1467" s="3"/>
    </row>
    <row r="1468" spans="12:38" x14ac:dyDescent="0.25">
      <c r="L1468" s="2"/>
      <c r="M1468" s="2"/>
      <c r="N1468" s="2"/>
      <c r="AD1468" s="3"/>
      <c r="AH1468" s="3"/>
      <c r="AL1468" s="3"/>
    </row>
    <row r="1469" spans="12:38" x14ac:dyDescent="0.25">
      <c r="L1469" s="2"/>
      <c r="M1469" s="2"/>
      <c r="N1469" s="2"/>
      <c r="AD1469" s="3"/>
      <c r="AH1469" s="3"/>
      <c r="AL1469" s="3"/>
    </row>
    <row r="1470" spans="12:38" x14ac:dyDescent="0.25">
      <c r="L1470" s="2"/>
      <c r="M1470" s="2"/>
      <c r="N1470" s="2"/>
      <c r="AD1470" s="3"/>
      <c r="AH1470" s="3"/>
      <c r="AL1470" s="3"/>
    </row>
    <row r="1471" spans="12:38" x14ac:dyDescent="0.25">
      <c r="L1471" s="2"/>
      <c r="M1471" s="2"/>
      <c r="N1471" s="2"/>
      <c r="AD1471" s="3"/>
      <c r="AH1471" s="3"/>
      <c r="AL1471" s="3"/>
    </row>
    <row r="1472" spans="12:38" x14ac:dyDescent="0.25">
      <c r="L1472" s="2"/>
      <c r="M1472" s="2"/>
      <c r="N1472" s="2"/>
      <c r="AD1472" s="3"/>
      <c r="AH1472" s="3"/>
      <c r="AL1472" s="3"/>
    </row>
    <row r="1473" spans="12:38" x14ac:dyDescent="0.25">
      <c r="L1473" s="2"/>
      <c r="M1473" s="2"/>
      <c r="N1473" s="2"/>
      <c r="AD1473" s="3"/>
      <c r="AH1473" s="3"/>
      <c r="AL1473" s="3"/>
    </row>
    <row r="1474" spans="12:38" x14ac:dyDescent="0.25">
      <c r="L1474" s="2"/>
      <c r="M1474" s="2"/>
      <c r="N1474" s="2"/>
      <c r="AD1474" s="3"/>
      <c r="AH1474" s="3"/>
      <c r="AL1474" s="3"/>
    </row>
    <row r="1475" spans="12:38" x14ac:dyDescent="0.25">
      <c r="L1475" s="2"/>
      <c r="M1475" s="2"/>
      <c r="N1475" s="2"/>
      <c r="AD1475" s="3"/>
      <c r="AH1475" s="3"/>
      <c r="AL1475" s="3"/>
    </row>
    <row r="1476" spans="12:38" x14ac:dyDescent="0.25">
      <c r="L1476" s="2"/>
      <c r="M1476" s="2"/>
      <c r="N1476" s="2"/>
      <c r="AD1476" s="3"/>
      <c r="AH1476" s="3"/>
      <c r="AL1476" s="3"/>
    </row>
    <row r="1477" spans="12:38" x14ac:dyDescent="0.25">
      <c r="L1477" s="2"/>
      <c r="M1477" s="2"/>
      <c r="N1477" s="2"/>
      <c r="AD1477" s="3"/>
      <c r="AH1477" s="3"/>
      <c r="AL1477" s="3"/>
    </row>
    <row r="1478" spans="12:38" x14ac:dyDescent="0.25">
      <c r="L1478" s="2"/>
      <c r="M1478" s="2"/>
      <c r="N1478" s="2"/>
      <c r="AD1478" s="3"/>
      <c r="AH1478" s="3"/>
      <c r="AL1478" s="3"/>
    </row>
    <row r="1479" spans="12:38" x14ac:dyDescent="0.25">
      <c r="L1479" s="2"/>
      <c r="M1479" s="2"/>
      <c r="N1479" s="2"/>
      <c r="AD1479" s="3"/>
      <c r="AH1479" s="3"/>
      <c r="AL1479" s="3"/>
    </row>
    <row r="1480" spans="12:38" x14ac:dyDescent="0.25">
      <c r="L1480" s="2"/>
      <c r="M1480" s="2"/>
      <c r="N1480" s="2"/>
      <c r="AD1480" s="3"/>
      <c r="AH1480" s="3"/>
      <c r="AL1480" s="3"/>
    </row>
    <row r="1481" spans="12:38" x14ac:dyDescent="0.25">
      <c r="L1481" s="2"/>
      <c r="M1481" s="2"/>
      <c r="N1481" s="2"/>
      <c r="AD1481" s="3"/>
      <c r="AH1481" s="3"/>
      <c r="AL1481" s="3"/>
    </row>
    <row r="1482" spans="12:38" x14ac:dyDescent="0.25">
      <c r="L1482" s="2"/>
      <c r="M1482" s="2"/>
      <c r="N1482" s="2"/>
      <c r="AD1482" s="3"/>
      <c r="AH1482" s="3"/>
      <c r="AL1482" s="3"/>
    </row>
    <row r="1483" spans="12:38" x14ac:dyDescent="0.25">
      <c r="L1483" s="2"/>
      <c r="M1483" s="2"/>
      <c r="N1483" s="2"/>
      <c r="AD1483" s="3"/>
      <c r="AH1483" s="3"/>
      <c r="AL1483" s="3"/>
    </row>
    <row r="1484" spans="12:38" x14ac:dyDescent="0.25">
      <c r="L1484" s="2"/>
      <c r="M1484" s="2"/>
      <c r="N1484" s="2"/>
      <c r="AD1484" s="3"/>
      <c r="AH1484" s="3"/>
      <c r="AL1484" s="3"/>
    </row>
    <row r="1485" spans="12:38" x14ac:dyDescent="0.25">
      <c r="L1485" s="2"/>
      <c r="M1485" s="2"/>
      <c r="N1485" s="2"/>
      <c r="AD1485" s="3"/>
      <c r="AH1485" s="3"/>
      <c r="AL1485" s="3"/>
    </row>
    <row r="1486" spans="12:38" x14ac:dyDescent="0.25">
      <c r="L1486" s="2"/>
      <c r="M1486" s="2"/>
      <c r="N1486" s="2"/>
      <c r="AD1486" s="3"/>
      <c r="AH1486" s="3"/>
      <c r="AL1486" s="3"/>
    </row>
    <row r="1487" spans="12:38" x14ac:dyDescent="0.25">
      <c r="L1487" s="2"/>
      <c r="M1487" s="2"/>
      <c r="N1487" s="2"/>
      <c r="AD1487" s="3"/>
      <c r="AH1487" s="3"/>
      <c r="AL1487" s="3"/>
    </row>
    <row r="1488" spans="12:38" x14ac:dyDescent="0.25">
      <c r="L1488" s="2"/>
      <c r="M1488" s="2"/>
      <c r="N1488" s="2"/>
      <c r="AD1488" s="3"/>
      <c r="AH1488" s="3"/>
      <c r="AL1488" s="3"/>
    </row>
    <row r="1489" spans="12:38" x14ac:dyDescent="0.25">
      <c r="L1489" s="2"/>
      <c r="M1489" s="2"/>
      <c r="N1489" s="2"/>
      <c r="AD1489" s="3"/>
      <c r="AH1489" s="3"/>
      <c r="AL1489" s="3"/>
    </row>
    <row r="1490" spans="12:38" x14ac:dyDescent="0.25">
      <c r="L1490" s="2"/>
      <c r="M1490" s="2"/>
      <c r="N1490" s="2"/>
      <c r="AD1490" s="3"/>
      <c r="AH1490" s="3"/>
      <c r="AL1490" s="3"/>
    </row>
    <row r="1491" spans="12:38" x14ac:dyDescent="0.25">
      <c r="L1491" s="2"/>
      <c r="M1491" s="2"/>
      <c r="N1491" s="2"/>
      <c r="AD1491" s="3"/>
      <c r="AH1491" s="3"/>
      <c r="AL1491" s="3"/>
    </row>
    <row r="1492" spans="12:38" x14ac:dyDescent="0.25">
      <c r="L1492" s="2"/>
      <c r="M1492" s="2"/>
      <c r="N1492" s="2"/>
      <c r="AD1492" s="3"/>
      <c r="AH1492" s="3"/>
      <c r="AL1492" s="3"/>
    </row>
    <row r="1493" spans="12:38" x14ac:dyDescent="0.25">
      <c r="L1493" s="2"/>
      <c r="M1493" s="2"/>
      <c r="N1493" s="2"/>
      <c r="AD1493" s="3"/>
      <c r="AH1493" s="3"/>
      <c r="AL1493" s="3"/>
    </row>
    <row r="1494" spans="12:38" x14ac:dyDescent="0.25">
      <c r="L1494" s="2"/>
      <c r="M1494" s="2"/>
      <c r="N1494" s="2"/>
      <c r="AD1494" s="3"/>
      <c r="AH1494" s="3"/>
      <c r="AL1494" s="3"/>
    </row>
    <row r="1495" spans="12:38" x14ac:dyDescent="0.25">
      <c r="L1495" s="2"/>
      <c r="M1495" s="2"/>
      <c r="N1495" s="2"/>
      <c r="AD1495" s="3"/>
      <c r="AH1495" s="3"/>
      <c r="AL1495" s="3"/>
    </row>
    <row r="1496" spans="12:38" x14ac:dyDescent="0.25">
      <c r="L1496" s="2"/>
      <c r="M1496" s="2"/>
      <c r="N1496" s="2"/>
      <c r="AD1496" s="3"/>
      <c r="AH1496" s="3"/>
      <c r="AL1496" s="3"/>
    </row>
    <row r="1497" spans="12:38" x14ac:dyDescent="0.25">
      <c r="L1497" s="2"/>
      <c r="M1497" s="2"/>
      <c r="N1497" s="2"/>
      <c r="AD1497" s="3"/>
      <c r="AH1497" s="3"/>
      <c r="AL1497" s="3"/>
    </row>
    <row r="1498" spans="12:38" x14ac:dyDescent="0.25">
      <c r="L1498" s="2"/>
      <c r="M1498" s="2"/>
      <c r="N1498" s="2"/>
      <c r="AD1498" s="3"/>
      <c r="AH1498" s="3"/>
      <c r="AL1498" s="3"/>
    </row>
    <row r="1499" spans="12:38" x14ac:dyDescent="0.25">
      <c r="L1499" s="2"/>
      <c r="M1499" s="2"/>
      <c r="N1499" s="2"/>
      <c r="AD1499" s="3"/>
      <c r="AH1499" s="3"/>
      <c r="AL1499" s="3"/>
    </row>
    <row r="1500" spans="12:38" x14ac:dyDescent="0.25">
      <c r="L1500" s="2"/>
      <c r="M1500" s="2"/>
      <c r="N1500" s="2"/>
      <c r="AD1500" s="3"/>
      <c r="AH1500" s="3"/>
      <c r="AL1500" s="3"/>
    </row>
    <row r="1501" spans="12:38" x14ac:dyDescent="0.25">
      <c r="L1501" s="2"/>
      <c r="M1501" s="2"/>
      <c r="N1501" s="2"/>
      <c r="AD1501" s="3"/>
      <c r="AH1501" s="3"/>
      <c r="AL1501" s="3"/>
    </row>
    <row r="1502" spans="12:38" x14ac:dyDescent="0.25">
      <c r="L1502" s="2"/>
      <c r="M1502" s="2"/>
      <c r="N1502" s="2"/>
      <c r="AD1502" s="3"/>
      <c r="AH1502" s="3"/>
      <c r="AL1502" s="3"/>
    </row>
    <row r="1503" spans="12:38" x14ac:dyDescent="0.25">
      <c r="L1503" s="2"/>
      <c r="M1503" s="2"/>
      <c r="N1503" s="2"/>
      <c r="AD1503" s="3"/>
      <c r="AH1503" s="3"/>
      <c r="AL1503" s="3"/>
    </row>
    <row r="1504" spans="12:38" x14ac:dyDescent="0.25">
      <c r="L1504" s="2"/>
      <c r="M1504" s="2"/>
      <c r="N1504" s="2"/>
      <c r="AD1504" s="3"/>
      <c r="AH1504" s="3"/>
      <c r="AL1504" s="3"/>
    </row>
    <row r="1505" spans="12:38" x14ac:dyDescent="0.25">
      <c r="L1505" s="2"/>
      <c r="M1505" s="2"/>
      <c r="N1505" s="2"/>
      <c r="AD1505" s="3"/>
      <c r="AH1505" s="3"/>
      <c r="AL1505" s="3"/>
    </row>
    <row r="1506" spans="12:38" x14ac:dyDescent="0.25">
      <c r="L1506" s="2"/>
      <c r="M1506" s="2"/>
      <c r="N1506" s="2"/>
      <c r="AD1506" s="3"/>
      <c r="AH1506" s="3"/>
      <c r="AL1506" s="3"/>
    </row>
    <row r="1507" spans="12:38" x14ac:dyDescent="0.25">
      <c r="L1507" s="2"/>
      <c r="M1507" s="2"/>
      <c r="N1507" s="2"/>
      <c r="AD1507" s="3"/>
      <c r="AH1507" s="3"/>
      <c r="AL1507" s="3"/>
    </row>
    <row r="1508" spans="12:38" x14ac:dyDescent="0.25">
      <c r="L1508" s="2"/>
      <c r="M1508" s="2"/>
      <c r="N1508" s="2"/>
      <c r="AD1508" s="3"/>
      <c r="AH1508" s="3"/>
      <c r="AL1508" s="3"/>
    </row>
    <row r="1509" spans="12:38" x14ac:dyDescent="0.25">
      <c r="L1509" s="2"/>
      <c r="M1509" s="2"/>
      <c r="N1509" s="2"/>
      <c r="AD1509" s="3"/>
      <c r="AH1509" s="3"/>
      <c r="AL1509" s="3"/>
    </row>
    <row r="1510" spans="12:38" x14ac:dyDescent="0.25">
      <c r="L1510" s="2"/>
      <c r="M1510" s="2"/>
      <c r="N1510" s="2"/>
      <c r="AD1510" s="3"/>
      <c r="AH1510" s="3"/>
      <c r="AL1510" s="3"/>
    </row>
    <row r="1511" spans="12:38" x14ac:dyDescent="0.25">
      <c r="L1511" s="2"/>
      <c r="M1511" s="2"/>
      <c r="N1511" s="2"/>
      <c r="AD1511" s="3"/>
      <c r="AH1511" s="3"/>
      <c r="AL1511" s="3"/>
    </row>
    <row r="1512" spans="12:38" x14ac:dyDescent="0.25">
      <c r="L1512" s="2"/>
      <c r="M1512" s="2"/>
      <c r="N1512" s="2"/>
      <c r="AD1512" s="3"/>
      <c r="AH1512" s="3"/>
      <c r="AL1512" s="3"/>
    </row>
    <row r="1513" spans="12:38" x14ac:dyDescent="0.25">
      <c r="L1513" s="2"/>
      <c r="M1513" s="2"/>
      <c r="N1513" s="2"/>
      <c r="AD1513" s="3"/>
      <c r="AH1513" s="3"/>
      <c r="AL1513" s="3"/>
    </row>
    <row r="1514" spans="12:38" x14ac:dyDescent="0.25">
      <c r="L1514" s="2"/>
      <c r="M1514" s="2"/>
      <c r="N1514" s="2"/>
      <c r="AD1514" s="3"/>
      <c r="AH1514" s="3"/>
      <c r="AL1514" s="3"/>
    </row>
    <row r="1515" spans="12:38" x14ac:dyDescent="0.25">
      <c r="L1515" s="2"/>
      <c r="M1515" s="2"/>
      <c r="N1515" s="2"/>
      <c r="AD1515" s="3"/>
      <c r="AH1515" s="3"/>
      <c r="AL1515" s="3"/>
    </row>
    <row r="1516" spans="12:38" x14ac:dyDescent="0.25">
      <c r="L1516" s="2"/>
      <c r="M1516" s="2"/>
      <c r="N1516" s="2"/>
      <c r="AD1516" s="3"/>
      <c r="AH1516" s="3"/>
      <c r="AL1516" s="3"/>
    </row>
    <row r="1517" spans="12:38" x14ac:dyDescent="0.25">
      <c r="L1517" s="2"/>
      <c r="M1517" s="2"/>
      <c r="N1517" s="2"/>
      <c r="AD1517" s="3"/>
      <c r="AH1517" s="3"/>
      <c r="AL1517" s="3"/>
    </row>
    <row r="1518" spans="12:38" x14ac:dyDescent="0.25">
      <c r="L1518" s="2"/>
      <c r="M1518" s="2"/>
      <c r="N1518" s="2"/>
      <c r="AD1518" s="3"/>
      <c r="AH1518" s="3"/>
      <c r="AL1518" s="3"/>
    </row>
    <row r="1519" spans="12:38" x14ac:dyDescent="0.25">
      <c r="L1519" s="2"/>
      <c r="M1519" s="2"/>
      <c r="N1519" s="2"/>
      <c r="AD1519" s="3"/>
      <c r="AH1519" s="3"/>
      <c r="AL1519" s="3"/>
    </row>
    <row r="1520" spans="12:38" x14ac:dyDescent="0.25">
      <c r="L1520" s="2"/>
      <c r="M1520" s="2"/>
      <c r="N1520" s="2"/>
      <c r="AD1520" s="3"/>
      <c r="AH1520" s="3"/>
      <c r="AL1520" s="3"/>
    </row>
    <row r="1521" spans="12:38" x14ac:dyDescent="0.25">
      <c r="L1521" s="2"/>
      <c r="M1521" s="2"/>
      <c r="N1521" s="2"/>
      <c r="AD1521" s="3"/>
      <c r="AH1521" s="3"/>
      <c r="AL1521" s="3"/>
    </row>
    <row r="1522" spans="12:38" x14ac:dyDescent="0.25">
      <c r="L1522" s="2"/>
      <c r="M1522" s="2"/>
      <c r="N1522" s="2"/>
      <c r="AD1522" s="3"/>
      <c r="AH1522" s="3"/>
      <c r="AL1522" s="3"/>
    </row>
    <row r="1523" spans="12:38" x14ac:dyDescent="0.25">
      <c r="L1523" s="2"/>
      <c r="M1523" s="2"/>
      <c r="N1523" s="2"/>
      <c r="AD1523" s="3"/>
      <c r="AH1523" s="3"/>
      <c r="AL1523" s="3"/>
    </row>
    <row r="1524" spans="12:38" x14ac:dyDescent="0.25">
      <c r="L1524" s="2"/>
      <c r="M1524" s="2"/>
      <c r="N1524" s="2"/>
      <c r="AD1524" s="3"/>
      <c r="AH1524" s="3"/>
      <c r="AL1524" s="3"/>
    </row>
    <row r="1525" spans="12:38" x14ac:dyDescent="0.25">
      <c r="L1525" s="2"/>
      <c r="M1525" s="2"/>
      <c r="N1525" s="2"/>
      <c r="AD1525" s="3"/>
      <c r="AH1525" s="3"/>
      <c r="AL1525" s="3"/>
    </row>
    <row r="1526" spans="12:38" x14ac:dyDescent="0.25">
      <c r="L1526" s="2"/>
      <c r="M1526" s="2"/>
      <c r="N1526" s="2"/>
      <c r="AD1526" s="3"/>
      <c r="AH1526" s="3"/>
      <c r="AL1526" s="3"/>
    </row>
    <row r="1527" spans="12:38" x14ac:dyDescent="0.25">
      <c r="L1527" s="2"/>
      <c r="M1527" s="2"/>
      <c r="N1527" s="2"/>
      <c r="AD1527" s="3"/>
      <c r="AH1527" s="3"/>
      <c r="AL1527" s="3"/>
    </row>
    <row r="1528" spans="12:38" x14ac:dyDescent="0.25">
      <c r="L1528" s="2"/>
      <c r="M1528" s="2"/>
      <c r="N1528" s="2"/>
      <c r="AD1528" s="3"/>
      <c r="AH1528" s="3"/>
      <c r="AL1528" s="3"/>
    </row>
    <row r="1529" spans="12:38" x14ac:dyDescent="0.25">
      <c r="L1529" s="2"/>
      <c r="M1529" s="2"/>
      <c r="N1529" s="2"/>
      <c r="AD1529" s="3"/>
      <c r="AH1529" s="3"/>
      <c r="AL1529" s="3"/>
    </row>
    <row r="1530" spans="12:38" x14ac:dyDescent="0.25">
      <c r="L1530" s="2"/>
      <c r="M1530" s="2"/>
      <c r="N1530" s="2"/>
      <c r="AD1530" s="3"/>
      <c r="AH1530" s="3"/>
      <c r="AL1530" s="3"/>
    </row>
    <row r="1531" spans="12:38" x14ac:dyDescent="0.25">
      <c r="L1531" s="2"/>
      <c r="M1531" s="2"/>
      <c r="N1531" s="2"/>
      <c r="AD1531" s="3"/>
      <c r="AH1531" s="3"/>
      <c r="AL1531" s="3"/>
    </row>
    <row r="1532" spans="12:38" x14ac:dyDescent="0.25">
      <c r="L1532" s="2"/>
      <c r="M1532" s="2"/>
      <c r="N1532" s="2"/>
      <c r="AD1532" s="3"/>
      <c r="AH1532" s="3"/>
      <c r="AL1532" s="3"/>
    </row>
    <row r="1533" spans="12:38" x14ac:dyDescent="0.25">
      <c r="L1533" s="2"/>
      <c r="M1533" s="2"/>
      <c r="N1533" s="2"/>
      <c r="AD1533" s="3"/>
      <c r="AH1533" s="3"/>
      <c r="AL1533" s="3"/>
    </row>
    <row r="1534" spans="12:38" x14ac:dyDescent="0.25">
      <c r="L1534" s="2"/>
      <c r="M1534" s="2"/>
      <c r="N1534" s="2"/>
      <c r="AD1534" s="3"/>
      <c r="AH1534" s="3"/>
      <c r="AL1534" s="3"/>
    </row>
    <row r="1535" spans="12:38" x14ac:dyDescent="0.25">
      <c r="L1535" s="2"/>
      <c r="M1535" s="2"/>
      <c r="N1535" s="2"/>
      <c r="AD1535" s="3"/>
      <c r="AH1535" s="3"/>
      <c r="AL1535" s="3"/>
    </row>
    <row r="1536" spans="12:38" x14ac:dyDescent="0.25">
      <c r="L1536" s="2"/>
      <c r="M1536" s="2"/>
      <c r="N1536" s="2"/>
      <c r="AD1536" s="3"/>
      <c r="AH1536" s="3"/>
      <c r="AL1536" s="3"/>
    </row>
    <row r="1537" spans="12:38" x14ac:dyDescent="0.25">
      <c r="L1537" s="2"/>
      <c r="M1537" s="2"/>
      <c r="N1537" s="2"/>
      <c r="AD1537" s="3"/>
      <c r="AH1537" s="3"/>
      <c r="AL1537" s="3"/>
    </row>
    <row r="1538" spans="12:38" x14ac:dyDescent="0.25">
      <c r="L1538" s="2"/>
      <c r="M1538" s="2"/>
      <c r="N1538" s="2"/>
      <c r="AD1538" s="3"/>
      <c r="AH1538" s="3"/>
      <c r="AL1538" s="3"/>
    </row>
    <row r="1539" spans="12:38" x14ac:dyDescent="0.25">
      <c r="L1539" s="2"/>
      <c r="M1539" s="2"/>
      <c r="N1539" s="2"/>
      <c r="AD1539" s="3"/>
      <c r="AH1539" s="3"/>
      <c r="AL1539" s="3"/>
    </row>
    <row r="1540" spans="12:38" x14ac:dyDescent="0.25">
      <c r="L1540" s="2"/>
      <c r="M1540" s="2"/>
      <c r="N1540" s="2"/>
      <c r="AD1540" s="3"/>
      <c r="AH1540" s="3"/>
      <c r="AL1540" s="3"/>
    </row>
    <row r="1541" spans="12:38" x14ac:dyDescent="0.25">
      <c r="L1541" s="2"/>
      <c r="M1541" s="2"/>
      <c r="N1541" s="2"/>
      <c r="AD1541" s="3"/>
      <c r="AH1541" s="3"/>
      <c r="AL1541" s="3"/>
    </row>
    <row r="1542" spans="12:38" x14ac:dyDescent="0.25">
      <c r="L1542" s="2"/>
      <c r="M1542" s="2"/>
      <c r="N1542" s="2"/>
      <c r="AD1542" s="3"/>
      <c r="AH1542" s="3"/>
      <c r="AL1542" s="3"/>
    </row>
    <row r="1543" spans="12:38" x14ac:dyDescent="0.25">
      <c r="L1543" s="2"/>
      <c r="M1543" s="2"/>
      <c r="N1543" s="2"/>
      <c r="AD1543" s="3"/>
      <c r="AH1543" s="3"/>
      <c r="AL1543" s="3"/>
    </row>
    <row r="1544" spans="12:38" x14ac:dyDescent="0.25">
      <c r="L1544" s="2"/>
      <c r="M1544" s="2"/>
      <c r="N1544" s="2"/>
      <c r="AD1544" s="3"/>
      <c r="AH1544" s="3"/>
      <c r="AL1544" s="3"/>
    </row>
    <row r="1545" spans="12:38" x14ac:dyDescent="0.25">
      <c r="L1545" s="2"/>
      <c r="M1545" s="2"/>
      <c r="N1545" s="2"/>
      <c r="AD1545" s="3"/>
      <c r="AH1545" s="3"/>
      <c r="AL1545" s="3"/>
    </row>
    <row r="1546" spans="12:38" x14ac:dyDescent="0.25">
      <c r="L1546" s="2"/>
      <c r="M1546" s="2"/>
      <c r="N1546" s="2"/>
      <c r="AD1546" s="3"/>
      <c r="AH1546" s="3"/>
      <c r="AL1546" s="3"/>
    </row>
    <row r="1547" spans="12:38" x14ac:dyDescent="0.25">
      <c r="L1547" s="2"/>
      <c r="M1547" s="2"/>
      <c r="N1547" s="2"/>
      <c r="AD1547" s="3"/>
      <c r="AH1547" s="3"/>
      <c r="AL1547" s="3"/>
    </row>
    <row r="1548" spans="12:38" x14ac:dyDescent="0.25">
      <c r="L1548" s="2"/>
      <c r="M1548" s="2"/>
      <c r="N1548" s="2"/>
      <c r="AD1548" s="3"/>
      <c r="AH1548" s="3"/>
      <c r="AL1548" s="3"/>
    </row>
    <row r="1549" spans="12:38" x14ac:dyDescent="0.25">
      <c r="L1549" s="2"/>
      <c r="M1549" s="2"/>
      <c r="N1549" s="2"/>
      <c r="AD1549" s="3"/>
      <c r="AH1549" s="3"/>
      <c r="AL1549" s="3"/>
    </row>
    <row r="1550" spans="12:38" x14ac:dyDescent="0.25">
      <c r="L1550" s="2"/>
      <c r="M1550" s="2"/>
      <c r="N1550" s="2"/>
      <c r="AD1550" s="3"/>
      <c r="AH1550" s="3"/>
      <c r="AL1550" s="3"/>
    </row>
    <row r="1551" spans="12:38" x14ac:dyDescent="0.25">
      <c r="L1551" s="2"/>
      <c r="M1551" s="2"/>
      <c r="N1551" s="2"/>
      <c r="AD1551" s="3"/>
      <c r="AH1551" s="3"/>
      <c r="AL1551" s="3"/>
    </row>
    <row r="1552" spans="12:38" x14ac:dyDescent="0.25">
      <c r="L1552" s="2"/>
      <c r="M1552" s="2"/>
      <c r="N1552" s="2"/>
      <c r="AD1552" s="3"/>
      <c r="AH1552" s="3"/>
      <c r="AL1552" s="3"/>
    </row>
    <row r="1553" spans="12:38" x14ac:dyDescent="0.25">
      <c r="L1553" s="2"/>
      <c r="M1553" s="2"/>
      <c r="N1553" s="2"/>
      <c r="AD1553" s="3"/>
      <c r="AH1553" s="3"/>
      <c r="AL1553" s="3"/>
    </row>
    <row r="1554" spans="12:38" x14ac:dyDescent="0.25">
      <c r="L1554" s="2"/>
      <c r="M1554" s="2"/>
      <c r="N1554" s="2"/>
      <c r="AD1554" s="3"/>
      <c r="AH1554" s="3"/>
      <c r="AL1554" s="3"/>
    </row>
    <row r="1555" spans="12:38" x14ac:dyDescent="0.25">
      <c r="L1555" s="2"/>
      <c r="M1555" s="2"/>
      <c r="N1555" s="2"/>
      <c r="AD1555" s="3"/>
      <c r="AH1555" s="3"/>
      <c r="AL1555" s="3"/>
    </row>
    <row r="1556" spans="12:38" x14ac:dyDescent="0.25">
      <c r="L1556" s="2"/>
      <c r="M1556" s="2"/>
      <c r="N1556" s="2"/>
      <c r="AD1556" s="3"/>
      <c r="AH1556" s="3"/>
      <c r="AL1556" s="3"/>
    </row>
    <row r="1557" spans="12:38" x14ac:dyDescent="0.25">
      <c r="L1557" s="2"/>
      <c r="M1557" s="2"/>
      <c r="N1557" s="2"/>
      <c r="AD1557" s="3"/>
      <c r="AH1557" s="3"/>
      <c r="AL1557" s="3"/>
    </row>
    <row r="1558" spans="12:38" x14ac:dyDescent="0.25">
      <c r="L1558" s="2"/>
      <c r="M1558" s="2"/>
      <c r="N1558" s="2"/>
      <c r="AD1558" s="3"/>
      <c r="AH1558" s="3"/>
      <c r="AL1558" s="3"/>
    </row>
    <row r="1559" spans="12:38" x14ac:dyDescent="0.25">
      <c r="L1559" s="2"/>
      <c r="M1559" s="2"/>
      <c r="N1559" s="2"/>
      <c r="AD1559" s="3"/>
      <c r="AH1559" s="3"/>
      <c r="AL1559" s="3"/>
    </row>
    <row r="1560" spans="12:38" x14ac:dyDescent="0.25">
      <c r="L1560" s="2"/>
      <c r="M1560" s="2"/>
      <c r="N1560" s="2"/>
      <c r="AD1560" s="3"/>
      <c r="AH1560" s="3"/>
      <c r="AL1560" s="3"/>
    </row>
    <row r="1561" spans="12:38" x14ac:dyDescent="0.25">
      <c r="L1561" s="2"/>
      <c r="M1561" s="2"/>
      <c r="N1561" s="2"/>
      <c r="AD1561" s="3"/>
      <c r="AH1561" s="3"/>
      <c r="AL1561" s="3"/>
    </row>
    <row r="1562" spans="12:38" x14ac:dyDescent="0.25">
      <c r="L1562" s="2"/>
      <c r="M1562" s="2"/>
      <c r="N1562" s="2"/>
      <c r="AD1562" s="3"/>
      <c r="AH1562" s="3"/>
      <c r="AL1562" s="3"/>
    </row>
    <row r="1563" spans="12:38" x14ac:dyDescent="0.25">
      <c r="L1563" s="2"/>
      <c r="M1563" s="2"/>
      <c r="N1563" s="2"/>
      <c r="AD1563" s="3"/>
      <c r="AH1563" s="3"/>
      <c r="AL1563" s="3"/>
    </row>
    <row r="1564" spans="12:38" x14ac:dyDescent="0.25">
      <c r="L1564" s="2"/>
      <c r="M1564" s="2"/>
      <c r="N1564" s="2"/>
      <c r="AD1564" s="3"/>
      <c r="AH1564" s="3"/>
      <c r="AL1564" s="3"/>
    </row>
    <row r="1565" spans="12:38" x14ac:dyDescent="0.25">
      <c r="L1565" s="2"/>
      <c r="M1565" s="2"/>
      <c r="N1565" s="2"/>
      <c r="AD1565" s="3"/>
      <c r="AH1565" s="3"/>
      <c r="AL1565" s="3"/>
    </row>
    <row r="1566" spans="12:38" x14ac:dyDescent="0.25">
      <c r="L1566" s="2"/>
      <c r="M1566" s="2"/>
      <c r="N1566" s="2"/>
      <c r="AD1566" s="3"/>
      <c r="AH1566" s="3"/>
      <c r="AL1566" s="3"/>
    </row>
    <row r="1567" spans="12:38" x14ac:dyDescent="0.25">
      <c r="L1567" s="2"/>
      <c r="M1567" s="2"/>
      <c r="N1567" s="2"/>
      <c r="AD1567" s="3"/>
      <c r="AH1567" s="3"/>
      <c r="AL1567" s="3"/>
    </row>
    <row r="1568" spans="12:38" x14ac:dyDescent="0.25">
      <c r="L1568" s="2"/>
      <c r="M1568" s="2"/>
      <c r="N1568" s="2"/>
      <c r="AD1568" s="3"/>
      <c r="AH1568" s="3"/>
      <c r="AL1568" s="3"/>
    </row>
    <row r="1569" spans="12:38" x14ac:dyDescent="0.25">
      <c r="L1569" s="2"/>
      <c r="M1569" s="2"/>
      <c r="N1569" s="2"/>
      <c r="AD1569" s="3"/>
      <c r="AH1569" s="3"/>
      <c r="AL1569" s="3"/>
    </row>
    <row r="1570" spans="12:38" x14ac:dyDescent="0.25">
      <c r="L1570" s="2"/>
      <c r="M1570" s="2"/>
      <c r="N1570" s="2"/>
      <c r="AD1570" s="3"/>
      <c r="AH1570" s="3"/>
      <c r="AL1570" s="3"/>
    </row>
    <row r="1571" spans="12:38" x14ac:dyDescent="0.25">
      <c r="L1571" s="2"/>
      <c r="M1571" s="2"/>
      <c r="N1571" s="2"/>
      <c r="AD1571" s="3"/>
      <c r="AH1571" s="3"/>
      <c r="AL1571" s="3"/>
    </row>
    <row r="1572" spans="12:38" x14ac:dyDescent="0.25">
      <c r="L1572" s="2"/>
      <c r="M1572" s="2"/>
      <c r="N1572" s="2"/>
      <c r="AD1572" s="3"/>
      <c r="AH1572" s="3"/>
      <c r="AL1572" s="3"/>
    </row>
    <row r="1573" spans="12:38" x14ac:dyDescent="0.25">
      <c r="L1573" s="2"/>
      <c r="M1573" s="2"/>
      <c r="N1573" s="2"/>
      <c r="AD1573" s="3"/>
      <c r="AH1573" s="3"/>
      <c r="AL1573" s="3"/>
    </row>
    <row r="1574" spans="12:38" x14ac:dyDescent="0.25">
      <c r="L1574" s="2"/>
      <c r="M1574" s="2"/>
      <c r="N1574" s="2"/>
      <c r="AD1574" s="3"/>
      <c r="AH1574" s="3"/>
      <c r="AL1574" s="3"/>
    </row>
    <row r="1575" spans="12:38" x14ac:dyDescent="0.25">
      <c r="L1575" s="2"/>
      <c r="M1575" s="2"/>
      <c r="N1575" s="2"/>
      <c r="AD1575" s="3"/>
      <c r="AH1575" s="3"/>
      <c r="AL1575" s="3"/>
    </row>
    <row r="1576" spans="12:38" x14ac:dyDescent="0.25">
      <c r="L1576" s="2"/>
      <c r="M1576" s="2"/>
      <c r="N1576" s="2"/>
      <c r="AD1576" s="3"/>
      <c r="AH1576" s="3"/>
      <c r="AL1576" s="3"/>
    </row>
    <row r="1577" spans="12:38" x14ac:dyDescent="0.25">
      <c r="L1577" s="2"/>
      <c r="M1577" s="2"/>
      <c r="N1577" s="2"/>
      <c r="AD1577" s="3"/>
      <c r="AH1577" s="3"/>
      <c r="AL1577" s="3"/>
    </row>
    <row r="1578" spans="12:38" x14ac:dyDescent="0.25">
      <c r="L1578" s="2"/>
      <c r="M1578" s="2"/>
      <c r="N1578" s="2"/>
      <c r="AD1578" s="3"/>
      <c r="AH1578" s="3"/>
      <c r="AL1578" s="3"/>
    </row>
    <row r="1579" spans="12:38" x14ac:dyDescent="0.25">
      <c r="L1579" s="2"/>
      <c r="M1579" s="2"/>
      <c r="N1579" s="2"/>
      <c r="AD1579" s="3"/>
      <c r="AH1579" s="3"/>
      <c r="AL1579" s="3"/>
    </row>
    <row r="1580" spans="12:38" x14ac:dyDescent="0.25">
      <c r="L1580" s="2"/>
      <c r="M1580" s="2"/>
      <c r="N1580" s="2"/>
      <c r="AD1580" s="3"/>
      <c r="AH1580" s="3"/>
      <c r="AL1580" s="3"/>
    </row>
    <row r="1581" spans="12:38" x14ac:dyDescent="0.25">
      <c r="L1581" s="2"/>
      <c r="M1581" s="2"/>
      <c r="N1581" s="2"/>
      <c r="AD1581" s="3"/>
      <c r="AH1581" s="3"/>
      <c r="AL1581" s="3"/>
    </row>
    <row r="1582" spans="12:38" x14ac:dyDescent="0.25">
      <c r="L1582" s="2"/>
      <c r="M1582" s="2"/>
      <c r="N1582" s="2"/>
      <c r="AD1582" s="3"/>
      <c r="AH1582" s="3"/>
      <c r="AL1582" s="3"/>
    </row>
    <row r="1583" spans="12:38" x14ac:dyDescent="0.25">
      <c r="L1583" s="2"/>
      <c r="M1583" s="2"/>
      <c r="N1583" s="2"/>
      <c r="AD1583" s="3"/>
      <c r="AH1583" s="3"/>
      <c r="AL1583" s="3"/>
    </row>
    <row r="1584" spans="12:38" x14ac:dyDescent="0.25">
      <c r="L1584" s="2"/>
      <c r="M1584" s="2"/>
      <c r="N1584" s="2"/>
      <c r="AD1584" s="3"/>
      <c r="AH1584" s="3"/>
      <c r="AL1584" s="3"/>
    </row>
    <row r="1585" spans="12:38" x14ac:dyDescent="0.25">
      <c r="L1585" s="2"/>
      <c r="M1585" s="2"/>
      <c r="N1585" s="2"/>
      <c r="AD1585" s="3"/>
      <c r="AH1585" s="3"/>
      <c r="AL1585" s="3"/>
    </row>
    <row r="1586" spans="12:38" x14ac:dyDescent="0.25">
      <c r="L1586" s="2"/>
      <c r="M1586" s="2"/>
      <c r="N1586" s="2"/>
      <c r="AD1586" s="3"/>
      <c r="AH1586" s="3"/>
      <c r="AL1586" s="3"/>
    </row>
    <row r="1587" spans="12:38" x14ac:dyDescent="0.25">
      <c r="L1587" s="2"/>
      <c r="M1587" s="2"/>
      <c r="N1587" s="2"/>
      <c r="AD1587" s="3"/>
      <c r="AH1587" s="3"/>
      <c r="AL1587" s="3"/>
    </row>
    <row r="1588" spans="12:38" x14ac:dyDescent="0.25">
      <c r="L1588" s="2"/>
      <c r="M1588" s="2"/>
      <c r="N1588" s="2"/>
      <c r="AD1588" s="3"/>
      <c r="AH1588" s="3"/>
      <c r="AL1588" s="3"/>
    </row>
    <row r="1589" spans="12:38" x14ac:dyDescent="0.25">
      <c r="L1589" s="2"/>
      <c r="M1589" s="2"/>
      <c r="N1589" s="2"/>
      <c r="AD1589" s="3"/>
      <c r="AH1589" s="3"/>
      <c r="AL1589" s="3"/>
    </row>
    <row r="1590" spans="12:38" x14ac:dyDescent="0.25">
      <c r="L1590" s="2"/>
      <c r="M1590" s="2"/>
      <c r="N1590" s="2"/>
      <c r="AD1590" s="3"/>
      <c r="AH1590" s="3"/>
      <c r="AL1590" s="3"/>
    </row>
    <row r="1591" spans="12:38" x14ac:dyDescent="0.25">
      <c r="L1591" s="2"/>
      <c r="M1591" s="2"/>
      <c r="N1591" s="2"/>
      <c r="AD1591" s="3"/>
      <c r="AH1591" s="3"/>
      <c r="AL1591" s="3"/>
    </row>
    <row r="1592" spans="12:38" x14ac:dyDescent="0.25">
      <c r="L1592" s="2"/>
      <c r="M1592" s="2"/>
      <c r="N1592" s="2"/>
      <c r="AD1592" s="3"/>
      <c r="AH1592" s="3"/>
      <c r="AL1592" s="3"/>
    </row>
    <row r="1593" spans="12:38" x14ac:dyDescent="0.25">
      <c r="L1593" s="2"/>
      <c r="M1593" s="2"/>
      <c r="N1593" s="2"/>
      <c r="AD1593" s="3"/>
      <c r="AH1593" s="3"/>
      <c r="AL1593" s="3"/>
    </row>
    <row r="1594" spans="12:38" x14ac:dyDescent="0.25">
      <c r="L1594" s="2"/>
      <c r="M1594" s="2"/>
      <c r="N1594" s="2"/>
      <c r="AD1594" s="3"/>
      <c r="AH1594" s="3"/>
      <c r="AL1594" s="3"/>
    </row>
    <row r="1595" spans="12:38" x14ac:dyDescent="0.25">
      <c r="L1595" s="2"/>
      <c r="M1595" s="2"/>
      <c r="N1595" s="2"/>
      <c r="AD1595" s="3"/>
      <c r="AH1595" s="3"/>
      <c r="AL1595" s="3"/>
    </row>
    <row r="1596" spans="12:38" x14ac:dyDescent="0.25">
      <c r="L1596" s="2"/>
      <c r="M1596" s="2"/>
      <c r="N1596" s="2"/>
      <c r="AD1596" s="3"/>
      <c r="AH1596" s="3"/>
      <c r="AL1596" s="3"/>
    </row>
    <row r="1597" spans="12:38" x14ac:dyDescent="0.25">
      <c r="L1597" s="2"/>
      <c r="M1597" s="2"/>
      <c r="N1597" s="2"/>
      <c r="AD1597" s="3"/>
      <c r="AH1597" s="3"/>
      <c r="AL1597" s="3"/>
    </row>
    <row r="1598" spans="12:38" x14ac:dyDescent="0.25">
      <c r="L1598" s="2"/>
      <c r="M1598" s="2"/>
      <c r="N1598" s="2"/>
      <c r="AD1598" s="3"/>
      <c r="AH1598" s="3"/>
      <c r="AL1598" s="3"/>
    </row>
    <row r="1599" spans="12:38" x14ac:dyDescent="0.25">
      <c r="L1599" s="2"/>
      <c r="M1599" s="2"/>
      <c r="N1599" s="2"/>
      <c r="AD1599" s="3"/>
      <c r="AH1599" s="3"/>
      <c r="AL1599" s="3"/>
    </row>
    <row r="1600" spans="12:38" x14ac:dyDescent="0.25">
      <c r="L1600" s="2"/>
      <c r="M1600" s="2"/>
      <c r="N1600" s="2"/>
      <c r="AD1600" s="3"/>
      <c r="AH1600" s="3"/>
      <c r="AL1600" s="3"/>
    </row>
    <row r="1601" spans="12:38" x14ac:dyDescent="0.25">
      <c r="L1601" s="2"/>
      <c r="M1601" s="2"/>
      <c r="N1601" s="2"/>
      <c r="AD1601" s="3"/>
      <c r="AH1601" s="3"/>
      <c r="AL1601" s="3"/>
    </row>
    <row r="1602" spans="12:38" x14ac:dyDescent="0.25">
      <c r="L1602" s="2"/>
      <c r="M1602" s="2"/>
      <c r="N1602" s="2"/>
      <c r="AD1602" s="3"/>
      <c r="AH1602" s="3"/>
      <c r="AL1602" s="3"/>
    </row>
    <row r="1603" spans="12:38" x14ac:dyDescent="0.25">
      <c r="L1603" s="2"/>
      <c r="M1603" s="2"/>
      <c r="N1603" s="2"/>
      <c r="AD1603" s="3"/>
      <c r="AH1603" s="3"/>
      <c r="AL1603" s="3"/>
    </row>
    <row r="1604" spans="12:38" x14ac:dyDescent="0.25">
      <c r="L1604" s="2"/>
      <c r="M1604" s="2"/>
      <c r="N1604" s="2"/>
      <c r="AD1604" s="3"/>
      <c r="AH1604" s="3"/>
      <c r="AL1604" s="3"/>
    </row>
    <row r="1605" spans="12:38" x14ac:dyDescent="0.25">
      <c r="L1605" s="2"/>
      <c r="M1605" s="2"/>
      <c r="N1605" s="2"/>
      <c r="AD1605" s="3"/>
      <c r="AH1605" s="3"/>
      <c r="AL1605" s="3"/>
    </row>
    <row r="1606" spans="12:38" x14ac:dyDescent="0.25">
      <c r="L1606" s="2"/>
      <c r="M1606" s="2"/>
      <c r="N1606" s="2"/>
      <c r="AD1606" s="3"/>
      <c r="AH1606" s="3"/>
      <c r="AL1606" s="3"/>
    </row>
    <row r="1607" spans="12:38" x14ac:dyDescent="0.25">
      <c r="L1607" s="2"/>
      <c r="M1607" s="2"/>
      <c r="N1607" s="2"/>
      <c r="AD1607" s="3"/>
      <c r="AH1607" s="3"/>
      <c r="AL1607" s="3"/>
    </row>
    <row r="1608" spans="12:38" x14ac:dyDescent="0.25">
      <c r="L1608" s="2"/>
      <c r="M1608" s="2"/>
      <c r="N1608" s="2"/>
      <c r="AD1608" s="3"/>
      <c r="AH1608" s="3"/>
      <c r="AL1608" s="3"/>
    </row>
    <row r="1609" spans="12:38" x14ac:dyDescent="0.25">
      <c r="L1609" s="2"/>
      <c r="M1609" s="2"/>
      <c r="N1609" s="2"/>
      <c r="AD1609" s="3"/>
      <c r="AH1609" s="3"/>
      <c r="AL1609" s="3"/>
    </row>
    <row r="1610" spans="12:38" x14ac:dyDescent="0.25">
      <c r="L1610" s="2"/>
      <c r="M1610" s="2"/>
      <c r="N1610" s="2"/>
      <c r="AD1610" s="3"/>
      <c r="AH1610" s="3"/>
      <c r="AL1610" s="3"/>
    </row>
    <row r="1611" spans="12:38" x14ac:dyDescent="0.25">
      <c r="L1611" s="2"/>
      <c r="M1611" s="2"/>
      <c r="N1611" s="2"/>
      <c r="AD1611" s="3"/>
      <c r="AH1611" s="3"/>
      <c r="AL1611" s="3"/>
    </row>
    <row r="1612" spans="12:38" x14ac:dyDescent="0.25">
      <c r="L1612" s="2"/>
      <c r="M1612" s="2"/>
      <c r="N1612" s="2"/>
      <c r="AD1612" s="3"/>
      <c r="AH1612" s="3"/>
      <c r="AL1612" s="3"/>
    </row>
    <row r="1613" spans="12:38" x14ac:dyDescent="0.25">
      <c r="L1613" s="2"/>
      <c r="M1613" s="2"/>
      <c r="N1613" s="2"/>
      <c r="AD1613" s="3"/>
      <c r="AH1613" s="3"/>
      <c r="AL1613" s="3"/>
    </row>
    <row r="1614" spans="12:38" x14ac:dyDescent="0.25">
      <c r="L1614" s="2"/>
      <c r="M1614" s="2"/>
      <c r="N1614" s="2"/>
      <c r="AD1614" s="3"/>
      <c r="AH1614" s="3"/>
      <c r="AL1614" s="3"/>
    </row>
    <row r="1615" spans="12:38" x14ac:dyDescent="0.25">
      <c r="L1615" s="2"/>
      <c r="M1615" s="2"/>
      <c r="N1615" s="2"/>
      <c r="AD1615" s="3"/>
      <c r="AH1615" s="3"/>
      <c r="AL1615" s="3"/>
    </row>
    <row r="1616" spans="12:38" x14ac:dyDescent="0.25">
      <c r="L1616" s="2"/>
      <c r="M1616" s="2"/>
      <c r="N1616" s="2"/>
      <c r="AD1616" s="3"/>
      <c r="AH1616" s="3"/>
      <c r="AL1616" s="3"/>
    </row>
    <row r="1617" spans="12:38" x14ac:dyDescent="0.25">
      <c r="L1617" s="2"/>
      <c r="M1617" s="2"/>
      <c r="N1617" s="2"/>
      <c r="AD1617" s="3"/>
      <c r="AH1617" s="3"/>
      <c r="AL1617" s="3"/>
    </row>
    <row r="1618" spans="12:38" x14ac:dyDescent="0.25">
      <c r="L1618" s="2"/>
      <c r="M1618" s="2"/>
      <c r="N1618" s="2"/>
      <c r="AD1618" s="3"/>
      <c r="AH1618" s="3"/>
      <c r="AL1618" s="3"/>
    </row>
    <row r="1619" spans="12:38" x14ac:dyDescent="0.25">
      <c r="L1619" s="2"/>
      <c r="M1619" s="2"/>
      <c r="N1619" s="2"/>
      <c r="AD1619" s="3"/>
      <c r="AH1619" s="3"/>
      <c r="AL1619" s="3"/>
    </row>
    <row r="1620" spans="12:38" x14ac:dyDescent="0.25">
      <c r="L1620" s="2"/>
      <c r="M1620" s="2"/>
      <c r="N1620" s="2"/>
      <c r="AD1620" s="3"/>
      <c r="AH1620" s="3"/>
      <c r="AL1620" s="3"/>
    </row>
    <row r="1621" spans="12:38" x14ac:dyDescent="0.25">
      <c r="L1621" s="2"/>
      <c r="M1621" s="2"/>
      <c r="N1621" s="2"/>
      <c r="AD1621" s="3"/>
      <c r="AH1621" s="3"/>
      <c r="AL1621" s="3"/>
    </row>
    <row r="1622" spans="12:38" x14ac:dyDescent="0.25">
      <c r="L1622" s="2"/>
      <c r="M1622" s="2"/>
      <c r="N1622" s="2"/>
      <c r="AD1622" s="3"/>
      <c r="AH1622" s="3"/>
      <c r="AL1622" s="3"/>
    </row>
    <row r="1623" spans="12:38" x14ac:dyDescent="0.25">
      <c r="L1623" s="2"/>
      <c r="M1623" s="2"/>
      <c r="N1623" s="2"/>
      <c r="AD1623" s="3"/>
      <c r="AH1623" s="3"/>
      <c r="AL1623" s="3"/>
    </row>
    <row r="1624" spans="12:38" x14ac:dyDescent="0.25">
      <c r="L1624" s="2"/>
      <c r="M1624" s="2"/>
      <c r="N1624" s="2"/>
      <c r="AD1624" s="3"/>
      <c r="AH1624" s="3"/>
      <c r="AL1624" s="3"/>
    </row>
    <row r="1625" spans="12:38" x14ac:dyDescent="0.25">
      <c r="L1625" s="2"/>
      <c r="M1625" s="2"/>
      <c r="N1625" s="2"/>
      <c r="AD1625" s="3"/>
      <c r="AH1625" s="3"/>
      <c r="AL1625" s="3"/>
    </row>
    <row r="1626" spans="12:38" x14ac:dyDescent="0.25">
      <c r="L1626" s="2"/>
      <c r="M1626" s="2"/>
      <c r="N1626" s="2"/>
      <c r="AD1626" s="3"/>
      <c r="AH1626" s="3"/>
      <c r="AL1626" s="3"/>
    </row>
    <row r="1627" spans="12:38" x14ac:dyDescent="0.25">
      <c r="L1627" s="2"/>
      <c r="M1627" s="2"/>
      <c r="N1627" s="2"/>
      <c r="AD1627" s="3"/>
      <c r="AH1627" s="3"/>
      <c r="AL1627" s="3"/>
    </row>
    <row r="1628" spans="12:38" x14ac:dyDescent="0.25">
      <c r="L1628" s="2"/>
      <c r="M1628" s="2"/>
      <c r="N1628" s="2"/>
      <c r="AD1628" s="3"/>
      <c r="AH1628" s="3"/>
      <c r="AL1628" s="3"/>
    </row>
    <row r="1629" spans="12:38" x14ac:dyDescent="0.25">
      <c r="L1629" s="2"/>
      <c r="M1629" s="2"/>
      <c r="N1629" s="2"/>
      <c r="AD1629" s="3"/>
      <c r="AH1629" s="3"/>
      <c r="AL1629" s="3"/>
    </row>
    <row r="1630" spans="12:38" x14ac:dyDescent="0.25">
      <c r="L1630" s="2"/>
      <c r="M1630" s="2"/>
      <c r="N1630" s="2"/>
      <c r="AD1630" s="3"/>
      <c r="AH1630" s="3"/>
      <c r="AL1630" s="3"/>
    </row>
    <row r="1631" spans="12:38" x14ac:dyDescent="0.25">
      <c r="L1631" s="2"/>
      <c r="M1631" s="2"/>
      <c r="N1631" s="2"/>
      <c r="AD1631" s="3"/>
      <c r="AH1631" s="3"/>
      <c r="AL1631" s="3"/>
    </row>
    <row r="1632" spans="12:38" x14ac:dyDescent="0.25">
      <c r="L1632" s="2"/>
      <c r="M1632" s="2"/>
      <c r="N1632" s="2"/>
      <c r="AD1632" s="3"/>
      <c r="AH1632" s="3"/>
      <c r="AL1632" s="3"/>
    </row>
    <row r="1633" spans="12:38" x14ac:dyDescent="0.25">
      <c r="L1633" s="2"/>
      <c r="M1633" s="2"/>
      <c r="N1633" s="2"/>
      <c r="AD1633" s="3"/>
      <c r="AH1633" s="3"/>
      <c r="AL1633" s="3"/>
    </row>
    <row r="1634" spans="12:38" x14ac:dyDescent="0.25">
      <c r="L1634" s="2"/>
      <c r="M1634" s="2"/>
      <c r="N1634" s="2"/>
      <c r="AD1634" s="3"/>
      <c r="AH1634" s="3"/>
      <c r="AL1634" s="3"/>
    </row>
    <row r="1635" spans="12:38" x14ac:dyDescent="0.25">
      <c r="L1635" s="2"/>
      <c r="M1635" s="2"/>
      <c r="N1635" s="2"/>
      <c r="AD1635" s="3"/>
      <c r="AH1635" s="3"/>
      <c r="AL1635" s="3"/>
    </row>
    <row r="1636" spans="12:38" x14ac:dyDescent="0.25">
      <c r="L1636" s="2"/>
      <c r="M1636" s="2"/>
      <c r="N1636" s="2"/>
      <c r="AD1636" s="3"/>
      <c r="AH1636" s="3"/>
      <c r="AL1636" s="3"/>
    </row>
    <row r="1637" spans="12:38" x14ac:dyDescent="0.25">
      <c r="L1637" s="2"/>
      <c r="M1637" s="2"/>
      <c r="N1637" s="2"/>
      <c r="AD1637" s="3"/>
      <c r="AH1637" s="3"/>
      <c r="AL1637" s="3"/>
    </row>
    <row r="1638" spans="12:38" x14ac:dyDescent="0.25">
      <c r="L1638" s="2"/>
      <c r="M1638" s="2"/>
      <c r="N1638" s="2"/>
      <c r="AD1638" s="3"/>
      <c r="AH1638" s="3"/>
      <c r="AL1638" s="3"/>
    </row>
    <row r="1639" spans="12:38" x14ac:dyDescent="0.25">
      <c r="L1639" s="2"/>
      <c r="M1639" s="2"/>
      <c r="N1639" s="2"/>
      <c r="AD1639" s="3"/>
      <c r="AH1639" s="3"/>
      <c r="AL1639" s="3"/>
    </row>
    <row r="1640" spans="12:38" x14ac:dyDescent="0.25">
      <c r="L1640" s="2"/>
      <c r="M1640" s="2"/>
      <c r="N1640" s="2"/>
      <c r="AD1640" s="3"/>
      <c r="AH1640" s="3"/>
      <c r="AL1640" s="3"/>
    </row>
    <row r="1641" spans="12:38" x14ac:dyDescent="0.25">
      <c r="L1641" s="2"/>
      <c r="M1641" s="2"/>
      <c r="N1641" s="2"/>
      <c r="AD1641" s="3"/>
      <c r="AH1641" s="3"/>
      <c r="AL1641" s="3"/>
    </row>
    <row r="1642" spans="12:38" x14ac:dyDescent="0.25">
      <c r="L1642" s="2"/>
      <c r="M1642" s="2"/>
      <c r="N1642" s="2"/>
      <c r="AD1642" s="3"/>
      <c r="AH1642" s="3"/>
      <c r="AL1642" s="3"/>
    </row>
    <row r="1643" spans="12:38" x14ac:dyDescent="0.25">
      <c r="L1643" s="2"/>
      <c r="M1643" s="2"/>
      <c r="N1643" s="2"/>
      <c r="AD1643" s="3"/>
      <c r="AH1643" s="3"/>
      <c r="AL1643" s="3"/>
    </row>
    <row r="1644" spans="12:38" x14ac:dyDescent="0.25">
      <c r="L1644" s="2"/>
      <c r="M1644" s="2"/>
      <c r="N1644" s="2"/>
      <c r="AD1644" s="3"/>
      <c r="AH1644" s="3"/>
      <c r="AL1644" s="3"/>
    </row>
    <row r="1645" spans="12:38" x14ac:dyDescent="0.25">
      <c r="L1645" s="2"/>
      <c r="M1645" s="2"/>
      <c r="N1645" s="2"/>
      <c r="AD1645" s="3"/>
      <c r="AH1645" s="3"/>
      <c r="AL1645" s="3"/>
    </row>
    <row r="1646" spans="12:38" x14ac:dyDescent="0.25">
      <c r="L1646" s="2"/>
      <c r="M1646" s="2"/>
      <c r="N1646" s="2"/>
      <c r="AD1646" s="3"/>
      <c r="AH1646" s="3"/>
      <c r="AL1646" s="3"/>
    </row>
    <row r="1647" spans="12:38" x14ac:dyDescent="0.25">
      <c r="L1647" s="2"/>
      <c r="M1647" s="2"/>
      <c r="N1647" s="2"/>
      <c r="AD1647" s="3"/>
      <c r="AH1647" s="3"/>
      <c r="AL1647" s="3"/>
    </row>
    <row r="1648" spans="12:38" x14ac:dyDescent="0.25">
      <c r="L1648" s="2"/>
      <c r="M1648" s="2"/>
      <c r="N1648" s="2"/>
      <c r="AD1648" s="3"/>
      <c r="AH1648" s="3"/>
      <c r="AL1648" s="3"/>
    </row>
    <row r="1649" spans="12:38" x14ac:dyDescent="0.25">
      <c r="L1649" s="2"/>
      <c r="M1649" s="2"/>
      <c r="N1649" s="2"/>
      <c r="AD1649" s="3"/>
      <c r="AH1649" s="3"/>
      <c r="AL1649" s="3"/>
    </row>
    <row r="1650" spans="12:38" x14ac:dyDescent="0.25">
      <c r="L1650" s="2"/>
      <c r="M1650" s="2"/>
      <c r="N1650" s="2"/>
      <c r="AD1650" s="3"/>
      <c r="AH1650" s="3"/>
      <c r="AL1650" s="3"/>
    </row>
    <row r="1651" spans="12:38" x14ac:dyDescent="0.25">
      <c r="L1651" s="2"/>
      <c r="M1651" s="2"/>
      <c r="N1651" s="2"/>
      <c r="AD1651" s="3"/>
      <c r="AH1651" s="3"/>
      <c r="AL1651" s="3"/>
    </row>
    <row r="1652" spans="12:38" x14ac:dyDescent="0.25">
      <c r="L1652" s="2"/>
      <c r="M1652" s="2"/>
      <c r="N1652" s="2"/>
      <c r="AD1652" s="3"/>
      <c r="AH1652" s="3"/>
      <c r="AL1652" s="3"/>
    </row>
    <row r="1653" spans="12:38" x14ac:dyDescent="0.25">
      <c r="L1653" s="2"/>
      <c r="M1653" s="2"/>
      <c r="N1653" s="2"/>
      <c r="AD1653" s="3"/>
      <c r="AH1653" s="3"/>
      <c r="AL1653" s="3"/>
    </row>
    <row r="1654" spans="12:38" x14ac:dyDescent="0.25">
      <c r="L1654" s="2"/>
      <c r="M1654" s="2"/>
      <c r="N1654" s="2"/>
      <c r="AD1654" s="3"/>
      <c r="AH1654" s="3"/>
      <c r="AL1654" s="3"/>
    </row>
    <row r="1655" spans="12:38" x14ac:dyDescent="0.25">
      <c r="L1655" s="2"/>
      <c r="M1655" s="2"/>
      <c r="N1655" s="2"/>
      <c r="AD1655" s="3"/>
      <c r="AH1655" s="3"/>
      <c r="AL1655" s="3"/>
    </row>
    <row r="1656" spans="12:38" x14ac:dyDescent="0.25">
      <c r="L1656" s="2"/>
      <c r="M1656" s="2"/>
      <c r="N1656" s="2"/>
      <c r="AD1656" s="3"/>
      <c r="AH1656" s="3"/>
      <c r="AL1656" s="3"/>
    </row>
    <row r="1657" spans="12:38" x14ac:dyDescent="0.25">
      <c r="L1657" s="2"/>
      <c r="M1657" s="2"/>
      <c r="N1657" s="2"/>
      <c r="AD1657" s="3"/>
      <c r="AH1657" s="3"/>
      <c r="AL1657" s="3"/>
    </row>
    <row r="1658" spans="12:38" x14ac:dyDescent="0.25">
      <c r="L1658" s="2"/>
      <c r="M1658" s="2"/>
      <c r="N1658" s="2"/>
      <c r="AD1658" s="3"/>
      <c r="AH1658" s="3"/>
      <c r="AL1658" s="3"/>
    </row>
    <row r="1659" spans="12:38" x14ac:dyDescent="0.25">
      <c r="L1659" s="2"/>
      <c r="M1659" s="2"/>
      <c r="N1659" s="2"/>
      <c r="AD1659" s="3"/>
      <c r="AH1659" s="3"/>
      <c r="AL1659" s="3"/>
    </row>
    <row r="1660" spans="12:38" x14ac:dyDescent="0.25">
      <c r="L1660" s="2"/>
      <c r="M1660" s="2"/>
      <c r="N1660" s="2"/>
      <c r="AD1660" s="3"/>
      <c r="AH1660" s="3"/>
      <c r="AL1660" s="3"/>
    </row>
    <row r="1661" spans="12:38" x14ac:dyDescent="0.25">
      <c r="L1661" s="2"/>
      <c r="M1661" s="2"/>
      <c r="N1661" s="2"/>
      <c r="AD1661" s="3"/>
      <c r="AH1661" s="3"/>
      <c r="AL1661" s="3"/>
    </row>
    <row r="1662" spans="12:38" x14ac:dyDescent="0.25">
      <c r="L1662" s="2"/>
      <c r="M1662" s="2"/>
      <c r="N1662" s="2"/>
      <c r="AD1662" s="3"/>
      <c r="AH1662" s="3"/>
      <c r="AL1662" s="3"/>
    </row>
    <row r="1663" spans="12:38" x14ac:dyDescent="0.25">
      <c r="L1663" s="2"/>
      <c r="M1663" s="2"/>
      <c r="N1663" s="2"/>
      <c r="AD1663" s="3"/>
      <c r="AH1663" s="3"/>
      <c r="AL1663" s="3"/>
    </row>
    <row r="1664" spans="12:38" x14ac:dyDescent="0.25">
      <c r="L1664" s="2"/>
      <c r="M1664" s="2"/>
      <c r="N1664" s="2"/>
      <c r="AD1664" s="3"/>
      <c r="AH1664" s="3"/>
      <c r="AL1664" s="3"/>
    </row>
    <row r="1665" spans="12:38" x14ac:dyDescent="0.25">
      <c r="L1665" s="2"/>
      <c r="M1665" s="2"/>
      <c r="N1665" s="2"/>
      <c r="AD1665" s="3"/>
      <c r="AH1665" s="3"/>
      <c r="AL1665" s="3"/>
    </row>
    <row r="1666" spans="12:38" x14ac:dyDescent="0.25">
      <c r="L1666" s="2"/>
      <c r="M1666" s="2"/>
      <c r="N1666" s="2"/>
      <c r="AD1666" s="3"/>
      <c r="AH1666" s="3"/>
      <c r="AL1666" s="3"/>
    </row>
    <row r="1667" spans="12:38" x14ac:dyDescent="0.25">
      <c r="L1667" s="2"/>
      <c r="M1667" s="2"/>
      <c r="N1667" s="2"/>
      <c r="AD1667" s="3"/>
      <c r="AH1667" s="3"/>
      <c r="AL1667" s="3"/>
    </row>
    <row r="1668" spans="12:38" x14ac:dyDescent="0.25">
      <c r="L1668" s="2"/>
      <c r="M1668" s="2"/>
      <c r="N1668" s="2"/>
      <c r="AD1668" s="3"/>
      <c r="AH1668" s="3"/>
      <c r="AL1668" s="3"/>
    </row>
    <row r="1669" spans="12:38" x14ac:dyDescent="0.25">
      <c r="L1669" s="2"/>
      <c r="M1669" s="2"/>
      <c r="N1669" s="2"/>
      <c r="AD1669" s="3"/>
      <c r="AH1669" s="3"/>
      <c r="AL1669" s="3"/>
    </row>
    <row r="1670" spans="12:38" x14ac:dyDescent="0.25">
      <c r="L1670" s="2"/>
      <c r="M1670" s="2"/>
      <c r="N1670" s="2"/>
      <c r="AD1670" s="3"/>
      <c r="AH1670" s="3"/>
      <c r="AL1670" s="3"/>
    </row>
    <row r="1671" spans="12:38" x14ac:dyDescent="0.25">
      <c r="L1671" s="2"/>
      <c r="M1671" s="2"/>
      <c r="N1671" s="2"/>
      <c r="AD1671" s="3"/>
      <c r="AH1671" s="3"/>
      <c r="AL1671" s="3"/>
    </row>
    <row r="1672" spans="12:38" x14ac:dyDescent="0.25">
      <c r="L1672" s="2"/>
      <c r="M1672" s="2"/>
      <c r="N1672" s="2"/>
      <c r="AD1672" s="3"/>
      <c r="AH1672" s="3"/>
      <c r="AL1672" s="3"/>
    </row>
    <row r="1673" spans="12:38" x14ac:dyDescent="0.25">
      <c r="L1673" s="2"/>
      <c r="M1673" s="2"/>
      <c r="N1673" s="2"/>
      <c r="AD1673" s="3"/>
      <c r="AH1673" s="3"/>
      <c r="AL1673" s="3"/>
    </row>
    <row r="1674" spans="12:38" x14ac:dyDescent="0.25">
      <c r="L1674" s="2"/>
      <c r="M1674" s="2"/>
      <c r="N1674" s="2"/>
      <c r="AD1674" s="3"/>
      <c r="AH1674" s="3"/>
      <c r="AL1674" s="3"/>
    </row>
    <row r="1675" spans="12:38" x14ac:dyDescent="0.25">
      <c r="L1675" s="2"/>
      <c r="M1675" s="2"/>
      <c r="N1675" s="2"/>
      <c r="AD1675" s="3"/>
      <c r="AH1675" s="3"/>
      <c r="AL1675" s="3"/>
    </row>
    <row r="1676" spans="12:38" x14ac:dyDescent="0.25">
      <c r="L1676" s="2"/>
      <c r="M1676" s="2"/>
      <c r="N1676" s="2"/>
      <c r="AD1676" s="3"/>
      <c r="AH1676" s="3"/>
      <c r="AL1676" s="3"/>
    </row>
    <row r="1677" spans="12:38" x14ac:dyDescent="0.25">
      <c r="L1677" s="2"/>
      <c r="M1677" s="2"/>
      <c r="N1677" s="2"/>
      <c r="AD1677" s="3"/>
      <c r="AH1677" s="3"/>
      <c r="AL1677" s="3"/>
    </row>
    <row r="1678" spans="12:38" x14ac:dyDescent="0.25">
      <c r="L1678" s="2"/>
      <c r="M1678" s="2"/>
      <c r="N1678" s="2"/>
      <c r="AD1678" s="3"/>
      <c r="AH1678" s="3"/>
      <c r="AL1678" s="3"/>
    </row>
    <row r="1679" spans="12:38" x14ac:dyDescent="0.25">
      <c r="L1679" s="2"/>
      <c r="M1679" s="2"/>
      <c r="N1679" s="2"/>
      <c r="AD1679" s="3"/>
      <c r="AH1679" s="3"/>
      <c r="AL1679" s="3"/>
    </row>
    <row r="1680" spans="12:38" x14ac:dyDescent="0.25">
      <c r="L1680" s="2"/>
      <c r="M1680" s="2"/>
      <c r="N1680" s="2"/>
      <c r="AD1680" s="3"/>
      <c r="AH1680" s="3"/>
      <c r="AL1680" s="3"/>
    </row>
    <row r="1681" spans="12:38" x14ac:dyDescent="0.25">
      <c r="L1681" s="2"/>
      <c r="M1681" s="2"/>
      <c r="N1681" s="2"/>
      <c r="AD1681" s="3"/>
      <c r="AH1681" s="3"/>
      <c r="AL1681" s="3"/>
    </row>
    <row r="1682" spans="12:38" x14ac:dyDescent="0.25">
      <c r="L1682" s="2"/>
      <c r="M1682" s="2"/>
      <c r="N1682" s="2"/>
      <c r="AD1682" s="3"/>
      <c r="AH1682" s="3"/>
      <c r="AL1682" s="3"/>
    </row>
    <row r="1683" spans="12:38" x14ac:dyDescent="0.25">
      <c r="L1683" s="2"/>
      <c r="M1683" s="2"/>
      <c r="N1683" s="2"/>
      <c r="AD1683" s="3"/>
      <c r="AH1683" s="3"/>
      <c r="AL1683" s="3"/>
    </row>
    <row r="1684" spans="12:38" x14ac:dyDescent="0.25">
      <c r="L1684" s="2"/>
      <c r="M1684" s="2"/>
      <c r="N1684" s="2"/>
      <c r="AD1684" s="3"/>
      <c r="AH1684" s="3"/>
      <c r="AL1684" s="3"/>
    </row>
    <row r="1685" spans="12:38" x14ac:dyDescent="0.25">
      <c r="L1685" s="2"/>
      <c r="M1685" s="2"/>
      <c r="N1685" s="2"/>
      <c r="AD1685" s="3"/>
      <c r="AH1685" s="3"/>
      <c r="AL1685" s="3"/>
    </row>
    <row r="1686" spans="12:38" x14ac:dyDescent="0.25">
      <c r="L1686" s="2"/>
      <c r="M1686" s="2"/>
      <c r="N1686" s="2"/>
      <c r="AD1686" s="3"/>
      <c r="AH1686" s="3"/>
      <c r="AL1686" s="3"/>
    </row>
    <row r="1687" spans="12:38" x14ac:dyDescent="0.25">
      <c r="L1687" s="2"/>
      <c r="M1687" s="2"/>
      <c r="N1687" s="2"/>
      <c r="AD1687" s="3"/>
      <c r="AH1687" s="3"/>
      <c r="AL1687" s="3"/>
    </row>
    <row r="1688" spans="12:38" x14ac:dyDescent="0.25">
      <c r="L1688" s="2"/>
      <c r="M1688" s="2"/>
      <c r="N1688" s="2"/>
      <c r="AD1688" s="3"/>
      <c r="AH1688" s="3"/>
      <c r="AL1688" s="3"/>
    </row>
    <row r="1689" spans="12:38" x14ac:dyDescent="0.25">
      <c r="L1689" s="2"/>
      <c r="M1689" s="2"/>
      <c r="N1689" s="2"/>
      <c r="AD1689" s="3"/>
      <c r="AH1689" s="3"/>
      <c r="AL1689" s="3"/>
    </row>
    <row r="1690" spans="12:38" x14ac:dyDescent="0.25">
      <c r="L1690" s="2"/>
      <c r="M1690" s="2"/>
      <c r="N1690" s="2"/>
      <c r="AD1690" s="3"/>
      <c r="AH1690" s="3"/>
      <c r="AL1690" s="3"/>
    </row>
    <row r="1691" spans="12:38" x14ac:dyDescent="0.25">
      <c r="L1691" s="2"/>
      <c r="M1691" s="2"/>
      <c r="N1691" s="2"/>
      <c r="AD1691" s="3"/>
      <c r="AH1691" s="3"/>
      <c r="AL1691" s="3"/>
    </row>
    <row r="1692" spans="12:38" x14ac:dyDescent="0.25">
      <c r="L1692" s="2"/>
      <c r="M1692" s="2"/>
      <c r="N1692" s="2"/>
      <c r="AD1692" s="3"/>
      <c r="AH1692" s="3"/>
      <c r="AL1692" s="3"/>
    </row>
    <row r="1693" spans="12:38" x14ac:dyDescent="0.25">
      <c r="L1693" s="2"/>
      <c r="M1693" s="2"/>
      <c r="N1693" s="2"/>
      <c r="AD1693" s="3"/>
      <c r="AH1693" s="3"/>
      <c r="AL1693" s="3"/>
    </row>
    <row r="1694" spans="12:38" x14ac:dyDescent="0.25">
      <c r="L1694" s="2"/>
      <c r="M1694" s="2"/>
      <c r="N1694" s="2"/>
      <c r="AD1694" s="3"/>
      <c r="AH1694" s="3"/>
      <c r="AL1694" s="3"/>
    </row>
    <row r="1695" spans="12:38" x14ac:dyDescent="0.25">
      <c r="L1695" s="2"/>
      <c r="M1695" s="2"/>
      <c r="N1695" s="2"/>
      <c r="AD1695" s="3"/>
      <c r="AH1695" s="3"/>
      <c r="AL1695" s="3"/>
    </row>
    <row r="1696" spans="12:38" x14ac:dyDescent="0.25">
      <c r="L1696" s="2"/>
      <c r="M1696" s="2"/>
      <c r="N1696" s="2"/>
      <c r="AD1696" s="3"/>
      <c r="AH1696" s="3"/>
      <c r="AL1696" s="3"/>
    </row>
    <row r="1697" spans="12:38" x14ac:dyDescent="0.25">
      <c r="L1697" s="2"/>
      <c r="M1697" s="2"/>
      <c r="N1697" s="2"/>
      <c r="AD1697" s="3"/>
      <c r="AH1697" s="3"/>
      <c r="AL1697" s="3"/>
    </row>
    <row r="1698" spans="12:38" x14ac:dyDescent="0.25">
      <c r="L1698" s="2"/>
      <c r="M1698" s="2"/>
      <c r="N1698" s="2"/>
      <c r="AD1698" s="3"/>
      <c r="AH1698" s="3"/>
      <c r="AL1698" s="3"/>
    </row>
    <row r="1699" spans="12:38" x14ac:dyDescent="0.25">
      <c r="L1699" s="2"/>
      <c r="M1699" s="2"/>
      <c r="N1699" s="2"/>
      <c r="AD1699" s="3"/>
      <c r="AH1699" s="3"/>
      <c r="AL1699" s="3"/>
    </row>
    <row r="1700" spans="12:38" x14ac:dyDescent="0.25">
      <c r="L1700" s="2"/>
      <c r="M1700" s="2"/>
      <c r="N1700" s="2"/>
      <c r="AD1700" s="3"/>
      <c r="AH1700" s="3"/>
      <c r="AL1700" s="3"/>
    </row>
    <row r="1701" spans="12:38" x14ac:dyDescent="0.25">
      <c r="L1701" s="2"/>
      <c r="M1701" s="2"/>
      <c r="N1701" s="2"/>
      <c r="AD1701" s="3"/>
      <c r="AH1701" s="3"/>
      <c r="AL1701" s="3"/>
    </row>
    <row r="1702" spans="12:38" x14ac:dyDescent="0.25">
      <c r="L1702" s="2"/>
      <c r="M1702" s="2"/>
      <c r="N1702" s="2"/>
      <c r="AD1702" s="3"/>
      <c r="AH1702" s="3"/>
      <c r="AL1702" s="3"/>
    </row>
    <row r="1703" spans="12:38" x14ac:dyDescent="0.25">
      <c r="L1703" s="2"/>
      <c r="M1703" s="2"/>
      <c r="N1703" s="2"/>
      <c r="AD1703" s="3"/>
      <c r="AH1703" s="3"/>
      <c r="AL1703" s="3"/>
    </row>
    <row r="1704" spans="12:38" x14ac:dyDescent="0.25">
      <c r="L1704" s="2"/>
      <c r="M1704" s="2"/>
      <c r="N1704" s="2"/>
      <c r="AD1704" s="3"/>
      <c r="AH1704" s="3"/>
      <c r="AL1704" s="3"/>
    </row>
    <row r="1705" spans="12:38" x14ac:dyDescent="0.25">
      <c r="L1705" s="2"/>
      <c r="M1705" s="2"/>
      <c r="N1705" s="2"/>
      <c r="AD1705" s="3"/>
      <c r="AH1705" s="3"/>
      <c r="AL1705" s="3"/>
    </row>
    <row r="1706" spans="12:38" x14ac:dyDescent="0.25">
      <c r="L1706" s="2"/>
      <c r="M1706" s="2"/>
      <c r="N1706" s="2"/>
      <c r="AD1706" s="3"/>
      <c r="AH1706" s="3"/>
      <c r="AL1706" s="3"/>
    </row>
    <row r="1707" spans="12:38" x14ac:dyDescent="0.25">
      <c r="L1707" s="2"/>
      <c r="M1707" s="2"/>
      <c r="N1707" s="2"/>
      <c r="AD1707" s="3"/>
      <c r="AH1707" s="3"/>
      <c r="AL1707" s="3"/>
    </row>
    <row r="1708" spans="12:38" x14ac:dyDescent="0.25">
      <c r="L1708" s="2"/>
      <c r="M1708" s="2"/>
      <c r="N1708" s="2"/>
      <c r="AD1708" s="3"/>
      <c r="AH1708" s="3"/>
      <c r="AL1708" s="3"/>
    </row>
    <row r="1709" spans="12:38" x14ac:dyDescent="0.25">
      <c r="L1709" s="2"/>
      <c r="M1709" s="2"/>
      <c r="N1709" s="2"/>
      <c r="AD1709" s="3"/>
      <c r="AH1709" s="3"/>
      <c r="AL1709" s="3"/>
    </row>
    <row r="1710" spans="12:38" x14ac:dyDescent="0.25">
      <c r="L1710" s="2"/>
      <c r="M1710" s="2"/>
      <c r="N1710" s="2"/>
      <c r="AD1710" s="3"/>
      <c r="AH1710" s="3"/>
      <c r="AL1710" s="3"/>
    </row>
    <row r="1711" spans="12:38" x14ac:dyDescent="0.25">
      <c r="L1711" s="2"/>
      <c r="M1711" s="2"/>
      <c r="N1711" s="2"/>
      <c r="AD1711" s="3"/>
      <c r="AH1711" s="3"/>
      <c r="AL1711" s="3"/>
    </row>
    <row r="1712" spans="12:38" x14ac:dyDescent="0.25">
      <c r="L1712" s="2"/>
      <c r="M1712" s="2"/>
      <c r="N1712" s="2"/>
      <c r="AD1712" s="3"/>
      <c r="AH1712" s="3"/>
      <c r="AL1712" s="3"/>
    </row>
    <row r="1713" spans="12:38" x14ac:dyDescent="0.25">
      <c r="L1713" s="2"/>
      <c r="M1713" s="2"/>
      <c r="N1713" s="2"/>
      <c r="AD1713" s="3"/>
      <c r="AH1713" s="3"/>
      <c r="AL1713" s="3"/>
    </row>
    <row r="1714" spans="12:38" x14ac:dyDescent="0.25">
      <c r="L1714" s="2"/>
      <c r="M1714" s="2"/>
      <c r="N1714" s="2"/>
      <c r="AD1714" s="3"/>
      <c r="AH1714" s="3"/>
      <c r="AL1714" s="3"/>
    </row>
    <row r="1715" spans="12:38" x14ac:dyDescent="0.25">
      <c r="L1715" s="2"/>
      <c r="M1715" s="2"/>
      <c r="N1715" s="2"/>
      <c r="AD1715" s="3"/>
      <c r="AH1715" s="3"/>
      <c r="AL1715" s="3"/>
    </row>
    <row r="1716" spans="12:38" x14ac:dyDescent="0.25">
      <c r="L1716" s="2"/>
      <c r="M1716" s="2"/>
      <c r="N1716" s="2"/>
      <c r="AD1716" s="3"/>
      <c r="AH1716" s="3"/>
      <c r="AL1716" s="3"/>
    </row>
    <row r="1717" spans="12:38" x14ac:dyDescent="0.25">
      <c r="L1717" s="2"/>
      <c r="M1717" s="2"/>
      <c r="N1717" s="2"/>
      <c r="AD1717" s="3"/>
      <c r="AH1717" s="3"/>
      <c r="AL1717" s="3"/>
    </row>
    <row r="1718" spans="12:38" x14ac:dyDescent="0.25">
      <c r="L1718" s="2"/>
      <c r="M1718" s="2"/>
      <c r="N1718" s="2"/>
      <c r="AD1718" s="3"/>
      <c r="AH1718" s="3"/>
      <c r="AL1718" s="3"/>
    </row>
    <row r="1719" spans="12:38" x14ac:dyDescent="0.25">
      <c r="L1719" s="2"/>
      <c r="M1719" s="2"/>
      <c r="N1719" s="2"/>
      <c r="AD1719" s="3"/>
      <c r="AH1719" s="3"/>
      <c r="AL1719" s="3"/>
    </row>
    <row r="1720" spans="12:38" x14ac:dyDescent="0.25">
      <c r="L1720" s="2"/>
      <c r="M1720" s="2"/>
      <c r="N1720" s="2"/>
      <c r="AD1720" s="3"/>
      <c r="AH1720" s="3"/>
      <c r="AL1720" s="3"/>
    </row>
    <row r="1721" spans="12:38" x14ac:dyDescent="0.25">
      <c r="L1721" s="2"/>
      <c r="M1721" s="2"/>
      <c r="N1721" s="2"/>
      <c r="AD1721" s="3"/>
      <c r="AH1721" s="3"/>
      <c r="AL1721" s="3"/>
    </row>
    <row r="1722" spans="12:38" x14ac:dyDescent="0.25">
      <c r="L1722" s="2"/>
      <c r="M1722" s="2"/>
      <c r="N1722" s="2"/>
      <c r="AD1722" s="3"/>
      <c r="AH1722" s="3"/>
      <c r="AL1722" s="3"/>
    </row>
    <row r="1723" spans="12:38" x14ac:dyDescent="0.25">
      <c r="L1723" s="2"/>
      <c r="M1723" s="2"/>
      <c r="N1723" s="2"/>
      <c r="AD1723" s="3"/>
      <c r="AH1723" s="3"/>
      <c r="AL1723" s="3"/>
    </row>
    <row r="1724" spans="12:38" x14ac:dyDescent="0.25">
      <c r="L1724" s="2"/>
      <c r="M1724" s="2"/>
      <c r="N1724" s="2"/>
      <c r="AD1724" s="3"/>
      <c r="AH1724" s="3"/>
      <c r="AL1724" s="3"/>
    </row>
    <row r="1725" spans="12:38" x14ac:dyDescent="0.25">
      <c r="L1725" s="2"/>
      <c r="M1725" s="2"/>
      <c r="N1725" s="2"/>
      <c r="AD1725" s="3"/>
      <c r="AH1725" s="3"/>
      <c r="AL1725" s="3"/>
    </row>
    <row r="1726" spans="12:38" x14ac:dyDescent="0.25">
      <c r="L1726" s="2"/>
      <c r="M1726" s="2"/>
      <c r="N1726" s="2"/>
      <c r="AD1726" s="3"/>
      <c r="AH1726" s="3"/>
      <c r="AL1726" s="3"/>
    </row>
    <row r="1727" spans="12:38" x14ac:dyDescent="0.25">
      <c r="L1727" s="2"/>
      <c r="M1727" s="2"/>
      <c r="N1727" s="2"/>
      <c r="AD1727" s="3"/>
      <c r="AH1727" s="3"/>
      <c r="AL1727" s="3"/>
    </row>
    <row r="1728" spans="12:38" x14ac:dyDescent="0.25">
      <c r="L1728" s="2"/>
      <c r="M1728" s="2"/>
      <c r="N1728" s="2"/>
      <c r="AD1728" s="3"/>
      <c r="AH1728" s="3"/>
      <c r="AL1728" s="3"/>
    </row>
    <row r="1729" spans="12:38" x14ac:dyDescent="0.25">
      <c r="L1729" s="2"/>
      <c r="M1729" s="2"/>
      <c r="N1729" s="2"/>
      <c r="AD1729" s="3"/>
      <c r="AH1729" s="3"/>
      <c r="AL1729" s="3"/>
    </row>
    <row r="1730" spans="12:38" x14ac:dyDescent="0.25">
      <c r="L1730" s="2"/>
      <c r="M1730" s="2"/>
      <c r="N1730" s="2"/>
      <c r="AD1730" s="3"/>
      <c r="AH1730" s="3"/>
      <c r="AL1730" s="3"/>
    </row>
    <row r="1731" spans="12:38" x14ac:dyDescent="0.25">
      <c r="L1731" s="2"/>
      <c r="M1731" s="2"/>
      <c r="N1731" s="2"/>
      <c r="AD1731" s="3"/>
      <c r="AH1731" s="3"/>
      <c r="AL1731" s="3"/>
    </row>
    <row r="1732" spans="12:38" x14ac:dyDescent="0.25">
      <c r="L1732" s="2"/>
      <c r="M1732" s="2"/>
      <c r="N1732" s="2"/>
      <c r="AD1732" s="3"/>
      <c r="AH1732" s="3"/>
      <c r="AL1732" s="3"/>
    </row>
    <row r="1733" spans="12:38" x14ac:dyDescent="0.25">
      <c r="L1733" s="2"/>
      <c r="M1733" s="2"/>
      <c r="N1733" s="2"/>
      <c r="AD1733" s="3"/>
      <c r="AH1733" s="3"/>
      <c r="AL1733" s="3"/>
    </row>
    <row r="1734" spans="12:38" x14ac:dyDescent="0.25">
      <c r="L1734" s="2"/>
      <c r="M1734" s="2"/>
      <c r="N1734" s="2"/>
      <c r="AD1734" s="3"/>
      <c r="AH1734" s="3"/>
      <c r="AL1734" s="3"/>
    </row>
    <row r="1735" spans="12:38" x14ac:dyDescent="0.25">
      <c r="L1735" s="2"/>
      <c r="M1735" s="2"/>
      <c r="N1735" s="2"/>
      <c r="AD1735" s="3"/>
      <c r="AH1735" s="3"/>
      <c r="AL1735" s="3"/>
    </row>
    <row r="1736" spans="12:38" x14ac:dyDescent="0.25">
      <c r="L1736" s="2"/>
      <c r="M1736" s="2"/>
      <c r="N1736" s="2"/>
      <c r="AD1736" s="3"/>
      <c r="AH1736" s="3"/>
      <c r="AL1736" s="3"/>
    </row>
    <row r="1737" spans="12:38" x14ac:dyDescent="0.25">
      <c r="L1737" s="2"/>
      <c r="M1737" s="2"/>
      <c r="N1737" s="2"/>
      <c r="AD1737" s="3"/>
      <c r="AH1737" s="3"/>
      <c r="AL1737" s="3"/>
    </row>
    <row r="1738" spans="12:38" x14ac:dyDescent="0.25">
      <c r="L1738" s="2"/>
      <c r="M1738" s="2"/>
      <c r="N1738" s="2"/>
      <c r="AD1738" s="3"/>
      <c r="AH1738" s="3"/>
      <c r="AL1738" s="3"/>
    </row>
    <row r="1739" spans="12:38" x14ac:dyDescent="0.25">
      <c r="L1739" s="2"/>
      <c r="M1739" s="2"/>
      <c r="N1739" s="2"/>
      <c r="AD1739" s="3"/>
      <c r="AH1739" s="3"/>
      <c r="AL1739" s="3"/>
    </row>
    <row r="1740" spans="12:38" x14ac:dyDescent="0.25">
      <c r="L1740" s="2"/>
      <c r="M1740" s="2"/>
      <c r="N1740" s="2"/>
      <c r="AD1740" s="3"/>
      <c r="AH1740" s="3"/>
      <c r="AL1740" s="3"/>
    </row>
    <row r="1741" spans="12:38" x14ac:dyDescent="0.25">
      <c r="L1741" s="2"/>
      <c r="M1741" s="2"/>
      <c r="N1741" s="2"/>
      <c r="AD1741" s="3"/>
      <c r="AH1741" s="3"/>
      <c r="AL1741" s="3"/>
    </row>
    <row r="1742" spans="12:38" x14ac:dyDescent="0.25">
      <c r="L1742" s="2"/>
      <c r="M1742" s="2"/>
      <c r="N1742" s="2"/>
      <c r="AD1742" s="3"/>
      <c r="AH1742" s="3"/>
      <c r="AL1742" s="3"/>
    </row>
    <row r="1743" spans="12:38" x14ac:dyDescent="0.25">
      <c r="L1743" s="2"/>
      <c r="M1743" s="2"/>
      <c r="N1743" s="2"/>
      <c r="AD1743" s="3"/>
      <c r="AH1743" s="3"/>
      <c r="AL1743" s="3"/>
    </row>
    <row r="1744" spans="12:38" x14ac:dyDescent="0.25">
      <c r="L1744" s="2"/>
      <c r="M1744" s="2"/>
      <c r="N1744" s="2"/>
      <c r="AD1744" s="3"/>
      <c r="AH1744" s="3"/>
      <c r="AL1744" s="3"/>
    </row>
    <row r="1745" spans="12:38" x14ac:dyDescent="0.25">
      <c r="L1745" s="2"/>
      <c r="M1745" s="2"/>
      <c r="N1745" s="2"/>
      <c r="AD1745" s="3"/>
      <c r="AH1745" s="3"/>
      <c r="AL1745" s="3"/>
    </row>
    <row r="1746" spans="12:38" x14ac:dyDescent="0.25">
      <c r="L1746" s="2"/>
      <c r="M1746" s="2"/>
      <c r="N1746" s="2"/>
      <c r="AD1746" s="3"/>
      <c r="AH1746" s="3"/>
      <c r="AL1746" s="3"/>
    </row>
    <row r="1747" spans="12:38" x14ac:dyDescent="0.25">
      <c r="L1747" s="2"/>
      <c r="M1747" s="2"/>
      <c r="N1747" s="2"/>
      <c r="AD1747" s="3"/>
      <c r="AH1747" s="3"/>
      <c r="AL1747" s="3"/>
    </row>
    <row r="1748" spans="12:38" x14ac:dyDescent="0.25">
      <c r="L1748" s="2"/>
      <c r="M1748" s="2"/>
      <c r="N1748" s="2"/>
      <c r="AD1748" s="3"/>
      <c r="AH1748" s="3"/>
      <c r="AL1748" s="3"/>
    </row>
    <row r="1749" spans="12:38" x14ac:dyDescent="0.25">
      <c r="L1749" s="2"/>
      <c r="M1749" s="2"/>
      <c r="N1749" s="2"/>
      <c r="AD1749" s="3"/>
      <c r="AH1749" s="3"/>
      <c r="AL1749" s="3"/>
    </row>
    <row r="1750" spans="12:38" x14ac:dyDescent="0.25">
      <c r="L1750" s="2"/>
      <c r="M1750" s="2"/>
      <c r="N1750" s="2"/>
      <c r="AD1750" s="3"/>
      <c r="AH1750" s="3"/>
      <c r="AL1750" s="3"/>
    </row>
    <row r="1751" spans="12:38" x14ac:dyDescent="0.25">
      <c r="L1751" s="2"/>
      <c r="M1751" s="2"/>
      <c r="N1751" s="2"/>
      <c r="AD1751" s="3"/>
      <c r="AH1751" s="3"/>
      <c r="AL1751" s="3"/>
    </row>
    <row r="1752" spans="12:38" x14ac:dyDescent="0.25">
      <c r="L1752" s="2"/>
      <c r="M1752" s="2"/>
      <c r="N1752" s="2"/>
      <c r="AD1752" s="3"/>
      <c r="AH1752" s="3"/>
      <c r="AL1752" s="3"/>
    </row>
    <row r="1753" spans="12:38" x14ac:dyDescent="0.25">
      <c r="L1753" s="2"/>
      <c r="M1753" s="2"/>
      <c r="N1753" s="2"/>
      <c r="AD1753" s="3"/>
      <c r="AH1753" s="3"/>
      <c r="AL1753" s="3"/>
    </row>
    <row r="1754" spans="12:38" x14ac:dyDescent="0.25">
      <c r="L1754" s="2"/>
      <c r="M1754" s="2"/>
      <c r="N1754" s="2"/>
      <c r="AD1754" s="3"/>
      <c r="AH1754" s="3"/>
      <c r="AL1754" s="3"/>
    </row>
    <row r="1755" spans="12:38" x14ac:dyDescent="0.25">
      <c r="L1755" s="2"/>
      <c r="M1755" s="2"/>
      <c r="N1755" s="2"/>
      <c r="AD1755" s="3"/>
      <c r="AH1755" s="3"/>
      <c r="AL1755" s="3"/>
    </row>
    <row r="1756" spans="12:38" x14ac:dyDescent="0.25">
      <c r="L1756" s="2"/>
      <c r="M1756" s="2"/>
      <c r="N1756" s="2"/>
      <c r="AD1756" s="3"/>
      <c r="AH1756" s="3"/>
      <c r="AL1756" s="3"/>
    </row>
    <row r="1757" spans="12:38" x14ac:dyDescent="0.25">
      <c r="L1757" s="2"/>
      <c r="M1757" s="2"/>
      <c r="N1757" s="2"/>
      <c r="AD1757" s="3"/>
      <c r="AH1757" s="3"/>
      <c r="AL1757" s="3"/>
    </row>
    <row r="1758" spans="12:38" x14ac:dyDescent="0.25">
      <c r="L1758" s="2"/>
      <c r="M1758" s="2"/>
      <c r="N1758" s="2"/>
      <c r="AD1758" s="3"/>
      <c r="AH1758" s="3"/>
      <c r="AL1758" s="3"/>
    </row>
    <row r="1759" spans="12:38" x14ac:dyDescent="0.25">
      <c r="L1759" s="2"/>
      <c r="M1759" s="2"/>
      <c r="N1759" s="2"/>
      <c r="AD1759" s="3"/>
      <c r="AH1759" s="3"/>
      <c r="AL1759" s="3"/>
    </row>
    <row r="1760" spans="12:38" x14ac:dyDescent="0.25">
      <c r="L1760" s="2"/>
      <c r="M1760" s="2"/>
      <c r="N1760" s="2"/>
      <c r="AD1760" s="3"/>
      <c r="AH1760" s="3"/>
      <c r="AL1760" s="3"/>
    </row>
    <row r="1761" spans="12:38" x14ac:dyDescent="0.25">
      <c r="L1761" s="2"/>
      <c r="M1761" s="2"/>
      <c r="N1761" s="2"/>
      <c r="AD1761" s="3"/>
      <c r="AH1761" s="3"/>
      <c r="AL1761" s="3"/>
    </row>
    <row r="1762" spans="12:38" x14ac:dyDescent="0.25">
      <c r="L1762" s="2"/>
      <c r="M1762" s="2"/>
      <c r="N1762" s="2"/>
      <c r="AD1762" s="3"/>
      <c r="AH1762" s="3"/>
      <c r="AL1762" s="3"/>
    </row>
    <row r="1763" spans="12:38" x14ac:dyDescent="0.25">
      <c r="L1763" s="2"/>
      <c r="M1763" s="2"/>
      <c r="N1763" s="2"/>
      <c r="AD1763" s="3"/>
      <c r="AH1763" s="3"/>
      <c r="AL1763" s="3"/>
    </row>
    <row r="1764" spans="12:38" x14ac:dyDescent="0.25">
      <c r="L1764" s="2"/>
      <c r="M1764" s="2"/>
      <c r="N1764" s="2"/>
      <c r="AD1764" s="3"/>
      <c r="AH1764" s="3"/>
      <c r="AL1764" s="3"/>
    </row>
    <row r="1765" spans="12:38" x14ac:dyDescent="0.25">
      <c r="L1765" s="2"/>
      <c r="M1765" s="2"/>
      <c r="N1765" s="2"/>
      <c r="AD1765" s="3"/>
      <c r="AH1765" s="3"/>
      <c r="AL1765" s="3"/>
    </row>
    <row r="1766" spans="12:38" x14ac:dyDescent="0.25">
      <c r="L1766" s="2"/>
      <c r="M1766" s="2"/>
      <c r="N1766" s="2"/>
      <c r="AD1766" s="3"/>
      <c r="AH1766" s="3"/>
      <c r="AL1766" s="3"/>
    </row>
    <row r="1767" spans="12:38" x14ac:dyDescent="0.25">
      <c r="L1767" s="2"/>
      <c r="M1767" s="2"/>
      <c r="N1767" s="2"/>
      <c r="AD1767" s="3"/>
      <c r="AH1767" s="3"/>
      <c r="AL1767" s="3"/>
    </row>
    <row r="1768" spans="12:38" x14ac:dyDescent="0.25">
      <c r="L1768" s="2"/>
      <c r="M1768" s="2"/>
      <c r="N1768" s="2"/>
      <c r="AD1768" s="3"/>
      <c r="AH1768" s="3"/>
      <c r="AL1768" s="3"/>
    </row>
    <row r="1769" spans="12:38" x14ac:dyDescent="0.25">
      <c r="L1769" s="2"/>
      <c r="M1769" s="2"/>
      <c r="N1769" s="2"/>
      <c r="AD1769" s="3"/>
      <c r="AH1769" s="3"/>
      <c r="AL1769" s="3"/>
    </row>
    <row r="1770" spans="12:38" x14ac:dyDescent="0.25">
      <c r="L1770" s="2"/>
      <c r="M1770" s="2"/>
      <c r="N1770" s="2"/>
      <c r="AD1770" s="3"/>
      <c r="AH1770" s="3"/>
      <c r="AL1770" s="3"/>
    </row>
    <row r="1771" spans="12:38" x14ac:dyDescent="0.25">
      <c r="L1771" s="2"/>
      <c r="M1771" s="2"/>
      <c r="N1771" s="2"/>
      <c r="AD1771" s="3"/>
      <c r="AH1771" s="3"/>
      <c r="AL1771" s="3"/>
    </row>
    <row r="1772" spans="12:38" x14ac:dyDescent="0.25">
      <c r="L1772" s="2"/>
      <c r="M1772" s="2"/>
      <c r="N1772" s="2"/>
      <c r="AD1772" s="3"/>
      <c r="AH1772" s="3"/>
      <c r="AL1772" s="3"/>
    </row>
    <row r="1773" spans="12:38" x14ac:dyDescent="0.25">
      <c r="L1773" s="2"/>
      <c r="M1773" s="2"/>
      <c r="N1773" s="2"/>
      <c r="AD1773" s="3"/>
      <c r="AH1773" s="3"/>
      <c r="AL1773" s="3"/>
    </row>
    <row r="1774" spans="12:38" x14ac:dyDescent="0.25">
      <c r="L1774" s="2"/>
      <c r="M1774" s="2"/>
      <c r="N1774" s="2"/>
      <c r="AD1774" s="3"/>
      <c r="AH1774" s="3"/>
      <c r="AL1774" s="3"/>
    </row>
    <row r="1775" spans="12:38" x14ac:dyDescent="0.25">
      <c r="L1775" s="2"/>
      <c r="M1775" s="2"/>
      <c r="N1775" s="2"/>
      <c r="AD1775" s="3"/>
      <c r="AH1775" s="3"/>
      <c r="AL1775" s="3"/>
    </row>
    <row r="1776" spans="12:38" x14ac:dyDescent="0.25">
      <c r="L1776" s="2"/>
      <c r="M1776" s="2"/>
      <c r="N1776" s="2"/>
      <c r="AD1776" s="3"/>
      <c r="AH1776" s="3"/>
      <c r="AL1776" s="3"/>
    </row>
    <row r="1777" spans="12:38" x14ac:dyDescent="0.25">
      <c r="L1777" s="2"/>
      <c r="M1777" s="2"/>
      <c r="N1777" s="2"/>
      <c r="AD1777" s="3"/>
      <c r="AH1777" s="3"/>
      <c r="AL1777" s="3"/>
    </row>
    <row r="1778" spans="12:38" x14ac:dyDescent="0.25">
      <c r="L1778" s="2"/>
      <c r="M1778" s="2"/>
      <c r="N1778" s="2"/>
      <c r="AD1778" s="3"/>
      <c r="AH1778" s="3"/>
      <c r="AL1778" s="3"/>
    </row>
    <row r="1779" spans="12:38" x14ac:dyDescent="0.25">
      <c r="L1779" s="2"/>
      <c r="M1779" s="2"/>
      <c r="N1779" s="2"/>
      <c r="AD1779" s="3"/>
      <c r="AH1779" s="3"/>
      <c r="AL1779" s="3"/>
    </row>
    <row r="1780" spans="12:38" x14ac:dyDescent="0.25">
      <c r="L1780" s="2"/>
      <c r="M1780" s="2"/>
      <c r="N1780" s="2"/>
      <c r="AD1780" s="3"/>
      <c r="AH1780" s="3"/>
      <c r="AL1780" s="3"/>
    </row>
    <row r="1781" spans="12:38" x14ac:dyDescent="0.25">
      <c r="L1781" s="2"/>
      <c r="M1781" s="2"/>
      <c r="N1781" s="2"/>
      <c r="AD1781" s="3"/>
      <c r="AH1781" s="3"/>
      <c r="AL1781" s="3"/>
    </row>
    <row r="1782" spans="12:38" x14ac:dyDescent="0.25">
      <c r="L1782" s="2"/>
      <c r="M1782" s="2"/>
      <c r="N1782" s="2"/>
      <c r="AD1782" s="3"/>
      <c r="AH1782" s="3"/>
      <c r="AL1782" s="3"/>
    </row>
    <row r="1783" spans="12:38" x14ac:dyDescent="0.25">
      <c r="L1783" s="2"/>
      <c r="M1783" s="2"/>
      <c r="N1783" s="2"/>
      <c r="AD1783" s="3"/>
      <c r="AH1783" s="3"/>
      <c r="AL1783" s="3"/>
    </row>
    <row r="1784" spans="12:38" x14ac:dyDescent="0.25">
      <c r="L1784" s="2"/>
      <c r="M1784" s="2"/>
      <c r="N1784" s="2"/>
      <c r="AD1784" s="3"/>
      <c r="AH1784" s="3"/>
      <c r="AL1784" s="3"/>
    </row>
    <row r="1785" spans="12:38" x14ac:dyDescent="0.25">
      <c r="L1785" s="2"/>
      <c r="M1785" s="2"/>
      <c r="N1785" s="2"/>
      <c r="AD1785" s="3"/>
      <c r="AH1785" s="3"/>
      <c r="AL1785" s="3"/>
    </row>
    <row r="1786" spans="12:38" x14ac:dyDescent="0.25">
      <c r="L1786" s="2"/>
      <c r="M1786" s="2"/>
      <c r="N1786" s="2"/>
      <c r="AD1786" s="3"/>
      <c r="AH1786" s="3"/>
      <c r="AL1786" s="3"/>
    </row>
    <row r="1787" spans="12:38" x14ac:dyDescent="0.25">
      <c r="L1787" s="2"/>
      <c r="M1787" s="2"/>
      <c r="N1787" s="2"/>
      <c r="AD1787" s="3"/>
      <c r="AH1787" s="3"/>
      <c r="AL1787" s="3"/>
    </row>
    <row r="1788" spans="12:38" x14ac:dyDescent="0.25">
      <c r="L1788" s="2"/>
      <c r="M1788" s="2"/>
      <c r="N1788" s="2"/>
      <c r="AD1788" s="3"/>
      <c r="AH1788" s="3"/>
      <c r="AL1788" s="3"/>
    </row>
    <row r="1789" spans="12:38" x14ac:dyDescent="0.25">
      <c r="L1789" s="2"/>
      <c r="M1789" s="2"/>
      <c r="N1789" s="2"/>
      <c r="AD1789" s="3"/>
      <c r="AH1789" s="3"/>
      <c r="AL1789" s="3"/>
    </row>
    <row r="1790" spans="12:38" x14ac:dyDescent="0.25">
      <c r="L1790" s="2"/>
      <c r="M1790" s="2"/>
      <c r="N1790" s="2"/>
      <c r="AD1790" s="3"/>
      <c r="AH1790" s="3"/>
      <c r="AL1790" s="3"/>
    </row>
    <row r="1791" spans="12:38" x14ac:dyDescent="0.25">
      <c r="L1791" s="2"/>
      <c r="M1791" s="2"/>
      <c r="N1791" s="2"/>
      <c r="AD1791" s="3"/>
      <c r="AH1791" s="3"/>
      <c r="AL1791" s="3"/>
    </row>
    <row r="1792" spans="12:38" x14ac:dyDescent="0.25">
      <c r="L1792" s="2"/>
      <c r="M1792" s="2"/>
      <c r="N1792" s="2"/>
      <c r="AD1792" s="3"/>
      <c r="AH1792" s="3"/>
      <c r="AL1792" s="3"/>
    </row>
    <row r="1793" spans="12:38" x14ac:dyDescent="0.25">
      <c r="L1793" s="2"/>
      <c r="M1793" s="2"/>
      <c r="N1793" s="2"/>
      <c r="AD1793" s="3"/>
      <c r="AH1793" s="3"/>
      <c r="AL1793" s="3"/>
    </row>
    <row r="1794" spans="12:38" x14ac:dyDescent="0.25">
      <c r="L1794" s="2"/>
      <c r="M1794" s="2"/>
      <c r="N1794" s="2"/>
      <c r="AD1794" s="3"/>
      <c r="AH1794" s="3"/>
      <c r="AL1794" s="3"/>
    </row>
    <row r="1795" spans="12:38" x14ac:dyDescent="0.25">
      <c r="L1795" s="2"/>
      <c r="M1795" s="2"/>
      <c r="N1795" s="2"/>
      <c r="AD1795" s="3"/>
      <c r="AH1795" s="3"/>
      <c r="AL1795" s="3"/>
    </row>
    <row r="1796" spans="12:38" x14ac:dyDescent="0.25">
      <c r="L1796" s="2"/>
      <c r="M1796" s="2"/>
      <c r="N1796" s="2"/>
      <c r="AD1796" s="3"/>
      <c r="AH1796" s="3"/>
      <c r="AL1796" s="3"/>
    </row>
    <row r="1797" spans="12:38" x14ac:dyDescent="0.25">
      <c r="L1797" s="2"/>
      <c r="M1797" s="2"/>
      <c r="N1797" s="2"/>
      <c r="AD1797" s="3"/>
      <c r="AH1797" s="3"/>
      <c r="AL1797" s="3"/>
    </row>
    <row r="1798" spans="12:38" x14ac:dyDescent="0.25">
      <c r="L1798" s="2"/>
      <c r="M1798" s="2"/>
      <c r="N1798" s="2"/>
      <c r="AD1798" s="3"/>
      <c r="AH1798" s="3"/>
      <c r="AL1798" s="3"/>
    </row>
    <row r="1799" spans="12:38" x14ac:dyDescent="0.25">
      <c r="L1799" s="2"/>
      <c r="M1799" s="2"/>
      <c r="N1799" s="2"/>
      <c r="AD1799" s="3"/>
      <c r="AH1799" s="3"/>
      <c r="AL1799" s="3"/>
    </row>
    <row r="1800" spans="12:38" x14ac:dyDescent="0.25">
      <c r="L1800" s="2"/>
      <c r="M1800" s="2"/>
      <c r="N1800" s="2"/>
      <c r="AD1800" s="3"/>
      <c r="AH1800" s="3"/>
      <c r="AL1800" s="3"/>
    </row>
    <row r="1801" spans="12:38" x14ac:dyDescent="0.25">
      <c r="L1801" s="2"/>
      <c r="M1801" s="2"/>
      <c r="N1801" s="2"/>
      <c r="AD1801" s="3"/>
      <c r="AH1801" s="3"/>
      <c r="AL1801" s="3"/>
    </row>
    <row r="1802" spans="12:38" x14ac:dyDescent="0.25">
      <c r="L1802" s="2"/>
      <c r="M1802" s="2"/>
      <c r="N1802" s="2"/>
      <c r="AD1802" s="3"/>
      <c r="AH1802" s="3"/>
      <c r="AL1802" s="3"/>
    </row>
    <row r="1803" spans="12:38" x14ac:dyDescent="0.25">
      <c r="L1803" s="2"/>
      <c r="M1803" s="2"/>
      <c r="N1803" s="2"/>
      <c r="AD1803" s="3"/>
      <c r="AH1803" s="3"/>
      <c r="AL1803" s="3"/>
    </row>
    <row r="1804" spans="12:38" x14ac:dyDescent="0.25">
      <c r="L1804" s="2"/>
      <c r="M1804" s="2"/>
      <c r="N1804" s="2"/>
      <c r="AD1804" s="3"/>
      <c r="AH1804" s="3"/>
      <c r="AL1804" s="3"/>
    </row>
    <row r="1805" spans="12:38" x14ac:dyDescent="0.25">
      <c r="L1805" s="2"/>
      <c r="M1805" s="2"/>
      <c r="N1805" s="2"/>
      <c r="AD1805" s="3"/>
      <c r="AH1805" s="3"/>
      <c r="AL1805" s="3"/>
    </row>
    <row r="1806" spans="12:38" x14ac:dyDescent="0.25">
      <c r="L1806" s="2"/>
      <c r="M1806" s="2"/>
      <c r="N1806" s="2"/>
      <c r="AD1806" s="3"/>
      <c r="AH1806" s="3"/>
      <c r="AL1806" s="3"/>
    </row>
    <row r="1807" spans="12:38" x14ac:dyDescent="0.25">
      <c r="L1807" s="2"/>
      <c r="M1807" s="2"/>
      <c r="N1807" s="2"/>
      <c r="AD1807" s="3"/>
      <c r="AH1807" s="3"/>
      <c r="AL1807" s="3"/>
    </row>
    <row r="1808" spans="12:38" x14ac:dyDescent="0.25">
      <c r="L1808" s="2"/>
      <c r="M1808" s="2"/>
      <c r="N1808" s="2"/>
      <c r="AD1808" s="3"/>
      <c r="AH1808" s="3"/>
      <c r="AL1808" s="3"/>
    </row>
    <row r="1809" spans="12:38" x14ac:dyDescent="0.25">
      <c r="L1809" s="2"/>
      <c r="M1809" s="2"/>
      <c r="N1809" s="2"/>
      <c r="AD1809" s="3"/>
      <c r="AH1809" s="3"/>
      <c r="AL1809" s="3"/>
    </row>
    <row r="1810" spans="12:38" x14ac:dyDescent="0.25">
      <c r="L1810" s="2"/>
      <c r="M1810" s="2"/>
      <c r="N1810" s="2"/>
      <c r="AD1810" s="3"/>
      <c r="AH1810" s="3"/>
      <c r="AL1810" s="3"/>
    </row>
    <row r="1811" spans="12:38" x14ac:dyDescent="0.25">
      <c r="L1811" s="2"/>
      <c r="M1811" s="2"/>
      <c r="N1811" s="2"/>
      <c r="AD1811" s="3"/>
      <c r="AH1811" s="3"/>
      <c r="AL1811" s="3"/>
    </row>
    <row r="1812" spans="12:38" x14ac:dyDescent="0.25">
      <c r="L1812" s="2"/>
      <c r="M1812" s="2"/>
      <c r="N1812" s="2"/>
      <c r="AD1812" s="3"/>
      <c r="AH1812" s="3"/>
      <c r="AL1812" s="3"/>
    </row>
    <row r="1813" spans="12:38" x14ac:dyDescent="0.25">
      <c r="L1813" s="2"/>
      <c r="M1813" s="2"/>
      <c r="N1813" s="2"/>
      <c r="AD1813" s="3"/>
      <c r="AH1813" s="3"/>
      <c r="AL1813" s="3"/>
    </row>
    <row r="1814" spans="12:38" x14ac:dyDescent="0.25">
      <c r="L1814" s="2"/>
      <c r="M1814" s="2"/>
      <c r="N1814" s="2"/>
      <c r="AD1814" s="3"/>
      <c r="AH1814" s="3"/>
      <c r="AL1814" s="3"/>
    </row>
    <row r="1815" spans="12:38" x14ac:dyDescent="0.25">
      <c r="L1815" s="2"/>
      <c r="M1815" s="2"/>
      <c r="N1815" s="2"/>
      <c r="AD1815" s="3"/>
      <c r="AH1815" s="3"/>
      <c r="AL1815" s="3"/>
    </row>
    <row r="1816" spans="12:38" x14ac:dyDescent="0.25">
      <c r="L1816" s="2"/>
      <c r="M1816" s="2"/>
      <c r="N1816" s="2"/>
      <c r="AD1816" s="3"/>
      <c r="AH1816" s="3"/>
      <c r="AL1816" s="3"/>
    </row>
    <row r="1817" spans="12:38" x14ac:dyDescent="0.25">
      <c r="L1817" s="2"/>
      <c r="M1817" s="2"/>
      <c r="N1817" s="2"/>
      <c r="AD1817" s="3"/>
      <c r="AH1817" s="3"/>
      <c r="AL1817" s="3"/>
    </row>
    <row r="1818" spans="12:38" x14ac:dyDescent="0.25">
      <c r="L1818" s="2"/>
      <c r="M1818" s="2"/>
      <c r="N1818" s="2"/>
      <c r="AD1818" s="3"/>
      <c r="AH1818" s="3"/>
      <c r="AL1818" s="3"/>
    </row>
    <row r="1819" spans="12:38" x14ac:dyDescent="0.25">
      <c r="L1819" s="2"/>
      <c r="M1819" s="2"/>
      <c r="N1819" s="2"/>
      <c r="AD1819" s="3"/>
      <c r="AH1819" s="3"/>
      <c r="AL1819" s="3"/>
    </row>
    <row r="1820" spans="12:38" x14ac:dyDescent="0.25">
      <c r="L1820" s="2"/>
      <c r="M1820" s="2"/>
      <c r="N1820" s="2"/>
      <c r="AD1820" s="3"/>
      <c r="AH1820" s="3"/>
      <c r="AL1820" s="3"/>
    </row>
    <row r="1821" spans="12:38" x14ac:dyDescent="0.25">
      <c r="L1821" s="2"/>
      <c r="M1821" s="2"/>
      <c r="N1821" s="2"/>
      <c r="AD1821" s="3"/>
      <c r="AH1821" s="3"/>
      <c r="AL1821" s="3"/>
    </row>
    <row r="1822" spans="12:38" x14ac:dyDescent="0.25">
      <c r="L1822" s="2"/>
      <c r="M1822" s="2"/>
      <c r="N1822" s="2"/>
      <c r="AD1822" s="3"/>
      <c r="AH1822" s="3"/>
      <c r="AL1822" s="3"/>
    </row>
    <row r="1823" spans="12:38" x14ac:dyDescent="0.25">
      <c r="L1823" s="2"/>
      <c r="M1823" s="2"/>
      <c r="N1823" s="2"/>
      <c r="AD1823" s="3"/>
      <c r="AH1823" s="3"/>
      <c r="AL1823" s="3"/>
    </row>
    <row r="1824" spans="12:38" x14ac:dyDescent="0.25">
      <c r="L1824" s="2"/>
      <c r="M1824" s="2"/>
      <c r="N1824" s="2"/>
      <c r="AD1824" s="3"/>
      <c r="AH1824" s="3"/>
      <c r="AL1824" s="3"/>
    </row>
    <row r="1825" spans="12:38" x14ac:dyDescent="0.25">
      <c r="L1825" s="2"/>
      <c r="M1825" s="2"/>
      <c r="N1825" s="2"/>
      <c r="AD1825" s="3"/>
      <c r="AH1825" s="3"/>
      <c r="AL1825" s="3"/>
    </row>
    <row r="1826" spans="12:38" x14ac:dyDescent="0.25">
      <c r="L1826" s="2"/>
      <c r="M1826" s="2"/>
      <c r="N1826" s="2"/>
      <c r="AD1826" s="3"/>
      <c r="AH1826" s="3"/>
      <c r="AL1826" s="3"/>
    </row>
    <row r="1827" spans="12:38" x14ac:dyDescent="0.25">
      <c r="L1827" s="2"/>
      <c r="M1827" s="2"/>
      <c r="N1827" s="2"/>
      <c r="AD1827" s="3"/>
      <c r="AH1827" s="3"/>
      <c r="AL1827" s="3"/>
    </row>
    <row r="1828" spans="12:38" x14ac:dyDescent="0.25">
      <c r="L1828" s="2"/>
      <c r="M1828" s="2"/>
      <c r="N1828" s="2"/>
      <c r="AD1828" s="3"/>
      <c r="AH1828" s="3"/>
      <c r="AL1828" s="3"/>
    </row>
    <row r="1829" spans="12:38" x14ac:dyDescent="0.25">
      <c r="L1829" s="2"/>
      <c r="M1829" s="2"/>
      <c r="N1829" s="2"/>
      <c r="AD1829" s="3"/>
      <c r="AH1829" s="3"/>
      <c r="AL1829" s="3"/>
    </row>
    <row r="1830" spans="12:38" x14ac:dyDescent="0.25">
      <c r="L1830" s="2"/>
      <c r="M1830" s="2"/>
      <c r="N1830" s="2"/>
      <c r="AD1830" s="3"/>
      <c r="AH1830" s="3"/>
      <c r="AL1830" s="3"/>
    </row>
    <row r="1831" spans="12:38" x14ac:dyDescent="0.25">
      <c r="L1831" s="2"/>
      <c r="M1831" s="2"/>
      <c r="N1831" s="2"/>
      <c r="AD1831" s="3"/>
      <c r="AH1831" s="3"/>
      <c r="AL1831" s="3"/>
    </row>
    <row r="1832" spans="12:38" x14ac:dyDescent="0.25">
      <c r="L1832" s="2"/>
      <c r="M1832" s="2"/>
      <c r="N1832" s="2"/>
      <c r="AD1832" s="3"/>
      <c r="AH1832" s="3"/>
      <c r="AL1832" s="3"/>
    </row>
    <row r="1833" spans="12:38" x14ac:dyDescent="0.25">
      <c r="L1833" s="2"/>
      <c r="M1833" s="2"/>
      <c r="N1833" s="2"/>
      <c r="AD1833" s="3"/>
      <c r="AH1833" s="3"/>
      <c r="AL1833" s="3"/>
    </row>
    <row r="1834" spans="12:38" x14ac:dyDescent="0.25">
      <c r="L1834" s="2"/>
      <c r="M1834" s="2"/>
      <c r="N1834" s="2"/>
      <c r="AD1834" s="3"/>
      <c r="AH1834" s="3"/>
      <c r="AL1834" s="3"/>
    </row>
    <row r="1835" spans="12:38" x14ac:dyDescent="0.25">
      <c r="L1835" s="2"/>
      <c r="M1835" s="2"/>
      <c r="N1835" s="2"/>
      <c r="AD1835" s="3"/>
      <c r="AH1835" s="3"/>
      <c r="AL1835" s="3"/>
    </row>
    <row r="1836" spans="12:38" x14ac:dyDescent="0.25">
      <c r="L1836" s="2"/>
      <c r="M1836" s="2"/>
      <c r="N1836" s="2"/>
      <c r="AD1836" s="3"/>
      <c r="AH1836" s="3"/>
      <c r="AL1836" s="3"/>
    </row>
    <row r="1837" spans="12:38" x14ac:dyDescent="0.25">
      <c r="L1837" s="2"/>
      <c r="M1837" s="2"/>
      <c r="N1837" s="2"/>
      <c r="AD1837" s="3"/>
      <c r="AH1837" s="3"/>
      <c r="AL1837" s="3"/>
    </row>
    <row r="1838" spans="12:38" x14ac:dyDescent="0.25">
      <c r="L1838" s="2"/>
      <c r="M1838" s="2"/>
      <c r="N1838" s="2"/>
      <c r="AD1838" s="3"/>
      <c r="AH1838" s="3"/>
      <c r="AL1838" s="3"/>
    </row>
    <row r="1839" spans="12:38" x14ac:dyDescent="0.25">
      <c r="L1839" s="2"/>
      <c r="M1839" s="2"/>
      <c r="N1839" s="2"/>
      <c r="AD1839" s="3"/>
      <c r="AH1839" s="3"/>
      <c r="AL1839" s="3"/>
    </row>
    <row r="1840" spans="12:38" x14ac:dyDescent="0.25">
      <c r="L1840" s="2"/>
      <c r="M1840" s="2"/>
      <c r="N1840" s="2"/>
      <c r="AD1840" s="3"/>
      <c r="AH1840" s="3"/>
      <c r="AL1840" s="3"/>
    </row>
    <row r="1841" spans="12:38" x14ac:dyDescent="0.25">
      <c r="L1841" s="2"/>
      <c r="M1841" s="2"/>
      <c r="N1841" s="2"/>
      <c r="AD1841" s="3"/>
      <c r="AH1841" s="3"/>
      <c r="AL1841" s="3"/>
    </row>
    <row r="1842" spans="12:38" x14ac:dyDescent="0.25">
      <c r="L1842" s="2"/>
      <c r="M1842" s="2"/>
      <c r="N1842" s="2"/>
      <c r="AD1842" s="3"/>
      <c r="AH1842" s="3"/>
      <c r="AL1842" s="3"/>
    </row>
    <row r="1843" spans="12:38" x14ac:dyDescent="0.25">
      <c r="L1843" s="2"/>
      <c r="M1843" s="2"/>
      <c r="N1843" s="2"/>
      <c r="AD1843" s="3"/>
      <c r="AH1843" s="3"/>
      <c r="AL1843" s="3"/>
    </row>
    <row r="1844" spans="12:38" x14ac:dyDescent="0.25">
      <c r="L1844" s="2"/>
      <c r="M1844" s="2"/>
      <c r="N1844" s="2"/>
      <c r="AD1844" s="3"/>
      <c r="AH1844" s="3"/>
      <c r="AL1844" s="3"/>
    </row>
    <row r="1845" spans="12:38" x14ac:dyDescent="0.25">
      <c r="L1845" s="2"/>
      <c r="M1845" s="2"/>
      <c r="N1845" s="2"/>
      <c r="AD1845" s="3"/>
      <c r="AH1845" s="3"/>
      <c r="AL1845" s="3"/>
    </row>
    <row r="1846" spans="12:38" x14ac:dyDescent="0.25">
      <c r="L1846" s="2"/>
      <c r="M1846" s="2"/>
      <c r="N1846" s="2"/>
      <c r="AD1846" s="3"/>
      <c r="AH1846" s="3"/>
      <c r="AL1846" s="3"/>
    </row>
    <row r="1847" spans="12:38" x14ac:dyDescent="0.25">
      <c r="L1847" s="2"/>
      <c r="M1847" s="2"/>
      <c r="N1847" s="2"/>
      <c r="AD1847" s="3"/>
      <c r="AH1847" s="3"/>
      <c r="AL1847" s="3"/>
    </row>
    <row r="1848" spans="12:38" x14ac:dyDescent="0.25">
      <c r="L1848" s="2"/>
      <c r="M1848" s="2"/>
      <c r="N1848" s="2"/>
      <c r="AD1848" s="3"/>
      <c r="AH1848" s="3"/>
      <c r="AL1848" s="3"/>
    </row>
    <row r="1849" spans="12:38" x14ac:dyDescent="0.25">
      <c r="L1849" s="2"/>
      <c r="M1849" s="2"/>
      <c r="N1849" s="2"/>
      <c r="AD1849" s="3"/>
      <c r="AH1849" s="3"/>
      <c r="AL1849" s="3"/>
    </row>
    <row r="1850" spans="12:38" x14ac:dyDescent="0.25">
      <c r="L1850" s="2"/>
      <c r="M1850" s="2"/>
      <c r="N1850" s="2"/>
      <c r="AD1850" s="3"/>
      <c r="AH1850" s="3"/>
      <c r="AL1850" s="3"/>
    </row>
    <row r="1851" spans="12:38" x14ac:dyDescent="0.25">
      <c r="L1851" s="2"/>
      <c r="M1851" s="2"/>
      <c r="N1851" s="2"/>
      <c r="AD1851" s="3"/>
      <c r="AH1851" s="3"/>
      <c r="AL1851" s="3"/>
    </row>
    <row r="1852" spans="12:38" x14ac:dyDescent="0.25">
      <c r="L1852" s="2"/>
      <c r="M1852" s="2"/>
      <c r="N1852" s="2"/>
      <c r="AD1852" s="3"/>
      <c r="AH1852" s="3"/>
      <c r="AL1852" s="3"/>
    </row>
    <row r="1853" spans="12:38" x14ac:dyDescent="0.25">
      <c r="L1853" s="2"/>
      <c r="M1853" s="2"/>
      <c r="N1853" s="2"/>
      <c r="AD1853" s="3"/>
      <c r="AH1853" s="3"/>
      <c r="AL1853" s="3"/>
    </row>
    <row r="1854" spans="12:38" x14ac:dyDescent="0.25">
      <c r="L1854" s="2"/>
      <c r="M1854" s="2"/>
      <c r="N1854" s="2"/>
      <c r="AD1854" s="3"/>
      <c r="AH1854" s="3"/>
      <c r="AL1854" s="3"/>
    </row>
    <row r="1855" spans="12:38" x14ac:dyDescent="0.25">
      <c r="L1855" s="2"/>
      <c r="M1855" s="2"/>
      <c r="N1855" s="2"/>
      <c r="AD1855" s="3"/>
      <c r="AH1855" s="3"/>
      <c r="AL1855" s="3"/>
    </row>
    <row r="1856" spans="12:38" x14ac:dyDescent="0.25">
      <c r="L1856" s="2"/>
      <c r="M1856" s="2"/>
      <c r="N1856" s="2"/>
      <c r="AD1856" s="3"/>
      <c r="AH1856" s="3"/>
      <c r="AL1856" s="3"/>
    </row>
    <row r="1857" spans="12:38" x14ac:dyDescent="0.25">
      <c r="L1857" s="2"/>
      <c r="M1857" s="2"/>
      <c r="N1857" s="2"/>
      <c r="AD1857" s="3"/>
      <c r="AH1857" s="3"/>
      <c r="AL1857" s="3"/>
    </row>
    <row r="1858" spans="12:38" x14ac:dyDescent="0.25">
      <c r="L1858" s="2"/>
      <c r="M1858" s="2"/>
      <c r="N1858" s="2"/>
      <c r="AD1858" s="3"/>
      <c r="AH1858" s="3"/>
      <c r="AL1858" s="3"/>
    </row>
    <row r="1859" spans="12:38" x14ac:dyDescent="0.25">
      <c r="L1859" s="2"/>
      <c r="M1859" s="2"/>
      <c r="N1859" s="2"/>
      <c r="AD1859" s="3"/>
      <c r="AH1859" s="3"/>
      <c r="AL1859" s="3"/>
    </row>
    <row r="1860" spans="12:38" x14ac:dyDescent="0.25">
      <c r="L1860" s="2"/>
      <c r="M1860" s="2"/>
      <c r="N1860" s="2"/>
      <c r="AD1860" s="3"/>
      <c r="AH1860" s="3"/>
      <c r="AL1860" s="3"/>
    </row>
    <row r="1861" spans="12:38" x14ac:dyDescent="0.25">
      <c r="L1861" s="2"/>
      <c r="M1861" s="2"/>
      <c r="N1861" s="2"/>
      <c r="AD1861" s="3"/>
      <c r="AH1861" s="3"/>
      <c r="AL1861" s="3"/>
    </row>
    <row r="1862" spans="12:38" x14ac:dyDescent="0.25">
      <c r="L1862" s="2"/>
      <c r="M1862" s="2"/>
      <c r="N1862" s="2"/>
      <c r="AD1862" s="3"/>
      <c r="AH1862" s="3"/>
      <c r="AL1862" s="3"/>
    </row>
    <row r="1863" spans="12:38" x14ac:dyDescent="0.25">
      <c r="L1863" s="2"/>
      <c r="M1863" s="2"/>
      <c r="N1863" s="2"/>
      <c r="AD1863" s="3"/>
      <c r="AH1863" s="3"/>
      <c r="AL1863" s="3"/>
    </row>
    <row r="1864" spans="12:38" x14ac:dyDescent="0.25">
      <c r="L1864" s="2"/>
      <c r="M1864" s="2"/>
      <c r="N1864" s="2"/>
      <c r="AD1864" s="3"/>
      <c r="AH1864" s="3"/>
      <c r="AL1864" s="3"/>
    </row>
    <row r="1865" spans="12:38" x14ac:dyDescent="0.25">
      <c r="L1865" s="2"/>
      <c r="M1865" s="2"/>
      <c r="N1865" s="2"/>
      <c r="AD1865" s="3"/>
      <c r="AH1865" s="3"/>
      <c r="AL1865" s="3"/>
    </row>
    <row r="1866" spans="12:38" x14ac:dyDescent="0.25">
      <c r="L1866" s="2"/>
      <c r="M1866" s="2"/>
      <c r="N1866" s="2"/>
      <c r="AD1866" s="3"/>
      <c r="AH1866" s="3"/>
      <c r="AL1866" s="3"/>
    </row>
    <row r="1867" spans="12:38" x14ac:dyDescent="0.25">
      <c r="L1867" s="2"/>
      <c r="M1867" s="2"/>
      <c r="N1867" s="2"/>
      <c r="AD1867" s="3"/>
      <c r="AH1867" s="3"/>
      <c r="AL1867" s="3"/>
    </row>
    <row r="1868" spans="12:38" x14ac:dyDescent="0.25">
      <c r="L1868" s="2"/>
      <c r="M1868" s="2"/>
      <c r="N1868" s="2"/>
      <c r="AD1868" s="3"/>
      <c r="AH1868" s="3"/>
      <c r="AL1868" s="3"/>
    </row>
    <row r="1869" spans="12:38" x14ac:dyDescent="0.25">
      <c r="L1869" s="2"/>
      <c r="M1869" s="2"/>
      <c r="N1869" s="2"/>
      <c r="AD1869" s="3"/>
      <c r="AH1869" s="3"/>
      <c r="AL1869" s="3"/>
    </row>
    <row r="1870" spans="12:38" x14ac:dyDescent="0.25">
      <c r="L1870" s="2"/>
      <c r="M1870" s="2"/>
      <c r="N1870" s="2"/>
      <c r="AD1870" s="3"/>
      <c r="AH1870" s="3"/>
      <c r="AL1870" s="3"/>
    </row>
    <row r="1871" spans="12:38" x14ac:dyDescent="0.25">
      <c r="L1871" s="2"/>
      <c r="M1871" s="2"/>
      <c r="N1871" s="2"/>
      <c r="AD1871" s="3"/>
      <c r="AH1871" s="3"/>
      <c r="AL1871" s="3"/>
    </row>
    <row r="1872" spans="12:38" x14ac:dyDescent="0.25">
      <c r="L1872" s="2"/>
      <c r="M1872" s="2"/>
      <c r="N1872" s="2"/>
      <c r="AD1872" s="3"/>
      <c r="AH1872" s="3"/>
      <c r="AL1872" s="3"/>
    </row>
    <row r="1873" spans="12:38" x14ac:dyDescent="0.25">
      <c r="L1873" s="2"/>
      <c r="M1873" s="2"/>
      <c r="N1873" s="2"/>
      <c r="AD1873" s="3"/>
      <c r="AH1873" s="3"/>
      <c r="AL1873" s="3"/>
    </row>
    <row r="1874" spans="12:38" x14ac:dyDescent="0.25">
      <c r="L1874" s="2"/>
      <c r="M1874" s="2"/>
      <c r="N1874" s="2"/>
      <c r="AD1874" s="3"/>
      <c r="AH1874" s="3"/>
      <c r="AL1874" s="3"/>
    </row>
    <row r="1875" spans="12:38" x14ac:dyDescent="0.25">
      <c r="L1875" s="2"/>
      <c r="M1875" s="2"/>
      <c r="N1875" s="2"/>
      <c r="AD1875" s="3"/>
      <c r="AH1875" s="3"/>
      <c r="AL1875" s="3"/>
    </row>
    <row r="1876" spans="12:38" x14ac:dyDescent="0.25">
      <c r="L1876" s="2"/>
      <c r="M1876" s="2"/>
      <c r="N1876" s="2"/>
      <c r="AD1876" s="3"/>
      <c r="AH1876" s="3"/>
      <c r="AL1876" s="3"/>
    </row>
    <row r="1877" spans="12:38" x14ac:dyDescent="0.25">
      <c r="L1877" s="2"/>
      <c r="M1877" s="2"/>
      <c r="N1877" s="2"/>
      <c r="AD1877" s="3"/>
      <c r="AH1877" s="3"/>
      <c r="AL1877" s="3"/>
    </row>
    <row r="1878" spans="12:38" x14ac:dyDescent="0.25">
      <c r="L1878" s="2"/>
      <c r="M1878" s="2"/>
      <c r="N1878" s="2"/>
      <c r="AD1878" s="3"/>
      <c r="AH1878" s="3"/>
      <c r="AL1878" s="3"/>
    </row>
    <row r="1879" spans="12:38" x14ac:dyDescent="0.25">
      <c r="L1879" s="2"/>
      <c r="M1879" s="2"/>
      <c r="N1879" s="2"/>
      <c r="AD1879" s="3"/>
      <c r="AH1879" s="3"/>
      <c r="AL1879" s="3"/>
    </row>
    <row r="1880" spans="12:38" x14ac:dyDescent="0.25">
      <c r="L1880" s="2"/>
      <c r="M1880" s="2"/>
      <c r="N1880" s="2"/>
      <c r="AD1880" s="3"/>
      <c r="AH1880" s="3"/>
      <c r="AL1880" s="3"/>
    </row>
    <row r="1881" spans="12:38" x14ac:dyDescent="0.25">
      <c r="L1881" s="2"/>
      <c r="M1881" s="2"/>
      <c r="N1881" s="2"/>
      <c r="AD1881" s="3"/>
      <c r="AH1881" s="3"/>
      <c r="AL1881" s="3"/>
    </row>
    <row r="1882" spans="12:38" x14ac:dyDescent="0.25">
      <c r="L1882" s="2"/>
      <c r="M1882" s="2"/>
      <c r="N1882" s="2"/>
      <c r="AD1882" s="3"/>
      <c r="AH1882" s="3"/>
      <c r="AL1882" s="3"/>
    </row>
    <row r="1883" spans="12:38" x14ac:dyDescent="0.25">
      <c r="L1883" s="2"/>
      <c r="M1883" s="2"/>
      <c r="N1883" s="2"/>
      <c r="AD1883" s="3"/>
      <c r="AH1883" s="3"/>
      <c r="AL1883" s="3"/>
    </row>
    <row r="1884" spans="12:38" x14ac:dyDescent="0.25">
      <c r="L1884" s="2"/>
      <c r="M1884" s="2"/>
      <c r="N1884" s="2"/>
      <c r="AD1884" s="3"/>
      <c r="AH1884" s="3"/>
      <c r="AL1884" s="3"/>
    </row>
    <row r="1885" spans="12:38" x14ac:dyDescent="0.25">
      <c r="L1885" s="2"/>
      <c r="M1885" s="2"/>
      <c r="N1885" s="2"/>
      <c r="AD1885" s="3"/>
      <c r="AH1885" s="3"/>
      <c r="AL1885" s="3"/>
    </row>
    <row r="1886" spans="12:38" x14ac:dyDescent="0.25">
      <c r="L1886" s="2"/>
      <c r="M1886" s="2"/>
      <c r="N1886" s="2"/>
      <c r="AD1886" s="3"/>
      <c r="AH1886" s="3"/>
      <c r="AL1886" s="3"/>
    </row>
    <row r="1887" spans="12:38" x14ac:dyDescent="0.25">
      <c r="L1887" s="2"/>
      <c r="M1887" s="2"/>
      <c r="N1887" s="2"/>
      <c r="AD1887" s="3"/>
      <c r="AH1887" s="3"/>
      <c r="AL1887" s="3"/>
    </row>
    <row r="1888" spans="12:38" x14ac:dyDescent="0.25">
      <c r="L1888" s="2"/>
      <c r="M1888" s="2"/>
      <c r="N1888" s="2"/>
      <c r="AD1888" s="3"/>
      <c r="AH1888" s="3"/>
      <c r="AL1888" s="3"/>
    </row>
    <row r="1889" spans="12:38" x14ac:dyDescent="0.25">
      <c r="L1889" s="2"/>
      <c r="M1889" s="2"/>
      <c r="N1889" s="2"/>
      <c r="AD1889" s="3"/>
      <c r="AH1889" s="3"/>
      <c r="AL1889" s="3"/>
    </row>
    <row r="1890" spans="12:38" x14ac:dyDescent="0.25">
      <c r="L1890" s="2"/>
      <c r="M1890" s="2"/>
      <c r="N1890" s="2"/>
      <c r="AD1890" s="3"/>
      <c r="AH1890" s="3"/>
      <c r="AL1890" s="3"/>
    </row>
    <row r="1891" spans="12:38" x14ac:dyDescent="0.25">
      <c r="L1891" s="2"/>
      <c r="M1891" s="2"/>
      <c r="N1891" s="2"/>
      <c r="AD1891" s="3"/>
      <c r="AH1891" s="3"/>
      <c r="AL1891" s="3"/>
    </row>
    <row r="1892" spans="12:38" x14ac:dyDescent="0.25">
      <c r="L1892" s="2"/>
      <c r="M1892" s="2"/>
      <c r="N1892" s="2"/>
      <c r="AD1892" s="3"/>
      <c r="AH1892" s="3"/>
      <c r="AL1892" s="3"/>
    </row>
    <row r="1893" spans="12:38" x14ac:dyDescent="0.25">
      <c r="L1893" s="2"/>
      <c r="M1893" s="2"/>
      <c r="N1893" s="2"/>
      <c r="AD1893" s="3"/>
      <c r="AH1893" s="3"/>
      <c r="AL1893" s="3"/>
    </row>
    <row r="1894" spans="12:38" x14ac:dyDescent="0.25">
      <c r="L1894" s="2"/>
      <c r="M1894" s="2"/>
      <c r="N1894" s="2"/>
      <c r="AD1894" s="3"/>
      <c r="AH1894" s="3"/>
      <c r="AL1894" s="3"/>
    </row>
    <row r="1895" spans="12:38" x14ac:dyDescent="0.25">
      <c r="L1895" s="2"/>
      <c r="M1895" s="2"/>
      <c r="N1895" s="2"/>
      <c r="AD1895" s="3"/>
      <c r="AH1895" s="3"/>
      <c r="AL1895" s="3"/>
    </row>
    <row r="1896" spans="12:38" x14ac:dyDescent="0.25">
      <c r="L1896" s="2"/>
      <c r="M1896" s="2"/>
      <c r="N1896" s="2"/>
      <c r="AD1896" s="3"/>
      <c r="AH1896" s="3"/>
      <c r="AL1896" s="3"/>
    </row>
    <row r="1897" spans="12:38" x14ac:dyDescent="0.25">
      <c r="L1897" s="2"/>
      <c r="M1897" s="2"/>
      <c r="N1897" s="2"/>
      <c r="AD1897" s="3"/>
      <c r="AH1897" s="3"/>
      <c r="AL1897" s="3"/>
    </row>
    <row r="1898" spans="12:38" x14ac:dyDescent="0.25">
      <c r="L1898" s="2"/>
      <c r="M1898" s="2"/>
      <c r="N1898" s="2"/>
      <c r="AD1898" s="3"/>
      <c r="AH1898" s="3"/>
      <c r="AL1898" s="3"/>
    </row>
    <row r="1899" spans="12:38" x14ac:dyDescent="0.25">
      <c r="L1899" s="2"/>
      <c r="M1899" s="2"/>
      <c r="N1899" s="2"/>
      <c r="AD1899" s="3"/>
      <c r="AH1899" s="3"/>
      <c r="AL1899" s="3"/>
    </row>
    <row r="1900" spans="12:38" x14ac:dyDescent="0.25">
      <c r="L1900" s="2"/>
      <c r="M1900" s="2"/>
      <c r="N1900" s="2"/>
      <c r="AD1900" s="3"/>
      <c r="AH1900" s="3"/>
      <c r="AL1900" s="3"/>
    </row>
    <row r="1901" spans="12:38" x14ac:dyDescent="0.25">
      <c r="L1901" s="2"/>
      <c r="M1901" s="2"/>
      <c r="N1901" s="2"/>
      <c r="AD1901" s="3"/>
      <c r="AH1901" s="3"/>
      <c r="AL1901" s="3"/>
    </row>
    <row r="1902" spans="12:38" x14ac:dyDescent="0.25">
      <c r="L1902" s="2"/>
      <c r="M1902" s="2"/>
      <c r="N1902" s="2"/>
      <c r="AD1902" s="3"/>
      <c r="AH1902" s="3"/>
      <c r="AL1902" s="3"/>
    </row>
    <row r="1903" spans="12:38" x14ac:dyDescent="0.25">
      <c r="L1903" s="2"/>
      <c r="M1903" s="2"/>
      <c r="N1903" s="2"/>
      <c r="AD1903" s="3"/>
      <c r="AH1903" s="3"/>
      <c r="AL1903" s="3"/>
    </row>
    <row r="1904" spans="12:38" x14ac:dyDescent="0.25">
      <c r="L1904" s="2"/>
      <c r="M1904" s="2"/>
      <c r="N1904" s="2"/>
      <c r="AD1904" s="3"/>
      <c r="AH1904" s="3"/>
      <c r="AL1904" s="3"/>
    </row>
    <row r="1905" spans="12:38" x14ac:dyDescent="0.25">
      <c r="L1905" s="2"/>
      <c r="M1905" s="2"/>
      <c r="N1905" s="2"/>
      <c r="AD1905" s="3"/>
      <c r="AH1905" s="3"/>
      <c r="AL1905" s="3"/>
    </row>
    <row r="1906" spans="12:38" x14ac:dyDescent="0.25">
      <c r="L1906" s="2"/>
      <c r="M1906" s="2"/>
      <c r="N1906" s="2"/>
      <c r="AD1906" s="3"/>
      <c r="AH1906" s="3"/>
      <c r="AL1906" s="3"/>
    </row>
    <row r="1907" spans="12:38" x14ac:dyDescent="0.25">
      <c r="L1907" s="2"/>
      <c r="M1907" s="2"/>
      <c r="N1907" s="2"/>
      <c r="AD1907" s="3"/>
      <c r="AH1907" s="3"/>
      <c r="AL1907" s="3"/>
    </row>
    <row r="1908" spans="12:38" x14ac:dyDescent="0.25">
      <c r="L1908" s="2"/>
      <c r="M1908" s="2"/>
      <c r="N1908" s="2"/>
      <c r="AD1908" s="3"/>
      <c r="AH1908" s="3"/>
      <c r="AL1908" s="3"/>
    </row>
    <row r="1909" spans="12:38" x14ac:dyDescent="0.25">
      <c r="L1909" s="2"/>
      <c r="M1909" s="2"/>
      <c r="N1909" s="2"/>
      <c r="AD1909" s="3"/>
      <c r="AH1909" s="3"/>
      <c r="AL1909" s="3"/>
    </row>
    <row r="1910" spans="12:38" x14ac:dyDescent="0.25">
      <c r="L1910" s="2"/>
      <c r="M1910" s="2"/>
      <c r="N1910" s="2"/>
      <c r="AD1910" s="3"/>
      <c r="AH1910" s="3"/>
      <c r="AL1910" s="3"/>
    </row>
    <row r="1911" spans="12:38" x14ac:dyDescent="0.25">
      <c r="L1911" s="2"/>
      <c r="M1911" s="2"/>
      <c r="N1911" s="2"/>
      <c r="AD1911" s="3"/>
      <c r="AH1911" s="3"/>
      <c r="AL1911" s="3"/>
    </row>
    <row r="1912" spans="12:38" x14ac:dyDescent="0.25">
      <c r="L1912" s="2"/>
      <c r="M1912" s="2"/>
      <c r="N1912" s="2"/>
      <c r="AD1912" s="3"/>
      <c r="AH1912" s="3"/>
      <c r="AL1912" s="3"/>
    </row>
    <row r="1913" spans="12:38" x14ac:dyDescent="0.25">
      <c r="L1913" s="2"/>
      <c r="M1913" s="2"/>
      <c r="N1913" s="2"/>
      <c r="AD1913" s="3"/>
      <c r="AH1913" s="3"/>
      <c r="AL1913" s="3"/>
    </row>
    <row r="1914" spans="12:38" x14ac:dyDescent="0.25">
      <c r="L1914" s="2"/>
      <c r="M1914" s="2"/>
      <c r="N1914" s="2"/>
      <c r="AD1914" s="3"/>
      <c r="AH1914" s="3"/>
      <c r="AL1914" s="3"/>
    </row>
    <row r="1915" spans="12:38" x14ac:dyDescent="0.25">
      <c r="L1915" s="2"/>
      <c r="M1915" s="2"/>
      <c r="N1915" s="2"/>
      <c r="AD1915" s="3"/>
      <c r="AH1915" s="3"/>
      <c r="AL1915" s="3"/>
    </row>
    <row r="1916" spans="12:38" x14ac:dyDescent="0.25">
      <c r="L1916" s="2"/>
      <c r="M1916" s="2"/>
      <c r="N1916" s="2"/>
      <c r="AD1916" s="3"/>
      <c r="AH1916" s="3"/>
      <c r="AL1916" s="3"/>
    </row>
    <row r="1917" spans="12:38" x14ac:dyDescent="0.25">
      <c r="L1917" s="2"/>
      <c r="M1917" s="2"/>
      <c r="N1917" s="2"/>
      <c r="AD1917" s="3"/>
      <c r="AH1917" s="3"/>
      <c r="AL1917" s="3"/>
    </row>
    <row r="1918" spans="12:38" x14ac:dyDescent="0.25">
      <c r="L1918" s="2"/>
      <c r="M1918" s="2"/>
      <c r="N1918" s="2"/>
      <c r="AD1918" s="3"/>
      <c r="AH1918" s="3"/>
      <c r="AL1918" s="3"/>
    </row>
    <row r="1919" spans="12:38" x14ac:dyDescent="0.25">
      <c r="L1919" s="2"/>
      <c r="M1919" s="2"/>
      <c r="N1919" s="2"/>
      <c r="AD1919" s="3"/>
      <c r="AH1919" s="3"/>
      <c r="AL1919" s="3"/>
    </row>
    <row r="1920" spans="12:38" x14ac:dyDescent="0.25">
      <c r="L1920" s="2"/>
      <c r="M1920" s="2"/>
      <c r="N1920" s="2"/>
      <c r="AD1920" s="3"/>
      <c r="AH1920" s="3"/>
      <c r="AL1920" s="3"/>
    </row>
    <row r="1921" spans="12:38" x14ac:dyDescent="0.25">
      <c r="L1921" s="2"/>
      <c r="M1921" s="2"/>
      <c r="N1921" s="2"/>
      <c r="AD1921" s="3"/>
      <c r="AH1921" s="3"/>
      <c r="AL1921" s="3"/>
    </row>
    <row r="1922" spans="12:38" x14ac:dyDescent="0.25">
      <c r="L1922" s="2"/>
      <c r="M1922" s="2"/>
      <c r="N1922" s="2"/>
      <c r="AD1922" s="3"/>
      <c r="AH1922" s="3"/>
      <c r="AL1922" s="3"/>
    </row>
    <row r="1923" spans="12:38" x14ac:dyDescent="0.25">
      <c r="L1923" s="2"/>
      <c r="M1923" s="2"/>
      <c r="N1923" s="2"/>
      <c r="AD1923" s="3"/>
      <c r="AH1923" s="3"/>
      <c r="AL1923" s="3"/>
    </row>
    <row r="1924" spans="12:38" x14ac:dyDescent="0.25">
      <c r="L1924" s="2"/>
      <c r="M1924" s="2"/>
      <c r="N1924" s="2"/>
      <c r="AD1924" s="3"/>
      <c r="AH1924" s="3"/>
      <c r="AL1924" s="3"/>
    </row>
    <row r="1925" spans="12:38" x14ac:dyDescent="0.25">
      <c r="L1925" s="2"/>
      <c r="M1925" s="2"/>
      <c r="N1925" s="2"/>
      <c r="AD1925" s="3"/>
      <c r="AH1925" s="3"/>
      <c r="AL1925" s="3"/>
    </row>
    <row r="1926" spans="12:38" x14ac:dyDescent="0.25">
      <c r="L1926" s="2"/>
      <c r="M1926" s="2"/>
      <c r="N1926" s="2"/>
      <c r="AD1926" s="3"/>
      <c r="AH1926" s="3"/>
      <c r="AL1926" s="3"/>
    </row>
    <row r="1927" spans="12:38" x14ac:dyDescent="0.25">
      <c r="L1927" s="2"/>
      <c r="M1927" s="2"/>
      <c r="N1927" s="2"/>
      <c r="AD1927" s="3"/>
      <c r="AH1927" s="3"/>
      <c r="AL1927" s="3"/>
    </row>
    <row r="1928" spans="12:38" x14ac:dyDescent="0.25">
      <c r="L1928" s="2"/>
      <c r="M1928" s="2"/>
      <c r="N1928" s="2"/>
      <c r="AD1928" s="3"/>
      <c r="AH1928" s="3"/>
      <c r="AL1928" s="3"/>
    </row>
    <row r="1929" spans="12:38" x14ac:dyDescent="0.25">
      <c r="L1929" s="2"/>
      <c r="M1929" s="2"/>
      <c r="N1929" s="2"/>
      <c r="AD1929" s="3"/>
      <c r="AH1929" s="3"/>
      <c r="AL1929" s="3"/>
    </row>
    <row r="1930" spans="12:38" x14ac:dyDescent="0.25">
      <c r="L1930" s="2"/>
      <c r="M1930" s="2"/>
      <c r="N1930" s="2"/>
      <c r="AD1930" s="3"/>
      <c r="AH1930" s="3"/>
      <c r="AL1930" s="3"/>
    </row>
    <row r="1931" spans="12:38" x14ac:dyDescent="0.25">
      <c r="L1931" s="2"/>
      <c r="M1931" s="2"/>
      <c r="N1931" s="2"/>
      <c r="AD1931" s="3"/>
      <c r="AH1931" s="3"/>
      <c r="AL1931" s="3"/>
    </row>
    <row r="1932" spans="12:38" x14ac:dyDescent="0.25">
      <c r="L1932" s="2"/>
      <c r="M1932" s="2"/>
      <c r="N1932" s="2"/>
      <c r="AD1932" s="3"/>
      <c r="AH1932" s="3"/>
      <c r="AL1932" s="3"/>
    </row>
    <row r="1933" spans="12:38" x14ac:dyDescent="0.25">
      <c r="L1933" s="2"/>
      <c r="M1933" s="2"/>
      <c r="N1933" s="2"/>
      <c r="AD1933" s="3"/>
      <c r="AH1933" s="3"/>
      <c r="AL1933" s="3"/>
    </row>
    <row r="1934" spans="12:38" x14ac:dyDescent="0.25">
      <c r="L1934" s="2"/>
      <c r="M1934" s="2"/>
      <c r="N1934" s="2"/>
      <c r="AD1934" s="3"/>
      <c r="AH1934" s="3"/>
      <c r="AL1934" s="3"/>
    </row>
    <row r="1935" spans="12:38" x14ac:dyDescent="0.25">
      <c r="L1935" s="2"/>
      <c r="M1935" s="2"/>
      <c r="N1935" s="2"/>
      <c r="AD1935" s="3"/>
      <c r="AH1935" s="3"/>
      <c r="AL1935" s="3"/>
    </row>
    <row r="1936" spans="12:38" x14ac:dyDescent="0.25">
      <c r="L1936" s="2"/>
      <c r="M1936" s="2"/>
      <c r="N1936" s="2"/>
      <c r="AD1936" s="3"/>
      <c r="AH1936" s="3"/>
      <c r="AL1936" s="3"/>
    </row>
    <row r="1937" spans="12:38" x14ac:dyDescent="0.25">
      <c r="L1937" s="2"/>
      <c r="M1937" s="2"/>
      <c r="N1937" s="2"/>
      <c r="AD1937" s="3"/>
      <c r="AH1937" s="3"/>
      <c r="AL1937" s="3"/>
    </row>
    <row r="1938" spans="12:38" x14ac:dyDescent="0.25">
      <c r="L1938" s="2"/>
      <c r="M1938" s="2"/>
      <c r="N1938" s="2"/>
      <c r="AD1938" s="3"/>
      <c r="AH1938" s="3"/>
      <c r="AL1938" s="3"/>
    </row>
    <row r="1939" spans="12:38" x14ac:dyDescent="0.25">
      <c r="L1939" s="2"/>
      <c r="M1939" s="2"/>
      <c r="N1939" s="2"/>
      <c r="AD1939" s="3"/>
      <c r="AH1939" s="3"/>
      <c r="AL1939" s="3"/>
    </row>
    <row r="1940" spans="12:38" x14ac:dyDescent="0.25">
      <c r="L1940" s="2"/>
      <c r="M1940" s="2"/>
      <c r="N1940" s="2"/>
      <c r="AD1940" s="3"/>
      <c r="AH1940" s="3"/>
      <c r="AL1940" s="3"/>
    </row>
    <row r="1941" spans="12:38" x14ac:dyDescent="0.25">
      <c r="L1941" s="2"/>
      <c r="M1941" s="2"/>
      <c r="N1941" s="2"/>
      <c r="AD1941" s="3"/>
      <c r="AH1941" s="3"/>
      <c r="AL1941" s="3"/>
    </row>
    <row r="1942" spans="12:38" x14ac:dyDescent="0.25">
      <c r="L1942" s="2"/>
      <c r="M1942" s="2"/>
      <c r="N1942" s="2"/>
      <c r="AD1942" s="3"/>
      <c r="AH1942" s="3"/>
      <c r="AL1942" s="3"/>
    </row>
    <row r="1943" spans="12:38" x14ac:dyDescent="0.25">
      <c r="L1943" s="2"/>
      <c r="M1943" s="2"/>
      <c r="N1943" s="2"/>
      <c r="AD1943" s="3"/>
      <c r="AH1943" s="3"/>
      <c r="AL1943" s="3"/>
    </row>
    <row r="1944" spans="12:38" x14ac:dyDescent="0.25">
      <c r="L1944" s="2"/>
      <c r="M1944" s="2"/>
      <c r="N1944" s="2"/>
      <c r="AD1944" s="3"/>
      <c r="AH1944" s="3"/>
      <c r="AL1944" s="3"/>
    </row>
    <row r="1945" spans="12:38" x14ac:dyDescent="0.25">
      <c r="L1945" s="2"/>
      <c r="M1945" s="2"/>
      <c r="N1945" s="2"/>
      <c r="AD1945" s="3"/>
      <c r="AH1945" s="3"/>
      <c r="AL1945" s="3"/>
    </row>
    <row r="1946" spans="12:38" x14ac:dyDescent="0.25">
      <c r="L1946" s="2"/>
      <c r="M1946" s="2"/>
      <c r="N1946" s="2"/>
      <c r="AD1946" s="3"/>
      <c r="AH1946" s="3"/>
      <c r="AL1946" s="3"/>
    </row>
    <row r="1947" spans="12:38" x14ac:dyDescent="0.25">
      <c r="L1947" s="2"/>
      <c r="M1947" s="2"/>
      <c r="N1947" s="2"/>
      <c r="AD1947" s="3"/>
      <c r="AH1947" s="3"/>
      <c r="AL1947" s="3"/>
    </row>
    <row r="1948" spans="12:38" x14ac:dyDescent="0.25">
      <c r="L1948" s="2"/>
      <c r="M1948" s="2"/>
      <c r="N1948" s="2"/>
      <c r="AD1948" s="3"/>
      <c r="AH1948" s="3"/>
      <c r="AL1948" s="3"/>
    </row>
    <row r="1949" spans="12:38" x14ac:dyDescent="0.25">
      <c r="L1949" s="2"/>
      <c r="M1949" s="2"/>
      <c r="N1949" s="2"/>
      <c r="AD1949" s="3"/>
      <c r="AH1949" s="3"/>
      <c r="AL1949" s="3"/>
    </row>
    <row r="1950" spans="12:38" x14ac:dyDescent="0.25">
      <c r="L1950" s="2"/>
      <c r="M1950" s="2"/>
      <c r="N1950" s="2"/>
      <c r="AD1950" s="3"/>
      <c r="AH1950" s="3"/>
      <c r="AL1950" s="3"/>
    </row>
    <row r="1951" spans="12:38" x14ac:dyDescent="0.25">
      <c r="L1951" s="2"/>
      <c r="M1951" s="2"/>
      <c r="N1951" s="2"/>
      <c r="AD1951" s="3"/>
      <c r="AH1951" s="3"/>
      <c r="AL1951" s="3"/>
    </row>
    <row r="1952" spans="12:38" x14ac:dyDescent="0.25">
      <c r="L1952" s="2"/>
      <c r="M1952" s="2"/>
      <c r="N1952" s="2"/>
      <c r="AD1952" s="3"/>
      <c r="AH1952" s="3"/>
      <c r="AL1952" s="3"/>
    </row>
    <row r="1953" spans="12:38" x14ac:dyDescent="0.25">
      <c r="L1953" s="2"/>
      <c r="M1953" s="2"/>
      <c r="N1953" s="2"/>
      <c r="AD1953" s="3"/>
      <c r="AH1953" s="3"/>
      <c r="AL1953" s="3"/>
    </row>
    <row r="1954" spans="12:38" x14ac:dyDescent="0.25">
      <c r="L1954" s="2"/>
      <c r="M1954" s="2"/>
      <c r="N1954" s="2"/>
      <c r="AD1954" s="3"/>
      <c r="AH1954" s="3"/>
      <c r="AL1954" s="3"/>
    </row>
    <row r="1955" spans="12:38" x14ac:dyDescent="0.25">
      <c r="L1955" s="2"/>
      <c r="M1955" s="2"/>
      <c r="N1955" s="2"/>
      <c r="AD1955" s="3"/>
      <c r="AH1955" s="3"/>
      <c r="AL1955" s="3"/>
    </row>
    <row r="1956" spans="12:38" x14ac:dyDescent="0.25">
      <c r="L1956" s="2"/>
      <c r="M1956" s="2"/>
      <c r="N1956" s="2"/>
      <c r="AD1956" s="3"/>
      <c r="AH1956" s="3"/>
      <c r="AL1956" s="3"/>
    </row>
    <row r="1957" spans="12:38" x14ac:dyDescent="0.25">
      <c r="L1957" s="2"/>
      <c r="M1957" s="2"/>
      <c r="N1957" s="2"/>
      <c r="AD1957" s="3"/>
      <c r="AH1957" s="3"/>
      <c r="AL1957" s="3"/>
    </row>
    <row r="1958" spans="12:38" x14ac:dyDescent="0.25">
      <c r="L1958" s="2"/>
      <c r="M1958" s="2"/>
      <c r="N1958" s="2"/>
      <c r="AD1958" s="3"/>
      <c r="AH1958" s="3"/>
      <c r="AL1958" s="3"/>
    </row>
    <row r="1959" spans="12:38" x14ac:dyDescent="0.25">
      <c r="L1959" s="2"/>
      <c r="M1959" s="2"/>
      <c r="N1959" s="2"/>
      <c r="AD1959" s="3"/>
      <c r="AH1959" s="3"/>
      <c r="AL1959" s="3"/>
    </row>
    <row r="1960" spans="12:38" x14ac:dyDescent="0.25">
      <c r="L1960" s="2"/>
      <c r="M1960" s="2"/>
      <c r="N1960" s="2"/>
      <c r="AD1960" s="3"/>
      <c r="AH1960" s="3"/>
      <c r="AL1960" s="3"/>
    </row>
    <row r="1961" spans="12:38" x14ac:dyDescent="0.25">
      <c r="L1961" s="2"/>
      <c r="M1961" s="2"/>
      <c r="N1961" s="2"/>
      <c r="AD1961" s="3"/>
      <c r="AH1961" s="3"/>
      <c r="AL1961" s="3"/>
    </row>
    <row r="1962" spans="12:38" x14ac:dyDescent="0.25">
      <c r="L1962" s="2"/>
      <c r="M1962" s="2"/>
      <c r="N1962" s="2"/>
      <c r="AD1962" s="3"/>
      <c r="AH1962" s="3"/>
      <c r="AL1962" s="3"/>
    </row>
    <row r="1963" spans="12:38" x14ac:dyDescent="0.25">
      <c r="L1963" s="2"/>
      <c r="M1963" s="2"/>
      <c r="N1963" s="2"/>
      <c r="AD1963" s="3"/>
      <c r="AH1963" s="3"/>
      <c r="AL1963" s="3"/>
    </row>
    <row r="1964" spans="12:38" x14ac:dyDescent="0.25">
      <c r="L1964" s="2"/>
      <c r="M1964" s="2"/>
      <c r="N1964" s="2"/>
      <c r="AD1964" s="3"/>
      <c r="AH1964" s="3"/>
      <c r="AL1964" s="3"/>
    </row>
    <row r="1965" spans="12:38" x14ac:dyDescent="0.25">
      <c r="L1965" s="2"/>
      <c r="M1965" s="2"/>
      <c r="N1965" s="2"/>
      <c r="AD1965" s="3"/>
      <c r="AH1965" s="3"/>
      <c r="AL1965" s="3"/>
    </row>
    <row r="1966" spans="12:38" x14ac:dyDescent="0.25">
      <c r="L1966" s="2"/>
      <c r="M1966" s="2"/>
      <c r="N1966" s="2"/>
      <c r="AD1966" s="3"/>
      <c r="AH1966" s="3"/>
      <c r="AL1966" s="3"/>
    </row>
    <row r="1967" spans="12:38" x14ac:dyDescent="0.25">
      <c r="L1967" s="2"/>
      <c r="M1967" s="2"/>
      <c r="N1967" s="2"/>
      <c r="AD1967" s="3"/>
      <c r="AH1967" s="3"/>
      <c r="AL1967" s="3"/>
    </row>
    <row r="1968" spans="12:38" x14ac:dyDescent="0.25">
      <c r="L1968" s="2"/>
      <c r="M1968" s="2"/>
      <c r="N1968" s="2"/>
      <c r="AD1968" s="3"/>
      <c r="AH1968" s="3"/>
      <c r="AL1968" s="3"/>
    </row>
    <row r="1969" spans="12:38" x14ac:dyDescent="0.25">
      <c r="L1969" s="2"/>
      <c r="M1969" s="2"/>
      <c r="N1969" s="2"/>
      <c r="AD1969" s="3"/>
      <c r="AH1969" s="3"/>
      <c r="AL1969" s="3"/>
    </row>
    <row r="1970" spans="12:38" x14ac:dyDescent="0.25">
      <c r="L1970" s="2"/>
      <c r="M1970" s="2"/>
      <c r="N1970" s="2"/>
      <c r="AD1970" s="3"/>
      <c r="AH1970" s="3"/>
      <c r="AL1970" s="3"/>
    </row>
    <row r="1971" spans="12:38" x14ac:dyDescent="0.25">
      <c r="L1971" s="2"/>
      <c r="M1971" s="2"/>
      <c r="N1971" s="2"/>
      <c r="AD1971" s="3"/>
      <c r="AH1971" s="3"/>
      <c r="AL1971" s="3"/>
    </row>
    <row r="1972" spans="12:38" x14ac:dyDescent="0.25">
      <c r="L1972" s="2"/>
      <c r="M1972" s="2"/>
      <c r="N1972" s="2"/>
      <c r="AD1972" s="3"/>
      <c r="AH1972" s="3"/>
      <c r="AL1972" s="3"/>
    </row>
    <row r="1973" spans="12:38" x14ac:dyDescent="0.25">
      <c r="L1973" s="2"/>
      <c r="M1973" s="2"/>
      <c r="N1973" s="2"/>
      <c r="AD1973" s="3"/>
      <c r="AH1973" s="3"/>
      <c r="AL1973" s="3"/>
    </row>
    <row r="1974" spans="12:38" x14ac:dyDescent="0.25">
      <c r="L1974" s="2"/>
      <c r="M1974" s="2"/>
      <c r="N1974" s="2"/>
      <c r="AD1974" s="3"/>
      <c r="AH1974" s="3"/>
      <c r="AL1974" s="3"/>
    </row>
    <row r="1975" spans="12:38" x14ac:dyDescent="0.25">
      <c r="L1975" s="2"/>
      <c r="M1975" s="2"/>
      <c r="N1975" s="2"/>
      <c r="AD1975" s="3"/>
      <c r="AH1975" s="3"/>
      <c r="AL1975" s="3"/>
    </row>
    <row r="1976" spans="12:38" x14ac:dyDescent="0.25">
      <c r="L1976" s="2"/>
      <c r="M1976" s="2"/>
      <c r="N1976" s="2"/>
      <c r="AD1976" s="3"/>
      <c r="AH1976" s="3"/>
      <c r="AL1976" s="3"/>
    </row>
    <row r="1977" spans="12:38" x14ac:dyDescent="0.25">
      <c r="L1977" s="2"/>
      <c r="M1977" s="2"/>
      <c r="N1977" s="2"/>
      <c r="AD1977" s="3"/>
      <c r="AH1977" s="3"/>
      <c r="AL1977" s="3"/>
    </row>
    <row r="1978" spans="12:38" x14ac:dyDescent="0.25">
      <c r="L1978" s="2"/>
      <c r="M1978" s="2"/>
      <c r="N1978" s="2"/>
      <c r="AD1978" s="3"/>
      <c r="AH1978" s="3"/>
      <c r="AL1978" s="3"/>
    </row>
    <row r="1979" spans="12:38" x14ac:dyDescent="0.25">
      <c r="L1979" s="2"/>
      <c r="M1979" s="2"/>
      <c r="N1979" s="2"/>
      <c r="AD1979" s="3"/>
      <c r="AH1979" s="3"/>
      <c r="AL1979" s="3"/>
    </row>
    <row r="1980" spans="12:38" x14ac:dyDescent="0.25">
      <c r="L1980" s="2"/>
      <c r="M1980" s="2"/>
      <c r="N1980" s="2"/>
      <c r="AD1980" s="3"/>
      <c r="AH1980" s="3"/>
      <c r="AL1980" s="3"/>
    </row>
    <row r="1981" spans="12:38" x14ac:dyDescent="0.25">
      <c r="L1981" s="2"/>
      <c r="M1981" s="2"/>
      <c r="N1981" s="2"/>
      <c r="AD1981" s="3"/>
      <c r="AH1981" s="3"/>
      <c r="AL1981" s="3"/>
    </row>
    <row r="1982" spans="12:38" x14ac:dyDescent="0.25">
      <c r="L1982" s="2"/>
      <c r="M1982" s="2"/>
      <c r="N1982" s="2"/>
      <c r="AD1982" s="3"/>
      <c r="AH1982" s="3"/>
      <c r="AL1982" s="3"/>
    </row>
    <row r="1983" spans="12:38" x14ac:dyDescent="0.25">
      <c r="L1983" s="2"/>
      <c r="M1983" s="2"/>
      <c r="N1983" s="2"/>
      <c r="AD1983" s="3"/>
      <c r="AH1983" s="3"/>
      <c r="AL1983" s="3"/>
    </row>
    <row r="1984" spans="12:38" x14ac:dyDescent="0.25">
      <c r="L1984" s="2"/>
      <c r="M1984" s="2"/>
      <c r="N1984" s="2"/>
      <c r="AD1984" s="3"/>
      <c r="AH1984" s="3"/>
      <c r="AL1984" s="3"/>
    </row>
    <row r="1985" spans="12:38" x14ac:dyDescent="0.25">
      <c r="L1985" s="2"/>
      <c r="M1985" s="2"/>
      <c r="N1985" s="2"/>
      <c r="AD1985" s="3"/>
      <c r="AH1985" s="3"/>
      <c r="AL1985" s="3"/>
    </row>
    <row r="1986" spans="12:38" x14ac:dyDescent="0.25">
      <c r="L1986" s="2"/>
      <c r="M1986" s="2"/>
      <c r="N1986" s="2"/>
      <c r="AD1986" s="3"/>
      <c r="AH1986" s="3"/>
      <c r="AL1986" s="3"/>
    </row>
    <row r="1987" spans="12:38" x14ac:dyDescent="0.25">
      <c r="L1987" s="2"/>
      <c r="M1987" s="2"/>
      <c r="N1987" s="2"/>
      <c r="AD1987" s="3"/>
      <c r="AH1987" s="3"/>
      <c r="AL1987" s="3"/>
    </row>
    <row r="1988" spans="12:38" x14ac:dyDescent="0.25">
      <c r="L1988" s="2"/>
      <c r="M1988" s="2"/>
      <c r="N1988" s="2"/>
      <c r="AD1988" s="3"/>
      <c r="AH1988" s="3"/>
      <c r="AL1988" s="3"/>
    </row>
    <row r="1989" spans="12:38" x14ac:dyDescent="0.25">
      <c r="L1989" s="2"/>
      <c r="M1989" s="2"/>
      <c r="N1989" s="2"/>
      <c r="AD1989" s="3"/>
      <c r="AH1989" s="3"/>
      <c r="AL1989" s="3"/>
    </row>
    <row r="1990" spans="12:38" x14ac:dyDescent="0.25">
      <c r="L1990" s="2"/>
      <c r="M1990" s="2"/>
      <c r="N1990" s="2"/>
      <c r="AD1990" s="3"/>
      <c r="AH1990" s="3"/>
      <c r="AL1990" s="3"/>
    </row>
    <row r="1991" spans="12:38" x14ac:dyDescent="0.25">
      <c r="L1991" s="2"/>
      <c r="M1991" s="2"/>
      <c r="N1991" s="2"/>
      <c r="AD1991" s="3"/>
      <c r="AH1991" s="3"/>
      <c r="AL1991" s="3"/>
    </row>
    <row r="1992" spans="12:38" x14ac:dyDescent="0.25">
      <c r="L1992" s="2"/>
      <c r="M1992" s="2"/>
      <c r="N1992" s="2"/>
      <c r="AD1992" s="3"/>
      <c r="AH1992" s="3"/>
      <c r="AL1992" s="3"/>
    </row>
    <row r="1993" spans="12:38" x14ac:dyDescent="0.25">
      <c r="L1993" s="2"/>
      <c r="M1993" s="2"/>
      <c r="N1993" s="2"/>
      <c r="AD1993" s="3"/>
      <c r="AH1993" s="3"/>
      <c r="AL1993" s="3"/>
    </row>
    <row r="1994" spans="12:38" x14ac:dyDescent="0.25">
      <c r="L1994" s="2"/>
      <c r="M1994" s="2"/>
      <c r="N1994" s="2"/>
      <c r="AD1994" s="3"/>
      <c r="AH1994" s="3"/>
      <c r="AL1994" s="3"/>
    </row>
    <row r="1995" spans="12:38" x14ac:dyDescent="0.25">
      <c r="L1995" s="2"/>
      <c r="M1995" s="2"/>
      <c r="N1995" s="2"/>
      <c r="AD1995" s="3"/>
      <c r="AH1995" s="3"/>
      <c r="AL1995" s="3"/>
    </row>
    <row r="1996" spans="12:38" x14ac:dyDescent="0.25">
      <c r="L1996" s="2"/>
      <c r="M1996" s="2"/>
      <c r="N1996" s="2"/>
      <c r="AD1996" s="3"/>
      <c r="AH1996" s="3"/>
      <c r="AL1996" s="3"/>
    </row>
    <row r="1997" spans="12:38" x14ac:dyDescent="0.25">
      <c r="L1997" s="2"/>
      <c r="M1997" s="2"/>
      <c r="N1997" s="2"/>
      <c r="AD1997" s="3"/>
      <c r="AH1997" s="3"/>
      <c r="AL1997" s="3"/>
    </row>
    <row r="1998" spans="12:38" x14ac:dyDescent="0.25">
      <c r="L1998" s="2"/>
      <c r="M1998" s="2"/>
      <c r="N1998" s="2"/>
      <c r="AD1998" s="3"/>
      <c r="AH1998" s="3"/>
      <c r="AL1998" s="3"/>
    </row>
    <row r="1999" spans="12:38" x14ac:dyDescent="0.25">
      <c r="L1999" s="2"/>
      <c r="M1999" s="2"/>
      <c r="N1999" s="2"/>
      <c r="AD1999" s="3"/>
      <c r="AH1999" s="3"/>
      <c r="AL1999" s="3"/>
    </row>
    <row r="2000" spans="12:38" x14ac:dyDescent="0.25">
      <c r="L2000" s="2"/>
      <c r="M2000" s="2"/>
      <c r="N2000" s="2"/>
      <c r="AD2000" s="3"/>
      <c r="AH2000" s="3"/>
      <c r="AL2000" s="3"/>
    </row>
    <row r="2001" spans="12:38" x14ac:dyDescent="0.25">
      <c r="L2001" s="2"/>
      <c r="M2001" s="2"/>
      <c r="N2001" s="2"/>
      <c r="AD2001" s="3"/>
      <c r="AH2001" s="3"/>
      <c r="AL2001" s="3"/>
    </row>
    <row r="2002" spans="12:38" x14ac:dyDescent="0.25">
      <c r="L2002" s="2"/>
      <c r="M2002" s="2"/>
      <c r="N2002" s="2"/>
      <c r="AD2002" s="3"/>
      <c r="AH2002" s="3"/>
      <c r="AL2002" s="3"/>
    </row>
    <row r="2003" spans="12:38" x14ac:dyDescent="0.25">
      <c r="L2003" s="2"/>
      <c r="M2003" s="2"/>
      <c r="N2003" s="2"/>
      <c r="AD2003" s="3"/>
      <c r="AH2003" s="3"/>
      <c r="AL2003" s="3"/>
    </row>
    <row r="2004" spans="12:38" x14ac:dyDescent="0.25">
      <c r="L2004" s="2"/>
      <c r="M2004" s="2"/>
      <c r="N2004" s="2"/>
      <c r="AD2004" s="3"/>
      <c r="AH2004" s="3"/>
      <c r="AL2004" s="3"/>
    </row>
    <row r="2005" spans="12:38" x14ac:dyDescent="0.25">
      <c r="L2005" s="2"/>
      <c r="M2005" s="2"/>
      <c r="N2005" s="2"/>
      <c r="AD2005" s="3"/>
      <c r="AH2005" s="3"/>
      <c r="AL2005" s="3"/>
    </row>
    <row r="2006" spans="12:38" x14ac:dyDescent="0.25">
      <c r="L2006" s="2"/>
      <c r="M2006" s="2"/>
      <c r="N2006" s="2"/>
      <c r="AD2006" s="3"/>
      <c r="AH2006" s="3"/>
      <c r="AL2006" s="3"/>
    </row>
    <row r="2007" spans="12:38" x14ac:dyDescent="0.25">
      <c r="L2007" s="2"/>
      <c r="M2007" s="2"/>
      <c r="N2007" s="2"/>
      <c r="AD2007" s="3"/>
      <c r="AH2007" s="3"/>
      <c r="AL2007" s="3"/>
    </row>
    <row r="2008" spans="12:38" x14ac:dyDescent="0.25">
      <c r="L2008" s="2"/>
      <c r="M2008" s="2"/>
      <c r="N2008" s="2"/>
      <c r="AD2008" s="3"/>
      <c r="AH2008" s="3"/>
      <c r="AL2008" s="3"/>
    </row>
    <row r="2009" spans="12:38" x14ac:dyDescent="0.25">
      <c r="L2009" s="2"/>
      <c r="M2009" s="2"/>
      <c r="N2009" s="2"/>
      <c r="AD2009" s="3"/>
      <c r="AH2009" s="3"/>
      <c r="AL2009" s="3"/>
    </row>
    <row r="2010" spans="12:38" x14ac:dyDescent="0.25">
      <c r="L2010" s="2"/>
      <c r="M2010" s="2"/>
      <c r="N2010" s="2"/>
      <c r="AD2010" s="3"/>
      <c r="AH2010" s="3"/>
      <c r="AL2010" s="3"/>
    </row>
    <row r="2011" spans="12:38" x14ac:dyDescent="0.25">
      <c r="L2011" s="2"/>
      <c r="M2011" s="2"/>
      <c r="N2011" s="2"/>
      <c r="AD2011" s="3"/>
      <c r="AH2011" s="3"/>
      <c r="AL2011" s="3"/>
    </row>
    <row r="2012" spans="12:38" x14ac:dyDescent="0.25">
      <c r="L2012" s="2"/>
      <c r="M2012" s="2"/>
      <c r="N2012" s="2"/>
      <c r="AD2012" s="3"/>
      <c r="AH2012" s="3"/>
      <c r="AL2012" s="3"/>
    </row>
    <row r="2013" spans="12:38" x14ac:dyDescent="0.25">
      <c r="L2013" s="2"/>
      <c r="M2013" s="2"/>
      <c r="N2013" s="2"/>
      <c r="AD2013" s="3"/>
      <c r="AH2013" s="3"/>
      <c r="AL2013" s="3"/>
    </row>
    <row r="2014" spans="12:38" x14ac:dyDescent="0.25">
      <c r="L2014" s="2"/>
      <c r="M2014" s="2"/>
      <c r="N2014" s="2"/>
      <c r="AD2014" s="3"/>
      <c r="AH2014" s="3"/>
      <c r="AL2014" s="3"/>
    </row>
    <row r="2015" spans="12:38" x14ac:dyDescent="0.25">
      <c r="L2015" s="2"/>
      <c r="M2015" s="2"/>
      <c r="N2015" s="2"/>
      <c r="AD2015" s="3"/>
      <c r="AH2015" s="3"/>
      <c r="AL2015" s="3"/>
    </row>
    <row r="2016" spans="12:38" x14ac:dyDescent="0.25">
      <c r="L2016" s="2"/>
      <c r="M2016" s="2"/>
      <c r="N2016" s="2"/>
      <c r="AD2016" s="3"/>
      <c r="AH2016" s="3"/>
      <c r="AL2016" s="3"/>
    </row>
    <row r="2017" spans="12:38" x14ac:dyDescent="0.25">
      <c r="L2017" s="2"/>
      <c r="M2017" s="2"/>
      <c r="N2017" s="2"/>
      <c r="AD2017" s="3"/>
      <c r="AH2017" s="3"/>
      <c r="AL2017" s="3"/>
    </row>
    <row r="2018" spans="12:38" x14ac:dyDescent="0.25">
      <c r="L2018" s="2"/>
      <c r="M2018" s="2"/>
      <c r="N2018" s="2"/>
      <c r="AD2018" s="3"/>
      <c r="AH2018" s="3"/>
      <c r="AL2018" s="3"/>
    </row>
    <row r="2019" spans="12:38" x14ac:dyDescent="0.25">
      <c r="L2019" s="2"/>
      <c r="M2019" s="2"/>
      <c r="N2019" s="2"/>
      <c r="AD2019" s="3"/>
      <c r="AH2019" s="3"/>
      <c r="AL2019" s="3"/>
    </row>
    <row r="2020" spans="12:38" x14ac:dyDescent="0.25">
      <c r="L2020" s="2"/>
      <c r="M2020" s="2"/>
      <c r="N2020" s="2"/>
      <c r="AD2020" s="3"/>
      <c r="AH2020" s="3"/>
      <c r="AL2020" s="3"/>
    </row>
    <row r="2021" spans="12:38" x14ac:dyDescent="0.25">
      <c r="L2021" s="2"/>
      <c r="M2021" s="2"/>
      <c r="N2021" s="2"/>
      <c r="AD2021" s="3"/>
      <c r="AH2021" s="3"/>
      <c r="AL2021" s="3"/>
    </row>
    <row r="2022" spans="12:38" x14ac:dyDescent="0.25">
      <c r="L2022" s="2"/>
      <c r="M2022" s="2"/>
      <c r="N2022" s="2"/>
      <c r="AD2022" s="3"/>
      <c r="AH2022" s="3"/>
      <c r="AL2022" s="3"/>
    </row>
    <row r="2023" spans="12:38" x14ac:dyDescent="0.25">
      <c r="L2023" s="2"/>
      <c r="M2023" s="2"/>
      <c r="N2023" s="2"/>
      <c r="AD2023" s="3"/>
      <c r="AH2023" s="3"/>
      <c r="AL2023" s="3"/>
    </row>
    <row r="2024" spans="12:38" x14ac:dyDescent="0.25">
      <c r="L2024" s="2"/>
      <c r="M2024" s="2"/>
      <c r="N2024" s="2"/>
      <c r="AD2024" s="3"/>
      <c r="AH2024" s="3"/>
      <c r="AL2024" s="3"/>
    </row>
    <row r="2025" spans="12:38" x14ac:dyDescent="0.25">
      <c r="L2025" s="2"/>
      <c r="M2025" s="2"/>
      <c r="N2025" s="2"/>
      <c r="AD2025" s="3"/>
      <c r="AH2025" s="3"/>
      <c r="AL2025" s="3"/>
    </row>
    <row r="2026" spans="12:38" x14ac:dyDescent="0.25">
      <c r="L2026" s="2"/>
      <c r="M2026" s="2"/>
      <c r="N2026" s="2"/>
      <c r="AD2026" s="3"/>
      <c r="AH2026" s="3"/>
      <c r="AL2026" s="3"/>
    </row>
    <row r="2027" spans="12:38" x14ac:dyDescent="0.25">
      <c r="L2027" s="2"/>
      <c r="M2027" s="2"/>
      <c r="N2027" s="2"/>
      <c r="AD2027" s="3"/>
      <c r="AH2027" s="3"/>
      <c r="AL2027" s="3"/>
    </row>
    <row r="2028" spans="12:38" x14ac:dyDescent="0.25">
      <c r="L2028" s="2"/>
      <c r="M2028" s="2"/>
      <c r="N2028" s="2"/>
      <c r="AD2028" s="3"/>
      <c r="AH2028" s="3"/>
      <c r="AL2028" s="3"/>
    </row>
    <row r="2029" spans="12:38" x14ac:dyDescent="0.25">
      <c r="L2029" s="2"/>
      <c r="M2029" s="2"/>
      <c r="N2029" s="2"/>
      <c r="AD2029" s="3"/>
      <c r="AH2029" s="3"/>
      <c r="AL2029" s="3"/>
    </row>
    <row r="2030" spans="12:38" x14ac:dyDescent="0.25">
      <c r="L2030" s="2"/>
      <c r="M2030" s="2"/>
      <c r="N2030" s="2"/>
      <c r="AD2030" s="3"/>
      <c r="AH2030" s="3"/>
      <c r="AL2030" s="3"/>
    </row>
    <row r="2031" spans="12:38" x14ac:dyDescent="0.25">
      <c r="L2031" s="2"/>
      <c r="M2031" s="2"/>
      <c r="N2031" s="2"/>
      <c r="AD2031" s="3"/>
      <c r="AH2031" s="3"/>
      <c r="AL2031" s="3"/>
    </row>
    <row r="2032" spans="12:38" x14ac:dyDescent="0.25">
      <c r="L2032" s="2"/>
      <c r="M2032" s="2"/>
      <c r="N2032" s="2"/>
      <c r="AD2032" s="3"/>
      <c r="AH2032" s="3"/>
      <c r="AL2032" s="3"/>
    </row>
    <row r="2033" spans="12:38" x14ac:dyDescent="0.25">
      <c r="L2033" s="2"/>
      <c r="M2033" s="2"/>
      <c r="N2033" s="2"/>
      <c r="AD2033" s="3"/>
      <c r="AH2033" s="3"/>
      <c r="AL2033" s="3"/>
    </row>
    <row r="2034" spans="12:38" x14ac:dyDescent="0.25">
      <c r="L2034" s="2"/>
      <c r="M2034" s="2"/>
      <c r="N2034" s="2"/>
      <c r="AD2034" s="3"/>
      <c r="AH2034" s="3"/>
      <c r="AL2034" s="3"/>
    </row>
    <row r="2035" spans="12:38" x14ac:dyDescent="0.25">
      <c r="L2035" s="2"/>
      <c r="M2035" s="2"/>
      <c r="N2035" s="2"/>
      <c r="AD2035" s="3"/>
      <c r="AH2035" s="3"/>
      <c r="AL2035" s="3"/>
    </row>
    <row r="2036" spans="12:38" x14ac:dyDescent="0.25">
      <c r="L2036" s="2"/>
      <c r="M2036" s="2"/>
      <c r="N2036" s="2"/>
      <c r="AD2036" s="3"/>
      <c r="AH2036" s="3"/>
      <c r="AL2036" s="3"/>
    </row>
    <row r="2037" spans="12:38" x14ac:dyDescent="0.25">
      <c r="L2037" s="2"/>
      <c r="M2037" s="2"/>
      <c r="N2037" s="2"/>
      <c r="AD2037" s="3"/>
      <c r="AH2037" s="3"/>
      <c r="AL2037" s="3"/>
    </row>
    <row r="2038" spans="12:38" x14ac:dyDescent="0.25">
      <c r="L2038" s="2"/>
      <c r="M2038" s="2"/>
      <c r="N2038" s="2"/>
      <c r="AD2038" s="3"/>
      <c r="AH2038" s="3"/>
      <c r="AL2038" s="3"/>
    </row>
    <row r="2039" spans="12:38" x14ac:dyDescent="0.25">
      <c r="L2039" s="2"/>
      <c r="M2039" s="2"/>
      <c r="N2039" s="2"/>
      <c r="AD2039" s="3"/>
      <c r="AH2039" s="3"/>
      <c r="AL2039" s="3"/>
    </row>
    <row r="2040" spans="12:38" x14ac:dyDescent="0.25">
      <c r="L2040" s="2"/>
      <c r="M2040" s="2"/>
      <c r="N2040" s="2"/>
      <c r="AD2040" s="3"/>
      <c r="AH2040" s="3"/>
      <c r="AL2040" s="3"/>
    </row>
    <row r="2041" spans="12:38" x14ac:dyDescent="0.25">
      <c r="L2041" s="2"/>
      <c r="M2041" s="2"/>
      <c r="N2041" s="2"/>
      <c r="AD2041" s="3"/>
      <c r="AH2041" s="3"/>
      <c r="AL2041" s="3"/>
    </row>
    <row r="2042" spans="12:38" x14ac:dyDescent="0.25">
      <c r="L2042" s="2"/>
      <c r="M2042" s="2"/>
      <c r="N2042" s="2"/>
      <c r="AD2042" s="3"/>
      <c r="AH2042" s="3"/>
      <c r="AL2042" s="3"/>
    </row>
    <row r="2043" spans="12:38" x14ac:dyDescent="0.25">
      <c r="L2043" s="2"/>
      <c r="M2043" s="2"/>
      <c r="N2043" s="2"/>
      <c r="AD2043" s="3"/>
      <c r="AH2043" s="3"/>
      <c r="AL2043" s="3"/>
    </row>
    <row r="2044" spans="12:38" x14ac:dyDescent="0.25">
      <c r="L2044" s="2"/>
      <c r="M2044" s="2"/>
      <c r="N2044" s="2"/>
      <c r="AD2044" s="3"/>
      <c r="AH2044" s="3"/>
      <c r="AL2044" s="3"/>
    </row>
    <row r="2045" spans="12:38" x14ac:dyDescent="0.25">
      <c r="L2045" s="2"/>
      <c r="M2045" s="2"/>
      <c r="N2045" s="2"/>
      <c r="AD2045" s="3"/>
      <c r="AH2045" s="3"/>
      <c r="AL2045" s="3"/>
    </row>
    <row r="2046" spans="12:38" x14ac:dyDescent="0.25">
      <c r="L2046" s="2"/>
      <c r="M2046" s="2"/>
      <c r="N2046" s="2"/>
      <c r="AD2046" s="3"/>
      <c r="AH2046" s="3"/>
      <c r="AL2046" s="3"/>
    </row>
    <row r="2047" spans="12:38" x14ac:dyDescent="0.25">
      <c r="L2047" s="2"/>
      <c r="M2047" s="2"/>
      <c r="N2047" s="2"/>
      <c r="AD2047" s="3"/>
      <c r="AH2047" s="3"/>
      <c r="AL2047" s="3"/>
    </row>
    <row r="2048" spans="12:38" x14ac:dyDescent="0.25">
      <c r="L2048" s="2"/>
      <c r="M2048" s="2"/>
      <c r="N2048" s="2"/>
      <c r="AD2048" s="3"/>
      <c r="AH2048" s="3"/>
      <c r="AL2048" s="3"/>
    </row>
    <row r="2049" spans="12:38" x14ac:dyDescent="0.25">
      <c r="L2049" s="2"/>
      <c r="M2049" s="2"/>
      <c r="N2049" s="2"/>
      <c r="AD2049" s="3"/>
      <c r="AH2049" s="3"/>
      <c r="AL2049" s="3"/>
    </row>
    <row r="2050" spans="12:38" x14ac:dyDescent="0.25">
      <c r="L2050" s="2"/>
      <c r="M2050" s="2"/>
      <c r="N2050" s="2"/>
      <c r="AD2050" s="3"/>
      <c r="AH2050" s="3"/>
      <c r="AL2050" s="3"/>
    </row>
    <row r="2051" spans="12:38" x14ac:dyDescent="0.25">
      <c r="L2051" s="2"/>
      <c r="M2051" s="2"/>
      <c r="N2051" s="2"/>
      <c r="AD2051" s="3"/>
      <c r="AH2051" s="3"/>
      <c r="AL2051" s="3"/>
    </row>
    <row r="2052" spans="12:38" x14ac:dyDescent="0.25">
      <c r="L2052" s="2"/>
      <c r="M2052" s="2"/>
      <c r="N2052" s="2"/>
      <c r="AD2052" s="3"/>
      <c r="AH2052" s="3"/>
      <c r="AL2052" s="3"/>
    </row>
    <row r="2053" spans="12:38" x14ac:dyDescent="0.25">
      <c r="L2053" s="2"/>
      <c r="M2053" s="2"/>
      <c r="N2053" s="2"/>
      <c r="AD2053" s="3"/>
      <c r="AH2053" s="3"/>
      <c r="AL2053" s="3"/>
    </row>
    <row r="2054" spans="12:38" x14ac:dyDescent="0.25">
      <c r="L2054" s="2"/>
      <c r="M2054" s="2"/>
      <c r="N2054" s="2"/>
      <c r="AD2054" s="3"/>
      <c r="AH2054" s="3"/>
      <c r="AL2054" s="3"/>
    </row>
    <row r="2055" spans="12:38" x14ac:dyDescent="0.25">
      <c r="L2055" s="2"/>
      <c r="M2055" s="2"/>
      <c r="N2055" s="2"/>
      <c r="AD2055" s="3"/>
      <c r="AH2055" s="3"/>
      <c r="AL2055" s="3"/>
    </row>
    <row r="2056" spans="12:38" x14ac:dyDescent="0.25">
      <c r="L2056" s="2"/>
      <c r="M2056" s="2"/>
      <c r="N2056" s="2"/>
      <c r="AD2056" s="3"/>
      <c r="AH2056" s="3"/>
      <c r="AL2056" s="3"/>
    </row>
    <row r="2057" spans="12:38" x14ac:dyDescent="0.25">
      <c r="L2057" s="2"/>
      <c r="M2057" s="2"/>
      <c r="N2057" s="2"/>
      <c r="AD2057" s="3"/>
      <c r="AH2057" s="3"/>
      <c r="AL2057" s="3"/>
    </row>
    <row r="2058" spans="12:38" x14ac:dyDescent="0.25">
      <c r="L2058" s="2"/>
      <c r="M2058" s="2"/>
      <c r="N2058" s="2"/>
      <c r="AD2058" s="3"/>
      <c r="AH2058" s="3"/>
      <c r="AL2058" s="3"/>
    </row>
    <row r="2059" spans="12:38" x14ac:dyDescent="0.25">
      <c r="L2059" s="2"/>
      <c r="M2059" s="2"/>
      <c r="N2059" s="2"/>
      <c r="AD2059" s="3"/>
      <c r="AH2059" s="3"/>
      <c r="AL2059" s="3"/>
    </row>
    <row r="2060" spans="12:38" x14ac:dyDescent="0.25">
      <c r="L2060" s="2"/>
      <c r="M2060" s="2"/>
      <c r="N2060" s="2"/>
      <c r="AD2060" s="3"/>
      <c r="AH2060" s="3"/>
      <c r="AL2060" s="3"/>
    </row>
    <row r="2061" spans="12:38" x14ac:dyDescent="0.25">
      <c r="L2061" s="2"/>
      <c r="M2061" s="2"/>
      <c r="N2061" s="2"/>
      <c r="AD2061" s="3"/>
      <c r="AH2061" s="3"/>
      <c r="AL2061" s="3"/>
    </row>
    <row r="2062" spans="12:38" x14ac:dyDescent="0.25">
      <c r="L2062" s="2"/>
      <c r="M2062" s="2"/>
      <c r="N2062" s="2"/>
      <c r="AD2062" s="3"/>
      <c r="AH2062" s="3"/>
      <c r="AL2062" s="3"/>
    </row>
    <row r="2063" spans="12:38" x14ac:dyDescent="0.25">
      <c r="L2063" s="2"/>
      <c r="M2063" s="2"/>
      <c r="N2063" s="2"/>
      <c r="AD2063" s="3"/>
      <c r="AH2063" s="3"/>
      <c r="AL2063" s="3"/>
    </row>
    <row r="2064" spans="12:38" x14ac:dyDescent="0.25">
      <c r="L2064" s="2"/>
      <c r="M2064" s="2"/>
      <c r="N2064" s="2"/>
      <c r="AD2064" s="3"/>
      <c r="AH2064" s="3"/>
      <c r="AL2064" s="3"/>
    </row>
    <row r="2065" spans="12:38" x14ac:dyDescent="0.25">
      <c r="L2065" s="2"/>
      <c r="M2065" s="2"/>
      <c r="N2065" s="2"/>
      <c r="AD2065" s="3"/>
      <c r="AH2065" s="3"/>
      <c r="AL2065" s="3"/>
    </row>
    <row r="2066" spans="12:38" x14ac:dyDescent="0.25">
      <c r="L2066" s="2"/>
      <c r="M2066" s="2"/>
      <c r="N2066" s="2"/>
      <c r="AD2066" s="3"/>
      <c r="AH2066" s="3"/>
      <c r="AL2066" s="3"/>
    </row>
    <row r="2067" spans="12:38" x14ac:dyDescent="0.25">
      <c r="L2067" s="2"/>
      <c r="M2067" s="2"/>
      <c r="N2067" s="2"/>
      <c r="AD2067" s="3"/>
      <c r="AH2067" s="3"/>
      <c r="AL2067" s="3"/>
    </row>
    <row r="2068" spans="12:38" x14ac:dyDescent="0.25">
      <c r="L2068" s="2"/>
      <c r="M2068" s="2"/>
      <c r="N2068" s="2"/>
      <c r="AD2068" s="3"/>
      <c r="AH2068" s="3"/>
      <c r="AL2068" s="3"/>
    </row>
    <row r="2069" spans="12:38" x14ac:dyDescent="0.25">
      <c r="L2069" s="2"/>
      <c r="M2069" s="2"/>
      <c r="N2069" s="2"/>
      <c r="AD2069" s="3"/>
      <c r="AH2069" s="3"/>
      <c r="AL2069" s="3"/>
    </row>
    <row r="2070" spans="12:38" x14ac:dyDescent="0.25">
      <c r="L2070" s="2"/>
      <c r="M2070" s="2"/>
      <c r="N2070" s="2"/>
      <c r="AD2070" s="3"/>
      <c r="AH2070" s="3"/>
      <c r="AL2070" s="3"/>
    </row>
    <row r="2071" spans="12:38" x14ac:dyDescent="0.25">
      <c r="L2071" s="2"/>
      <c r="M2071" s="2"/>
      <c r="N2071" s="2"/>
      <c r="AD2071" s="3"/>
      <c r="AH2071" s="3"/>
      <c r="AL2071" s="3"/>
    </row>
    <row r="2072" spans="12:38" x14ac:dyDescent="0.25">
      <c r="L2072" s="2"/>
      <c r="M2072" s="2"/>
      <c r="N2072" s="2"/>
      <c r="AD2072" s="3"/>
      <c r="AH2072" s="3"/>
      <c r="AL2072" s="3"/>
    </row>
    <row r="2073" spans="12:38" x14ac:dyDescent="0.25">
      <c r="L2073" s="2"/>
      <c r="M2073" s="2"/>
      <c r="N2073" s="2"/>
      <c r="AD2073" s="3"/>
      <c r="AH2073" s="3"/>
      <c r="AL2073" s="3"/>
    </row>
    <row r="2074" spans="12:38" x14ac:dyDescent="0.25">
      <c r="L2074" s="2"/>
      <c r="M2074" s="2"/>
      <c r="N2074" s="2"/>
      <c r="AD2074" s="3"/>
      <c r="AH2074" s="3"/>
      <c r="AL2074" s="3"/>
    </row>
    <row r="2075" spans="12:38" x14ac:dyDescent="0.25">
      <c r="L2075" s="2"/>
      <c r="M2075" s="2"/>
      <c r="N2075" s="2"/>
      <c r="AD2075" s="3"/>
      <c r="AH2075" s="3"/>
      <c r="AL2075" s="3"/>
    </row>
    <row r="2076" spans="12:38" x14ac:dyDescent="0.25">
      <c r="L2076" s="2"/>
      <c r="M2076" s="2"/>
      <c r="N2076" s="2"/>
      <c r="AD2076" s="3"/>
      <c r="AH2076" s="3"/>
      <c r="AL2076" s="3"/>
    </row>
    <row r="2077" spans="12:38" x14ac:dyDescent="0.25">
      <c r="L2077" s="2"/>
      <c r="M2077" s="2"/>
      <c r="N2077" s="2"/>
      <c r="AD2077" s="3"/>
      <c r="AH2077" s="3"/>
      <c r="AL2077" s="3"/>
    </row>
    <row r="2078" spans="12:38" x14ac:dyDescent="0.25">
      <c r="L2078" s="2"/>
      <c r="M2078" s="2"/>
      <c r="N2078" s="2"/>
      <c r="AD2078" s="3"/>
      <c r="AH2078" s="3"/>
      <c r="AL2078" s="3"/>
    </row>
    <row r="2079" spans="12:38" x14ac:dyDescent="0.25">
      <c r="L2079" s="2"/>
      <c r="M2079" s="2"/>
      <c r="N2079" s="2"/>
      <c r="AD2079" s="3"/>
      <c r="AH2079" s="3"/>
      <c r="AL2079" s="3"/>
    </row>
    <row r="2080" spans="12:38" x14ac:dyDescent="0.25">
      <c r="L2080" s="2"/>
      <c r="M2080" s="2"/>
      <c r="N2080" s="2"/>
      <c r="AD2080" s="3"/>
      <c r="AH2080" s="3"/>
      <c r="AL2080" s="3"/>
    </row>
    <row r="2081" spans="12:38" x14ac:dyDescent="0.25">
      <c r="L2081" s="2"/>
      <c r="M2081" s="2"/>
      <c r="N2081" s="2"/>
      <c r="AD2081" s="3"/>
      <c r="AH2081" s="3"/>
      <c r="AL2081" s="3"/>
    </row>
    <row r="2082" spans="12:38" x14ac:dyDescent="0.25">
      <c r="L2082" s="2"/>
      <c r="M2082" s="2"/>
      <c r="N2082" s="2"/>
      <c r="AD2082" s="3"/>
      <c r="AH2082" s="3"/>
      <c r="AL2082" s="3"/>
    </row>
    <row r="2083" spans="12:38" x14ac:dyDescent="0.25">
      <c r="L2083" s="2"/>
      <c r="M2083" s="2"/>
      <c r="N2083" s="2"/>
      <c r="AD2083" s="3"/>
      <c r="AH2083" s="3"/>
      <c r="AL2083" s="3"/>
    </row>
    <row r="2084" spans="12:38" x14ac:dyDescent="0.25">
      <c r="L2084" s="2"/>
      <c r="M2084" s="2"/>
      <c r="N2084" s="2"/>
      <c r="AD2084" s="3"/>
      <c r="AH2084" s="3"/>
      <c r="AL2084" s="3"/>
    </row>
    <row r="2085" spans="12:38" x14ac:dyDescent="0.25">
      <c r="L2085" s="2"/>
      <c r="M2085" s="2"/>
      <c r="N2085" s="2"/>
      <c r="AD2085" s="3"/>
      <c r="AH2085" s="3"/>
      <c r="AL2085" s="3"/>
    </row>
    <row r="2086" spans="12:38" x14ac:dyDescent="0.25">
      <c r="L2086" s="2"/>
      <c r="M2086" s="2"/>
      <c r="N2086" s="2"/>
      <c r="AD2086" s="3"/>
      <c r="AH2086" s="3"/>
      <c r="AL2086" s="3"/>
    </row>
    <row r="2087" spans="12:38" x14ac:dyDescent="0.25">
      <c r="L2087" s="2"/>
      <c r="M2087" s="2"/>
      <c r="N2087" s="2"/>
      <c r="AD2087" s="3"/>
      <c r="AH2087" s="3"/>
      <c r="AL2087" s="3"/>
    </row>
    <row r="2088" spans="12:38" x14ac:dyDescent="0.25">
      <c r="L2088" s="2"/>
      <c r="M2088" s="2"/>
      <c r="N2088" s="2"/>
      <c r="AD2088" s="3"/>
      <c r="AH2088" s="3"/>
      <c r="AL2088" s="3"/>
    </row>
    <row r="2089" spans="12:38" x14ac:dyDescent="0.25">
      <c r="L2089" s="2"/>
      <c r="M2089" s="2"/>
      <c r="N2089" s="2"/>
      <c r="AD2089" s="3"/>
      <c r="AH2089" s="3"/>
      <c r="AL2089" s="3"/>
    </row>
    <row r="2090" spans="12:38" x14ac:dyDescent="0.25">
      <c r="L2090" s="2"/>
      <c r="M2090" s="2"/>
      <c r="N2090" s="2"/>
      <c r="AD2090" s="3"/>
      <c r="AH2090" s="3"/>
      <c r="AL2090" s="3"/>
    </row>
    <row r="2091" spans="12:38" x14ac:dyDescent="0.25">
      <c r="L2091" s="2"/>
      <c r="M2091" s="2"/>
      <c r="N2091" s="2"/>
      <c r="AD2091" s="3"/>
      <c r="AH2091" s="3"/>
      <c r="AL2091" s="3"/>
    </row>
    <row r="2092" spans="12:38" x14ac:dyDescent="0.25">
      <c r="L2092" s="2"/>
      <c r="M2092" s="2"/>
      <c r="N2092" s="2"/>
      <c r="AD2092" s="3"/>
      <c r="AH2092" s="3"/>
      <c r="AL2092" s="3"/>
    </row>
    <row r="2093" spans="12:38" x14ac:dyDescent="0.25">
      <c r="L2093" s="2"/>
      <c r="M2093" s="2"/>
      <c r="N2093" s="2"/>
      <c r="AD2093" s="3"/>
      <c r="AH2093" s="3"/>
      <c r="AL2093" s="3"/>
    </row>
    <row r="2094" spans="12:38" x14ac:dyDescent="0.25">
      <c r="L2094" s="2"/>
      <c r="M2094" s="2"/>
      <c r="N2094" s="2"/>
      <c r="AD2094" s="3"/>
      <c r="AH2094" s="3"/>
      <c r="AL2094" s="3"/>
    </row>
    <row r="2095" spans="12:38" x14ac:dyDescent="0.25">
      <c r="L2095" s="2"/>
      <c r="M2095" s="2"/>
      <c r="N2095" s="2"/>
      <c r="AD2095" s="3"/>
      <c r="AH2095" s="3"/>
      <c r="AL2095" s="3"/>
    </row>
    <row r="2096" spans="12:38" x14ac:dyDescent="0.25">
      <c r="L2096" s="2"/>
      <c r="M2096" s="2"/>
      <c r="N2096" s="2"/>
      <c r="AD2096" s="3"/>
      <c r="AH2096" s="3"/>
      <c r="AL2096" s="3"/>
    </row>
    <row r="2097" spans="12:38" x14ac:dyDescent="0.25">
      <c r="L2097" s="2"/>
      <c r="M2097" s="2"/>
      <c r="N2097" s="2"/>
      <c r="AD2097" s="3"/>
      <c r="AH2097" s="3"/>
      <c r="AL2097" s="3"/>
    </row>
    <row r="2098" spans="12:38" x14ac:dyDescent="0.25">
      <c r="L2098" s="2"/>
      <c r="M2098" s="2"/>
      <c r="N2098" s="2"/>
      <c r="AD2098" s="3"/>
      <c r="AH2098" s="3"/>
      <c r="AL2098" s="3"/>
    </row>
    <row r="2099" spans="12:38" x14ac:dyDescent="0.25">
      <c r="L2099" s="2"/>
      <c r="M2099" s="2"/>
      <c r="N2099" s="2"/>
      <c r="AD2099" s="3"/>
      <c r="AH2099" s="3"/>
      <c r="AL2099" s="3"/>
    </row>
    <row r="2100" spans="12:38" x14ac:dyDescent="0.25">
      <c r="L2100" s="2"/>
      <c r="M2100" s="2"/>
      <c r="N2100" s="2"/>
      <c r="AD2100" s="3"/>
      <c r="AH2100" s="3"/>
      <c r="AL2100" s="3"/>
    </row>
    <row r="2101" spans="12:38" x14ac:dyDescent="0.25">
      <c r="L2101" s="2"/>
      <c r="M2101" s="2"/>
      <c r="N2101" s="2"/>
      <c r="AD2101" s="3"/>
      <c r="AH2101" s="3"/>
      <c r="AL2101" s="3"/>
    </row>
    <row r="2102" spans="12:38" x14ac:dyDescent="0.25">
      <c r="L2102" s="2"/>
      <c r="M2102" s="2"/>
      <c r="N2102" s="2"/>
      <c r="AD2102" s="3"/>
      <c r="AH2102" s="3"/>
      <c r="AL2102" s="3"/>
    </row>
    <row r="2103" spans="12:38" x14ac:dyDescent="0.25">
      <c r="L2103" s="2"/>
      <c r="M2103" s="2"/>
      <c r="N2103" s="2"/>
      <c r="AD2103" s="3"/>
      <c r="AH2103" s="3"/>
      <c r="AL2103" s="3"/>
    </row>
    <row r="2104" spans="12:38" x14ac:dyDescent="0.25">
      <c r="L2104" s="2"/>
      <c r="M2104" s="2"/>
      <c r="N2104" s="2"/>
      <c r="AD2104" s="3"/>
      <c r="AH2104" s="3"/>
      <c r="AL2104" s="3"/>
    </row>
    <row r="2105" spans="12:38" x14ac:dyDescent="0.25">
      <c r="L2105" s="2"/>
      <c r="M2105" s="2"/>
      <c r="N2105" s="2"/>
      <c r="AD2105" s="3"/>
      <c r="AH2105" s="3"/>
      <c r="AL2105" s="3"/>
    </row>
    <row r="2106" spans="12:38" x14ac:dyDescent="0.25">
      <c r="L2106" s="2"/>
      <c r="M2106" s="2"/>
      <c r="N2106" s="2"/>
      <c r="AD2106" s="3"/>
      <c r="AH2106" s="3"/>
      <c r="AL2106" s="3"/>
    </row>
    <row r="2107" spans="12:38" x14ac:dyDescent="0.25">
      <c r="L2107" s="2"/>
      <c r="M2107" s="2"/>
      <c r="N2107" s="2"/>
      <c r="AD2107" s="3"/>
      <c r="AH2107" s="3"/>
      <c r="AL2107" s="3"/>
    </row>
    <row r="2108" spans="12:38" x14ac:dyDescent="0.25">
      <c r="L2108" s="2"/>
      <c r="M2108" s="2"/>
      <c r="N2108" s="2"/>
      <c r="AD2108" s="3"/>
      <c r="AH2108" s="3"/>
      <c r="AL2108" s="3"/>
    </row>
    <row r="2109" spans="12:38" x14ac:dyDescent="0.25">
      <c r="L2109" s="2"/>
      <c r="M2109" s="2"/>
      <c r="N2109" s="2"/>
      <c r="AD2109" s="3"/>
      <c r="AH2109" s="3"/>
      <c r="AL2109" s="3"/>
    </row>
    <row r="2110" spans="12:38" x14ac:dyDescent="0.25">
      <c r="L2110" s="2"/>
      <c r="M2110" s="2"/>
      <c r="N2110" s="2"/>
      <c r="AD2110" s="3"/>
      <c r="AH2110" s="3"/>
      <c r="AL2110" s="3"/>
    </row>
    <row r="2111" spans="12:38" x14ac:dyDescent="0.25">
      <c r="L2111" s="2"/>
      <c r="M2111" s="2"/>
      <c r="N2111" s="2"/>
      <c r="AD2111" s="3"/>
      <c r="AH2111" s="3"/>
      <c r="AL2111" s="3"/>
    </row>
    <row r="2112" spans="12:38" x14ac:dyDescent="0.25">
      <c r="L2112" s="2"/>
      <c r="M2112" s="2"/>
      <c r="N2112" s="2"/>
      <c r="AD2112" s="3"/>
      <c r="AH2112" s="3"/>
      <c r="AL2112" s="3"/>
    </row>
    <row r="2113" spans="12:38" x14ac:dyDescent="0.25">
      <c r="L2113" s="2"/>
      <c r="M2113" s="2"/>
      <c r="N2113" s="2"/>
      <c r="AD2113" s="3"/>
      <c r="AH2113" s="3"/>
      <c r="AL2113" s="3"/>
    </row>
    <row r="2114" spans="12:38" x14ac:dyDescent="0.25">
      <c r="L2114" s="2"/>
      <c r="M2114" s="2"/>
      <c r="N2114" s="2"/>
      <c r="AD2114" s="3"/>
      <c r="AH2114" s="3"/>
      <c r="AL2114" s="3"/>
    </row>
    <row r="2115" spans="12:38" x14ac:dyDescent="0.25">
      <c r="L2115" s="2"/>
      <c r="M2115" s="2"/>
      <c r="N2115" s="2"/>
      <c r="AD2115" s="3"/>
      <c r="AH2115" s="3"/>
      <c r="AL2115" s="3"/>
    </row>
    <row r="2116" spans="12:38" x14ac:dyDescent="0.25">
      <c r="L2116" s="2"/>
      <c r="M2116" s="2"/>
      <c r="N2116" s="2"/>
      <c r="AD2116" s="3"/>
      <c r="AH2116" s="3"/>
      <c r="AL2116" s="3"/>
    </row>
    <row r="2117" spans="12:38" x14ac:dyDescent="0.25">
      <c r="L2117" s="2"/>
      <c r="M2117" s="2"/>
      <c r="N2117" s="2"/>
      <c r="AD2117" s="3"/>
      <c r="AH2117" s="3"/>
      <c r="AL2117" s="3"/>
    </row>
    <row r="2118" spans="12:38" x14ac:dyDescent="0.25">
      <c r="L2118" s="2"/>
      <c r="M2118" s="2"/>
      <c r="N2118" s="2"/>
      <c r="AD2118" s="3"/>
      <c r="AH2118" s="3"/>
      <c r="AL2118" s="3"/>
    </row>
    <row r="2119" spans="12:38" x14ac:dyDescent="0.25">
      <c r="L2119" s="2"/>
      <c r="M2119" s="2"/>
      <c r="N2119" s="2"/>
      <c r="AD2119" s="3"/>
      <c r="AH2119" s="3"/>
      <c r="AL2119" s="3"/>
    </row>
    <row r="2120" spans="12:38" x14ac:dyDescent="0.25">
      <c r="L2120" s="2"/>
      <c r="M2120" s="2"/>
      <c r="N2120" s="2"/>
      <c r="AD2120" s="3"/>
      <c r="AH2120" s="3"/>
      <c r="AL2120" s="3"/>
    </row>
    <row r="2121" spans="12:38" x14ac:dyDescent="0.25">
      <c r="L2121" s="2"/>
      <c r="M2121" s="2"/>
      <c r="N2121" s="2"/>
      <c r="AD2121" s="3"/>
      <c r="AH2121" s="3"/>
      <c r="AL2121" s="3"/>
    </row>
    <row r="2122" spans="12:38" x14ac:dyDescent="0.25">
      <c r="L2122" s="2"/>
      <c r="M2122" s="2"/>
      <c r="N2122" s="2"/>
      <c r="AD2122" s="3"/>
      <c r="AH2122" s="3"/>
      <c r="AL2122" s="3"/>
    </row>
    <row r="2123" spans="12:38" x14ac:dyDescent="0.25">
      <c r="L2123" s="2"/>
      <c r="M2123" s="2"/>
      <c r="N2123" s="2"/>
      <c r="AD2123" s="3"/>
      <c r="AH2123" s="3"/>
      <c r="AL2123" s="3"/>
    </row>
    <row r="2124" spans="12:38" x14ac:dyDescent="0.25">
      <c r="L2124" s="2"/>
      <c r="M2124" s="2"/>
      <c r="N2124" s="2"/>
      <c r="AD2124" s="3"/>
      <c r="AH2124" s="3"/>
      <c r="AL2124" s="3"/>
    </row>
    <row r="2125" spans="12:38" x14ac:dyDescent="0.25">
      <c r="L2125" s="2"/>
      <c r="M2125" s="2"/>
      <c r="N2125" s="2"/>
      <c r="AD2125" s="3"/>
      <c r="AH2125" s="3"/>
      <c r="AL2125" s="3"/>
    </row>
    <row r="2126" spans="12:38" x14ac:dyDescent="0.25">
      <c r="L2126" s="2"/>
      <c r="M2126" s="2"/>
      <c r="N2126" s="2"/>
      <c r="AD2126" s="3"/>
      <c r="AH2126" s="3"/>
      <c r="AL2126" s="3"/>
    </row>
    <row r="2127" spans="12:38" x14ac:dyDescent="0.25">
      <c r="L2127" s="2"/>
      <c r="M2127" s="2"/>
      <c r="N2127" s="2"/>
      <c r="AD2127" s="3"/>
      <c r="AH2127" s="3"/>
      <c r="AL2127" s="3"/>
    </row>
    <row r="2128" spans="12:38" x14ac:dyDescent="0.25">
      <c r="L2128" s="2"/>
      <c r="M2128" s="2"/>
      <c r="N2128" s="2"/>
      <c r="AD2128" s="3"/>
      <c r="AH2128" s="3"/>
      <c r="AL2128" s="3"/>
    </row>
    <row r="2129" spans="12:38" x14ac:dyDescent="0.25">
      <c r="L2129" s="2"/>
      <c r="M2129" s="2"/>
      <c r="N2129" s="2"/>
      <c r="AD2129" s="3"/>
      <c r="AH2129" s="3"/>
      <c r="AL2129" s="3"/>
    </row>
    <row r="2130" spans="12:38" x14ac:dyDescent="0.25">
      <c r="L2130" s="2"/>
      <c r="M2130" s="2"/>
      <c r="N2130" s="2"/>
      <c r="AD2130" s="3"/>
      <c r="AH2130" s="3"/>
      <c r="AL2130" s="3"/>
    </row>
    <row r="2131" spans="12:38" x14ac:dyDescent="0.25">
      <c r="L2131" s="2"/>
      <c r="M2131" s="2"/>
      <c r="N2131" s="2"/>
      <c r="AD2131" s="3"/>
      <c r="AH2131" s="3"/>
      <c r="AL2131" s="3"/>
    </row>
    <row r="2132" spans="12:38" x14ac:dyDescent="0.25">
      <c r="L2132" s="2"/>
      <c r="M2132" s="2"/>
      <c r="N2132" s="2"/>
      <c r="AD2132" s="3"/>
      <c r="AH2132" s="3"/>
      <c r="AL2132" s="3"/>
    </row>
    <row r="2133" spans="12:38" x14ac:dyDescent="0.25">
      <c r="L2133" s="2"/>
      <c r="M2133" s="2"/>
      <c r="N2133" s="2"/>
      <c r="AD2133" s="3"/>
      <c r="AH2133" s="3"/>
      <c r="AL2133" s="3"/>
    </row>
    <row r="2134" spans="12:38" x14ac:dyDescent="0.25">
      <c r="L2134" s="2"/>
      <c r="M2134" s="2"/>
      <c r="N2134" s="2"/>
      <c r="AD2134" s="3"/>
      <c r="AH2134" s="3"/>
      <c r="AL2134" s="3"/>
    </row>
    <row r="2135" spans="12:38" x14ac:dyDescent="0.25">
      <c r="L2135" s="2"/>
      <c r="M2135" s="2"/>
      <c r="N2135" s="2"/>
      <c r="AD2135" s="3"/>
      <c r="AH2135" s="3"/>
      <c r="AL2135" s="3"/>
    </row>
    <row r="2136" spans="12:38" x14ac:dyDescent="0.25">
      <c r="L2136" s="2"/>
      <c r="M2136" s="2"/>
      <c r="N2136" s="2"/>
      <c r="AD2136" s="3"/>
      <c r="AH2136" s="3"/>
      <c r="AL2136" s="3"/>
    </row>
    <row r="2137" spans="12:38" x14ac:dyDescent="0.25">
      <c r="L2137" s="2"/>
      <c r="M2137" s="2"/>
      <c r="N2137" s="2"/>
      <c r="AD2137" s="3"/>
      <c r="AH2137" s="3"/>
      <c r="AL2137" s="3"/>
    </row>
    <row r="2138" spans="12:38" x14ac:dyDescent="0.25">
      <c r="L2138" s="2"/>
      <c r="M2138" s="2"/>
      <c r="N2138" s="2"/>
      <c r="AD2138" s="3"/>
      <c r="AH2138" s="3"/>
      <c r="AL2138" s="3"/>
    </row>
    <row r="2139" spans="12:38" x14ac:dyDescent="0.25">
      <c r="L2139" s="2"/>
      <c r="M2139" s="2"/>
      <c r="N2139" s="2"/>
      <c r="AD2139" s="3"/>
      <c r="AH2139" s="3"/>
      <c r="AL2139" s="3"/>
    </row>
    <row r="2140" spans="12:38" x14ac:dyDescent="0.25">
      <c r="L2140" s="2"/>
      <c r="M2140" s="2"/>
      <c r="N2140" s="2"/>
      <c r="AD2140" s="3"/>
      <c r="AH2140" s="3"/>
      <c r="AL2140" s="3"/>
    </row>
    <row r="2141" spans="12:38" x14ac:dyDescent="0.25">
      <c r="L2141" s="2"/>
      <c r="M2141" s="2"/>
      <c r="N2141" s="2"/>
      <c r="AD2141" s="3"/>
      <c r="AH2141" s="3"/>
      <c r="AL2141" s="3"/>
    </row>
    <row r="2142" spans="12:38" x14ac:dyDescent="0.25">
      <c r="L2142" s="2"/>
      <c r="M2142" s="2"/>
      <c r="N2142" s="2"/>
      <c r="AD2142" s="3"/>
      <c r="AH2142" s="3"/>
      <c r="AL2142" s="3"/>
    </row>
    <row r="2143" spans="12:38" x14ac:dyDescent="0.25">
      <c r="L2143" s="2"/>
      <c r="M2143" s="2"/>
      <c r="N2143" s="2"/>
      <c r="AD2143" s="3"/>
      <c r="AH2143" s="3"/>
      <c r="AL2143" s="3"/>
    </row>
    <row r="2144" spans="12:38" x14ac:dyDescent="0.25">
      <c r="L2144" s="2"/>
      <c r="M2144" s="2"/>
      <c r="N2144" s="2"/>
      <c r="AD2144" s="3"/>
      <c r="AH2144" s="3"/>
      <c r="AL2144" s="3"/>
    </row>
    <row r="2145" spans="12:38" x14ac:dyDescent="0.25">
      <c r="L2145" s="2"/>
      <c r="M2145" s="2"/>
      <c r="N2145" s="2"/>
      <c r="AD2145" s="3"/>
      <c r="AH2145" s="3"/>
      <c r="AL2145" s="3"/>
    </row>
    <row r="2146" spans="12:38" x14ac:dyDescent="0.25">
      <c r="L2146" s="2"/>
      <c r="M2146" s="2"/>
      <c r="N2146" s="2"/>
      <c r="AD2146" s="3"/>
      <c r="AH2146" s="3"/>
      <c r="AL2146" s="3"/>
    </row>
    <row r="2147" spans="12:38" x14ac:dyDescent="0.25">
      <c r="L2147" s="2"/>
      <c r="M2147" s="2"/>
      <c r="N2147" s="2"/>
      <c r="AD2147" s="3"/>
      <c r="AH2147" s="3"/>
      <c r="AL2147" s="3"/>
    </row>
    <row r="2148" spans="12:38" x14ac:dyDescent="0.25">
      <c r="L2148" s="2"/>
      <c r="M2148" s="2"/>
      <c r="N2148" s="2"/>
      <c r="AD2148" s="3"/>
      <c r="AH2148" s="3"/>
      <c r="AL2148" s="3"/>
    </row>
    <row r="2149" spans="12:38" x14ac:dyDescent="0.25">
      <c r="L2149" s="2"/>
      <c r="M2149" s="2"/>
      <c r="N2149" s="2"/>
      <c r="AD2149" s="3"/>
      <c r="AH2149" s="3"/>
      <c r="AL2149" s="3"/>
    </row>
    <row r="2150" spans="12:38" x14ac:dyDescent="0.25">
      <c r="L2150" s="2"/>
      <c r="M2150" s="2"/>
      <c r="N2150" s="2"/>
      <c r="AD2150" s="3"/>
      <c r="AH2150" s="3"/>
      <c r="AL2150" s="3"/>
    </row>
    <row r="2151" spans="12:38" x14ac:dyDescent="0.25">
      <c r="L2151" s="2"/>
      <c r="M2151" s="2"/>
      <c r="N2151" s="2"/>
      <c r="AD2151" s="3"/>
      <c r="AH2151" s="3"/>
      <c r="AL2151" s="3"/>
    </row>
    <row r="2152" spans="12:38" x14ac:dyDescent="0.25">
      <c r="L2152" s="2"/>
      <c r="M2152" s="2"/>
      <c r="N2152" s="2"/>
      <c r="AD2152" s="3"/>
      <c r="AH2152" s="3"/>
      <c r="AL2152" s="3"/>
    </row>
    <row r="2153" spans="12:38" x14ac:dyDescent="0.25">
      <c r="L2153" s="2"/>
      <c r="M2153" s="2"/>
      <c r="N2153" s="2"/>
      <c r="AD2153" s="3"/>
      <c r="AH2153" s="3"/>
      <c r="AL2153" s="3"/>
    </row>
    <row r="2154" spans="12:38" x14ac:dyDescent="0.25">
      <c r="L2154" s="2"/>
      <c r="M2154" s="2"/>
      <c r="N2154" s="2"/>
      <c r="AD2154" s="3"/>
      <c r="AH2154" s="3"/>
      <c r="AL2154" s="3"/>
    </row>
    <row r="2155" spans="12:38" x14ac:dyDescent="0.25">
      <c r="L2155" s="2"/>
      <c r="M2155" s="2"/>
      <c r="N2155" s="2"/>
      <c r="AD2155" s="3"/>
      <c r="AH2155" s="3"/>
      <c r="AL2155" s="3"/>
    </row>
    <row r="2156" spans="12:38" x14ac:dyDescent="0.25">
      <c r="L2156" s="2"/>
      <c r="M2156" s="2"/>
      <c r="N2156" s="2"/>
      <c r="AD2156" s="3"/>
      <c r="AH2156" s="3"/>
      <c r="AL2156" s="3"/>
    </row>
    <row r="2157" spans="12:38" x14ac:dyDescent="0.25">
      <c r="L2157" s="2"/>
      <c r="M2157" s="2"/>
      <c r="N2157" s="2"/>
      <c r="AD2157" s="3"/>
      <c r="AH2157" s="3"/>
      <c r="AL2157" s="3"/>
    </row>
    <row r="2158" spans="12:38" x14ac:dyDescent="0.25">
      <c r="L2158" s="2"/>
      <c r="M2158" s="2"/>
      <c r="N2158" s="2"/>
      <c r="AD2158" s="3"/>
      <c r="AH2158" s="3"/>
      <c r="AL2158" s="3"/>
    </row>
    <row r="2159" spans="12:38" x14ac:dyDescent="0.25">
      <c r="L2159" s="2"/>
      <c r="M2159" s="2"/>
      <c r="N2159" s="2"/>
      <c r="AD2159" s="3"/>
      <c r="AH2159" s="3"/>
      <c r="AL2159" s="3"/>
    </row>
    <row r="2160" spans="12:38" x14ac:dyDescent="0.25">
      <c r="L2160" s="2"/>
      <c r="M2160" s="2"/>
      <c r="N2160" s="2"/>
      <c r="AD2160" s="3"/>
      <c r="AH2160" s="3"/>
      <c r="AL2160" s="3"/>
    </row>
    <row r="2161" spans="12:38" x14ac:dyDescent="0.25">
      <c r="L2161" s="2"/>
      <c r="M2161" s="2"/>
      <c r="N2161" s="2"/>
      <c r="AD2161" s="3"/>
      <c r="AH2161" s="3"/>
      <c r="AL2161" s="3"/>
    </row>
    <row r="2162" spans="12:38" x14ac:dyDescent="0.25">
      <c r="L2162" s="2"/>
      <c r="M2162" s="2"/>
      <c r="N2162" s="2"/>
      <c r="AD2162" s="3"/>
      <c r="AH2162" s="3"/>
      <c r="AL2162" s="3"/>
    </row>
    <row r="2163" spans="12:38" x14ac:dyDescent="0.25">
      <c r="L2163" s="2"/>
      <c r="M2163" s="2"/>
      <c r="N2163" s="2"/>
      <c r="AD2163" s="3"/>
      <c r="AH2163" s="3"/>
      <c r="AL2163" s="3"/>
    </row>
    <row r="2164" spans="12:38" x14ac:dyDescent="0.25">
      <c r="L2164" s="2"/>
      <c r="M2164" s="2"/>
      <c r="N2164" s="2"/>
      <c r="AD2164" s="3"/>
      <c r="AH2164" s="3"/>
      <c r="AL2164" s="3"/>
    </row>
    <row r="2165" spans="12:38" x14ac:dyDescent="0.25">
      <c r="L2165" s="2"/>
      <c r="M2165" s="2"/>
      <c r="N2165" s="2"/>
      <c r="AD2165" s="3"/>
      <c r="AH2165" s="3"/>
      <c r="AL2165" s="3"/>
    </row>
    <row r="2166" spans="12:38" x14ac:dyDescent="0.25">
      <c r="L2166" s="2"/>
      <c r="M2166" s="2"/>
      <c r="N2166" s="2"/>
      <c r="AD2166" s="3"/>
      <c r="AH2166" s="3"/>
      <c r="AL2166" s="3"/>
    </row>
    <row r="2167" spans="12:38" x14ac:dyDescent="0.25">
      <c r="L2167" s="2"/>
      <c r="M2167" s="2"/>
      <c r="N2167" s="2"/>
      <c r="AD2167" s="3"/>
      <c r="AH2167" s="3"/>
      <c r="AL2167" s="3"/>
    </row>
    <row r="2168" spans="12:38" x14ac:dyDescent="0.25">
      <c r="L2168" s="2"/>
      <c r="M2168" s="2"/>
      <c r="N2168" s="2"/>
      <c r="AD2168" s="3"/>
      <c r="AH2168" s="3"/>
      <c r="AL2168" s="3"/>
    </row>
    <row r="2169" spans="12:38" x14ac:dyDescent="0.25">
      <c r="L2169" s="2"/>
      <c r="M2169" s="2"/>
      <c r="N2169" s="2"/>
      <c r="AD2169" s="3"/>
      <c r="AH2169" s="3"/>
      <c r="AL2169" s="3"/>
    </row>
    <row r="2170" spans="12:38" x14ac:dyDescent="0.25">
      <c r="L2170" s="2"/>
      <c r="M2170" s="2"/>
      <c r="N2170" s="2"/>
      <c r="AD2170" s="3"/>
      <c r="AH2170" s="3"/>
      <c r="AL2170" s="3"/>
    </row>
    <row r="2171" spans="12:38" x14ac:dyDescent="0.25">
      <c r="L2171" s="2"/>
      <c r="M2171" s="2"/>
      <c r="N2171" s="2"/>
      <c r="AD2171" s="3"/>
      <c r="AH2171" s="3"/>
      <c r="AL2171" s="3"/>
    </row>
    <row r="2172" spans="12:38" x14ac:dyDescent="0.25">
      <c r="L2172" s="2"/>
      <c r="M2172" s="2"/>
      <c r="N2172" s="2"/>
      <c r="AD2172" s="3"/>
      <c r="AH2172" s="3"/>
      <c r="AL2172" s="3"/>
    </row>
    <row r="2173" spans="12:38" x14ac:dyDescent="0.25">
      <c r="L2173" s="2"/>
      <c r="M2173" s="2"/>
      <c r="N2173" s="2"/>
      <c r="AD2173" s="3"/>
      <c r="AH2173" s="3"/>
      <c r="AL2173" s="3"/>
    </row>
    <row r="2174" spans="12:38" x14ac:dyDescent="0.25">
      <c r="L2174" s="2"/>
      <c r="M2174" s="2"/>
      <c r="N2174" s="2"/>
      <c r="AD2174" s="3"/>
      <c r="AH2174" s="3"/>
      <c r="AL2174" s="3"/>
    </row>
    <row r="2175" spans="12:38" x14ac:dyDescent="0.25">
      <c r="L2175" s="2"/>
      <c r="M2175" s="2"/>
      <c r="N2175" s="2"/>
      <c r="AD2175" s="3"/>
      <c r="AH2175" s="3"/>
      <c r="AL2175" s="3"/>
    </row>
    <row r="2176" spans="12:38" x14ac:dyDescent="0.25">
      <c r="L2176" s="2"/>
      <c r="M2176" s="2"/>
      <c r="N2176" s="2"/>
      <c r="AD2176" s="3"/>
      <c r="AH2176" s="3"/>
      <c r="AL2176" s="3"/>
    </row>
    <row r="2177" spans="12:38" x14ac:dyDescent="0.25">
      <c r="L2177" s="2"/>
      <c r="M2177" s="2"/>
      <c r="N2177" s="2"/>
      <c r="AD2177" s="3"/>
      <c r="AH2177" s="3"/>
      <c r="AL2177" s="3"/>
    </row>
    <row r="2178" spans="12:38" x14ac:dyDescent="0.25">
      <c r="L2178" s="2"/>
      <c r="M2178" s="2"/>
      <c r="N2178" s="2"/>
      <c r="AD2178" s="3"/>
      <c r="AH2178" s="3"/>
      <c r="AL2178" s="3"/>
    </row>
    <row r="2179" spans="12:38" x14ac:dyDescent="0.25">
      <c r="L2179" s="2"/>
      <c r="M2179" s="2"/>
      <c r="N2179" s="2"/>
      <c r="AD2179" s="3"/>
      <c r="AH2179" s="3"/>
      <c r="AL2179" s="3"/>
    </row>
    <row r="2180" spans="12:38" x14ac:dyDescent="0.25">
      <c r="L2180" s="2"/>
      <c r="M2180" s="2"/>
      <c r="N2180" s="2"/>
      <c r="AD2180" s="3"/>
      <c r="AH2180" s="3"/>
      <c r="AL2180" s="3"/>
    </row>
    <row r="2181" spans="12:38" x14ac:dyDescent="0.25">
      <c r="L2181" s="2"/>
      <c r="M2181" s="2"/>
      <c r="N2181" s="2"/>
      <c r="AD2181" s="3"/>
      <c r="AH2181" s="3"/>
      <c r="AL2181" s="3"/>
    </row>
    <row r="2182" spans="12:38" x14ac:dyDescent="0.25">
      <c r="L2182" s="2"/>
      <c r="M2182" s="2"/>
      <c r="N2182" s="2"/>
      <c r="AD2182" s="3"/>
      <c r="AH2182" s="3"/>
      <c r="AL2182" s="3"/>
    </row>
    <row r="2183" spans="12:38" x14ac:dyDescent="0.25">
      <c r="L2183" s="2"/>
      <c r="M2183" s="2"/>
      <c r="N2183" s="2"/>
      <c r="AD2183" s="3"/>
      <c r="AH2183" s="3"/>
      <c r="AL2183" s="3"/>
    </row>
    <row r="2184" spans="12:38" x14ac:dyDescent="0.25">
      <c r="L2184" s="2"/>
      <c r="M2184" s="2"/>
      <c r="N2184" s="2"/>
      <c r="AD2184" s="3"/>
      <c r="AH2184" s="3"/>
      <c r="AL2184" s="3"/>
    </row>
    <row r="2185" spans="12:38" x14ac:dyDescent="0.25">
      <c r="L2185" s="2"/>
      <c r="M2185" s="2"/>
      <c r="N2185" s="2"/>
      <c r="AD2185" s="3"/>
      <c r="AH2185" s="3"/>
      <c r="AL2185" s="3"/>
    </row>
    <row r="2186" spans="12:38" x14ac:dyDescent="0.25">
      <c r="L2186" s="2"/>
      <c r="M2186" s="2"/>
      <c r="N2186" s="2"/>
      <c r="AD2186" s="3"/>
      <c r="AH2186" s="3"/>
      <c r="AL2186" s="3"/>
    </row>
    <row r="2187" spans="12:38" x14ac:dyDescent="0.25">
      <c r="L2187" s="2"/>
      <c r="M2187" s="2"/>
      <c r="N2187" s="2"/>
      <c r="AD2187" s="3"/>
      <c r="AH2187" s="3"/>
      <c r="AL2187" s="3"/>
    </row>
    <row r="2188" spans="12:38" x14ac:dyDescent="0.25">
      <c r="L2188" s="2"/>
      <c r="M2188" s="2"/>
      <c r="N2188" s="2"/>
      <c r="AD2188" s="3"/>
      <c r="AH2188" s="3"/>
      <c r="AL2188" s="3"/>
    </row>
    <row r="2189" spans="12:38" x14ac:dyDescent="0.25">
      <c r="L2189" s="2"/>
      <c r="M2189" s="2"/>
      <c r="N2189" s="2"/>
      <c r="AD2189" s="3"/>
      <c r="AH2189" s="3"/>
      <c r="AL2189" s="3"/>
    </row>
    <row r="2190" spans="12:38" x14ac:dyDescent="0.25">
      <c r="L2190" s="2"/>
      <c r="M2190" s="2"/>
      <c r="N2190" s="2"/>
      <c r="AD2190" s="3"/>
      <c r="AH2190" s="3"/>
      <c r="AL2190" s="3"/>
    </row>
    <row r="2191" spans="12:38" x14ac:dyDescent="0.25">
      <c r="L2191" s="2"/>
      <c r="M2191" s="2"/>
      <c r="N2191" s="2"/>
      <c r="AD2191" s="3"/>
      <c r="AH2191" s="3"/>
      <c r="AL2191" s="3"/>
    </row>
    <row r="2192" spans="12:38" x14ac:dyDescent="0.25">
      <c r="L2192" s="2"/>
      <c r="M2192" s="2"/>
      <c r="N2192" s="2"/>
      <c r="AD2192" s="3"/>
      <c r="AH2192" s="3"/>
      <c r="AL2192" s="3"/>
    </row>
    <row r="2193" spans="12:38" x14ac:dyDescent="0.25">
      <c r="L2193" s="2"/>
      <c r="M2193" s="2"/>
      <c r="N2193" s="2"/>
      <c r="AD2193" s="3"/>
      <c r="AH2193" s="3"/>
      <c r="AL2193" s="3"/>
    </row>
    <row r="2194" spans="12:38" x14ac:dyDescent="0.25">
      <c r="L2194" s="2"/>
      <c r="M2194" s="2"/>
      <c r="N2194" s="2"/>
      <c r="AD2194" s="3"/>
      <c r="AH2194" s="3"/>
      <c r="AL2194" s="3"/>
    </row>
    <row r="2195" spans="12:38" x14ac:dyDescent="0.25">
      <c r="L2195" s="2"/>
      <c r="M2195" s="2"/>
      <c r="N2195" s="2"/>
      <c r="AD2195" s="3"/>
      <c r="AH2195" s="3"/>
      <c r="AL2195" s="3"/>
    </row>
    <row r="2196" spans="12:38" x14ac:dyDescent="0.25">
      <c r="L2196" s="2"/>
      <c r="M2196" s="2"/>
      <c r="N2196" s="2"/>
      <c r="AD2196" s="3"/>
      <c r="AH2196" s="3"/>
      <c r="AL2196" s="3"/>
    </row>
    <row r="2197" spans="12:38" x14ac:dyDescent="0.25">
      <c r="L2197" s="2"/>
      <c r="M2197" s="2"/>
      <c r="N2197" s="2"/>
      <c r="AD2197" s="3"/>
      <c r="AH2197" s="3"/>
      <c r="AL2197" s="3"/>
    </row>
    <row r="2198" spans="12:38" x14ac:dyDescent="0.25">
      <c r="L2198" s="2"/>
      <c r="M2198" s="2"/>
      <c r="N2198" s="2"/>
      <c r="AD2198" s="3"/>
      <c r="AH2198" s="3"/>
      <c r="AL2198" s="3"/>
    </row>
    <row r="2199" spans="12:38" x14ac:dyDescent="0.25">
      <c r="L2199" s="2"/>
      <c r="M2199" s="2"/>
      <c r="N2199" s="2"/>
      <c r="AD2199" s="3"/>
      <c r="AH2199" s="3"/>
      <c r="AL2199" s="3"/>
    </row>
    <row r="2200" spans="12:38" x14ac:dyDescent="0.25">
      <c r="L2200" s="2"/>
      <c r="M2200" s="2"/>
      <c r="N2200" s="2"/>
      <c r="AD2200" s="3"/>
      <c r="AH2200" s="3"/>
      <c r="AL2200" s="3"/>
    </row>
    <row r="2201" spans="12:38" x14ac:dyDescent="0.25">
      <c r="L2201" s="2"/>
      <c r="M2201" s="2"/>
      <c r="N2201" s="2"/>
      <c r="AD2201" s="3"/>
      <c r="AH2201" s="3"/>
      <c r="AL2201" s="3"/>
    </row>
    <row r="2202" spans="12:38" x14ac:dyDescent="0.25">
      <c r="L2202" s="2"/>
      <c r="M2202" s="2"/>
      <c r="N2202" s="2"/>
      <c r="AD2202" s="3"/>
      <c r="AH2202" s="3"/>
      <c r="AL2202" s="3"/>
    </row>
    <row r="2203" spans="12:38" x14ac:dyDescent="0.25">
      <c r="L2203" s="2"/>
      <c r="M2203" s="2"/>
      <c r="N2203" s="2"/>
      <c r="AD2203" s="3"/>
      <c r="AH2203" s="3"/>
      <c r="AL2203" s="3"/>
    </row>
    <row r="2204" spans="12:38" x14ac:dyDescent="0.25">
      <c r="L2204" s="2"/>
      <c r="M2204" s="2"/>
      <c r="N2204" s="2"/>
      <c r="AD2204" s="3"/>
      <c r="AH2204" s="3"/>
      <c r="AL2204" s="3"/>
    </row>
    <row r="2205" spans="12:38" x14ac:dyDescent="0.25">
      <c r="L2205" s="2"/>
      <c r="M2205" s="2"/>
      <c r="N2205" s="2"/>
      <c r="AD2205" s="3"/>
      <c r="AH2205" s="3"/>
      <c r="AL2205" s="3"/>
    </row>
    <row r="2206" spans="12:38" x14ac:dyDescent="0.25">
      <c r="L2206" s="2"/>
      <c r="M2206" s="2"/>
      <c r="N2206" s="2"/>
      <c r="AD2206" s="3"/>
      <c r="AH2206" s="3"/>
      <c r="AL2206" s="3"/>
    </row>
    <row r="2207" spans="12:38" x14ac:dyDescent="0.25">
      <c r="L2207" s="2"/>
      <c r="M2207" s="2"/>
      <c r="N2207" s="2"/>
      <c r="AD2207" s="3"/>
      <c r="AH2207" s="3"/>
      <c r="AL2207" s="3"/>
    </row>
    <row r="2208" spans="12:38" x14ac:dyDescent="0.25">
      <c r="L2208" s="2"/>
      <c r="M2208" s="2"/>
      <c r="N2208" s="2"/>
      <c r="AD2208" s="3"/>
      <c r="AH2208" s="3"/>
      <c r="AL2208" s="3"/>
    </row>
    <row r="2209" spans="12:38" x14ac:dyDescent="0.25">
      <c r="L2209" s="2"/>
      <c r="M2209" s="2"/>
      <c r="N2209" s="2"/>
      <c r="AD2209" s="3"/>
      <c r="AH2209" s="3"/>
      <c r="AL2209" s="3"/>
    </row>
    <row r="2210" spans="12:38" x14ac:dyDescent="0.25">
      <c r="L2210" s="2"/>
      <c r="M2210" s="2"/>
      <c r="N2210" s="2"/>
      <c r="AD2210" s="3"/>
      <c r="AH2210" s="3"/>
      <c r="AL2210" s="3"/>
    </row>
    <row r="2211" spans="12:38" x14ac:dyDescent="0.25">
      <c r="L2211" s="2"/>
      <c r="M2211" s="2"/>
      <c r="N2211" s="2"/>
      <c r="AD2211" s="3"/>
      <c r="AH2211" s="3"/>
      <c r="AL2211" s="3"/>
    </row>
    <row r="2212" spans="12:38" x14ac:dyDescent="0.25">
      <c r="L2212" s="2"/>
      <c r="M2212" s="2"/>
      <c r="N2212" s="2"/>
      <c r="AD2212" s="3"/>
      <c r="AH2212" s="3"/>
      <c r="AL2212" s="3"/>
    </row>
    <row r="2213" spans="12:38" x14ac:dyDescent="0.25">
      <c r="L2213" s="2"/>
      <c r="M2213" s="2"/>
      <c r="N2213" s="2"/>
      <c r="AD2213" s="3"/>
      <c r="AH2213" s="3"/>
      <c r="AL2213" s="3"/>
    </row>
    <row r="2214" spans="12:38" x14ac:dyDescent="0.25">
      <c r="L2214" s="2"/>
      <c r="M2214" s="2"/>
      <c r="N2214" s="2"/>
      <c r="AD2214" s="3"/>
      <c r="AH2214" s="3"/>
      <c r="AL2214" s="3"/>
    </row>
    <row r="2215" spans="12:38" x14ac:dyDescent="0.25">
      <c r="L2215" s="2"/>
      <c r="M2215" s="2"/>
      <c r="N2215" s="2"/>
      <c r="AD2215" s="3"/>
      <c r="AH2215" s="3"/>
      <c r="AL2215" s="3"/>
    </row>
    <row r="2216" spans="12:38" x14ac:dyDescent="0.25">
      <c r="L2216" s="2"/>
      <c r="M2216" s="2"/>
      <c r="N2216" s="2"/>
      <c r="AD2216" s="3"/>
      <c r="AH2216" s="3"/>
      <c r="AL2216" s="3"/>
    </row>
    <row r="2217" spans="12:38" x14ac:dyDescent="0.25">
      <c r="L2217" s="2"/>
      <c r="M2217" s="2"/>
      <c r="N2217" s="2"/>
      <c r="AD2217" s="3"/>
      <c r="AH2217" s="3"/>
      <c r="AL2217" s="3"/>
    </row>
    <row r="2218" spans="12:38" x14ac:dyDescent="0.25">
      <c r="L2218" s="2"/>
      <c r="M2218" s="2"/>
      <c r="N2218" s="2"/>
      <c r="AD2218" s="3"/>
      <c r="AH2218" s="3"/>
      <c r="AL2218" s="3"/>
    </row>
    <row r="2219" spans="12:38" x14ac:dyDescent="0.25">
      <c r="L2219" s="2"/>
      <c r="M2219" s="2"/>
      <c r="N2219" s="2"/>
      <c r="AD2219" s="3"/>
      <c r="AH2219" s="3"/>
      <c r="AL2219" s="3"/>
    </row>
    <row r="2220" spans="12:38" x14ac:dyDescent="0.25">
      <c r="L2220" s="2"/>
      <c r="M2220" s="2"/>
      <c r="N2220" s="2"/>
      <c r="AD2220" s="3"/>
      <c r="AH2220" s="3"/>
      <c r="AL2220" s="3"/>
    </row>
    <row r="2221" spans="12:38" x14ac:dyDescent="0.25">
      <c r="L2221" s="2"/>
      <c r="M2221" s="2"/>
      <c r="N2221" s="2"/>
      <c r="AD2221" s="3"/>
      <c r="AH2221" s="3"/>
      <c r="AL2221" s="3"/>
    </row>
    <row r="2222" spans="12:38" x14ac:dyDescent="0.25">
      <c r="L2222" s="2"/>
      <c r="M2222" s="2"/>
      <c r="N2222" s="2"/>
      <c r="AD2222" s="3"/>
      <c r="AH2222" s="3"/>
      <c r="AL2222" s="3"/>
    </row>
    <row r="2223" spans="12:38" x14ac:dyDescent="0.25">
      <c r="L2223" s="2"/>
      <c r="M2223" s="2"/>
      <c r="N2223" s="2"/>
      <c r="AD2223" s="3"/>
      <c r="AH2223" s="3"/>
      <c r="AL2223" s="3"/>
    </row>
    <row r="2224" spans="12:38" x14ac:dyDescent="0.25">
      <c r="L2224" s="2"/>
      <c r="M2224" s="2"/>
      <c r="N2224" s="2"/>
      <c r="AD2224" s="3"/>
      <c r="AH2224" s="3"/>
      <c r="AL2224" s="3"/>
    </row>
    <row r="2225" spans="12:38" x14ac:dyDescent="0.25">
      <c r="L2225" s="2"/>
      <c r="M2225" s="2"/>
      <c r="N2225" s="2"/>
      <c r="AD2225" s="3"/>
      <c r="AH2225" s="3"/>
      <c r="AL2225" s="3"/>
    </row>
    <row r="2226" spans="12:38" x14ac:dyDescent="0.25">
      <c r="L2226" s="2"/>
      <c r="M2226" s="2"/>
      <c r="N2226" s="2"/>
      <c r="AD2226" s="3"/>
      <c r="AH2226" s="3"/>
      <c r="AL2226" s="3"/>
    </row>
    <row r="2227" spans="12:38" x14ac:dyDescent="0.25">
      <c r="L2227" s="2"/>
      <c r="M2227" s="2"/>
      <c r="N2227" s="2"/>
      <c r="AD2227" s="3"/>
      <c r="AH2227" s="3"/>
      <c r="AL2227" s="3"/>
    </row>
    <row r="2228" spans="12:38" x14ac:dyDescent="0.25">
      <c r="L2228" s="2"/>
      <c r="M2228" s="2"/>
      <c r="N2228" s="2"/>
      <c r="AD2228" s="3"/>
      <c r="AH2228" s="3"/>
      <c r="AL2228" s="3"/>
    </row>
    <row r="2229" spans="12:38" x14ac:dyDescent="0.25">
      <c r="L2229" s="2"/>
      <c r="M2229" s="2"/>
      <c r="N2229" s="2"/>
      <c r="AD2229" s="3"/>
      <c r="AH2229" s="3"/>
      <c r="AL2229" s="3"/>
    </row>
    <row r="2230" spans="12:38" x14ac:dyDescent="0.25">
      <c r="L2230" s="2"/>
      <c r="M2230" s="2"/>
      <c r="N2230" s="2"/>
      <c r="AD2230" s="3"/>
      <c r="AH2230" s="3"/>
      <c r="AL2230" s="3"/>
    </row>
    <row r="2231" spans="12:38" x14ac:dyDescent="0.25">
      <c r="L2231" s="2"/>
      <c r="M2231" s="2"/>
      <c r="N2231" s="2"/>
      <c r="AD2231" s="3"/>
      <c r="AH2231" s="3"/>
      <c r="AL2231" s="3"/>
    </row>
    <row r="2232" spans="12:38" x14ac:dyDescent="0.25">
      <c r="L2232" s="2"/>
      <c r="M2232" s="2"/>
      <c r="N2232" s="2"/>
      <c r="AD2232" s="3"/>
      <c r="AH2232" s="3"/>
      <c r="AL2232" s="3"/>
    </row>
    <row r="2233" spans="12:38" x14ac:dyDescent="0.25">
      <c r="L2233" s="2"/>
      <c r="M2233" s="2"/>
      <c r="N2233" s="2"/>
      <c r="AD2233" s="3"/>
      <c r="AH2233" s="3"/>
      <c r="AL2233" s="3"/>
    </row>
    <row r="2234" spans="12:38" x14ac:dyDescent="0.25">
      <c r="L2234" s="2"/>
      <c r="M2234" s="2"/>
      <c r="N2234" s="2"/>
      <c r="AD2234" s="3"/>
      <c r="AH2234" s="3"/>
      <c r="AL2234" s="3"/>
    </row>
    <row r="2235" spans="12:38" x14ac:dyDescent="0.25">
      <c r="L2235" s="2"/>
      <c r="M2235" s="2"/>
      <c r="N2235" s="2"/>
      <c r="AD2235" s="3"/>
      <c r="AH2235" s="3"/>
      <c r="AL2235" s="3"/>
    </row>
    <row r="2236" spans="12:38" x14ac:dyDescent="0.25">
      <c r="L2236" s="2"/>
      <c r="M2236" s="2"/>
      <c r="N2236" s="2"/>
      <c r="AD2236" s="3"/>
      <c r="AH2236" s="3"/>
      <c r="AL2236" s="3"/>
    </row>
    <row r="2237" spans="12:38" x14ac:dyDescent="0.25">
      <c r="L2237" s="2"/>
      <c r="M2237" s="2"/>
      <c r="N2237" s="2"/>
      <c r="AD2237" s="3"/>
      <c r="AH2237" s="3"/>
      <c r="AL2237" s="3"/>
    </row>
    <row r="2238" spans="12:38" x14ac:dyDescent="0.25">
      <c r="L2238" s="2"/>
      <c r="M2238" s="2"/>
      <c r="N2238" s="2"/>
      <c r="AD2238" s="3"/>
      <c r="AH2238" s="3"/>
      <c r="AL2238" s="3"/>
    </row>
    <row r="2239" spans="12:38" x14ac:dyDescent="0.25">
      <c r="L2239" s="2"/>
      <c r="M2239" s="2"/>
      <c r="N2239" s="2"/>
      <c r="AD2239" s="3"/>
      <c r="AH2239" s="3"/>
      <c r="AL2239" s="3"/>
    </row>
    <row r="2240" spans="12:38" x14ac:dyDescent="0.25">
      <c r="L2240" s="2"/>
      <c r="M2240" s="2"/>
      <c r="N2240" s="2"/>
      <c r="AD2240" s="3"/>
      <c r="AH2240" s="3"/>
      <c r="AL2240" s="3"/>
    </row>
    <row r="2241" spans="12:38" x14ac:dyDescent="0.25">
      <c r="L2241" s="2"/>
      <c r="M2241" s="2"/>
      <c r="N2241" s="2"/>
      <c r="AD2241" s="3"/>
      <c r="AH2241" s="3"/>
      <c r="AL2241" s="3"/>
    </row>
    <row r="2242" spans="12:38" x14ac:dyDescent="0.25">
      <c r="L2242" s="2"/>
      <c r="M2242" s="2"/>
      <c r="N2242" s="2"/>
      <c r="AD2242" s="3"/>
      <c r="AH2242" s="3"/>
      <c r="AL2242" s="3"/>
    </row>
    <row r="2243" spans="12:38" x14ac:dyDescent="0.25">
      <c r="L2243" s="2"/>
      <c r="M2243" s="2"/>
      <c r="N2243" s="2"/>
      <c r="AD2243" s="3"/>
      <c r="AH2243" s="3"/>
      <c r="AL2243" s="3"/>
    </row>
    <row r="2244" spans="12:38" x14ac:dyDescent="0.25">
      <c r="L2244" s="2"/>
      <c r="M2244" s="2"/>
      <c r="N2244" s="2"/>
      <c r="AD2244" s="3"/>
      <c r="AH2244" s="3"/>
      <c r="AL2244" s="3"/>
    </row>
    <row r="2245" spans="12:38" x14ac:dyDescent="0.25">
      <c r="L2245" s="2"/>
      <c r="M2245" s="2"/>
      <c r="N2245" s="2"/>
      <c r="AD2245" s="3"/>
      <c r="AH2245" s="3"/>
      <c r="AL2245" s="3"/>
    </row>
    <row r="2246" spans="12:38" x14ac:dyDescent="0.25">
      <c r="L2246" s="2"/>
      <c r="M2246" s="2"/>
      <c r="N2246" s="2"/>
      <c r="AD2246" s="3"/>
      <c r="AH2246" s="3"/>
      <c r="AL2246" s="3"/>
    </row>
    <row r="2247" spans="12:38" x14ac:dyDescent="0.25">
      <c r="L2247" s="2"/>
      <c r="M2247" s="2"/>
      <c r="N2247" s="2"/>
      <c r="AD2247" s="3"/>
      <c r="AH2247" s="3"/>
      <c r="AL2247" s="3"/>
    </row>
    <row r="2248" spans="12:38" x14ac:dyDescent="0.25">
      <c r="L2248" s="2"/>
      <c r="M2248" s="2"/>
      <c r="N2248" s="2"/>
      <c r="AD2248" s="3"/>
      <c r="AH2248" s="3"/>
      <c r="AL2248" s="3"/>
    </row>
    <row r="2249" spans="12:38" x14ac:dyDescent="0.25">
      <c r="L2249" s="2"/>
      <c r="M2249" s="2"/>
      <c r="N2249" s="2"/>
      <c r="AD2249" s="3"/>
      <c r="AH2249" s="3"/>
      <c r="AL2249" s="3"/>
    </row>
    <row r="2250" spans="12:38" x14ac:dyDescent="0.25">
      <c r="L2250" s="2"/>
      <c r="M2250" s="2"/>
      <c r="N2250" s="2"/>
      <c r="AD2250" s="3"/>
      <c r="AH2250" s="3"/>
      <c r="AL2250" s="3"/>
    </row>
    <row r="2251" spans="12:38" x14ac:dyDescent="0.25">
      <c r="L2251" s="2"/>
      <c r="M2251" s="2"/>
      <c r="N2251" s="2"/>
      <c r="AD2251" s="3"/>
      <c r="AH2251" s="3"/>
      <c r="AL2251" s="3"/>
    </row>
    <row r="2252" spans="12:38" x14ac:dyDescent="0.25">
      <c r="L2252" s="2"/>
      <c r="M2252" s="2"/>
      <c r="N2252" s="2"/>
      <c r="AD2252" s="3"/>
      <c r="AH2252" s="3"/>
      <c r="AL2252" s="3"/>
    </row>
    <row r="2253" spans="12:38" x14ac:dyDescent="0.25">
      <c r="L2253" s="2"/>
      <c r="M2253" s="2"/>
      <c r="N2253" s="2"/>
      <c r="AD2253" s="3"/>
      <c r="AH2253" s="3"/>
      <c r="AL2253" s="3"/>
    </row>
    <row r="2254" spans="12:38" x14ac:dyDescent="0.25">
      <c r="L2254" s="2"/>
      <c r="M2254" s="2"/>
      <c r="N2254" s="2"/>
      <c r="AD2254" s="3"/>
      <c r="AH2254" s="3"/>
      <c r="AL2254" s="3"/>
    </row>
    <row r="2255" spans="12:38" x14ac:dyDescent="0.25">
      <c r="L2255" s="2"/>
      <c r="M2255" s="2"/>
      <c r="N2255" s="2"/>
      <c r="AD2255" s="3"/>
      <c r="AH2255" s="3"/>
      <c r="AL2255" s="3"/>
    </row>
    <row r="2256" spans="12:38" x14ac:dyDescent="0.25">
      <c r="L2256" s="2"/>
      <c r="M2256" s="2"/>
      <c r="N2256" s="2"/>
      <c r="AD2256" s="3"/>
      <c r="AH2256" s="3"/>
      <c r="AL2256" s="3"/>
    </row>
    <row r="2257" spans="12:38" x14ac:dyDescent="0.25">
      <c r="L2257" s="2"/>
      <c r="M2257" s="2"/>
      <c r="N2257" s="2"/>
      <c r="AD2257" s="3"/>
      <c r="AH2257" s="3"/>
      <c r="AL2257" s="3"/>
    </row>
    <row r="2258" spans="12:38" x14ac:dyDescent="0.25">
      <c r="L2258" s="2"/>
      <c r="M2258" s="2"/>
      <c r="N2258" s="2"/>
      <c r="AD2258" s="3"/>
      <c r="AH2258" s="3"/>
      <c r="AL2258" s="3"/>
    </row>
    <row r="2259" spans="12:38" x14ac:dyDescent="0.25">
      <c r="L2259" s="2"/>
      <c r="M2259" s="2"/>
      <c r="N2259" s="2"/>
      <c r="AD2259" s="3"/>
      <c r="AH2259" s="3"/>
      <c r="AL2259" s="3"/>
    </row>
    <row r="2260" spans="12:38" x14ac:dyDescent="0.25">
      <c r="L2260" s="2"/>
      <c r="M2260" s="2"/>
      <c r="N2260" s="2"/>
      <c r="AD2260" s="3"/>
      <c r="AH2260" s="3"/>
      <c r="AL2260" s="3"/>
    </row>
    <row r="2261" spans="12:38" x14ac:dyDescent="0.25">
      <c r="L2261" s="2"/>
      <c r="M2261" s="2"/>
      <c r="N2261" s="2"/>
      <c r="AD2261" s="3"/>
      <c r="AH2261" s="3"/>
      <c r="AL2261" s="3"/>
    </row>
    <row r="2262" spans="12:38" x14ac:dyDescent="0.25">
      <c r="L2262" s="2"/>
      <c r="M2262" s="2"/>
      <c r="N2262" s="2"/>
      <c r="AD2262" s="3"/>
      <c r="AH2262" s="3"/>
      <c r="AL2262" s="3"/>
    </row>
    <row r="2263" spans="12:38" x14ac:dyDescent="0.25">
      <c r="L2263" s="2"/>
      <c r="M2263" s="2"/>
      <c r="N2263" s="2"/>
      <c r="AD2263" s="3"/>
      <c r="AH2263" s="3"/>
      <c r="AL2263" s="3"/>
    </row>
    <row r="2264" spans="12:38" x14ac:dyDescent="0.25">
      <c r="L2264" s="2"/>
      <c r="M2264" s="2"/>
      <c r="N2264" s="2"/>
      <c r="AD2264" s="3"/>
      <c r="AH2264" s="3"/>
      <c r="AL2264" s="3"/>
    </row>
    <row r="2265" spans="12:38" x14ac:dyDescent="0.25">
      <c r="L2265" s="2"/>
      <c r="M2265" s="2"/>
      <c r="N2265" s="2"/>
      <c r="AD2265" s="3"/>
      <c r="AH2265" s="3"/>
      <c r="AL2265" s="3"/>
    </row>
    <row r="2266" spans="12:38" x14ac:dyDescent="0.25">
      <c r="L2266" s="2"/>
      <c r="M2266" s="2"/>
      <c r="N2266" s="2"/>
      <c r="AD2266" s="3"/>
      <c r="AH2266" s="3"/>
      <c r="AL2266" s="3"/>
    </row>
    <row r="2267" spans="12:38" x14ac:dyDescent="0.25">
      <c r="L2267" s="2"/>
      <c r="M2267" s="2"/>
      <c r="N2267" s="2"/>
      <c r="AD2267" s="3"/>
      <c r="AH2267" s="3"/>
      <c r="AL2267" s="3"/>
    </row>
    <row r="2268" spans="12:38" x14ac:dyDescent="0.25">
      <c r="L2268" s="2"/>
      <c r="M2268" s="2"/>
      <c r="N2268" s="2"/>
      <c r="AD2268" s="3"/>
      <c r="AH2268" s="3"/>
      <c r="AL2268" s="3"/>
    </row>
    <row r="2269" spans="12:38" x14ac:dyDescent="0.25">
      <c r="L2269" s="2"/>
      <c r="M2269" s="2"/>
      <c r="N2269" s="2"/>
      <c r="AD2269" s="3"/>
      <c r="AH2269" s="3"/>
      <c r="AL2269" s="3"/>
    </row>
    <row r="2270" spans="12:38" x14ac:dyDescent="0.25">
      <c r="L2270" s="2"/>
      <c r="M2270" s="2"/>
      <c r="N2270" s="2"/>
      <c r="AD2270" s="3"/>
      <c r="AH2270" s="3"/>
      <c r="AL2270" s="3"/>
    </row>
    <row r="2271" spans="12:38" x14ac:dyDescent="0.25">
      <c r="L2271" s="2"/>
      <c r="M2271" s="2"/>
      <c r="N2271" s="2"/>
      <c r="AD2271" s="3"/>
      <c r="AH2271" s="3"/>
      <c r="AL2271" s="3"/>
    </row>
    <row r="2272" spans="12:38" x14ac:dyDescent="0.25">
      <c r="L2272" s="2"/>
      <c r="M2272" s="2"/>
      <c r="N2272" s="2"/>
      <c r="AD2272" s="3"/>
      <c r="AH2272" s="3"/>
      <c r="AL2272" s="3"/>
    </row>
    <row r="2273" spans="12:38" x14ac:dyDescent="0.25">
      <c r="L2273" s="2"/>
      <c r="M2273" s="2"/>
      <c r="N2273" s="2"/>
      <c r="AD2273" s="3"/>
      <c r="AH2273" s="3"/>
      <c r="AL2273" s="3"/>
    </row>
    <row r="2274" spans="12:38" x14ac:dyDescent="0.25">
      <c r="L2274" s="2"/>
      <c r="M2274" s="2"/>
      <c r="N2274" s="2"/>
      <c r="AD2274" s="3"/>
      <c r="AH2274" s="3"/>
      <c r="AL2274" s="3"/>
    </row>
    <row r="2275" spans="12:38" x14ac:dyDescent="0.25">
      <c r="L2275" s="2"/>
      <c r="M2275" s="2"/>
      <c r="N2275" s="2"/>
      <c r="AD2275" s="3"/>
      <c r="AH2275" s="3"/>
      <c r="AL2275" s="3"/>
    </row>
    <row r="2276" spans="12:38" x14ac:dyDescent="0.25">
      <c r="L2276" s="2"/>
      <c r="M2276" s="2"/>
      <c r="N2276" s="2"/>
      <c r="AD2276" s="3"/>
      <c r="AH2276" s="3"/>
      <c r="AL2276" s="3"/>
    </row>
    <row r="2277" spans="12:38" x14ac:dyDescent="0.25">
      <c r="L2277" s="2"/>
      <c r="M2277" s="2"/>
      <c r="N2277" s="2"/>
      <c r="AD2277" s="3"/>
      <c r="AH2277" s="3"/>
      <c r="AL2277" s="3"/>
    </row>
    <row r="2278" spans="12:38" x14ac:dyDescent="0.25">
      <c r="L2278" s="2"/>
      <c r="M2278" s="2"/>
      <c r="N2278" s="2"/>
      <c r="AD2278" s="3"/>
      <c r="AH2278" s="3"/>
      <c r="AL2278" s="3"/>
    </row>
    <row r="2279" spans="12:38" x14ac:dyDescent="0.25">
      <c r="L2279" s="2"/>
      <c r="M2279" s="2"/>
      <c r="N2279" s="2"/>
      <c r="AD2279" s="3"/>
      <c r="AH2279" s="3"/>
      <c r="AL2279" s="3"/>
    </row>
    <row r="2280" spans="12:38" x14ac:dyDescent="0.25">
      <c r="L2280" s="2"/>
      <c r="M2280" s="2"/>
      <c r="N2280" s="2"/>
      <c r="AD2280" s="3"/>
      <c r="AH2280" s="3"/>
      <c r="AL2280" s="3"/>
    </row>
    <row r="2281" spans="12:38" x14ac:dyDescent="0.25">
      <c r="L2281" s="2"/>
      <c r="M2281" s="2"/>
      <c r="N2281" s="2"/>
      <c r="AD2281" s="3"/>
      <c r="AH2281" s="3"/>
      <c r="AL2281" s="3"/>
    </row>
    <row r="2282" spans="12:38" x14ac:dyDescent="0.25">
      <c r="L2282" s="2"/>
      <c r="M2282" s="2"/>
      <c r="N2282" s="2"/>
      <c r="AD2282" s="3"/>
      <c r="AH2282" s="3"/>
      <c r="AL2282" s="3"/>
    </row>
    <row r="2283" spans="12:38" x14ac:dyDescent="0.25">
      <c r="L2283" s="2"/>
      <c r="M2283" s="2"/>
      <c r="N2283" s="2"/>
      <c r="AD2283" s="3"/>
      <c r="AH2283" s="3"/>
      <c r="AL2283" s="3"/>
    </row>
    <row r="2284" spans="12:38" x14ac:dyDescent="0.25">
      <c r="L2284" s="2"/>
      <c r="M2284" s="2"/>
      <c r="N2284" s="2"/>
      <c r="AD2284" s="3"/>
      <c r="AH2284" s="3"/>
      <c r="AL2284" s="3"/>
    </row>
    <row r="2285" spans="12:38" x14ac:dyDescent="0.25">
      <c r="L2285" s="2"/>
      <c r="M2285" s="2"/>
      <c r="N2285" s="2"/>
      <c r="AD2285" s="3"/>
      <c r="AH2285" s="3"/>
      <c r="AL2285" s="3"/>
    </row>
    <row r="2286" spans="12:38" x14ac:dyDescent="0.25">
      <c r="L2286" s="2"/>
      <c r="M2286" s="2"/>
      <c r="N2286" s="2"/>
      <c r="AD2286" s="3"/>
      <c r="AH2286" s="3"/>
      <c r="AL2286" s="3"/>
    </row>
    <row r="2287" spans="12:38" x14ac:dyDescent="0.25">
      <c r="L2287" s="2"/>
      <c r="M2287" s="2"/>
      <c r="N2287" s="2"/>
      <c r="AD2287" s="3"/>
      <c r="AH2287" s="3"/>
      <c r="AL2287" s="3"/>
    </row>
    <row r="2288" spans="12:38" x14ac:dyDescent="0.25">
      <c r="L2288" s="2"/>
      <c r="M2288" s="2"/>
      <c r="N2288" s="2"/>
      <c r="AD2288" s="3"/>
      <c r="AH2288" s="3"/>
      <c r="AL2288" s="3"/>
    </row>
    <row r="2289" spans="12:38" x14ac:dyDescent="0.25">
      <c r="L2289" s="2"/>
      <c r="M2289" s="2"/>
      <c r="N2289" s="2"/>
      <c r="AD2289" s="3"/>
      <c r="AH2289" s="3"/>
      <c r="AL2289" s="3"/>
    </row>
    <row r="2290" spans="12:38" x14ac:dyDescent="0.25">
      <c r="L2290" s="2"/>
      <c r="M2290" s="2"/>
      <c r="N2290" s="2"/>
      <c r="AD2290" s="3"/>
      <c r="AH2290" s="3"/>
      <c r="AL2290" s="3"/>
    </row>
    <row r="2291" spans="12:38" x14ac:dyDescent="0.25">
      <c r="L2291" s="2"/>
      <c r="M2291" s="2"/>
      <c r="N2291" s="2"/>
      <c r="AD2291" s="3"/>
      <c r="AH2291" s="3"/>
      <c r="AL2291" s="3"/>
    </row>
    <row r="2292" spans="12:38" x14ac:dyDescent="0.25">
      <c r="L2292" s="2"/>
      <c r="M2292" s="2"/>
      <c r="N2292" s="2"/>
      <c r="AD2292" s="3"/>
      <c r="AH2292" s="3"/>
      <c r="AL2292" s="3"/>
    </row>
    <row r="2293" spans="12:38" x14ac:dyDescent="0.25">
      <c r="L2293" s="2"/>
      <c r="M2293" s="2"/>
      <c r="N2293" s="2"/>
      <c r="AD2293" s="3"/>
      <c r="AH2293" s="3"/>
      <c r="AL2293" s="3"/>
    </row>
    <row r="2294" spans="12:38" x14ac:dyDescent="0.25">
      <c r="L2294" s="2"/>
      <c r="M2294" s="2"/>
      <c r="N2294" s="2"/>
      <c r="AD2294" s="3"/>
      <c r="AH2294" s="3"/>
      <c r="AL2294" s="3"/>
    </row>
    <row r="2295" spans="12:38" x14ac:dyDescent="0.25">
      <c r="L2295" s="2"/>
      <c r="M2295" s="2"/>
      <c r="N2295" s="2"/>
      <c r="AD2295" s="3"/>
      <c r="AH2295" s="3"/>
      <c r="AL2295" s="3"/>
    </row>
    <row r="2296" spans="12:38" x14ac:dyDescent="0.25">
      <c r="L2296" s="2"/>
      <c r="M2296" s="2"/>
      <c r="N2296" s="2"/>
      <c r="AD2296" s="3"/>
      <c r="AH2296" s="3"/>
      <c r="AL2296" s="3"/>
    </row>
    <row r="2297" spans="12:38" x14ac:dyDescent="0.25">
      <c r="L2297" s="2"/>
      <c r="M2297" s="2"/>
      <c r="N2297" s="2"/>
      <c r="AD2297" s="3"/>
      <c r="AH2297" s="3"/>
      <c r="AL2297" s="3"/>
    </row>
    <row r="2298" spans="12:38" x14ac:dyDescent="0.25">
      <c r="L2298" s="2"/>
      <c r="M2298" s="2"/>
      <c r="N2298" s="2"/>
      <c r="AD2298" s="3"/>
      <c r="AH2298" s="3"/>
      <c r="AL2298" s="3"/>
    </row>
    <row r="2299" spans="12:38" x14ac:dyDescent="0.25">
      <c r="L2299" s="2"/>
      <c r="M2299" s="2"/>
      <c r="N2299" s="2"/>
      <c r="AD2299" s="3"/>
      <c r="AH2299" s="3"/>
      <c r="AL2299" s="3"/>
    </row>
    <row r="2300" spans="12:38" x14ac:dyDescent="0.25">
      <c r="L2300" s="2"/>
      <c r="M2300" s="2"/>
      <c r="N2300" s="2"/>
      <c r="AD2300" s="3"/>
      <c r="AH2300" s="3"/>
      <c r="AL2300" s="3"/>
    </row>
    <row r="2301" spans="12:38" x14ac:dyDescent="0.25">
      <c r="L2301" s="2"/>
      <c r="M2301" s="2"/>
      <c r="N2301" s="2"/>
      <c r="AD2301" s="3"/>
      <c r="AH2301" s="3"/>
      <c r="AL2301" s="3"/>
    </row>
    <row r="2302" spans="12:38" x14ac:dyDescent="0.25">
      <c r="L2302" s="2"/>
      <c r="M2302" s="2"/>
      <c r="N2302" s="2"/>
      <c r="AD2302" s="3"/>
      <c r="AH2302" s="3"/>
      <c r="AL2302" s="3"/>
    </row>
    <row r="2303" spans="12:38" x14ac:dyDescent="0.25">
      <c r="L2303" s="2"/>
      <c r="M2303" s="2"/>
      <c r="N2303" s="2"/>
      <c r="AD2303" s="3"/>
      <c r="AH2303" s="3"/>
      <c r="AL2303" s="3"/>
    </row>
    <row r="2304" spans="12:38" x14ac:dyDescent="0.25">
      <c r="L2304" s="2"/>
      <c r="M2304" s="2"/>
      <c r="N2304" s="2"/>
      <c r="AD2304" s="3"/>
      <c r="AH2304" s="3"/>
      <c r="AL2304" s="3"/>
    </row>
    <row r="2305" spans="12:38" x14ac:dyDescent="0.25">
      <c r="L2305" s="2"/>
      <c r="M2305" s="2"/>
      <c r="N2305" s="2"/>
      <c r="AD2305" s="3"/>
      <c r="AH2305" s="3"/>
      <c r="AL2305" s="3"/>
    </row>
    <row r="2306" spans="12:38" x14ac:dyDescent="0.25">
      <c r="L2306" s="2"/>
      <c r="M2306" s="2"/>
      <c r="N2306" s="2"/>
      <c r="AD2306" s="3"/>
      <c r="AH2306" s="3"/>
      <c r="AL2306" s="3"/>
    </row>
    <row r="2307" spans="12:38" x14ac:dyDescent="0.25">
      <c r="L2307" s="2"/>
      <c r="M2307" s="2"/>
      <c r="N2307" s="2"/>
      <c r="AD2307" s="3"/>
      <c r="AH2307" s="3"/>
      <c r="AL2307" s="3"/>
    </row>
    <row r="2308" spans="12:38" x14ac:dyDescent="0.25">
      <c r="L2308" s="2"/>
      <c r="M2308" s="2"/>
      <c r="N2308" s="2"/>
      <c r="AD2308" s="3"/>
      <c r="AH2308" s="3"/>
      <c r="AL2308" s="3"/>
    </row>
    <row r="2309" spans="12:38" x14ac:dyDescent="0.25">
      <c r="L2309" s="2"/>
      <c r="M2309" s="2"/>
      <c r="N2309" s="2"/>
      <c r="AD2309" s="3"/>
      <c r="AH2309" s="3"/>
      <c r="AL2309" s="3"/>
    </row>
    <row r="2310" spans="12:38" x14ac:dyDescent="0.25">
      <c r="L2310" s="2"/>
      <c r="M2310" s="2"/>
      <c r="N2310" s="2"/>
      <c r="AD2310" s="3"/>
      <c r="AH2310" s="3"/>
      <c r="AL2310" s="3"/>
    </row>
    <row r="2311" spans="12:38" x14ac:dyDescent="0.25">
      <c r="L2311" s="2"/>
      <c r="M2311" s="2"/>
      <c r="N2311" s="2"/>
      <c r="AD2311" s="3"/>
      <c r="AH2311" s="3"/>
      <c r="AL2311" s="3"/>
    </row>
    <row r="2312" spans="12:38" x14ac:dyDescent="0.25">
      <c r="L2312" s="2"/>
      <c r="M2312" s="2"/>
      <c r="N2312" s="2"/>
      <c r="AD2312" s="3"/>
      <c r="AH2312" s="3"/>
      <c r="AL2312" s="3"/>
    </row>
    <row r="2313" spans="12:38" x14ac:dyDescent="0.25">
      <c r="L2313" s="2"/>
      <c r="M2313" s="2"/>
      <c r="N2313" s="2"/>
      <c r="AD2313" s="3"/>
      <c r="AH2313" s="3"/>
      <c r="AL2313" s="3"/>
    </row>
    <row r="2314" spans="12:38" x14ac:dyDescent="0.25">
      <c r="L2314" s="2"/>
      <c r="M2314" s="2"/>
      <c r="N2314" s="2"/>
      <c r="AD2314" s="3"/>
      <c r="AH2314" s="3"/>
      <c r="AL2314" s="3"/>
    </row>
    <row r="2315" spans="12:38" x14ac:dyDescent="0.25">
      <c r="L2315" s="2"/>
      <c r="M2315" s="2"/>
      <c r="N2315" s="2"/>
      <c r="AD2315" s="3"/>
      <c r="AH2315" s="3"/>
      <c r="AL2315" s="3"/>
    </row>
    <row r="2316" spans="12:38" x14ac:dyDescent="0.25">
      <c r="L2316" s="2"/>
      <c r="M2316" s="2"/>
      <c r="N2316" s="2"/>
      <c r="AD2316" s="3"/>
      <c r="AH2316" s="3"/>
      <c r="AL2316" s="3"/>
    </row>
    <row r="2317" spans="12:38" x14ac:dyDescent="0.25">
      <c r="L2317" s="2"/>
      <c r="M2317" s="2"/>
      <c r="N2317" s="2"/>
      <c r="AD2317" s="3"/>
      <c r="AH2317" s="3"/>
      <c r="AL2317" s="3"/>
    </row>
    <row r="2318" spans="12:38" x14ac:dyDescent="0.25">
      <c r="L2318" s="2"/>
      <c r="M2318" s="2"/>
      <c r="N2318" s="2"/>
      <c r="AD2318" s="3"/>
      <c r="AH2318" s="3"/>
      <c r="AL2318" s="3"/>
    </row>
    <row r="2319" spans="12:38" x14ac:dyDescent="0.25">
      <c r="L2319" s="2"/>
      <c r="M2319" s="2"/>
      <c r="N2319" s="2"/>
      <c r="AD2319" s="3"/>
      <c r="AH2319" s="3"/>
      <c r="AL2319" s="3"/>
    </row>
    <row r="2320" spans="12:38" x14ac:dyDescent="0.25">
      <c r="L2320" s="2"/>
      <c r="M2320" s="2"/>
      <c r="N2320" s="2"/>
      <c r="AD2320" s="3"/>
      <c r="AH2320" s="3"/>
      <c r="AL2320" s="3"/>
    </row>
    <row r="2321" spans="12:38" x14ac:dyDescent="0.25">
      <c r="L2321" s="2"/>
      <c r="M2321" s="2"/>
      <c r="N2321" s="2"/>
      <c r="AD2321" s="3"/>
      <c r="AH2321" s="3"/>
      <c r="AL2321" s="3"/>
    </row>
    <row r="2322" spans="12:38" x14ac:dyDescent="0.25">
      <c r="L2322" s="2"/>
      <c r="M2322" s="2"/>
      <c r="N2322" s="2"/>
      <c r="AD2322" s="3"/>
      <c r="AH2322" s="3"/>
      <c r="AL2322" s="3"/>
    </row>
    <row r="2323" spans="12:38" x14ac:dyDescent="0.25">
      <c r="L2323" s="2"/>
      <c r="M2323" s="2"/>
      <c r="N2323" s="2"/>
      <c r="AD2323" s="3"/>
      <c r="AH2323" s="3"/>
      <c r="AL2323" s="3"/>
    </row>
    <row r="2324" spans="12:38" x14ac:dyDescent="0.25">
      <c r="L2324" s="2"/>
      <c r="M2324" s="2"/>
      <c r="N2324" s="2"/>
      <c r="AD2324" s="3"/>
      <c r="AH2324" s="3"/>
      <c r="AL2324" s="3"/>
    </row>
    <row r="2325" spans="12:38" x14ac:dyDescent="0.25">
      <c r="L2325" s="2"/>
      <c r="M2325" s="2"/>
      <c r="N2325" s="2"/>
      <c r="AD2325" s="3"/>
      <c r="AH2325" s="3"/>
      <c r="AL2325" s="3"/>
    </row>
    <row r="2326" spans="12:38" x14ac:dyDescent="0.25">
      <c r="L2326" s="2"/>
      <c r="M2326" s="2"/>
      <c r="N2326" s="2"/>
      <c r="AD2326" s="3"/>
      <c r="AH2326" s="3"/>
      <c r="AL2326" s="3"/>
    </row>
    <row r="2327" spans="12:38" x14ac:dyDescent="0.25">
      <c r="L2327" s="2"/>
      <c r="M2327" s="2"/>
      <c r="N2327" s="2"/>
      <c r="AD2327" s="3"/>
      <c r="AH2327" s="3"/>
      <c r="AL2327" s="3"/>
    </row>
    <row r="2328" spans="12:38" x14ac:dyDescent="0.25">
      <c r="L2328" s="2"/>
      <c r="M2328" s="2"/>
      <c r="N2328" s="2"/>
      <c r="AD2328" s="3"/>
      <c r="AH2328" s="3"/>
      <c r="AL2328" s="3"/>
    </row>
    <row r="2329" spans="12:38" x14ac:dyDescent="0.25">
      <c r="L2329" s="2"/>
      <c r="M2329" s="2"/>
      <c r="N2329" s="2"/>
      <c r="AD2329" s="3"/>
      <c r="AH2329" s="3"/>
      <c r="AL2329" s="3"/>
    </row>
    <row r="2330" spans="12:38" x14ac:dyDescent="0.25">
      <c r="L2330" s="2"/>
      <c r="M2330" s="2"/>
      <c r="N2330" s="2"/>
      <c r="AD2330" s="3"/>
      <c r="AH2330" s="3"/>
      <c r="AL2330" s="3"/>
    </row>
    <row r="2331" spans="12:38" x14ac:dyDescent="0.25">
      <c r="L2331" s="2"/>
      <c r="M2331" s="2"/>
      <c r="N2331" s="2"/>
      <c r="AD2331" s="3"/>
      <c r="AH2331" s="3"/>
      <c r="AL2331" s="3"/>
    </row>
    <row r="2332" spans="12:38" x14ac:dyDescent="0.25">
      <c r="L2332" s="2"/>
      <c r="M2332" s="2"/>
      <c r="N2332" s="2"/>
      <c r="AD2332" s="3"/>
      <c r="AH2332" s="3"/>
      <c r="AL2332" s="3"/>
    </row>
    <row r="2333" spans="12:38" x14ac:dyDescent="0.25">
      <c r="L2333" s="2"/>
      <c r="M2333" s="2"/>
      <c r="N2333" s="2"/>
      <c r="AD2333" s="3"/>
      <c r="AH2333" s="3"/>
      <c r="AL2333" s="3"/>
    </row>
    <row r="2334" spans="12:38" x14ac:dyDescent="0.25">
      <c r="L2334" s="2"/>
      <c r="M2334" s="2"/>
      <c r="N2334" s="2"/>
      <c r="AD2334" s="3"/>
      <c r="AH2334" s="3"/>
      <c r="AL2334" s="3"/>
    </row>
    <row r="2335" spans="12:38" x14ac:dyDescent="0.25">
      <c r="L2335" s="2"/>
      <c r="M2335" s="2"/>
      <c r="N2335" s="2"/>
      <c r="AD2335" s="3"/>
      <c r="AH2335" s="3"/>
      <c r="AL2335" s="3"/>
    </row>
    <row r="2336" spans="12:38" x14ac:dyDescent="0.25">
      <c r="L2336" s="2"/>
      <c r="M2336" s="2"/>
      <c r="N2336" s="2"/>
      <c r="AD2336" s="3"/>
      <c r="AH2336" s="3"/>
      <c r="AL2336" s="3"/>
    </row>
    <row r="2337" spans="12:38" x14ac:dyDescent="0.25">
      <c r="L2337" s="2"/>
      <c r="M2337" s="2"/>
      <c r="N2337" s="2"/>
      <c r="AD2337" s="3"/>
      <c r="AH2337" s="3"/>
      <c r="AL2337" s="3"/>
    </row>
    <row r="2338" spans="12:38" x14ac:dyDescent="0.25">
      <c r="L2338" s="2"/>
      <c r="M2338" s="2"/>
      <c r="N2338" s="2"/>
      <c r="AD2338" s="3"/>
      <c r="AH2338" s="3"/>
      <c r="AL2338" s="3"/>
    </row>
    <row r="2339" spans="12:38" x14ac:dyDescent="0.25">
      <c r="L2339" s="2"/>
      <c r="M2339" s="2"/>
      <c r="N2339" s="2"/>
      <c r="AD2339" s="3"/>
      <c r="AH2339" s="3"/>
      <c r="AL2339" s="3"/>
    </row>
    <row r="2340" spans="12:38" x14ac:dyDescent="0.25">
      <c r="L2340" s="2"/>
      <c r="M2340" s="2"/>
      <c r="N2340" s="2"/>
      <c r="AD2340" s="3"/>
      <c r="AH2340" s="3"/>
      <c r="AL2340" s="3"/>
    </row>
    <row r="2341" spans="12:38" x14ac:dyDescent="0.25">
      <c r="L2341" s="2"/>
      <c r="M2341" s="2"/>
      <c r="N2341" s="2"/>
      <c r="AD2341" s="3"/>
      <c r="AH2341" s="3"/>
      <c r="AL2341" s="3"/>
    </row>
    <row r="2342" spans="12:38" x14ac:dyDescent="0.25">
      <c r="L2342" s="2"/>
      <c r="M2342" s="2"/>
      <c r="N2342" s="2"/>
      <c r="AD2342" s="3"/>
      <c r="AH2342" s="3"/>
      <c r="AL2342" s="3"/>
    </row>
    <row r="2343" spans="12:38" x14ac:dyDescent="0.25">
      <c r="L2343" s="2"/>
      <c r="M2343" s="2"/>
      <c r="N2343" s="2"/>
      <c r="AD2343" s="3"/>
      <c r="AH2343" s="3"/>
      <c r="AL2343" s="3"/>
    </row>
    <row r="2344" spans="12:38" x14ac:dyDescent="0.25">
      <c r="L2344" s="2"/>
      <c r="M2344" s="2"/>
      <c r="N2344" s="2"/>
      <c r="AD2344" s="3"/>
      <c r="AH2344" s="3"/>
      <c r="AL2344" s="3"/>
    </row>
    <row r="2345" spans="12:38" x14ac:dyDescent="0.25">
      <c r="L2345" s="2"/>
      <c r="M2345" s="2"/>
      <c r="N2345" s="2"/>
      <c r="AD2345" s="3"/>
      <c r="AH2345" s="3"/>
      <c r="AL2345" s="3"/>
    </row>
    <row r="2346" spans="12:38" x14ac:dyDescent="0.25">
      <c r="L2346" s="2"/>
      <c r="M2346" s="2"/>
      <c r="N2346" s="2"/>
      <c r="AD2346" s="3"/>
      <c r="AH2346" s="3"/>
      <c r="AL2346" s="3"/>
    </row>
    <row r="2347" spans="12:38" x14ac:dyDescent="0.25">
      <c r="L2347" s="2"/>
      <c r="M2347" s="2"/>
      <c r="N2347" s="2"/>
      <c r="AD2347" s="3"/>
      <c r="AH2347" s="3"/>
      <c r="AL2347" s="3"/>
    </row>
    <row r="2348" spans="12:38" x14ac:dyDescent="0.25">
      <c r="L2348" s="2"/>
      <c r="M2348" s="2"/>
      <c r="N2348" s="2"/>
      <c r="AD2348" s="3"/>
      <c r="AH2348" s="3"/>
      <c r="AL2348" s="3"/>
    </row>
    <row r="2349" spans="12:38" x14ac:dyDescent="0.25">
      <c r="L2349" s="2"/>
      <c r="M2349" s="2"/>
      <c r="N2349" s="2"/>
      <c r="AD2349" s="3"/>
      <c r="AH2349" s="3"/>
      <c r="AL2349" s="3"/>
    </row>
    <row r="2350" spans="12:38" x14ac:dyDescent="0.25">
      <c r="L2350" s="2"/>
      <c r="M2350" s="2"/>
      <c r="N2350" s="2"/>
      <c r="AD2350" s="3"/>
      <c r="AH2350" s="3"/>
      <c r="AL2350" s="3"/>
    </row>
    <row r="2351" spans="12:38" x14ac:dyDescent="0.25">
      <c r="L2351" s="2"/>
      <c r="M2351" s="2"/>
      <c r="N2351" s="2"/>
      <c r="AD2351" s="3"/>
      <c r="AH2351" s="3"/>
      <c r="AL2351" s="3"/>
    </row>
    <row r="2352" spans="12:38" x14ac:dyDescent="0.25">
      <c r="L2352" s="2"/>
      <c r="M2352" s="2"/>
      <c r="N2352" s="2"/>
      <c r="AD2352" s="3"/>
      <c r="AH2352" s="3"/>
      <c r="AL2352" s="3"/>
    </row>
    <row r="2353" spans="12:38" x14ac:dyDescent="0.25">
      <c r="L2353" s="2"/>
      <c r="M2353" s="2"/>
      <c r="N2353" s="2"/>
      <c r="AD2353" s="3"/>
      <c r="AH2353" s="3"/>
      <c r="AL2353" s="3"/>
    </row>
    <row r="2354" spans="12:38" x14ac:dyDescent="0.25">
      <c r="L2354" s="2"/>
      <c r="M2354" s="2"/>
      <c r="N2354" s="2"/>
      <c r="AD2354" s="3"/>
      <c r="AH2354" s="3"/>
      <c r="AL2354" s="3"/>
    </row>
    <row r="2355" spans="12:38" x14ac:dyDescent="0.25">
      <c r="L2355" s="2"/>
      <c r="M2355" s="2"/>
      <c r="N2355" s="2"/>
      <c r="AD2355" s="3"/>
      <c r="AH2355" s="3"/>
      <c r="AL2355" s="3"/>
    </row>
    <row r="2356" spans="12:38" x14ac:dyDescent="0.25">
      <c r="L2356" s="2"/>
      <c r="M2356" s="2"/>
      <c r="N2356" s="2"/>
      <c r="AD2356" s="3"/>
      <c r="AH2356" s="3"/>
      <c r="AL2356" s="3"/>
    </row>
    <row r="2357" spans="12:38" x14ac:dyDescent="0.25">
      <c r="L2357" s="2"/>
      <c r="M2357" s="2"/>
      <c r="N2357" s="2"/>
      <c r="AD2357" s="3"/>
      <c r="AH2357" s="3"/>
      <c r="AL2357" s="3"/>
    </row>
    <row r="2358" spans="12:38" x14ac:dyDescent="0.25">
      <c r="L2358" s="2"/>
      <c r="M2358" s="2"/>
      <c r="N2358" s="2"/>
      <c r="AD2358" s="3"/>
      <c r="AH2358" s="3"/>
      <c r="AL2358" s="3"/>
    </row>
    <row r="2359" spans="12:38" x14ac:dyDescent="0.25">
      <c r="L2359" s="2"/>
      <c r="M2359" s="2"/>
      <c r="N2359" s="2"/>
      <c r="AD2359" s="3"/>
      <c r="AH2359" s="3"/>
      <c r="AL2359" s="3"/>
    </row>
    <row r="2360" spans="12:38" x14ac:dyDescent="0.25">
      <c r="L2360" s="2"/>
      <c r="M2360" s="2"/>
      <c r="N2360" s="2"/>
      <c r="AD2360" s="3"/>
      <c r="AH2360" s="3"/>
      <c r="AL2360" s="3"/>
    </row>
    <row r="2361" spans="12:38" x14ac:dyDescent="0.25">
      <c r="L2361" s="2"/>
      <c r="M2361" s="2"/>
      <c r="N2361" s="2"/>
      <c r="AD2361" s="3"/>
      <c r="AH2361" s="3"/>
      <c r="AL2361" s="3"/>
    </row>
    <row r="2362" spans="12:38" x14ac:dyDescent="0.25">
      <c r="L2362" s="2"/>
      <c r="M2362" s="2"/>
      <c r="N2362" s="2"/>
      <c r="AD2362" s="3"/>
      <c r="AH2362" s="3"/>
      <c r="AL2362" s="3"/>
    </row>
    <row r="2363" spans="12:38" x14ac:dyDescent="0.25">
      <c r="L2363" s="2"/>
      <c r="M2363" s="2"/>
      <c r="N2363" s="2"/>
      <c r="AD2363" s="3"/>
      <c r="AH2363" s="3"/>
      <c r="AL2363" s="3"/>
    </row>
    <row r="2364" spans="12:38" x14ac:dyDescent="0.25">
      <c r="L2364" s="2"/>
      <c r="M2364" s="2"/>
      <c r="N2364" s="2"/>
      <c r="AD2364" s="3"/>
      <c r="AH2364" s="3"/>
      <c r="AL2364" s="3"/>
    </row>
    <row r="2365" spans="12:38" x14ac:dyDescent="0.25">
      <c r="L2365" s="2"/>
      <c r="M2365" s="2"/>
      <c r="N2365" s="2"/>
      <c r="AD2365" s="3"/>
      <c r="AH2365" s="3"/>
      <c r="AL2365" s="3"/>
    </row>
    <row r="2366" spans="12:38" x14ac:dyDescent="0.25">
      <c r="L2366" s="2"/>
      <c r="M2366" s="2"/>
      <c r="N2366" s="2"/>
      <c r="AD2366" s="3"/>
      <c r="AH2366" s="3"/>
      <c r="AL2366" s="3"/>
    </row>
    <row r="2367" spans="12:38" x14ac:dyDescent="0.25">
      <c r="L2367" s="2"/>
      <c r="M2367" s="2"/>
      <c r="N2367" s="2"/>
      <c r="AD2367" s="3"/>
      <c r="AH2367" s="3"/>
      <c r="AL2367" s="3"/>
    </row>
    <row r="2368" spans="12:38" x14ac:dyDescent="0.25">
      <c r="L2368" s="2"/>
      <c r="M2368" s="2"/>
      <c r="N2368" s="2"/>
      <c r="AD2368" s="3"/>
      <c r="AH2368" s="3"/>
      <c r="AL2368" s="3"/>
    </row>
    <row r="2369" spans="12:38" x14ac:dyDescent="0.25">
      <c r="L2369" s="2"/>
      <c r="M2369" s="2"/>
      <c r="N2369" s="2"/>
      <c r="AD2369" s="3"/>
      <c r="AH2369" s="3"/>
      <c r="AL2369" s="3"/>
    </row>
    <row r="2370" spans="12:38" x14ac:dyDescent="0.25">
      <c r="L2370" s="2"/>
      <c r="M2370" s="2"/>
      <c r="N2370" s="2"/>
      <c r="AD2370" s="3"/>
      <c r="AH2370" s="3"/>
      <c r="AL2370" s="3"/>
    </row>
    <row r="2371" spans="12:38" x14ac:dyDescent="0.25">
      <c r="L2371" s="2"/>
      <c r="M2371" s="2"/>
      <c r="N2371" s="2"/>
      <c r="AD2371" s="3"/>
      <c r="AH2371" s="3"/>
      <c r="AL2371" s="3"/>
    </row>
    <row r="2372" spans="12:38" x14ac:dyDescent="0.25">
      <c r="L2372" s="2"/>
      <c r="M2372" s="2"/>
      <c r="N2372" s="2"/>
      <c r="AD2372" s="3"/>
      <c r="AH2372" s="3"/>
      <c r="AL2372" s="3"/>
    </row>
    <row r="2373" spans="12:38" x14ac:dyDescent="0.25">
      <c r="L2373" s="2"/>
      <c r="M2373" s="2"/>
      <c r="N2373" s="2"/>
      <c r="AD2373" s="3"/>
      <c r="AH2373" s="3"/>
      <c r="AL2373" s="3"/>
    </row>
    <row r="2374" spans="12:38" x14ac:dyDescent="0.25">
      <c r="L2374" s="2"/>
      <c r="M2374" s="2"/>
      <c r="N2374" s="2"/>
      <c r="AD2374" s="3"/>
      <c r="AH2374" s="3"/>
      <c r="AL2374" s="3"/>
    </row>
    <row r="2375" spans="12:38" x14ac:dyDescent="0.25">
      <c r="L2375" s="2"/>
      <c r="M2375" s="2"/>
      <c r="N2375" s="2"/>
      <c r="AD2375" s="3"/>
      <c r="AH2375" s="3"/>
      <c r="AL2375" s="3"/>
    </row>
    <row r="2376" spans="12:38" x14ac:dyDescent="0.25">
      <c r="L2376" s="2"/>
      <c r="M2376" s="2"/>
      <c r="N2376" s="2"/>
      <c r="AD2376" s="3"/>
      <c r="AH2376" s="3"/>
      <c r="AL2376" s="3"/>
    </row>
    <row r="2377" spans="12:38" x14ac:dyDescent="0.25">
      <c r="L2377" s="2"/>
      <c r="M2377" s="2"/>
      <c r="N2377" s="2"/>
      <c r="AD2377" s="3"/>
      <c r="AH2377" s="3"/>
      <c r="AL2377" s="3"/>
    </row>
    <row r="2378" spans="12:38" x14ac:dyDescent="0.25">
      <c r="L2378" s="2"/>
      <c r="M2378" s="2"/>
      <c r="N2378" s="2"/>
      <c r="AD2378" s="3"/>
      <c r="AH2378" s="3"/>
      <c r="AL2378" s="3"/>
    </row>
    <row r="2379" spans="12:38" x14ac:dyDescent="0.25">
      <c r="L2379" s="2"/>
      <c r="M2379" s="2"/>
      <c r="N2379" s="2"/>
      <c r="AD2379" s="3"/>
      <c r="AH2379" s="3"/>
      <c r="AL2379" s="3"/>
    </row>
    <row r="2380" spans="12:38" x14ac:dyDescent="0.25">
      <c r="L2380" s="2"/>
      <c r="M2380" s="2"/>
      <c r="N2380" s="2"/>
      <c r="AD2380" s="3"/>
      <c r="AH2380" s="3"/>
      <c r="AL2380" s="3"/>
    </row>
    <row r="2381" spans="12:38" x14ac:dyDescent="0.25">
      <c r="L2381" s="2"/>
      <c r="M2381" s="2"/>
      <c r="N2381" s="2"/>
      <c r="AD2381" s="3"/>
      <c r="AH2381" s="3"/>
      <c r="AL2381" s="3"/>
    </row>
    <row r="2382" spans="12:38" x14ac:dyDescent="0.25">
      <c r="L2382" s="2"/>
      <c r="M2382" s="2"/>
      <c r="N2382" s="2"/>
      <c r="AD2382" s="3"/>
      <c r="AH2382" s="3"/>
      <c r="AL2382" s="3"/>
    </row>
    <row r="2383" spans="12:38" x14ac:dyDescent="0.25">
      <c r="L2383" s="2"/>
      <c r="M2383" s="2"/>
      <c r="N2383" s="2"/>
      <c r="AD2383" s="3"/>
      <c r="AH2383" s="3"/>
      <c r="AL2383" s="3"/>
    </row>
    <row r="2384" spans="12:38" x14ac:dyDescent="0.25">
      <c r="L2384" s="2"/>
      <c r="M2384" s="2"/>
      <c r="N2384" s="2"/>
      <c r="AD2384" s="3"/>
      <c r="AH2384" s="3"/>
      <c r="AL2384" s="3"/>
    </row>
    <row r="2385" spans="12:38" x14ac:dyDescent="0.25">
      <c r="L2385" s="2"/>
      <c r="M2385" s="2"/>
      <c r="N2385" s="2"/>
      <c r="AD2385" s="3"/>
      <c r="AH2385" s="3"/>
      <c r="AL2385" s="3"/>
    </row>
    <row r="2386" spans="12:38" x14ac:dyDescent="0.25">
      <c r="L2386" s="2"/>
      <c r="M2386" s="2"/>
      <c r="N2386" s="2"/>
      <c r="AD2386" s="3"/>
      <c r="AH2386" s="3"/>
      <c r="AL2386" s="3"/>
    </row>
    <row r="2387" spans="12:38" x14ac:dyDescent="0.25">
      <c r="L2387" s="2"/>
      <c r="M2387" s="2"/>
      <c r="N2387" s="2"/>
      <c r="AD2387" s="3"/>
      <c r="AH2387" s="3"/>
      <c r="AL2387" s="3"/>
    </row>
    <row r="2388" spans="12:38" x14ac:dyDescent="0.25">
      <c r="L2388" s="2"/>
      <c r="M2388" s="2"/>
      <c r="N2388" s="2"/>
      <c r="AD2388" s="3"/>
      <c r="AH2388" s="3"/>
      <c r="AL2388" s="3"/>
    </row>
    <row r="2389" spans="12:38" x14ac:dyDescent="0.25">
      <c r="L2389" s="2"/>
      <c r="M2389" s="2"/>
      <c r="N2389" s="2"/>
      <c r="AD2389" s="3"/>
      <c r="AH2389" s="3"/>
      <c r="AL2389" s="3"/>
    </row>
    <row r="2390" spans="12:38" x14ac:dyDescent="0.25">
      <c r="L2390" s="2"/>
      <c r="M2390" s="2"/>
      <c r="N2390" s="2"/>
      <c r="AD2390" s="3"/>
      <c r="AH2390" s="3"/>
      <c r="AL2390" s="3"/>
    </row>
    <row r="2391" spans="12:38" x14ac:dyDescent="0.25">
      <c r="L2391" s="2"/>
      <c r="M2391" s="2"/>
      <c r="N2391" s="2"/>
      <c r="AD2391" s="3"/>
      <c r="AH2391" s="3"/>
      <c r="AL2391" s="3"/>
    </row>
    <row r="2392" spans="12:38" x14ac:dyDescent="0.25">
      <c r="L2392" s="2"/>
      <c r="M2392" s="2"/>
      <c r="N2392" s="2"/>
      <c r="AD2392" s="3"/>
      <c r="AH2392" s="3"/>
      <c r="AL2392" s="3"/>
    </row>
    <row r="2393" spans="12:38" x14ac:dyDescent="0.25">
      <c r="L2393" s="2"/>
      <c r="M2393" s="2"/>
      <c r="N2393" s="2"/>
      <c r="AD2393" s="3"/>
      <c r="AH2393" s="3"/>
      <c r="AL2393" s="3"/>
    </row>
    <row r="2394" spans="12:38" x14ac:dyDescent="0.25">
      <c r="L2394" s="2"/>
      <c r="M2394" s="2"/>
      <c r="N2394" s="2"/>
      <c r="AD2394" s="3"/>
      <c r="AH2394" s="3"/>
      <c r="AL2394" s="3"/>
    </row>
    <row r="2395" spans="12:38" x14ac:dyDescent="0.25">
      <c r="L2395" s="2"/>
      <c r="M2395" s="2"/>
      <c r="N2395" s="2"/>
      <c r="AD2395" s="3"/>
      <c r="AH2395" s="3"/>
      <c r="AL2395" s="3"/>
    </row>
    <row r="2396" spans="12:38" x14ac:dyDescent="0.25">
      <c r="L2396" s="2"/>
      <c r="M2396" s="2"/>
      <c r="N2396" s="2"/>
      <c r="AD2396" s="3"/>
      <c r="AH2396" s="3"/>
      <c r="AL2396" s="3"/>
    </row>
    <row r="2397" spans="12:38" x14ac:dyDescent="0.25">
      <c r="L2397" s="2"/>
      <c r="M2397" s="2"/>
      <c r="N2397" s="2"/>
      <c r="AD2397" s="3"/>
      <c r="AH2397" s="3"/>
      <c r="AL2397" s="3"/>
    </row>
    <row r="2398" spans="12:38" x14ac:dyDescent="0.25">
      <c r="L2398" s="2"/>
      <c r="M2398" s="2"/>
      <c r="N2398" s="2"/>
      <c r="AD2398" s="3"/>
      <c r="AH2398" s="3"/>
      <c r="AL2398" s="3"/>
    </row>
    <row r="2399" spans="12:38" x14ac:dyDescent="0.25">
      <c r="L2399" s="2"/>
      <c r="M2399" s="2"/>
      <c r="N2399" s="2"/>
      <c r="AD2399" s="3"/>
      <c r="AH2399" s="3"/>
      <c r="AL2399" s="3"/>
    </row>
    <row r="2400" spans="12:38" x14ac:dyDescent="0.25">
      <c r="L2400" s="2"/>
      <c r="M2400" s="2"/>
      <c r="N2400" s="2"/>
      <c r="AD2400" s="3"/>
      <c r="AH2400" s="3"/>
      <c r="AL2400" s="3"/>
    </row>
    <row r="2401" spans="12:38" x14ac:dyDescent="0.25">
      <c r="L2401" s="2"/>
      <c r="M2401" s="2"/>
      <c r="N2401" s="2"/>
      <c r="AD2401" s="3"/>
      <c r="AH2401" s="3"/>
      <c r="AL2401" s="3"/>
    </row>
    <row r="2402" spans="12:38" x14ac:dyDescent="0.25">
      <c r="L2402" s="2"/>
      <c r="M2402" s="2"/>
      <c r="N2402" s="2"/>
      <c r="AD2402" s="3"/>
      <c r="AH2402" s="3"/>
      <c r="AL2402" s="3"/>
    </row>
    <row r="2403" spans="12:38" x14ac:dyDescent="0.25">
      <c r="L2403" s="2"/>
      <c r="M2403" s="2"/>
      <c r="N2403" s="2"/>
      <c r="AD2403" s="3"/>
      <c r="AH2403" s="3"/>
      <c r="AL2403" s="3"/>
    </row>
    <row r="2404" spans="12:38" x14ac:dyDescent="0.25">
      <c r="L2404" s="2"/>
      <c r="M2404" s="2"/>
      <c r="N2404" s="2"/>
      <c r="AD2404" s="3"/>
      <c r="AH2404" s="3"/>
      <c r="AL2404" s="3"/>
    </row>
    <row r="2405" spans="12:38" x14ac:dyDescent="0.25">
      <c r="L2405" s="2"/>
      <c r="M2405" s="2"/>
      <c r="N2405" s="2"/>
      <c r="AD2405" s="3"/>
      <c r="AH2405" s="3"/>
      <c r="AL2405" s="3"/>
    </row>
    <row r="2406" spans="12:38" x14ac:dyDescent="0.25">
      <c r="L2406" s="2"/>
      <c r="M2406" s="2"/>
      <c r="N2406" s="2"/>
      <c r="AD2406" s="3"/>
      <c r="AH2406" s="3"/>
      <c r="AL2406" s="3"/>
    </row>
    <row r="2407" spans="12:38" x14ac:dyDescent="0.25">
      <c r="L2407" s="2"/>
      <c r="M2407" s="2"/>
      <c r="N2407" s="2"/>
      <c r="AD2407" s="3"/>
      <c r="AH2407" s="3"/>
      <c r="AL2407" s="3"/>
    </row>
    <row r="2408" spans="12:38" x14ac:dyDescent="0.25">
      <c r="L2408" s="2"/>
      <c r="M2408" s="2"/>
      <c r="N2408" s="2"/>
      <c r="AD2408" s="3"/>
      <c r="AH2408" s="3"/>
      <c r="AL2408" s="3"/>
    </row>
    <row r="2409" spans="12:38" x14ac:dyDescent="0.25">
      <c r="L2409" s="2"/>
      <c r="M2409" s="2"/>
      <c r="N2409" s="2"/>
      <c r="AD2409" s="3"/>
      <c r="AH2409" s="3"/>
      <c r="AL2409" s="3"/>
    </row>
    <row r="2410" spans="12:38" x14ac:dyDescent="0.25">
      <c r="L2410" s="2"/>
      <c r="M2410" s="2"/>
      <c r="N2410" s="2"/>
      <c r="AD2410" s="3"/>
      <c r="AH2410" s="3"/>
      <c r="AL2410" s="3"/>
    </row>
    <row r="2411" spans="12:38" x14ac:dyDescent="0.25">
      <c r="L2411" s="2"/>
      <c r="M2411" s="2"/>
      <c r="N2411" s="2"/>
      <c r="AD2411" s="3"/>
      <c r="AH2411" s="3"/>
      <c r="AL2411" s="3"/>
    </row>
    <row r="2412" spans="12:38" x14ac:dyDescent="0.25">
      <c r="L2412" s="2"/>
      <c r="M2412" s="2"/>
      <c r="N2412" s="2"/>
      <c r="AD2412" s="3"/>
      <c r="AH2412" s="3"/>
      <c r="AL2412" s="3"/>
    </row>
    <row r="2413" spans="12:38" x14ac:dyDescent="0.25">
      <c r="L2413" s="2"/>
      <c r="M2413" s="2"/>
      <c r="N2413" s="2"/>
      <c r="AD2413" s="3"/>
      <c r="AH2413" s="3"/>
      <c r="AL2413" s="3"/>
    </row>
    <row r="2414" spans="12:38" x14ac:dyDescent="0.25">
      <c r="L2414" s="2"/>
      <c r="M2414" s="2"/>
      <c r="N2414" s="2"/>
      <c r="AD2414" s="3"/>
      <c r="AH2414" s="3"/>
      <c r="AL2414" s="3"/>
    </row>
    <row r="2415" spans="12:38" x14ac:dyDescent="0.25">
      <c r="L2415" s="2"/>
      <c r="M2415" s="2"/>
      <c r="N2415" s="2"/>
      <c r="AD2415" s="3"/>
      <c r="AH2415" s="3"/>
      <c r="AL2415" s="3"/>
    </row>
    <row r="2416" spans="12:38" x14ac:dyDescent="0.25">
      <c r="L2416" s="2"/>
      <c r="M2416" s="2"/>
      <c r="N2416" s="2"/>
      <c r="AD2416" s="3"/>
      <c r="AH2416" s="3"/>
      <c r="AL2416" s="3"/>
    </row>
    <row r="2417" spans="12:38" x14ac:dyDescent="0.25">
      <c r="L2417" s="2"/>
      <c r="M2417" s="2"/>
      <c r="N2417" s="2"/>
      <c r="AD2417" s="3"/>
      <c r="AH2417" s="3"/>
      <c r="AL2417" s="3"/>
    </row>
    <row r="2418" spans="12:38" x14ac:dyDescent="0.25">
      <c r="L2418" s="2"/>
      <c r="M2418" s="2"/>
      <c r="N2418" s="2"/>
      <c r="AD2418" s="3"/>
      <c r="AH2418" s="3"/>
      <c r="AL2418" s="3"/>
    </row>
    <row r="2419" spans="12:38" x14ac:dyDescent="0.25">
      <c r="L2419" s="2"/>
      <c r="M2419" s="2"/>
      <c r="N2419" s="2"/>
      <c r="AD2419" s="3"/>
      <c r="AH2419" s="3"/>
      <c r="AL2419" s="3"/>
    </row>
    <row r="2420" spans="12:38" x14ac:dyDescent="0.25">
      <c r="L2420" s="2"/>
      <c r="M2420" s="2"/>
      <c r="N2420" s="2"/>
      <c r="AD2420" s="3"/>
      <c r="AH2420" s="3"/>
      <c r="AL2420" s="3"/>
    </row>
    <row r="2421" spans="12:38" x14ac:dyDescent="0.25">
      <c r="L2421" s="2"/>
      <c r="M2421" s="2"/>
      <c r="N2421" s="2"/>
      <c r="AD2421" s="3"/>
      <c r="AH2421" s="3"/>
      <c r="AL2421" s="3"/>
    </row>
    <row r="2422" spans="12:38" x14ac:dyDescent="0.25">
      <c r="L2422" s="2"/>
      <c r="M2422" s="2"/>
      <c r="N2422" s="2"/>
      <c r="AD2422" s="3"/>
      <c r="AH2422" s="3"/>
      <c r="AL2422" s="3"/>
    </row>
    <row r="2423" spans="12:38" x14ac:dyDescent="0.25">
      <c r="L2423" s="2"/>
      <c r="M2423" s="2"/>
      <c r="N2423" s="2"/>
      <c r="AD2423" s="3"/>
      <c r="AH2423" s="3"/>
      <c r="AL2423" s="3"/>
    </row>
    <row r="2424" spans="12:38" x14ac:dyDescent="0.25">
      <c r="L2424" s="2"/>
      <c r="M2424" s="2"/>
      <c r="N2424" s="2"/>
      <c r="AD2424" s="3"/>
      <c r="AH2424" s="3"/>
      <c r="AL2424" s="3"/>
    </row>
    <row r="2425" spans="12:38" x14ac:dyDescent="0.25">
      <c r="L2425" s="2"/>
      <c r="M2425" s="2"/>
      <c r="N2425" s="2"/>
      <c r="AD2425" s="3"/>
      <c r="AH2425" s="3"/>
      <c r="AL2425" s="3"/>
    </row>
    <row r="2426" spans="12:38" x14ac:dyDescent="0.25">
      <c r="L2426" s="2"/>
      <c r="M2426" s="2"/>
      <c r="N2426" s="2"/>
      <c r="AD2426" s="3"/>
      <c r="AH2426" s="3"/>
      <c r="AL2426" s="3"/>
    </row>
    <row r="2427" spans="12:38" x14ac:dyDescent="0.25">
      <c r="L2427" s="2"/>
      <c r="M2427" s="2"/>
      <c r="N2427" s="2"/>
      <c r="AD2427" s="3"/>
      <c r="AH2427" s="3"/>
      <c r="AL2427" s="3"/>
    </row>
    <row r="2428" spans="12:38" x14ac:dyDescent="0.25">
      <c r="L2428" s="2"/>
      <c r="M2428" s="2"/>
      <c r="N2428" s="2"/>
      <c r="AD2428" s="3"/>
      <c r="AH2428" s="3"/>
      <c r="AL2428" s="3"/>
    </row>
    <row r="2429" spans="12:38" x14ac:dyDescent="0.25">
      <c r="L2429" s="2"/>
      <c r="M2429" s="2"/>
      <c r="N2429" s="2"/>
      <c r="AD2429" s="3"/>
      <c r="AH2429" s="3"/>
      <c r="AL2429" s="3"/>
    </row>
    <row r="2430" spans="12:38" x14ac:dyDescent="0.25">
      <c r="L2430" s="2"/>
      <c r="M2430" s="2"/>
      <c r="N2430" s="2"/>
      <c r="AD2430" s="3"/>
      <c r="AH2430" s="3"/>
      <c r="AL2430" s="3"/>
    </row>
    <row r="2431" spans="12:38" x14ac:dyDescent="0.25">
      <c r="L2431" s="2"/>
      <c r="M2431" s="2"/>
      <c r="N2431" s="2"/>
      <c r="AD2431" s="3"/>
      <c r="AH2431" s="3"/>
      <c r="AL2431" s="3"/>
    </row>
    <row r="2432" spans="12:38" x14ac:dyDescent="0.25">
      <c r="L2432" s="2"/>
      <c r="M2432" s="2"/>
      <c r="N2432" s="2"/>
      <c r="AD2432" s="3"/>
      <c r="AH2432" s="3"/>
      <c r="AL2432" s="3"/>
    </row>
    <row r="2433" spans="12:38" x14ac:dyDescent="0.25">
      <c r="L2433" s="2"/>
      <c r="M2433" s="2"/>
      <c r="N2433" s="2"/>
      <c r="AD2433" s="3"/>
      <c r="AH2433" s="3"/>
      <c r="AL2433" s="3"/>
    </row>
    <row r="2434" spans="12:38" x14ac:dyDescent="0.25">
      <c r="L2434" s="2"/>
      <c r="M2434" s="2"/>
      <c r="N2434" s="2"/>
      <c r="AD2434" s="3"/>
      <c r="AH2434" s="3"/>
      <c r="AL2434" s="3"/>
    </row>
    <row r="2435" spans="12:38" x14ac:dyDescent="0.25">
      <c r="L2435" s="2"/>
      <c r="M2435" s="2"/>
      <c r="N2435" s="2"/>
      <c r="AD2435" s="3"/>
      <c r="AH2435" s="3"/>
      <c r="AL2435" s="3"/>
    </row>
    <row r="2436" spans="12:38" x14ac:dyDescent="0.25">
      <c r="L2436" s="2"/>
      <c r="M2436" s="2"/>
      <c r="N2436" s="2"/>
      <c r="AD2436" s="3"/>
      <c r="AH2436" s="3"/>
      <c r="AL2436" s="3"/>
    </row>
    <row r="2437" spans="12:38" x14ac:dyDescent="0.25">
      <c r="L2437" s="2"/>
      <c r="M2437" s="2"/>
      <c r="N2437" s="2"/>
      <c r="AD2437" s="3"/>
      <c r="AH2437" s="3"/>
      <c r="AL2437" s="3"/>
    </row>
    <row r="2438" spans="12:38" x14ac:dyDescent="0.25">
      <c r="L2438" s="2"/>
      <c r="M2438" s="2"/>
      <c r="N2438" s="2"/>
      <c r="AD2438" s="3"/>
      <c r="AH2438" s="3"/>
      <c r="AL2438" s="3"/>
    </row>
    <row r="2439" spans="12:38" x14ac:dyDescent="0.25">
      <c r="L2439" s="2"/>
      <c r="M2439" s="2"/>
      <c r="N2439" s="2"/>
      <c r="AD2439" s="3"/>
      <c r="AH2439" s="3"/>
      <c r="AL2439" s="3"/>
    </row>
    <row r="2440" spans="12:38" x14ac:dyDescent="0.25">
      <c r="L2440" s="2"/>
      <c r="M2440" s="2"/>
      <c r="N2440" s="2"/>
      <c r="AD2440" s="3"/>
      <c r="AH2440" s="3"/>
      <c r="AL2440" s="3"/>
    </row>
    <row r="2441" spans="12:38" x14ac:dyDescent="0.25">
      <c r="L2441" s="2"/>
      <c r="M2441" s="2"/>
      <c r="N2441" s="2"/>
      <c r="AD2441" s="3"/>
      <c r="AH2441" s="3"/>
      <c r="AL2441" s="3"/>
    </row>
    <row r="2442" spans="12:38" x14ac:dyDescent="0.25">
      <c r="L2442" s="2"/>
      <c r="M2442" s="2"/>
      <c r="N2442" s="2"/>
      <c r="AD2442" s="3"/>
      <c r="AH2442" s="3"/>
      <c r="AL2442" s="3"/>
    </row>
    <row r="2443" spans="12:38" x14ac:dyDescent="0.25">
      <c r="L2443" s="2"/>
      <c r="M2443" s="2"/>
      <c r="N2443" s="2"/>
      <c r="AD2443" s="3"/>
      <c r="AH2443" s="3"/>
      <c r="AL2443" s="3"/>
    </row>
    <row r="2444" spans="12:38" x14ac:dyDescent="0.25">
      <c r="L2444" s="2"/>
      <c r="M2444" s="2"/>
      <c r="N2444" s="2"/>
      <c r="AD2444" s="3"/>
      <c r="AH2444" s="3"/>
      <c r="AL2444" s="3"/>
    </row>
    <row r="2445" spans="12:38" x14ac:dyDescent="0.25">
      <c r="L2445" s="2"/>
      <c r="M2445" s="2"/>
      <c r="N2445" s="2"/>
      <c r="AD2445" s="3"/>
      <c r="AH2445" s="3"/>
      <c r="AL2445" s="3"/>
    </row>
    <row r="2446" spans="12:38" x14ac:dyDescent="0.25">
      <c r="L2446" s="2"/>
      <c r="M2446" s="2"/>
      <c r="N2446" s="2"/>
      <c r="AD2446" s="3"/>
      <c r="AH2446" s="3"/>
      <c r="AL2446" s="3"/>
    </row>
    <row r="2447" spans="12:38" x14ac:dyDescent="0.25">
      <c r="L2447" s="2"/>
      <c r="M2447" s="2"/>
      <c r="N2447" s="2"/>
      <c r="AD2447" s="3"/>
      <c r="AH2447" s="3"/>
      <c r="AL2447" s="3"/>
    </row>
    <row r="2448" spans="12:38" x14ac:dyDescent="0.25">
      <c r="L2448" s="2"/>
      <c r="M2448" s="2"/>
      <c r="N2448" s="2"/>
      <c r="AD2448" s="3"/>
      <c r="AH2448" s="3"/>
      <c r="AL2448" s="3"/>
    </row>
    <row r="2449" spans="12:38" x14ac:dyDescent="0.25">
      <c r="L2449" s="2"/>
      <c r="M2449" s="2"/>
      <c r="N2449" s="2"/>
      <c r="AD2449" s="3"/>
      <c r="AH2449" s="3"/>
      <c r="AL2449" s="3"/>
    </row>
    <row r="2450" spans="12:38" x14ac:dyDescent="0.25">
      <c r="L2450" s="2"/>
      <c r="M2450" s="2"/>
      <c r="N2450" s="2"/>
      <c r="AD2450" s="3"/>
      <c r="AH2450" s="3"/>
      <c r="AL2450" s="3"/>
    </row>
    <row r="2451" spans="12:38" x14ac:dyDescent="0.25">
      <c r="L2451" s="2"/>
      <c r="M2451" s="2"/>
      <c r="N2451" s="2"/>
      <c r="AD2451" s="3"/>
      <c r="AH2451" s="3"/>
      <c r="AL2451" s="3"/>
    </row>
    <row r="2452" spans="12:38" x14ac:dyDescent="0.25">
      <c r="L2452" s="2"/>
      <c r="M2452" s="2"/>
      <c r="N2452" s="2"/>
      <c r="AD2452" s="3"/>
      <c r="AH2452" s="3"/>
      <c r="AL2452" s="3"/>
    </row>
    <row r="2453" spans="12:38" x14ac:dyDescent="0.25">
      <c r="L2453" s="2"/>
      <c r="M2453" s="2"/>
      <c r="N2453" s="2"/>
      <c r="AD2453" s="3"/>
      <c r="AH2453" s="3"/>
      <c r="AL2453" s="3"/>
    </row>
    <row r="2454" spans="12:38" x14ac:dyDescent="0.25">
      <c r="L2454" s="2"/>
      <c r="M2454" s="2"/>
      <c r="N2454" s="2"/>
      <c r="AD2454" s="3"/>
      <c r="AH2454" s="3"/>
      <c r="AL2454" s="3"/>
    </row>
    <row r="2455" spans="12:38" x14ac:dyDescent="0.25">
      <c r="L2455" s="2"/>
      <c r="M2455" s="2"/>
      <c r="N2455" s="2"/>
      <c r="AD2455" s="3"/>
      <c r="AH2455" s="3"/>
      <c r="AL2455" s="3"/>
    </row>
    <row r="2456" spans="12:38" x14ac:dyDescent="0.25">
      <c r="L2456" s="2"/>
      <c r="M2456" s="2"/>
      <c r="N2456" s="2"/>
      <c r="AD2456" s="3"/>
      <c r="AH2456" s="3"/>
      <c r="AL2456" s="3"/>
    </row>
    <row r="2457" spans="12:38" x14ac:dyDescent="0.25">
      <c r="L2457" s="2"/>
      <c r="M2457" s="2"/>
      <c r="N2457" s="2"/>
      <c r="AD2457" s="3"/>
      <c r="AH2457" s="3"/>
      <c r="AL2457" s="3"/>
    </row>
    <row r="2458" spans="12:38" x14ac:dyDescent="0.25">
      <c r="L2458" s="2"/>
      <c r="M2458" s="2"/>
      <c r="N2458" s="2"/>
      <c r="AD2458" s="3"/>
      <c r="AH2458" s="3"/>
      <c r="AL2458" s="3"/>
    </row>
    <row r="2459" spans="12:38" x14ac:dyDescent="0.25">
      <c r="L2459" s="2"/>
      <c r="M2459" s="2"/>
      <c r="N2459" s="2"/>
      <c r="AD2459" s="3"/>
      <c r="AH2459" s="3"/>
      <c r="AL2459" s="3"/>
    </row>
    <row r="2460" spans="12:38" x14ac:dyDescent="0.25">
      <c r="L2460" s="2"/>
      <c r="M2460" s="2"/>
      <c r="N2460" s="2"/>
      <c r="AD2460" s="3"/>
      <c r="AH2460" s="3"/>
      <c r="AL2460" s="3"/>
    </row>
    <row r="2461" spans="12:38" x14ac:dyDescent="0.25">
      <c r="L2461" s="2"/>
      <c r="M2461" s="2"/>
      <c r="N2461" s="2"/>
      <c r="AD2461" s="3"/>
      <c r="AH2461" s="3"/>
      <c r="AL2461" s="3"/>
    </row>
    <row r="2462" spans="12:38" x14ac:dyDescent="0.25">
      <c r="L2462" s="2"/>
      <c r="M2462" s="2"/>
      <c r="N2462" s="2"/>
      <c r="AD2462" s="3"/>
      <c r="AH2462" s="3"/>
      <c r="AL2462" s="3"/>
    </row>
    <row r="2463" spans="12:38" x14ac:dyDescent="0.25">
      <c r="L2463" s="2"/>
      <c r="M2463" s="2"/>
      <c r="N2463" s="2"/>
      <c r="AD2463" s="3"/>
      <c r="AH2463" s="3"/>
      <c r="AL2463" s="3"/>
    </row>
    <row r="2464" spans="12:38" x14ac:dyDescent="0.25">
      <c r="L2464" s="2"/>
      <c r="M2464" s="2"/>
      <c r="N2464" s="2"/>
      <c r="AD2464" s="3"/>
      <c r="AH2464" s="3"/>
      <c r="AL2464" s="3"/>
    </row>
    <row r="2465" spans="12:38" x14ac:dyDescent="0.25">
      <c r="L2465" s="2"/>
      <c r="M2465" s="2"/>
      <c r="N2465" s="2"/>
      <c r="AD2465" s="3"/>
      <c r="AH2465" s="3"/>
      <c r="AL2465" s="3"/>
    </row>
    <row r="2466" spans="12:38" x14ac:dyDescent="0.25">
      <c r="L2466" s="2"/>
      <c r="M2466" s="2"/>
      <c r="N2466" s="2"/>
      <c r="AD2466" s="3"/>
      <c r="AH2466" s="3"/>
      <c r="AL2466" s="3"/>
    </row>
    <row r="2467" spans="12:38" x14ac:dyDescent="0.25">
      <c r="L2467" s="2"/>
      <c r="M2467" s="2"/>
      <c r="N2467" s="2"/>
      <c r="AD2467" s="3"/>
      <c r="AH2467" s="3"/>
      <c r="AL2467" s="3"/>
    </row>
    <row r="2468" spans="12:38" x14ac:dyDescent="0.25">
      <c r="L2468" s="2"/>
      <c r="M2468" s="2"/>
      <c r="N2468" s="2"/>
      <c r="AD2468" s="3"/>
      <c r="AH2468" s="3"/>
      <c r="AL2468" s="3"/>
    </row>
    <row r="2469" spans="12:38" x14ac:dyDescent="0.25">
      <c r="L2469" s="2"/>
      <c r="M2469" s="2"/>
      <c r="N2469" s="2"/>
      <c r="AD2469" s="3"/>
      <c r="AH2469" s="3"/>
      <c r="AL2469" s="3"/>
    </row>
    <row r="2470" spans="12:38" x14ac:dyDescent="0.25">
      <c r="L2470" s="2"/>
      <c r="M2470" s="2"/>
      <c r="N2470" s="2"/>
      <c r="AD2470" s="3"/>
      <c r="AH2470" s="3"/>
      <c r="AL2470" s="3"/>
    </row>
    <row r="2471" spans="12:38" x14ac:dyDescent="0.25">
      <c r="L2471" s="2"/>
      <c r="M2471" s="2"/>
      <c r="N2471" s="2"/>
      <c r="AD2471" s="3"/>
      <c r="AH2471" s="3"/>
      <c r="AL2471" s="3"/>
    </row>
    <row r="2472" spans="12:38" x14ac:dyDescent="0.25">
      <c r="L2472" s="2"/>
      <c r="M2472" s="2"/>
      <c r="N2472" s="2"/>
      <c r="AD2472" s="3"/>
      <c r="AH2472" s="3"/>
      <c r="AL2472" s="3"/>
    </row>
    <row r="2473" spans="12:38" x14ac:dyDescent="0.25">
      <c r="L2473" s="2"/>
      <c r="M2473" s="2"/>
      <c r="N2473" s="2"/>
      <c r="AD2473" s="3"/>
      <c r="AH2473" s="3"/>
      <c r="AL2473" s="3"/>
    </row>
    <row r="2474" spans="12:38" x14ac:dyDescent="0.25">
      <c r="L2474" s="2"/>
      <c r="M2474" s="2"/>
      <c r="N2474" s="2"/>
      <c r="AD2474" s="3"/>
      <c r="AH2474" s="3"/>
      <c r="AL2474" s="3"/>
    </row>
    <row r="2475" spans="12:38" x14ac:dyDescent="0.25">
      <c r="L2475" s="2"/>
      <c r="M2475" s="2"/>
      <c r="N2475" s="2"/>
      <c r="AD2475" s="3"/>
      <c r="AH2475" s="3"/>
      <c r="AL2475" s="3"/>
    </row>
    <row r="2476" spans="12:38" x14ac:dyDescent="0.25">
      <c r="L2476" s="2"/>
      <c r="M2476" s="2"/>
      <c r="N2476" s="2"/>
      <c r="AD2476" s="3"/>
      <c r="AH2476" s="3"/>
      <c r="AL2476" s="3"/>
    </row>
    <row r="2477" spans="12:38" x14ac:dyDescent="0.25">
      <c r="L2477" s="2"/>
      <c r="M2477" s="2"/>
      <c r="N2477" s="2"/>
      <c r="AD2477" s="3"/>
      <c r="AH2477" s="3"/>
      <c r="AL2477" s="3"/>
    </row>
    <row r="2478" spans="12:38" x14ac:dyDescent="0.25">
      <c r="L2478" s="2"/>
      <c r="M2478" s="2"/>
      <c r="N2478" s="2"/>
      <c r="AD2478" s="3"/>
      <c r="AH2478" s="3"/>
      <c r="AL2478" s="3"/>
    </row>
    <row r="2479" spans="12:38" x14ac:dyDescent="0.25">
      <c r="L2479" s="2"/>
      <c r="M2479" s="2"/>
      <c r="N2479" s="2"/>
      <c r="AD2479" s="3"/>
      <c r="AH2479" s="3"/>
      <c r="AL2479" s="3"/>
    </row>
    <row r="2480" spans="12:38" x14ac:dyDescent="0.25">
      <c r="L2480" s="2"/>
      <c r="M2480" s="2"/>
      <c r="N2480" s="2"/>
      <c r="AD2480" s="3"/>
      <c r="AH2480" s="3"/>
      <c r="AL2480" s="3"/>
    </row>
    <row r="2481" spans="12:38" x14ac:dyDescent="0.25">
      <c r="L2481" s="2"/>
      <c r="M2481" s="2"/>
      <c r="N2481" s="2"/>
      <c r="AD2481" s="3"/>
      <c r="AH2481" s="3"/>
      <c r="AL2481" s="3"/>
    </row>
    <row r="2482" spans="12:38" x14ac:dyDescent="0.25">
      <c r="L2482" s="2"/>
      <c r="M2482" s="2"/>
      <c r="N2482" s="2"/>
      <c r="AD2482" s="3"/>
      <c r="AH2482" s="3"/>
      <c r="AL2482" s="3"/>
    </row>
    <row r="2483" spans="12:38" x14ac:dyDescent="0.25">
      <c r="L2483" s="2"/>
      <c r="M2483" s="2"/>
      <c r="N2483" s="2"/>
      <c r="AD2483" s="3"/>
      <c r="AH2483" s="3"/>
      <c r="AL2483" s="3"/>
    </row>
    <row r="2484" spans="12:38" x14ac:dyDescent="0.25">
      <c r="L2484" s="2"/>
      <c r="M2484" s="2"/>
      <c r="N2484" s="2"/>
      <c r="AD2484" s="3"/>
      <c r="AH2484" s="3"/>
      <c r="AL2484" s="3"/>
    </row>
    <row r="2485" spans="12:38" x14ac:dyDescent="0.25">
      <c r="L2485" s="2"/>
      <c r="M2485" s="2"/>
      <c r="N2485" s="2"/>
      <c r="AD2485" s="3"/>
      <c r="AH2485" s="3"/>
      <c r="AL2485" s="3"/>
    </row>
    <row r="2486" spans="12:38" x14ac:dyDescent="0.25">
      <c r="L2486" s="2"/>
      <c r="M2486" s="2"/>
      <c r="N2486" s="2"/>
      <c r="AD2486" s="3"/>
      <c r="AH2486" s="3"/>
      <c r="AL2486" s="3"/>
    </row>
    <row r="2487" spans="12:38" x14ac:dyDescent="0.25">
      <c r="L2487" s="2"/>
      <c r="M2487" s="2"/>
      <c r="N2487" s="2"/>
      <c r="AD2487" s="3"/>
      <c r="AH2487" s="3"/>
      <c r="AL2487" s="3"/>
    </row>
    <row r="2488" spans="12:38" x14ac:dyDescent="0.25">
      <c r="L2488" s="2"/>
      <c r="M2488" s="2"/>
      <c r="N2488" s="2"/>
      <c r="AD2488" s="3"/>
      <c r="AH2488" s="3"/>
      <c r="AL2488" s="3"/>
    </row>
    <row r="2489" spans="12:38" x14ac:dyDescent="0.25">
      <c r="L2489" s="2"/>
      <c r="M2489" s="2"/>
      <c r="N2489" s="2"/>
      <c r="AD2489" s="3"/>
      <c r="AH2489" s="3"/>
      <c r="AL2489" s="3"/>
    </row>
    <row r="2490" spans="12:38" x14ac:dyDescent="0.25">
      <c r="L2490" s="2"/>
      <c r="M2490" s="2"/>
      <c r="N2490" s="2"/>
      <c r="AD2490" s="3"/>
      <c r="AH2490" s="3"/>
      <c r="AL2490" s="3"/>
    </row>
    <row r="2491" spans="12:38" x14ac:dyDescent="0.25">
      <c r="L2491" s="2"/>
      <c r="M2491" s="2"/>
      <c r="N2491" s="2"/>
      <c r="AD2491" s="3"/>
      <c r="AH2491" s="3"/>
      <c r="AL2491" s="3"/>
    </row>
    <row r="2492" spans="12:38" x14ac:dyDescent="0.25">
      <c r="L2492" s="2"/>
      <c r="M2492" s="2"/>
      <c r="N2492" s="2"/>
      <c r="AD2492" s="3"/>
      <c r="AH2492" s="3"/>
      <c r="AL2492" s="3"/>
    </row>
    <row r="2493" spans="12:38" x14ac:dyDescent="0.25">
      <c r="L2493" s="2"/>
      <c r="M2493" s="2"/>
      <c r="N2493" s="2"/>
      <c r="AD2493" s="3"/>
      <c r="AH2493" s="3"/>
      <c r="AL2493" s="3"/>
    </row>
    <row r="2494" spans="12:38" x14ac:dyDescent="0.25">
      <c r="L2494" s="2"/>
      <c r="M2494" s="2"/>
      <c r="N2494" s="2"/>
      <c r="AD2494" s="3"/>
      <c r="AH2494" s="3"/>
      <c r="AL2494" s="3"/>
    </row>
    <row r="2495" spans="12:38" x14ac:dyDescent="0.25">
      <c r="L2495" s="2"/>
      <c r="M2495" s="2"/>
      <c r="N2495" s="2"/>
      <c r="AD2495" s="3"/>
      <c r="AH2495" s="3"/>
      <c r="AL2495" s="3"/>
    </row>
    <row r="2496" spans="12:38" x14ac:dyDescent="0.25">
      <c r="L2496" s="2"/>
      <c r="M2496" s="2"/>
      <c r="N2496" s="2"/>
      <c r="AD2496" s="3"/>
      <c r="AH2496" s="3"/>
      <c r="AL2496" s="3"/>
    </row>
    <row r="2497" spans="12:38" x14ac:dyDescent="0.25">
      <c r="L2497" s="2"/>
      <c r="M2497" s="2"/>
      <c r="N2497" s="2"/>
      <c r="AD2497" s="3"/>
      <c r="AH2497" s="3"/>
      <c r="AL2497" s="3"/>
    </row>
    <row r="2498" spans="12:38" x14ac:dyDescent="0.25">
      <c r="L2498" s="2"/>
      <c r="M2498" s="2"/>
      <c r="N2498" s="2"/>
      <c r="AD2498" s="3"/>
      <c r="AH2498" s="3"/>
      <c r="AL2498" s="3"/>
    </row>
    <row r="2499" spans="12:38" x14ac:dyDescent="0.25">
      <c r="L2499" s="2"/>
      <c r="M2499" s="2"/>
      <c r="N2499" s="2"/>
      <c r="AD2499" s="3"/>
      <c r="AH2499" s="3"/>
      <c r="AL2499" s="3"/>
    </row>
    <row r="2500" spans="12:38" x14ac:dyDescent="0.25">
      <c r="L2500" s="2"/>
      <c r="M2500" s="2"/>
      <c r="N2500" s="2"/>
      <c r="AD2500" s="3"/>
      <c r="AH2500" s="3"/>
      <c r="AL2500" s="3"/>
    </row>
    <row r="2501" spans="12:38" x14ac:dyDescent="0.25">
      <c r="L2501" s="2"/>
      <c r="M2501" s="2"/>
      <c r="N2501" s="2"/>
      <c r="AD2501" s="3"/>
      <c r="AH2501" s="3"/>
      <c r="AL2501" s="3"/>
    </row>
    <row r="2502" spans="12:38" x14ac:dyDescent="0.25">
      <c r="L2502" s="2"/>
      <c r="M2502" s="2"/>
      <c r="N2502" s="2"/>
      <c r="AD2502" s="3"/>
      <c r="AH2502" s="3"/>
      <c r="AL2502" s="3"/>
    </row>
    <row r="2503" spans="12:38" x14ac:dyDescent="0.25">
      <c r="L2503" s="2"/>
      <c r="M2503" s="2"/>
      <c r="N2503" s="2"/>
      <c r="AD2503" s="3"/>
      <c r="AH2503" s="3"/>
      <c r="AL2503" s="3"/>
    </row>
    <row r="2504" spans="12:38" x14ac:dyDescent="0.25">
      <c r="L2504" s="2"/>
      <c r="M2504" s="2"/>
      <c r="N2504" s="2"/>
      <c r="AD2504" s="3"/>
      <c r="AH2504" s="3"/>
      <c r="AL2504" s="3"/>
    </row>
    <row r="2505" spans="12:38" x14ac:dyDescent="0.25">
      <c r="L2505" s="2"/>
      <c r="M2505" s="2"/>
      <c r="N2505" s="2"/>
      <c r="AD2505" s="3"/>
      <c r="AH2505" s="3"/>
      <c r="AL2505" s="3"/>
    </row>
    <row r="2506" spans="12:38" x14ac:dyDescent="0.25">
      <c r="L2506" s="2"/>
      <c r="M2506" s="2"/>
      <c r="N2506" s="2"/>
      <c r="AD2506" s="3"/>
      <c r="AH2506" s="3"/>
      <c r="AL2506" s="3"/>
    </row>
    <row r="2507" spans="12:38" x14ac:dyDescent="0.25">
      <c r="L2507" s="2"/>
      <c r="M2507" s="2"/>
      <c r="N2507" s="2"/>
      <c r="AD2507" s="3"/>
      <c r="AH2507" s="3"/>
      <c r="AL2507" s="3"/>
    </row>
    <row r="2508" spans="12:38" x14ac:dyDescent="0.25">
      <c r="L2508" s="2"/>
      <c r="M2508" s="2"/>
      <c r="N2508" s="2"/>
      <c r="AD2508" s="3"/>
      <c r="AH2508" s="3"/>
      <c r="AL2508" s="3"/>
    </row>
    <row r="2509" spans="12:38" x14ac:dyDescent="0.25">
      <c r="L2509" s="2"/>
      <c r="M2509" s="2"/>
      <c r="N2509" s="2"/>
      <c r="AD2509" s="3"/>
      <c r="AH2509" s="3"/>
      <c r="AL2509" s="3"/>
    </row>
    <row r="2510" spans="12:38" x14ac:dyDescent="0.25">
      <c r="L2510" s="2"/>
      <c r="M2510" s="2"/>
      <c r="N2510" s="2"/>
      <c r="AD2510" s="3"/>
      <c r="AH2510" s="3"/>
      <c r="AL2510" s="3"/>
    </row>
    <row r="2511" spans="12:38" x14ac:dyDescent="0.25">
      <c r="L2511" s="2"/>
      <c r="M2511" s="2"/>
      <c r="N2511" s="2"/>
      <c r="AD2511" s="3"/>
      <c r="AH2511" s="3"/>
      <c r="AL2511" s="3"/>
    </row>
    <row r="2512" spans="12:38" x14ac:dyDescent="0.25">
      <c r="L2512" s="2"/>
      <c r="M2512" s="2"/>
      <c r="N2512" s="2"/>
      <c r="AD2512" s="3"/>
      <c r="AH2512" s="3"/>
      <c r="AL2512" s="3"/>
    </row>
    <row r="2513" spans="12:38" x14ac:dyDescent="0.25">
      <c r="L2513" s="2"/>
      <c r="M2513" s="2"/>
      <c r="N2513" s="2"/>
      <c r="AD2513" s="3"/>
      <c r="AH2513" s="3"/>
      <c r="AL2513" s="3"/>
    </row>
    <row r="2514" spans="12:38" x14ac:dyDescent="0.25">
      <c r="L2514" s="2"/>
      <c r="M2514" s="2"/>
      <c r="N2514" s="2"/>
      <c r="AD2514" s="3"/>
      <c r="AH2514" s="3"/>
      <c r="AL2514" s="3"/>
    </row>
    <row r="2515" spans="12:38" x14ac:dyDescent="0.25">
      <c r="L2515" s="2"/>
      <c r="M2515" s="2"/>
      <c r="N2515" s="2"/>
      <c r="AD2515" s="3"/>
      <c r="AH2515" s="3"/>
      <c r="AL2515" s="3"/>
    </row>
    <row r="2516" spans="12:38" x14ac:dyDescent="0.25">
      <c r="L2516" s="2"/>
      <c r="M2516" s="2"/>
      <c r="N2516" s="2"/>
      <c r="AD2516" s="3"/>
      <c r="AH2516" s="3"/>
      <c r="AL2516" s="3"/>
    </row>
    <row r="2517" spans="12:38" x14ac:dyDescent="0.25">
      <c r="L2517" s="2"/>
      <c r="M2517" s="2"/>
      <c r="N2517" s="2"/>
      <c r="AD2517" s="3"/>
      <c r="AH2517" s="3"/>
      <c r="AL2517" s="3"/>
    </row>
    <row r="2518" spans="12:38" x14ac:dyDescent="0.25">
      <c r="L2518" s="2"/>
      <c r="M2518" s="2"/>
      <c r="N2518" s="2"/>
      <c r="AD2518" s="3"/>
      <c r="AH2518" s="3"/>
      <c r="AL2518" s="3"/>
    </row>
    <row r="2519" spans="12:38" x14ac:dyDescent="0.25">
      <c r="L2519" s="2"/>
      <c r="M2519" s="2"/>
      <c r="N2519" s="2"/>
      <c r="AD2519" s="3"/>
      <c r="AH2519" s="3"/>
      <c r="AL2519" s="3"/>
    </row>
    <row r="2520" spans="12:38" x14ac:dyDescent="0.25">
      <c r="L2520" s="2"/>
      <c r="M2520" s="2"/>
      <c r="N2520" s="2"/>
      <c r="AD2520" s="3"/>
      <c r="AH2520" s="3"/>
      <c r="AL2520" s="3"/>
    </row>
    <row r="2521" spans="12:38" x14ac:dyDescent="0.25">
      <c r="L2521" s="2"/>
      <c r="M2521" s="2"/>
      <c r="N2521" s="2"/>
      <c r="AD2521" s="3"/>
      <c r="AH2521" s="3"/>
      <c r="AL2521" s="3"/>
    </row>
    <row r="2522" spans="12:38" x14ac:dyDescent="0.25">
      <c r="L2522" s="2"/>
      <c r="M2522" s="2"/>
      <c r="N2522" s="2"/>
      <c r="AD2522" s="3"/>
      <c r="AH2522" s="3"/>
      <c r="AL2522" s="3"/>
    </row>
    <row r="2523" spans="12:38" x14ac:dyDescent="0.25">
      <c r="L2523" s="2"/>
      <c r="M2523" s="2"/>
      <c r="N2523" s="2"/>
      <c r="AD2523" s="3"/>
      <c r="AH2523" s="3"/>
      <c r="AL2523" s="3"/>
    </row>
    <row r="2524" spans="12:38" x14ac:dyDescent="0.25">
      <c r="L2524" s="2"/>
      <c r="M2524" s="2"/>
      <c r="N2524" s="2"/>
      <c r="AD2524" s="3"/>
      <c r="AH2524" s="3"/>
      <c r="AL2524" s="3"/>
    </row>
    <row r="2525" spans="12:38" x14ac:dyDescent="0.25">
      <c r="L2525" s="2"/>
      <c r="M2525" s="2"/>
      <c r="N2525" s="2"/>
      <c r="AD2525" s="3"/>
      <c r="AH2525" s="3"/>
      <c r="AL2525" s="3"/>
    </row>
    <row r="2526" spans="12:38" x14ac:dyDescent="0.25">
      <c r="L2526" s="2"/>
      <c r="M2526" s="2"/>
      <c r="N2526" s="2"/>
      <c r="AD2526" s="3"/>
      <c r="AH2526" s="3"/>
      <c r="AL2526" s="3"/>
    </row>
    <row r="2527" spans="12:38" x14ac:dyDescent="0.25">
      <c r="L2527" s="2"/>
      <c r="M2527" s="2"/>
      <c r="N2527" s="2"/>
      <c r="AD2527" s="3"/>
      <c r="AH2527" s="3"/>
      <c r="AL2527" s="3"/>
    </row>
    <row r="2528" spans="12:38" x14ac:dyDescent="0.25">
      <c r="L2528" s="2"/>
      <c r="M2528" s="2"/>
      <c r="N2528" s="2"/>
      <c r="AD2528" s="3"/>
      <c r="AH2528" s="3"/>
      <c r="AL2528" s="3"/>
    </row>
    <row r="2529" spans="12:38" x14ac:dyDescent="0.25">
      <c r="L2529" s="2"/>
      <c r="M2529" s="2"/>
      <c r="N2529" s="2"/>
      <c r="AD2529" s="3"/>
      <c r="AH2529" s="3"/>
      <c r="AL2529" s="3"/>
    </row>
    <row r="2530" spans="12:38" x14ac:dyDescent="0.25">
      <c r="L2530" s="2"/>
      <c r="M2530" s="2"/>
      <c r="N2530" s="2"/>
      <c r="AD2530" s="3"/>
      <c r="AH2530" s="3"/>
      <c r="AL2530" s="3"/>
    </row>
    <row r="2531" spans="12:38" x14ac:dyDescent="0.25">
      <c r="L2531" s="2"/>
      <c r="M2531" s="2"/>
      <c r="N2531" s="2"/>
      <c r="AD2531" s="3"/>
      <c r="AH2531" s="3"/>
      <c r="AL2531" s="3"/>
    </row>
    <row r="2532" spans="12:38" x14ac:dyDescent="0.25">
      <c r="L2532" s="2"/>
      <c r="M2532" s="2"/>
      <c r="N2532" s="2"/>
      <c r="AD2532" s="3"/>
      <c r="AH2532" s="3"/>
      <c r="AL2532" s="3"/>
    </row>
    <row r="2533" spans="12:38" x14ac:dyDescent="0.25">
      <c r="L2533" s="2"/>
      <c r="M2533" s="2"/>
      <c r="N2533" s="2"/>
      <c r="AD2533" s="3"/>
      <c r="AH2533" s="3"/>
      <c r="AL2533" s="3"/>
    </row>
    <row r="2534" spans="12:38" x14ac:dyDescent="0.25">
      <c r="L2534" s="2"/>
      <c r="M2534" s="2"/>
      <c r="N2534" s="2"/>
      <c r="AD2534" s="3"/>
      <c r="AH2534" s="3"/>
      <c r="AL2534" s="3"/>
    </row>
    <row r="2535" spans="12:38" x14ac:dyDescent="0.25">
      <c r="L2535" s="2"/>
      <c r="M2535" s="2"/>
      <c r="N2535" s="2"/>
      <c r="AD2535" s="3"/>
      <c r="AH2535" s="3"/>
      <c r="AL2535" s="3"/>
    </row>
    <row r="2536" spans="12:38" x14ac:dyDescent="0.25">
      <c r="L2536" s="2"/>
      <c r="M2536" s="2"/>
      <c r="N2536" s="2"/>
      <c r="AD2536" s="3"/>
      <c r="AH2536" s="3"/>
      <c r="AL2536" s="3"/>
    </row>
    <row r="2537" spans="12:38" x14ac:dyDescent="0.25">
      <c r="L2537" s="2"/>
      <c r="M2537" s="2"/>
      <c r="N2537" s="2"/>
      <c r="AD2537" s="3"/>
      <c r="AH2537" s="3"/>
      <c r="AL2537" s="3"/>
    </row>
    <row r="2538" spans="12:38" x14ac:dyDescent="0.25">
      <c r="L2538" s="2"/>
      <c r="M2538" s="2"/>
      <c r="N2538" s="2"/>
      <c r="AD2538" s="3"/>
      <c r="AH2538" s="3"/>
      <c r="AL2538" s="3"/>
    </row>
    <row r="2539" spans="12:38" x14ac:dyDescent="0.25">
      <c r="L2539" s="2"/>
      <c r="M2539" s="2"/>
      <c r="N2539" s="2"/>
      <c r="AD2539" s="3"/>
      <c r="AH2539" s="3"/>
      <c r="AL2539" s="3"/>
    </row>
    <row r="2540" spans="12:38" x14ac:dyDescent="0.25">
      <c r="L2540" s="2"/>
      <c r="M2540" s="2"/>
      <c r="N2540" s="2"/>
      <c r="AD2540" s="3"/>
      <c r="AH2540" s="3"/>
      <c r="AL2540" s="3"/>
    </row>
    <row r="2541" spans="12:38" x14ac:dyDescent="0.25">
      <c r="L2541" s="2"/>
      <c r="M2541" s="2"/>
      <c r="N2541" s="2"/>
      <c r="AD2541" s="3"/>
      <c r="AH2541" s="3"/>
      <c r="AL2541" s="3"/>
    </row>
    <row r="2542" spans="12:38" x14ac:dyDescent="0.25">
      <c r="L2542" s="2"/>
      <c r="M2542" s="2"/>
      <c r="N2542" s="2"/>
      <c r="AD2542" s="3"/>
      <c r="AH2542" s="3"/>
      <c r="AL2542" s="3"/>
    </row>
    <row r="2543" spans="12:38" x14ac:dyDescent="0.25">
      <c r="L2543" s="2"/>
      <c r="M2543" s="2"/>
      <c r="N2543" s="2"/>
      <c r="AD2543" s="3"/>
      <c r="AH2543" s="3"/>
      <c r="AL2543" s="3"/>
    </row>
    <row r="2544" spans="12:38" x14ac:dyDescent="0.25">
      <c r="L2544" s="2"/>
      <c r="M2544" s="2"/>
      <c r="N2544" s="2"/>
      <c r="AD2544" s="3"/>
      <c r="AH2544" s="3"/>
      <c r="AL2544" s="3"/>
    </row>
    <row r="2545" spans="12:38" x14ac:dyDescent="0.25">
      <c r="L2545" s="2"/>
      <c r="M2545" s="2"/>
      <c r="N2545" s="2"/>
      <c r="AD2545" s="3"/>
      <c r="AH2545" s="3"/>
      <c r="AL2545" s="3"/>
    </row>
    <row r="2546" spans="12:38" x14ac:dyDescent="0.25">
      <c r="L2546" s="2"/>
      <c r="M2546" s="2"/>
      <c r="N2546" s="2"/>
      <c r="AD2546" s="3"/>
      <c r="AH2546" s="3"/>
      <c r="AL2546" s="3"/>
    </row>
    <row r="2547" spans="12:38" x14ac:dyDescent="0.25">
      <c r="L2547" s="2"/>
      <c r="M2547" s="2"/>
      <c r="N2547" s="2"/>
      <c r="AD2547" s="3"/>
      <c r="AH2547" s="3"/>
      <c r="AL2547" s="3"/>
    </row>
    <row r="2548" spans="12:38" x14ac:dyDescent="0.25">
      <c r="L2548" s="2"/>
      <c r="M2548" s="2"/>
      <c r="N2548" s="2"/>
      <c r="AD2548" s="3"/>
      <c r="AH2548" s="3"/>
      <c r="AL2548" s="3"/>
    </row>
    <row r="2549" spans="12:38" x14ac:dyDescent="0.25">
      <c r="L2549" s="2"/>
      <c r="M2549" s="2"/>
      <c r="N2549" s="2"/>
      <c r="AD2549" s="3"/>
      <c r="AH2549" s="3"/>
      <c r="AL2549" s="3"/>
    </row>
    <row r="2550" spans="12:38" x14ac:dyDescent="0.25">
      <c r="L2550" s="2"/>
      <c r="M2550" s="2"/>
      <c r="N2550" s="2"/>
      <c r="AD2550" s="3"/>
      <c r="AH2550" s="3"/>
      <c r="AL2550" s="3"/>
    </row>
    <row r="2551" spans="12:38" x14ac:dyDescent="0.25">
      <c r="L2551" s="2"/>
      <c r="M2551" s="2"/>
      <c r="N2551" s="2"/>
      <c r="AD2551" s="3"/>
      <c r="AH2551" s="3"/>
      <c r="AL2551" s="3"/>
    </row>
    <row r="2552" spans="12:38" x14ac:dyDescent="0.25">
      <c r="L2552" s="2"/>
      <c r="M2552" s="2"/>
      <c r="N2552" s="2"/>
      <c r="AD2552" s="3"/>
      <c r="AH2552" s="3"/>
      <c r="AL2552" s="3"/>
    </row>
    <row r="2553" spans="12:38" x14ac:dyDescent="0.25">
      <c r="L2553" s="2"/>
      <c r="M2553" s="2"/>
      <c r="N2553" s="2"/>
      <c r="AD2553" s="3"/>
      <c r="AH2553" s="3"/>
      <c r="AL2553" s="3"/>
    </row>
    <row r="2554" spans="12:38" x14ac:dyDescent="0.25">
      <c r="L2554" s="2"/>
      <c r="M2554" s="2"/>
      <c r="N2554" s="2"/>
      <c r="AD2554" s="3"/>
      <c r="AH2554" s="3"/>
      <c r="AL2554" s="3"/>
    </row>
    <row r="2555" spans="12:38" x14ac:dyDescent="0.25">
      <c r="L2555" s="2"/>
      <c r="M2555" s="2"/>
      <c r="N2555" s="2"/>
      <c r="AD2555" s="3"/>
      <c r="AH2555" s="3"/>
      <c r="AL2555" s="3"/>
    </row>
    <row r="2556" spans="12:38" x14ac:dyDescent="0.25">
      <c r="L2556" s="2"/>
      <c r="M2556" s="2"/>
      <c r="N2556" s="2"/>
      <c r="AD2556" s="3"/>
      <c r="AH2556" s="3"/>
      <c r="AL2556" s="3"/>
    </row>
    <row r="2557" spans="12:38" x14ac:dyDescent="0.25">
      <c r="L2557" s="2"/>
      <c r="M2557" s="2"/>
      <c r="N2557" s="2"/>
      <c r="AD2557" s="3"/>
      <c r="AH2557" s="3"/>
      <c r="AL2557" s="3"/>
    </row>
    <row r="2558" spans="12:38" x14ac:dyDescent="0.25">
      <c r="L2558" s="2"/>
      <c r="M2558" s="2"/>
      <c r="N2558" s="2"/>
      <c r="AD2558" s="3"/>
      <c r="AH2558" s="3"/>
      <c r="AL2558" s="3"/>
    </row>
    <row r="2559" spans="12:38" x14ac:dyDescent="0.25">
      <c r="L2559" s="2"/>
      <c r="M2559" s="2"/>
      <c r="N2559" s="2"/>
      <c r="AD2559" s="3"/>
      <c r="AH2559" s="3"/>
      <c r="AL2559" s="3"/>
    </row>
    <row r="2560" spans="12:38" x14ac:dyDescent="0.25">
      <c r="L2560" s="2"/>
      <c r="M2560" s="2"/>
      <c r="N2560" s="2"/>
      <c r="AD2560" s="3"/>
      <c r="AH2560" s="3"/>
      <c r="AL2560" s="3"/>
    </row>
    <row r="2561" spans="12:38" x14ac:dyDescent="0.25">
      <c r="L2561" s="2"/>
      <c r="M2561" s="2"/>
      <c r="N2561" s="2"/>
      <c r="AD2561" s="3"/>
      <c r="AH2561" s="3"/>
      <c r="AL2561" s="3"/>
    </row>
    <row r="2562" spans="12:38" x14ac:dyDescent="0.25">
      <c r="L2562" s="2"/>
      <c r="M2562" s="2"/>
      <c r="N2562" s="2"/>
      <c r="AD2562" s="3"/>
      <c r="AH2562" s="3"/>
      <c r="AL2562" s="3"/>
    </row>
    <row r="2563" spans="12:38" x14ac:dyDescent="0.25">
      <c r="L2563" s="2"/>
      <c r="M2563" s="2"/>
      <c r="N2563" s="2"/>
      <c r="AD2563" s="3"/>
      <c r="AH2563" s="3"/>
      <c r="AL2563" s="3"/>
    </row>
    <row r="2564" spans="12:38" x14ac:dyDescent="0.25">
      <c r="L2564" s="2"/>
      <c r="M2564" s="2"/>
      <c r="N2564" s="2"/>
      <c r="AD2564" s="3"/>
      <c r="AH2564" s="3"/>
      <c r="AL2564" s="3"/>
    </row>
    <row r="2565" spans="12:38" x14ac:dyDescent="0.25">
      <c r="L2565" s="2"/>
      <c r="M2565" s="2"/>
      <c r="N2565" s="2"/>
      <c r="AD2565" s="3"/>
      <c r="AH2565" s="3"/>
      <c r="AL2565" s="3"/>
    </row>
    <row r="2566" spans="12:38" x14ac:dyDescent="0.25">
      <c r="L2566" s="2"/>
      <c r="M2566" s="2"/>
      <c r="N2566" s="2"/>
      <c r="AD2566" s="3"/>
      <c r="AH2566" s="3"/>
      <c r="AL2566" s="3"/>
    </row>
    <row r="2567" spans="12:38" x14ac:dyDescent="0.25">
      <c r="L2567" s="2"/>
      <c r="M2567" s="2"/>
      <c r="N2567" s="2"/>
      <c r="AD2567" s="3"/>
      <c r="AH2567" s="3"/>
      <c r="AL2567" s="3"/>
    </row>
    <row r="2568" spans="12:38" x14ac:dyDescent="0.25">
      <c r="L2568" s="2"/>
      <c r="M2568" s="2"/>
      <c r="N2568" s="2"/>
      <c r="AD2568" s="3"/>
      <c r="AH2568" s="3"/>
      <c r="AL2568" s="3"/>
    </row>
    <row r="2569" spans="12:38" x14ac:dyDescent="0.25">
      <c r="L2569" s="2"/>
      <c r="M2569" s="2"/>
      <c r="N2569" s="2"/>
      <c r="AD2569" s="3"/>
      <c r="AH2569" s="3"/>
      <c r="AL2569" s="3"/>
    </row>
    <row r="2570" spans="12:38" x14ac:dyDescent="0.25">
      <c r="L2570" s="2"/>
      <c r="M2570" s="2"/>
      <c r="N2570" s="2"/>
      <c r="AD2570" s="3"/>
      <c r="AH2570" s="3"/>
      <c r="AL2570" s="3"/>
    </row>
    <row r="2571" spans="12:38" x14ac:dyDescent="0.25">
      <c r="L2571" s="2"/>
      <c r="M2571" s="2"/>
      <c r="N2571" s="2"/>
      <c r="AD2571" s="3"/>
      <c r="AH2571" s="3"/>
      <c r="AL2571" s="3"/>
    </row>
    <row r="2572" spans="12:38" x14ac:dyDescent="0.25">
      <c r="L2572" s="2"/>
      <c r="M2572" s="2"/>
      <c r="N2572" s="2"/>
      <c r="AD2572" s="3"/>
      <c r="AH2572" s="3"/>
      <c r="AL2572" s="3"/>
    </row>
    <row r="2573" spans="12:38" x14ac:dyDescent="0.25">
      <c r="L2573" s="2"/>
      <c r="M2573" s="2"/>
      <c r="N2573" s="2"/>
      <c r="AD2573" s="3"/>
      <c r="AH2573" s="3"/>
      <c r="AL2573" s="3"/>
    </row>
    <row r="2574" spans="12:38" x14ac:dyDescent="0.25">
      <c r="L2574" s="2"/>
      <c r="M2574" s="2"/>
      <c r="N2574" s="2"/>
      <c r="AD2574" s="3"/>
      <c r="AH2574" s="3"/>
      <c r="AL2574" s="3"/>
    </row>
    <row r="2575" spans="12:38" x14ac:dyDescent="0.25">
      <c r="L2575" s="2"/>
      <c r="M2575" s="2"/>
      <c r="N2575" s="2"/>
      <c r="AD2575" s="3"/>
      <c r="AH2575" s="3"/>
      <c r="AL2575" s="3"/>
    </row>
    <row r="2576" spans="12:38" x14ac:dyDescent="0.25">
      <c r="L2576" s="2"/>
      <c r="M2576" s="2"/>
      <c r="N2576" s="2"/>
      <c r="AD2576" s="3"/>
      <c r="AH2576" s="3"/>
      <c r="AL2576" s="3"/>
    </row>
    <row r="2577" spans="12:38" x14ac:dyDescent="0.25">
      <c r="L2577" s="2"/>
      <c r="M2577" s="2"/>
      <c r="N2577" s="2"/>
      <c r="AD2577" s="3"/>
      <c r="AH2577" s="3"/>
      <c r="AL2577" s="3"/>
    </row>
    <row r="2578" spans="12:38" x14ac:dyDescent="0.25">
      <c r="L2578" s="2"/>
      <c r="M2578" s="2"/>
      <c r="N2578" s="2"/>
      <c r="AD2578" s="3"/>
      <c r="AH2578" s="3"/>
      <c r="AL2578" s="3"/>
    </row>
    <row r="2579" spans="12:38" x14ac:dyDescent="0.25">
      <c r="L2579" s="2"/>
      <c r="M2579" s="2"/>
      <c r="N2579" s="2"/>
      <c r="AD2579" s="3"/>
      <c r="AH2579" s="3"/>
      <c r="AL2579" s="3"/>
    </row>
    <row r="2580" spans="12:38" x14ac:dyDescent="0.25">
      <c r="L2580" s="2"/>
      <c r="M2580" s="2"/>
      <c r="N2580" s="2"/>
      <c r="AD2580" s="3"/>
      <c r="AH2580" s="3"/>
      <c r="AL2580" s="3"/>
    </row>
    <row r="2581" spans="12:38" x14ac:dyDescent="0.25">
      <c r="L2581" s="2"/>
      <c r="M2581" s="2"/>
      <c r="N2581" s="2"/>
      <c r="AD2581" s="3"/>
      <c r="AH2581" s="3"/>
      <c r="AL2581" s="3"/>
    </row>
    <row r="2582" spans="12:38" x14ac:dyDescent="0.25">
      <c r="L2582" s="2"/>
      <c r="M2582" s="2"/>
      <c r="N2582" s="2"/>
      <c r="AD2582" s="3"/>
      <c r="AH2582" s="3"/>
      <c r="AL2582" s="3"/>
    </row>
    <row r="2583" spans="12:38" x14ac:dyDescent="0.25">
      <c r="L2583" s="2"/>
      <c r="M2583" s="2"/>
      <c r="N2583" s="2"/>
      <c r="AD2583" s="3"/>
      <c r="AH2583" s="3"/>
      <c r="AL2583" s="3"/>
    </row>
    <row r="2584" spans="12:38" x14ac:dyDescent="0.25">
      <c r="L2584" s="2"/>
      <c r="M2584" s="2"/>
      <c r="N2584" s="2"/>
      <c r="AD2584" s="3"/>
      <c r="AH2584" s="3"/>
      <c r="AL2584" s="3"/>
    </row>
    <row r="2585" spans="12:38" x14ac:dyDescent="0.25">
      <c r="L2585" s="2"/>
      <c r="M2585" s="2"/>
      <c r="N2585" s="2"/>
      <c r="AD2585" s="3"/>
      <c r="AH2585" s="3"/>
      <c r="AL2585" s="3"/>
    </row>
    <row r="2586" spans="12:38" x14ac:dyDescent="0.25">
      <c r="L2586" s="2"/>
      <c r="M2586" s="2"/>
      <c r="N2586" s="2"/>
      <c r="AD2586" s="3"/>
      <c r="AH2586" s="3"/>
      <c r="AL2586" s="3"/>
    </row>
    <row r="2587" spans="12:38" x14ac:dyDescent="0.25">
      <c r="L2587" s="2"/>
      <c r="M2587" s="2"/>
      <c r="N2587" s="2"/>
      <c r="AD2587" s="3"/>
      <c r="AH2587" s="3"/>
      <c r="AL2587" s="3"/>
    </row>
    <row r="2588" spans="12:38" x14ac:dyDescent="0.25">
      <c r="L2588" s="2"/>
      <c r="M2588" s="2"/>
      <c r="N2588" s="2"/>
      <c r="AD2588" s="3"/>
      <c r="AH2588" s="3"/>
      <c r="AL2588" s="3"/>
    </row>
    <row r="2589" spans="12:38" x14ac:dyDescent="0.25">
      <c r="L2589" s="2"/>
      <c r="M2589" s="2"/>
      <c r="N2589" s="2"/>
      <c r="AD2589" s="3"/>
      <c r="AH2589" s="3"/>
      <c r="AL2589" s="3"/>
    </row>
    <row r="2590" spans="12:38" x14ac:dyDescent="0.25">
      <c r="L2590" s="2"/>
      <c r="M2590" s="2"/>
      <c r="N2590" s="2"/>
      <c r="AD2590" s="3"/>
      <c r="AH2590" s="3"/>
      <c r="AL2590" s="3"/>
    </row>
    <row r="2591" spans="12:38" x14ac:dyDescent="0.25">
      <c r="L2591" s="2"/>
      <c r="M2591" s="2"/>
      <c r="N2591" s="2"/>
      <c r="AD2591" s="3"/>
      <c r="AH2591" s="3"/>
      <c r="AL2591" s="3"/>
    </row>
    <row r="2592" spans="12:38" x14ac:dyDescent="0.25">
      <c r="L2592" s="2"/>
      <c r="M2592" s="2"/>
      <c r="N2592" s="2"/>
      <c r="AD2592" s="3"/>
      <c r="AH2592" s="3"/>
      <c r="AL2592" s="3"/>
    </row>
    <row r="2593" spans="12:38" x14ac:dyDescent="0.25">
      <c r="L2593" s="2"/>
      <c r="M2593" s="2"/>
      <c r="N2593" s="2"/>
      <c r="AD2593" s="3"/>
      <c r="AH2593" s="3"/>
      <c r="AL2593" s="3"/>
    </row>
    <row r="2594" spans="12:38" x14ac:dyDescent="0.25">
      <c r="L2594" s="2"/>
      <c r="M2594" s="2"/>
      <c r="N2594" s="2"/>
      <c r="AD2594" s="3"/>
      <c r="AH2594" s="3"/>
      <c r="AL2594" s="3"/>
    </row>
    <row r="2595" spans="12:38" x14ac:dyDescent="0.25">
      <c r="L2595" s="2"/>
      <c r="M2595" s="2"/>
      <c r="N2595" s="2"/>
      <c r="AD2595" s="3"/>
      <c r="AH2595" s="3"/>
      <c r="AL2595" s="3"/>
    </row>
    <row r="2596" spans="12:38" x14ac:dyDescent="0.25">
      <c r="L2596" s="2"/>
      <c r="M2596" s="2"/>
      <c r="N2596" s="2"/>
      <c r="AD2596" s="3"/>
      <c r="AH2596" s="3"/>
      <c r="AL2596" s="3"/>
    </row>
    <row r="2597" spans="12:38" x14ac:dyDescent="0.25">
      <c r="L2597" s="2"/>
      <c r="M2597" s="2"/>
      <c r="N2597" s="2"/>
      <c r="AD2597" s="3"/>
      <c r="AH2597" s="3"/>
      <c r="AL2597" s="3"/>
    </row>
    <row r="2598" spans="12:38" x14ac:dyDescent="0.25">
      <c r="L2598" s="2"/>
      <c r="M2598" s="2"/>
      <c r="N2598" s="2"/>
      <c r="AD2598" s="3"/>
      <c r="AH2598" s="3"/>
      <c r="AL2598" s="3"/>
    </row>
    <row r="2599" spans="12:38" x14ac:dyDescent="0.25">
      <c r="L2599" s="2"/>
      <c r="M2599" s="2"/>
      <c r="N2599" s="2"/>
      <c r="AD2599" s="3"/>
      <c r="AH2599" s="3"/>
      <c r="AL2599" s="3"/>
    </row>
    <row r="2600" spans="12:38" x14ac:dyDescent="0.25">
      <c r="L2600" s="2"/>
      <c r="M2600" s="2"/>
      <c r="N2600" s="2"/>
      <c r="AD2600" s="3"/>
      <c r="AH2600" s="3"/>
      <c r="AL2600" s="3"/>
    </row>
    <row r="2601" spans="12:38" x14ac:dyDescent="0.25">
      <c r="L2601" s="2"/>
      <c r="M2601" s="2"/>
      <c r="N2601" s="2"/>
      <c r="AD2601" s="3"/>
      <c r="AH2601" s="3"/>
      <c r="AL2601" s="3"/>
    </row>
    <row r="2602" spans="12:38" x14ac:dyDescent="0.25">
      <c r="L2602" s="2"/>
      <c r="M2602" s="2"/>
      <c r="N2602" s="2"/>
      <c r="AD2602" s="3"/>
      <c r="AH2602" s="3"/>
      <c r="AL2602" s="3"/>
    </row>
    <row r="2603" spans="12:38" x14ac:dyDescent="0.25">
      <c r="L2603" s="2"/>
      <c r="M2603" s="2"/>
      <c r="N2603" s="2"/>
      <c r="AD2603" s="3"/>
      <c r="AH2603" s="3"/>
      <c r="AL2603" s="3"/>
    </row>
    <row r="2604" spans="12:38" x14ac:dyDescent="0.25">
      <c r="L2604" s="2"/>
      <c r="M2604" s="2"/>
      <c r="N2604" s="2"/>
      <c r="AD2604" s="3"/>
      <c r="AH2604" s="3"/>
      <c r="AL2604" s="3"/>
    </row>
    <row r="2605" spans="12:38" x14ac:dyDescent="0.25">
      <c r="L2605" s="2"/>
      <c r="M2605" s="2"/>
      <c r="N2605" s="2"/>
      <c r="AD2605" s="3"/>
      <c r="AH2605" s="3"/>
      <c r="AL2605" s="3"/>
    </row>
    <row r="2606" spans="12:38" x14ac:dyDescent="0.25">
      <c r="L2606" s="2"/>
      <c r="M2606" s="2"/>
      <c r="N2606" s="2"/>
      <c r="AD2606" s="3"/>
      <c r="AH2606" s="3"/>
      <c r="AL2606" s="3"/>
    </row>
    <row r="2607" spans="12:38" x14ac:dyDescent="0.25">
      <c r="L2607" s="2"/>
      <c r="M2607" s="2"/>
      <c r="N2607" s="2"/>
      <c r="AD2607" s="3"/>
      <c r="AH2607" s="3"/>
      <c r="AL2607" s="3"/>
    </row>
    <row r="2608" spans="12:38" x14ac:dyDescent="0.25">
      <c r="L2608" s="2"/>
      <c r="M2608" s="2"/>
      <c r="N2608" s="2"/>
      <c r="AD2608" s="3"/>
      <c r="AH2608" s="3"/>
      <c r="AL2608" s="3"/>
    </row>
    <row r="2609" spans="12:38" x14ac:dyDescent="0.25">
      <c r="L2609" s="2"/>
      <c r="M2609" s="2"/>
      <c r="N2609" s="2"/>
      <c r="AD2609" s="3"/>
      <c r="AH2609" s="3"/>
      <c r="AL2609" s="3"/>
    </row>
    <row r="2610" spans="12:38" x14ac:dyDescent="0.25">
      <c r="L2610" s="2"/>
      <c r="M2610" s="2"/>
      <c r="N2610" s="2"/>
      <c r="AD2610" s="3"/>
      <c r="AH2610" s="3"/>
      <c r="AL2610" s="3"/>
    </row>
    <row r="2611" spans="12:38" x14ac:dyDescent="0.25">
      <c r="L2611" s="2"/>
      <c r="M2611" s="2"/>
      <c r="N2611" s="2"/>
      <c r="AD2611" s="3"/>
      <c r="AH2611" s="3"/>
      <c r="AL2611" s="3"/>
    </row>
    <row r="2612" spans="12:38" x14ac:dyDescent="0.25">
      <c r="L2612" s="2"/>
      <c r="M2612" s="2"/>
      <c r="N2612" s="2"/>
      <c r="AD2612" s="3"/>
      <c r="AH2612" s="3"/>
      <c r="AL2612" s="3"/>
    </row>
    <row r="2613" spans="12:38" x14ac:dyDescent="0.25">
      <c r="L2613" s="2"/>
      <c r="M2613" s="2"/>
      <c r="N2613" s="2"/>
      <c r="AD2613" s="3"/>
      <c r="AH2613" s="3"/>
      <c r="AL2613" s="3"/>
    </row>
    <row r="2614" spans="12:38" x14ac:dyDescent="0.25">
      <c r="L2614" s="2"/>
      <c r="M2614" s="2"/>
      <c r="N2614" s="2"/>
      <c r="AD2614" s="3"/>
      <c r="AH2614" s="3"/>
      <c r="AL2614" s="3"/>
    </row>
    <row r="2615" spans="12:38" x14ac:dyDescent="0.25">
      <c r="L2615" s="2"/>
      <c r="M2615" s="2"/>
      <c r="N2615" s="2"/>
      <c r="AD2615" s="3"/>
      <c r="AH2615" s="3"/>
      <c r="AL2615" s="3"/>
    </row>
    <row r="2616" spans="12:38" x14ac:dyDescent="0.25">
      <c r="L2616" s="2"/>
      <c r="M2616" s="2"/>
      <c r="N2616" s="2"/>
      <c r="AD2616" s="3"/>
      <c r="AH2616" s="3"/>
      <c r="AL2616" s="3"/>
    </row>
    <row r="2617" spans="12:38" x14ac:dyDescent="0.25">
      <c r="L2617" s="2"/>
      <c r="M2617" s="2"/>
      <c r="N2617" s="2"/>
      <c r="AD2617" s="3"/>
      <c r="AH2617" s="3"/>
      <c r="AL2617" s="3"/>
    </row>
    <row r="2618" spans="12:38" x14ac:dyDescent="0.25">
      <c r="L2618" s="2"/>
      <c r="M2618" s="2"/>
      <c r="N2618" s="2"/>
      <c r="AD2618" s="3"/>
      <c r="AH2618" s="3"/>
      <c r="AL2618" s="3"/>
    </row>
    <row r="2619" spans="12:38" x14ac:dyDescent="0.25">
      <c r="L2619" s="2"/>
      <c r="M2619" s="2"/>
      <c r="N2619" s="2"/>
      <c r="AD2619" s="3"/>
      <c r="AH2619" s="3"/>
      <c r="AL2619" s="3"/>
    </row>
    <row r="2620" spans="12:38" x14ac:dyDescent="0.25">
      <c r="L2620" s="2"/>
      <c r="M2620" s="2"/>
      <c r="N2620" s="2"/>
      <c r="AD2620" s="3"/>
      <c r="AH2620" s="3"/>
      <c r="AL2620" s="3"/>
    </row>
    <row r="2621" spans="12:38" x14ac:dyDescent="0.25">
      <c r="L2621" s="2"/>
      <c r="M2621" s="2"/>
      <c r="N2621" s="2"/>
      <c r="AD2621" s="3"/>
      <c r="AH2621" s="3"/>
      <c r="AL2621" s="3"/>
    </row>
    <row r="2622" spans="12:38" x14ac:dyDescent="0.25">
      <c r="L2622" s="2"/>
      <c r="M2622" s="2"/>
      <c r="N2622" s="2"/>
      <c r="AD2622" s="3"/>
      <c r="AH2622" s="3"/>
      <c r="AL2622" s="3"/>
    </row>
    <row r="2623" spans="12:38" x14ac:dyDescent="0.25">
      <c r="L2623" s="2"/>
      <c r="M2623" s="2"/>
      <c r="N2623" s="2"/>
      <c r="AD2623" s="3"/>
      <c r="AH2623" s="3"/>
      <c r="AL2623" s="3"/>
    </row>
    <row r="2624" spans="12:38" x14ac:dyDescent="0.25">
      <c r="L2624" s="2"/>
      <c r="M2624" s="2"/>
      <c r="N2624" s="2"/>
      <c r="AD2624" s="3"/>
      <c r="AH2624" s="3"/>
      <c r="AL2624" s="3"/>
    </row>
    <row r="2625" spans="12:38" x14ac:dyDescent="0.25">
      <c r="L2625" s="2"/>
      <c r="M2625" s="2"/>
      <c r="N2625" s="2"/>
      <c r="AD2625" s="3"/>
      <c r="AH2625" s="3"/>
      <c r="AL2625" s="3"/>
    </row>
    <row r="2626" spans="12:38" x14ac:dyDescent="0.25">
      <c r="L2626" s="2"/>
      <c r="M2626" s="2"/>
      <c r="N2626" s="2"/>
      <c r="AD2626" s="3"/>
      <c r="AH2626" s="3"/>
      <c r="AL2626" s="3"/>
    </row>
    <row r="2627" spans="12:38" x14ac:dyDescent="0.25">
      <c r="L2627" s="2"/>
      <c r="M2627" s="2"/>
      <c r="N2627" s="2"/>
      <c r="AD2627" s="3"/>
      <c r="AH2627" s="3"/>
      <c r="AL2627" s="3"/>
    </row>
    <row r="2628" spans="12:38" x14ac:dyDescent="0.25">
      <c r="L2628" s="2"/>
      <c r="M2628" s="2"/>
      <c r="N2628" s="2"/>
      <c r="AD2628" s="3"/>
      <c r="AH2628" s="3"/>
      <c r="AL2628" s="3"/>
    </row>
    <row r="2629" spans="12:38" x14ac:dyDescent="0.25">
      <c r="L2629" s="2"/>
      <c r="M2629" s="2"/>
      <c r="N2629" s="2"/>
      <c r="AD2629" s="3"/>
      <c r="AH2629" s="3"/>
      <c r="AL2629" s="3"/>
    </row>
    <row r="2630" spans="12:38" x14ac:dyDescent="0.25">
      <c r="L2630" s="2"/>
      <c r="M2630" s="2"/>
      <c r="N2630" s="2"/>
      <c r="AD2630" s="3"/>
      <c r="AH2630" s="3"/>
      <c r="AL2630" s="3"/>
    </row>
    <row r="2631" spans="12:38" x14ac:dyDescent="0.25">
      <c r="L2631" s="2"/>
      <c r="M2631" s="2"/>
      <c r="N2631" s="2"/>
      <c r="AD2631" s="3"/>
      <c r="AH2631" s="3"/>
      <c r="AL2631" s="3"/>
    </row>
    <row r="2632" spans="12:38" x14ac:dyDescent="0.25">
      <c r="L2632" s="2"/>
      <c r="M2632" s="2"/>
      <c r="N2632" s="2"/>
      <c r="AD2632" s="3"/>
      <c r="AH2632" s="3"/>
      <c r="AL2632" s="3"/>
    </row>
    <row r="2633" spans="12:38" x14ac:dyDescent="0.25">
      <c r="L2633" s="2"/>
      <c r="M2633" s="2"/>
      <c r="N2633" s="2"/>
      <c r="AD2633" s="3"/>
      <c r="AH2633" s="3"/>
      <c r="AL2633" s="3"/>
    </row>
    <row r="2634" spans="12:38" x14ac:dyDescent="0.25">
      <c r="L2634" s="2"/>
      <c r="M2634" s="2"/>
      <c r="N2634" s="2"/>
      <c r="AD2634" s="3"/>
      <c r="AH2634" s="3"/>
      <c r="AL2634" s="3"/>
    </row>
    <row r="2635" spans="12:38" x14ac:dyDescent="0.25">
      <c r="L2635" s="2"/>
      <c r="M2635" s="2"/>
      <c r="N2635" s="2"/>
      <c r="AD2635" s="3"/>
      <c r="AH2635" s="3"/>
      <c r="AL2635" s="3"/>
    </row>
    <row r="2636" spans="12:38" x14ac:dyDescent="0.25">
      <c r="L2636" s="2"/>
      <c r="M2636" s="2"/>
      <c r="N2636" s="2"/>
      <c r="AD2636" s="3"/>
      <c r="AH2636" s="3"/>
      <c r="AL2636" s="3"/>
    </row>
    <row r="2637" spans="12:38" x14ac:dyDescent="0.25">
      <c r="L2637" s="2"/>
      <c r="M2637" s="2"/>
      <c r="N2637" s="2"/>
      <c r="AD2637" s="3"/>
      <c r="AH2637" s="3"/>
      <c r="AL2637" s="3"/>
    </row>
    <row r="2638" spans="12:38" x14ac:dyDescent="0.25">
      <c r="L2638" s="2"/>
      <c r="M2638" s="2"/>
      <c r="N2638" s="2"/>
      <c r="AD2638" s="3"/>
      <c r="AH2638" s="3"/>
      <c r="AL2638" s="3"/>
    </row>
    <row r="2639" spans="12:38" x14ac:dyDescent="0.25">
      <c r="L2639" s="2"/>
      <c r="M2639" s="2"/>
      <c r="N2639" s="2"/>
      <c r="AD2639" s="3"/>
      <c r="AH2639" s="3"/>
      <c r="AL2639" s="3"/>
    </row>
    <row r="2640" spans="12:38" x14ac:dyDescent="0.25">
      <c r="L2640" s="2"/>
      <c r="M2640" s="2"/>
      <c r="N2640" s="2"/>
      <c r="AD2640" s="3"/>
      <c r="AH2640" s="3"/>
      <c r="AL2640" s="3"/>
    </row>
    <row r="2641" spans="12:38" x14ac:dyDescent="0.25">
      <c r="L2641" s="2"/>
      <c r="M2641" s="2"/>
      <c r="N2641" s="2"/>
      <c r="AD2641" s="3"/>
      <c r="AH2641" s="3"/>
      <c r="AL2641" s="3"/>
    </row>
    <row r="2642" spans="12:38" x14ac:dyDescent="0.25">
      <c r="L2642" s="2"/>
      <c r="M2642" s="2"/>
      <c r="N2642" s="2"/>
      <c r="AD2642" s="3"/>
      <c r="AH2642" s="3"/>
      <c r="AL2642" s="3"/>
    </row>
    <row r="2643" spans="12:38" x14ac:dyDescent="0.25">
      <c r="L2643" s="2"/>
      <c r="M2643" s="2"/>
      <c r="N2643" s="2"/>
      <c r="AD2643" s="3"/>
      <c r="AH2643" s="3"/>
      <c r="AL2643" s="3"/>
    </row>
    <row r="2644" spans="12:38" x14ac:dyDescent="0.25">
      <c r="L2644" s="2"/>
      <c r="M2644" s="2"/>
      <c r="N2644" s="2"/>
      <c r="AD2644" s="3"/>
      <c r="AH2644" s="3"/>
      <c r="AL2644" s="3"/>
    </row>
    <row r="2645" spans="12:38" x14ac:dyDescent="0.25">
      <c r="L2645" s="2"/>
      <c r="M2645" s="2"/>
      <c r="N2645" s="2"/>
      <c r="AD2645" s="3"/>
      <c r="AH2645" s="3"/>
      <c r="AL2645" s="3"/>
    </row>
    <row r="2646" spans="12:38" x14ac:dyDescent="0.25">
      <c r="L2646" s="2"/>
      <c r="M2646" s="2"/>
      <c r="N2646" s="2"/>
      <c r="AD2646" s="3"/>
      <c r="AH2646" s="3"/>
      <c r="AL2646" s="3"/>
    </row>
    <row r="2647" spans="12:38" x14ac:dyDescent="0.25">
      <c r="L2647" s="2"/>
      <c r="M2647" s="2"/>
      <c r="N2647" s="2"/>
      <c r="AD2647" s="3"/>
      <c r="AH2647" s="3"/>
      <c r="AL2647" s="3"/>
    </row>
    <row r="2648" spans="12:38" x14ac:dyDescent="0.25">
      <c r="L2648" s="2"/>
      <c r="M2648" s="2"/>
      <c r="N2648" s="2"/>
      <c r="AD2648" s="3"/>
      <c r="AH2648" s="3"/>
      <c r="AL2648" s="3"/>
    </row>
    <row r="2649" spans="12:38" x14ac:dyDescent="0.25">
      <c r="L2649" s="2"/>
      <c r="M2649" s="2"/>
      <c r="N2649" s="2"/>
      <c r="AD2649" s="3"/>
      <c r="AH2649" s="3"/>
      <c r="AL2649" s="3"/>
    </row>
    <row r="2650" spans="12:38" x14ac:dyDescent="0.25">
      <c r="L2650" s="2"/>
      <c r="M2650" s="2"/>
      <c r="N2650" s="2"/>
      <c r="AD2650" s="3"/>
      <c r="AH2650" s="3"/>
      <c r="AL2650" s="3"/>
    </row>
    <row r="2651" spans="12:38" x14ac:dyDescent="0.25">
      <c r="L2651" s="2"/>
      <c r="M2651" s="2"/>
      <c r="N2651" s="2"/>
      <c r="AD2651" s="3"/>
      <c r="AH2651" s="3"/>
      <c r="AL2651" s="3"/>
    </row>
    <row r="2652" spans="12:38" x14ac:dyDescent="0.25">
      <c r="L2652" s="2"/>
      <c r="M2652" s="2"/>
      <c r="N2652" s="2"/>
      <c r="AD2652" s="3"/>
      <c r="AH2652" s="3"/>
      <c r="AL2652" s="3"/>
    </row>
    <row r="2653" spans="12:38" x14ac:dyDescent="0.25">
      <c r="L2653" s="2"/>
      <c r="M2653" s="2"/>
      <c r="N2653" s="2"/>
      <c r="AD2653" s="3"/>
      <c r="AH2653" s="3"/>
      <c r="AL2653" s="3"/>
    </row>
    <row r="2654" spans="12:38" x14ac:dyDescent="0.25">
      <c r="L2654" s="2"/>
      <c r="M2654" s="2"/>
      <c r="N2654" s="2"/>
      <c r="AD2654" s="3"/>
      <c r="AH2654" s="3"/>
      <c r="AL2654" s="3"/>
    </row>
    <row r="2655" spans="12:38" x14ac:dyDescent="0.25">
      <c r="L2655" s="2"/>
      <c r="M2655" s="2"/>
      <c r="N2655" s="2"/>
      <c r="AD2655" s="3"/>
      <c r="AH2655" s="3"/>
      <c r="AL2655" s="3"/>
    </row>
    <row r="2656" spans="12:38" x14ac:dyDescent="0.25">
      <c r="L2656" s="2"/>
      <c r="M2656" s="2"/>
      <c r="N2656" s="2"/>
      <c r="AD2656" s="3"/>
      <c r="AH2656" s="3"/>
      <c r="AL2656" s="3"/>
    </row>
    <row r="2657" spans="12:38" x14ac:dyDescent="0.25">
      <c r="L2657" s="2"/>
      <c r="M2657" s="2"/>
      <c r="N2657" s="2"/>
      <c r="AD2657" s="3"/>
      <c r="AH2657" s="3"/>
      <c r="AL2657" s="3"/>
    </row>
    <row r="2658" spans="12:38" x14ac:dyDescent="0.25">
      <c r="L2658" s="2"/>
      <c r="M2658" s="2"/>
      <c r="N2658" s="2"/>
      <c r="AD2658" s="3"/>
      <c r="AH2658" s="3"/>
      <c r="AL2658" s="3"/>
    </row>
    <row r="2659" spans="12:38" x14ac:dyDescent="0.25">
      <c r="L2659" s="2"/>
      <c r="M2659" s="2"/>
      <c r="N2659" s="2"/>
      <c r="AD2659" s="3"/>
      <c r="AH2659" s="3"/>
      <c r="AL2659" s="3"/>
    </row>
    <row r="2660" spans="12:38" x14ac:dyDescent="0.25">
      <c r="L2660" s="2"/>
      <c r="M2660" s="2"/>
      <c r="N2660" s="2"/>
      <c r="AD2660" s="3"/>
      <c r="AH2660" s="3"/>
      <c r="AL2660" s="3"/>
    </row>
    <row r="2661" spans="12:38" x14ac:dyDescent="0.25">
      <c r="L2661" s="2"/>
      <c r="M2661" s="2"/>
      <c r="N2661" s="2"/>
      <c r="AD2661" s="3"/>
      <c r="AH2661" s="3"/>
      <c r="AL2661" s="3"/>
    </row>
    <row r="2662" spans="12:38" x14ac:dyDescent="0.25">
      <c r="L2662" s="2"/>
      <c r="M2662" s="2"/>
      <c r="N2662" s="2"/>
      <c r="AD2662" s="3"/>
      <c r="AH2662" s="3"/>
      <c r="AL2662" s="3"/>
    </row>
    <row r="2663" spans="12:38" x14ac:dyDescent="0.25">
      <c r="L2663" s="2"/>
      <c r="M2663" s="2"/>
      <c r="N2663" s="2"/>
      <c r="AD2663" s="3"/>
      <c r="AH2663" s="3"/>
      <c r="AL2663" s="3"/>
    </row>
    <row r="2664" spans="12:38" x14ac:dyDescent="0.25">
      <c r="L2664" s="2"/>
      <c r="M2664" s="2"/>
      <c r="N2664" s="2"/>
      <c r="AD2664" s="3"/>
      <c r="AH2664" s="3"/>
      <c r="AL2664" s="3"/>
    </row>
    <row r="2665" spans="12:38" x14ac:dyDescent="0.25">
      <c r="L2665" s="2"/>
      <c r="M2665" s="2"/>
      <c r="N2665" s="2"/>
      <c r="AD2665" s="3"/>
      <c r="AH2665" s="3"/>
      <c r="AL2665" s="3"/>
    </row>
    <row r="2666" spans="12:38" x14ac:dyDescent="0.25">
      <c r="L2666" s="2"/>
      <c r="M2666" s="2"/>
      <c r="N2666" s="2"/>
      <c r="AD2666" s="3"/>
      <c r="AH2666" s="3"/>
      <c r="AL2666" s="3"/>
    </row>
    <row r="2667" spans="12:38" x14ac:dyDescent="0.25">
      <c r="L2667" s="2"/>
      <c r="M2667" s="2"/>
      <c r="N2667" s="2"/>
      <c r="AD2667" s="3"/>
      <c r="AH2667" s="3"/>
      <c r="AL2667" s="3"/>
    </row>
    <row r="2668" spans="12:38" x14ac:dyDescent="0.25">
      <c r="L2668" s="2"/>
      <c r="M2668" s="2"/>
      <c r="N2668" s="2"/>
      <c r="AD2668" s="3"/>
      <c r="AH2668" s="3"/>
      <c r="AL2668" s="3"/>
    </row>
    <row r="2669" spans="12:38" x14ac:dyDescent="0.25">
      <c r="L2669" s="2"/>
      <c r="M2669" s="2"/>
      <c r="N2669" s="2"/>
      <c r="AD2669" s="3"/>
      <c r="AH2669" s="3"/>
      <c r="AL2669" s="3"/>
    </row>
    <row r="2670" spans="12:38" x14ac:dyDescent="0.25">
      <c r="L2670" s="2"/>
      <c r="M2670" s="2"/>
      <c r="N2670" s="2"/>
      <c r="AD2670" s="3"/>
      <c r="AH2670" s="3"/>
      <c r="AL2670" s="3"/>
    </row>
    <row r="2671" spans="12:38" x14ac:dyDescent="0.25">
      <c r="L2671" s="2"/>
      <c r="M2671" s="2"/>
      <c r="N2671" s="2"/>
      <c r="AD2671" s="3"/>
      <c r="AH2671" s="3"/>
      <c r="AL2671" s="3"/>
    </row>
    <row r="2672" spans="12:38" x14ac:dyDescent="0.25">
      <c r="L2672" s="2"/>
      <c r="M2672" s="2"/>
      <c r="N2672" s="2"/>
      <c r="AD2672" s="3"/>
      <c r="AH2672" s="3"/>
      <c r="AL2672" s="3"/>
    </row>
    <row r="2673" spans="12:38" x14ac:dyDescent="0.25">
      <c r="L2673" s="2"/>
      <c r="M2673" s="2"/>
      <c r="N2673" s="2"/>
      <c r="AD2673" s="3"/>
      <c r="AH2673" s="3"/>
      <c r="AL2673" s="3"/>
    </row>
    <row r="2674" spans="12:38" x14ac:dyDescent="0.25">
      <c r="L2674" s="2"/>
      <c r="M2674" s="2"/>
      <c r="N2674" s="2"/>
      <c r="AD2674" s="3"/>
      <c r="AH2674" s="3"/>
      <c r="AL2674" s="3"/>
    </row>
    <row r="2675" spans="12:38" x14ac:dyDescent="0.25">
      <c r="L2675" s="2"/>
      <c r="M2675" s="2"/>
      <c r="N2675" s="2"/>
      <c r="AD2675" s="3"/>
      <c r="AH2675" s="3"/>
      <c r="AL2675" s="3"/>
    </row>
    <row r="2676" spans="12:38" x14ac:dyDescent="0.25">
      <c r="L2676" s="2"/>
      <c r="M2676" s="2"/>
      <c r="N2676" s="2"/>
      <c r="AD2676" s="3"/>
      <c r="AH2676" s="3"/>
      <c r="AL2676" s="3"/>
    </row>
    <row r="2677" spans="12:38" x14ac:dyDescent="0.25">
      <c r="L2677" s="2"/>
      <c r="M2677" s="2"/>
      <c r="N2677" s="2"/>
      <c r="AD2677" s="3"/>
      <c r="AH2677" s="3"/>
      <c r="AL2677" s="3"/>
    </row>
    <row r="2678" spans="12:38" x14ac:dyDescent="0.25">
      <c r="L2678" s="2"/>
      <c r="M2678" s="2"/>
      <c r="N2678" s="2"/>
      <c r="AD2678" s="3"/>
      <c r="AH2678" s="3"/>
      <c r="AL2678" s="3"/>
    </row>
    <row r="2679" spans="12:38" x14ac:dyDescent="0.25">
      <c r="L2679" s="2"/>
      <c r="M2679" s="2"/>
      <c r="N2679" s="2"/>
      <c r="AD2679" s="3"/>
      <c r="AH2679" s="3"/>
      <c r="AL2679" s="3"/>
    </row>
    <row r="2680" spans="12:38" x14ac:dyDescent="0.25">
      <c r="L2680" s="2"/>
      <c r="M2680" s="2"/>
      <c r="N2680" s="2"/>
      <c r="AD2680" s="3"/>
      <c r="AH2680" s="3"/>
      <c r="AL2680" s="3"/>
    </row>
    <row r="2681" spans="12:38" x14ac:dyDescent="0.25">
      <c r="L2681" s="2"/>
      <c r="M2681" s="2"/>
      <c r="N2681" s="2"/>
      <c r="AD2681" s="3"/>
      <c r="AH2681" s="3"/>
      <c r="AL2681" s="3"/>
    </row>
    <row r="2682" spans="12:38" x14ac:dyDescent="0.25">
      <c r="L2682" s="2"/>
      <c r="M2682" s="2"/>
      <c r="N2682" s="2"/>
      <c r="AD2682" s="3"/>
      <c r="AH2682" s="3"/>
      <c r="AL2682" s="3"/>
    </row>
    <row r="2683" spans="12:38" x14ac:dyDescent="0.25">
      <c r="L2683" s="2"/>
      <c r="M2683" s="2"/>
      <c r="N2683" s="2"/>
      <c r="AD2683" s="3"/>
      <c r="AH2683" s="3"/>
      <c r="AL2683" s="3"/>
    </row>
    <row r="2684" spans="12:38" x14ac:dyDescent="0.25">
      <c r="L2684" s="2"/>
      <c r="M2684" s="2"/>
      <c r="N2684" s="2"/>
      <c r="AD2684" s="3"/>
      <c r="AH2684" s="3"/>
      <c r="AL2684" s="3"/>
    </row>
    <row r="2685" spans="12:38" x14ac:dyDescent="0.25">
      <c r="L2685" s="2"/>
      <c r="M2685" s="2"/>
      <c r="N2685" s="2"/>
      <c r="AD2685" s="3"/>
      <c r="AH2685" s="3"/>
      <c r="AL2685" s="3"/>
    </row>
    <row r="2686" spans="12:38" x14ac:dyDescent="0.25">
      <c r="L2686" s="2"/>
      <c r="M2686" s="2"/>
      <c r="N2686" s="2"/>
      <c r="AD2686" s="3"/>
      <c r="AH2686" s="3"/>
      <c r="AL2686" s="3"/>
    </row>
    <row r="2687" spans="12:38" x14ac:dyDescent="0.25">
      <c r="L2687" s="2"/>
      <c r="M2687" s="2"/>
      <c r="N2687" s="2"/>
      <c r="AD2687" s="3"/>
      <c r="AH2687" s="3"/>
      <c r="AL2687" s="3"/>
    </row>
    <row r="2688" spans="12:38" x14ac:dyDescent="0.25">
      <c r="L2688" s="2"/>
      <c r="M2688" s="2"/>
      <c r="N2688" s="2"/>
      <c r="AD2688" s="3"/>
      <c r="AH2688" s="3"/>
      <c r="AL2688" s="3"/>
    </row>
    <row r="2689" spans="12:38" x14ac:dyDescent="0.25">
      <c r="L2689" s="2"/>
      <c r="M2689" s="2"/>
      <c r="N2689" s="2"/>
      <c r="AD2689" s="3"/>
      <c r="AH2689" s="3"/>
      <c r="AL2689" s="3"/>
    </row>
    <row r="2690" spans="12:38" x14ac:dyDescent="0.25">
      <c r="L2690" s="2"/>
      <c r="M2690" s="2"/>
      <c r="N2690" s="2"/>
      <c r="AD2690" s="3"/>
      <c r="AH2690" s="3"/>
      <c r="AL2690" s="3"/>
    </row>
    <row r="2691" spans="12:38" x14ac:dyDescent="0.25">
      <c r="L2691" s="2"/>
      <c r="M2691" s="2"/>
      <c r="N2691" s="2"/>
      <c r="AD2691" s="3"/>
      <c r="AH2691" s="3"/>
      <c r="AL2691" s="3"/>
    </row>
    <row r="2692" spans="12:38" x14ac:dyDescent="0.25">
      <c r="L2692" s="2"/>
      <c r="M2692" s="2"/>
      <c r="N2692" s="2"/>
      <c r="AD2692" s="3"/>
      <c r="AH2692" s="3"/>
      <c r="AL2692" s="3"/>
    </row>
    <row r="2693" spans="12:38" x14ac:dyDescent="0.25">
      <c r="L2693" s="2"/>
      <c r="M2693" s="2"/>
      <c r="N2693" s="2"/>
      <c r="AD2693" s="3"/>
      <c r="AH2693" s="3"/>
      <c r="AL2693" s="3"/>
    </row>
    <row r="2694" spans="12:38" x14ac:dyDescent="0.25">
      <c r="L2694" s="2"/>
      <c r="M2694" s="2"/>
      <c r="N2694" s="2"/>
      <c r="AD2694" s="3"/>
      <c r="AH2694" s="3"/>
      <c r="AL2694" s="3"/>
    </row>
    <row r="2695" spans="12:38" x14ac:dyDescent="0.25">
      <c r="L2695" s="2"/>
      <c r="M2695" s="2"/>
      <c r="N2695" s="2"/>
      <c r="AD2695" s="3"/>
      <c r="AH2695" s="3"/>
      <c r="AL2695" s="3"/>
    </row>
    <row r="2696" spans="12:38" x14ac:dyDescent="0.25">
      <c r="L2696" s="2"/>
      <c r="M2696" s="2"/>
      <c r="N2696" s="2"/>
      <c r="AD2696" s="3"/>
      <c r="AH2696" s="3"/>
      <c r="AL2696" s="3"/>
    </row>
    <row r="2697" spans="12:38" x14ac:dyDescent="0.25">
      <c r="L2697" s="2"/>
      <c r="M2697" s="2"/>
      <c r="N2697" s="2"/>
      <c r="AD2697" s="3"/>
      <c r="AH2697" s="3"/>
      <c r="AL2697" s="3"/>
    </row>
    <row r="2698" spans="12:38" x14ac:dyDescent="0.25">
      <c r="L2698" s="2"/>
      <c r="M2698" s="2"/>
      <c r="N2698" s="2"/>
      <c r="AD2698" s="3"/>
      <c r="AH2698" s="3"/>
      <c r="AL2698" s="3"/>
    </row>
    <row r="2699" spans="12:38" x14ac:dyDescent="0.25">
      <c r="L2699" s="2"/>
      <c r="M2699" s="2"/>
      <c r="N2699" s="2"/>
      <c r="AD2699" s="3"/>
      <c r="AH2699" s="3"/>
      <c r="AL2699" s="3"/>
    </row>
    <row r="2700" spans="12:38" x14ac:dyDescent="0.25">
      <c r="L2700" s="2"/>
      <c r="M2700" s="2"/>
      <c r="N2700" s="2"/>
      <c r="AD2700" s="3"/>
      <c r="AH2700" s="3"/>
      <c r="AL2700" s="3"/>
    </row>
    <row r="2701" spans="12:38" x14ac:dyDescent="0.25">
      <c r="L2701" s="2"/>
      <c r="M2701" s="2"/>
      <c r="N2701" s="2"/>
      <c r="AD2701" s="3"/>
      <c r="AH2701" s="3"/>
      <c r="AL2701" s="3"/>
    </row>
    <row r="2702" spans="12:38" x14ac:dyDescent="0.25">
      <c r="L2702" s="2"/>
      <c r="M2702" s="2"/>
      <c r="N2702" s="2"/>
      <c r="AD2702" s="3"/>
      <c r="AH2702" s="3"/>
      <c r="AL2702" s="3"/>
    </row>
    <row r="2703" spans="12:38" x14ac:dyDescent="0.25">
      <c r="L2703" s="2"/>
      <c r="M2703" s="2"/>
      <c r="N2703" s="2"/>
      <c r="AD2703" s="3"/>
      <c r="AH2703" s="3"/>
      <c r="AL2703" s="3"/>
    </row>
    <row r="2704" spans="12:38" x14ac:dyDescent="0.25">
      <c r="L2704" s="2"/>
      <c r="M2704" s="2"/>
      <c r="N2704" s="2"/>
      <c r="AD2704" s="3"/>
      <c r="AH2704" s="3"/>
      <c r="AL2704" s="3"/>
    </row>
    <row r="2705" spans="12:38" x14ac:dyDescent="0.25">
      <c r="L2705" s="2"/>
      <c r="M2705" s="2"/>
      <c r="N2705" s="2"/>
      <c r="AD2705" s="3"/>
      <c r="AH2705" s="3"/>
      <c r="AL2705" s="3"/>
    </row>
    <row r="2706" spans="12:38" x14ac:dyDescent="0.25">
      <c r="L2706" s="2"/>
      <c r="M2706" s="2"/>
      <c r="N2706" s="2"/>
      <c r="AD2706" s="3"/>
      <c r="AH2706" s="3"/>
      <c r="AL2706" s="3"/>
    </row>
    <row r="2707" spans="12:38" x14ac:dyDescent="0.25">
      <c r="L2707" s="2"/>
      <c r="M2707" s="2"/>
      <c r="N2707" s="2"/>
      <c r="AD2707" s="3"/>
      <c r="AH2707" s="3"/>
      <c r="AL2707" s="3"/>
    </row>
    <row r="2708" spans="12:38" x14ac:dyDescent="0.25">
      <c r="L2708" s="2"/>
      <c r="M2708" s="2"/>
      <c r="N2708" s="2"/>
      <c r="AD2708" s="3"/>
      <c r="AH2708" s="3"/>
      <c r="AL2708" s="3"/>
    </row>
    <row r="2709" spans="12:38" x14ac:dyDescent="0.25">
      <c r="L2709" s="2"/>
      <c r="M2709" s="2"/>
      <c r="N2709" s="2"/>
      <c r="AD2709" s="3"/>
      <c r="AH2709" s="3"/>
      <c r="AL2709" s="3"/>
    </row>
    <row r="2710" spans="12:38" x14ac:dyDescent="0.25">
      <c r="L2710" s="2"/>
      <c r="M2710" s="2"/>
      <c r="N2710" s="2"/>
      <c r="AD2710" s="3"/>
      <c r="AH2710" s="3"/>
      <c r="AL2710" s="3"/>
    </row>
    <row r="2711" spans="12:38" x14ac:dyDescent="0.25">
      <c r="L2711" s="2"/>
      <c r="M2711" s="2"/>
      <c r="N2711" s="2"/>
      <c r="AD2711" s="3"/>
      <c r="AH2711" s="3"/>
      <c r="AL2711" s="3"/>
    </row>
    <row r="2712" spans="12:38" x14ac:dyDescent="0.25">
      <c r="L2712" s="2"/>
      <c r="M2712" s="2"/>
      <c r="N2712" s="2"/>
      <c r="AD2712" s="3"/>
      <c r="AH2712" s="3"/>
      <c r="AL2712" s="3"/>
    </row>
    <row r="2713" spans="12:38" x14ac:dyDescent="0.25">
      <c r="L2713" s="2"/>
      <c r="M2713" s="2"/>
      <c r="N2713" s="2"/>
      <c r="AD2713" s="3"/>
      <c r="AH2713" s="3"/>
      <c r="AL2713" s="3"/>
    </row>
    <row r="2714" spans="12:38" x14ac:dyDescent="0.25">
      <c r="L2714" s="2"/>
      <c r="M2714" s="2"/>
      <c r="N2714" s="2"/>
      <c r="AD2714" s="3"/>
      <c r="AH2714" s="3"/>
      <c r="AL2714" s="3"/>
    </row>
    <row r="2715" spans="12:38" x14ac:dyDescent="0.25">
      <c r="L2715" s="2"/>
      <c r="M2715" s="2"/>
      <c r="N2715" s="2"/>
      <c r="AD2715" s="3"/>
      <c r="AH2715" s="3"/>
      <c r="AL2715" s="3"/>
    </row>
    <row r="2716" spans="12:38" x14ac:dyDescent="0.25">
      <c r="L2716" s="2"/>
      <c r="M2716" s="2"/>
      <c r="N2716" s="2"/>
      <c r="AD2716" s="3"/>
      <c r="AH2716" s="3"/>
      <c r="AL2716" s="3"/>
    </row>
    <row r="2717" spans="12:38" x14ac:dyDescent="0.25">
      <c r="L2717" s="2"/>
      <c r="M2717" s="2"/>
      <c r="N2717" s="2"/>
      <c r="AD2717" s="3"/>
      <c r="AH2717" s="3"/>
      <c r="AL2717" s="3"/>
    </row>
    <row r="2718" spans="12:38" x14ac:dyDescent="0.25">
      <c r="L2718" s="2"/>
      <c r="M2718" s="2"/>
      <c r="N2718" s="2"/>
      <c r="AD2718" s="3"/>
      <c r="AH2718" s="3"/>
      <c r="AL2718" s="3"/>
    </row>
    <row r="2719" spans="12:38" x14ac:dyDescent="0.25">
      <c r="L2719" s="2"/>
      <c r="M2719" s="2"/>
      <c r="N2719" s="2"/>
      <c r="AD2719" s="3"/>
      <c r="AH2719" s="3"/>
      <c r="AL2719" s="3"/>
    </row>
    <row r="2720" spans="12:38" x14ac:dyDescent="0.25">
      <c r="L2720" s="2"/>
      <c r="M2720" s="2"/>
      <c r="N2720" s="2"/>
      <c r="AD2720" s="3"/>
      <c r="AH2720" s="3"/>
      <c r="AL2720" s="3"/>
    </row>
    <row r="2721" spans="12:38" x14ac:dyDescent="0.25">
      <c r="L2721" s="2"/>
      <c r="M2721" s="2"/>
      <c r="N2721" s="2"/>
      <c r="AD2721" s="3"/>
      <c r="AH2721" s="3"/>
      <c r="AL2721" s="3"/>
    </row>
    <row r="2722" spans="12:38" x14ac:dyDescent="0.25">
      <c r="L2722" s="2"/>
      <c r="M2722" s="2"/>
      <c r="N2722" s="2"/>
      <c r="AD2722" s="3"/>
      <c r="AH2722" s="3"/>
      <c r="AL2722" s="3"/>
    </row>
    <row r="2723" spans="12:38" x14ac:dyDescent="0.25">
      <c r="L2723" s="2"/>
      <c r="M2723" s="2"/>
      <c r="N2723" s="2"/>
      <c r="AD2723" s="3"/>
      <c r="AH2723" s="3"/>
      <c r="AL2723" s="3"/>
    </row>
    <row r="2724" spans="12:38" x14ac:dyDescent="0.25">
      <c r="L2724" s="2"/>
      <c r="M2724" s="2"/>
      <c r="N2724" s="2"/>
      <c r="AD2724" s="3"/>
      <c r="AH2724" s="3"/>
      <c r="AL2724" s="3"/>
    </row>
    <row r="2725" spans="12:38" x14ac:dyDescent="0.25">
      <c r="L2725" s="2"/>
      <c r="M2725" s="2"/>
      <c r="N2725" s="2"/>
      <c r="AD2725" s="3"/>
      <c r="AH2725" s="3"/>
      <c r="AL2725" s="3"/>
    </row>
    <row r="2726" spans="12:38" x14ac:dyDescent="0.25">
      <c r="L2726" s="2"/>
      <c r="M2726" s="2"/>
      <c r="N2726" s="2"/>
      <c r="AD2726" s="3"/>
      <c r="AH2726" s="3"/>
      <c r="AL2726" s="3"/>
    </row>
    <row r="2727" spans="12:38" x14ac:dyDescent="0.25">
      <c r="L2727" s="2"/>
      <c r="M2727" s="2"/>
      <c r="N2727" s="2"/>
      <c r="AD2727" s="3"/>
      <c r="AH2727" s="3"/>
      <c r="AL2727" s="3"/>
    </row>
    <row r="2728" spans="12:38" x14ac:dyDescent="0.25">
      <c r="L2728" s="2"/>
      <c r="M2728" s="2"/>
      <c r="N2728" s="2"/>
      <c r="AD2728" s="3"/>
      <c r="AH2728" s="3"/>
      <c r="AL2728" s="3"/>
    </row>
    <row r="2729" spans="12:38" x14ac:dyDescent="0.25">
      <c r="L2729" s="2"/>
      <c r="M2729" s="2"/>
      <c r="N2729" s="2"/>
      <c r="AD2729" s="3"/>
      <c r="AH2729" s="3"/>
      <c r="AL2729" s="3"/>
    </row>
    <row r="2730" spans="12:38" x14ac:dyDescent="0.25">
      <c r="L2730" s="2"/>
      <c r="M2730" s="2"/>
      <c r="N2730" s="2"/>
      <c r="AD2730" s="3"/>
      <c r="AH2730" s="3"/>
      <c r="AL2730" s="3"/>
    </row>
    <row r="2731" spans="12:38" x14ac:dyDescent="0.25">
      <c r="L2731" s="2"/>
      <c r="M2731" s="2"/>
      <c r="N2731" s="2"/>
      <c r="AD2731" s="3"/>
      <c r="AH2731" s="3"/>
      <c r="AL2731" s="3"/>
    </row>
    <row r="2732" spans="12:38" x14ac:dyDescent="0.25">
      <c r="L2732" s="2"/>
      <c r="M2732" s="2"/>
      <c r="N2732" s="2"/>
      <c r="AD2732" s="3"/>
      <c r="AH2732" s="3"/>
      <c r="AL2732" s="3"/>
    </row>
    <row r="2733" spans="12:38" x14ac:dyDescent="0.25">
      <c r="L2733" s="2"/>
      <c r="M2733" s="2"/>
      <c r="N2733" s="2"/>
      <c r="AD2733" s="3"/>
      <c r="AH2733" s="3"/>
      <c r="AL2733" s="3"/>
    </row>
    <row r="2734" spans="12:38" x14ac:dyDescent="0.25">
      <c r="L2734" s="2"/>
      <c r="M2734" s="2"/>
      <c r="N2734" s="2"/>
      <c r="AD2734" s="3"/>
      <c r="AH2734" s="3"/>
      <c r="AL2734" s="3"/>
    </row>
    <row r="2735" spans="12:38" x14ac:dyDescent="0.25">
      <c r="L2735" s="2"/>
      <c r="M2735" s="2"/>
      <c r="N2735" s="2"/>
      <c r="AD2735" s="3"/>
      <c r="AH2735" s="3"/>
      <c r="AL2735" s="3"/>
    </row>
    <row r="2736" spans="12:38" x14ac:dyDescent="0.25">
      <c r="L2736" s="2"/>
      <c r="M2736" s="2"/>
      <c r="N2736" s="2"/>
      <c r="AD2736" s="3"/>
      <c r="AH2736" s="3"/>
      <c r="AL2736" s="3"/>
    </row>
    <row r="2737" spans="12:38" x14ac:dyDescent="0.25">
      <c r="L2737" s="2"/>
      <c r="M2737" s="2"/>
      <c r="N2737" s="2"/>
      <c r="AD2737" s="3"/>
      <c r="AH2737" s="3"/>
      <c r="AL2737" s="3"/>
    </row>
    <row r="2738" spans="12:38" x14ac:dyDescent="0.25">
      <c r="L2738" s="2"/>
      <c r="M2738" s="2"/>
      <c r="N2738" s="2"/>
      <c r="AD2738" s="3"/>
      <c r="AH2738" s="3"/>
      <c r="AL2738" s="3"/>
    </row>
    <row r="2739" spans="12:38" x14ac:dyDescent="0.25">
      <c r="L2739" s="2"/>
      <c r="M2739" s="2"/>
      <c r="N2739" s="2"/>
      <c r="AD2739" s="3"/>
      <c r="AH2739" s="3"/>
      <c r="AL2739" s="3"/>
    </row>
    <row r="2740" spans="12:38" x14ac:dyDescent="0.25">
      <c r="L2740" s="2"/>
      <c r="M2740" s="2"/>
      <c r="N2740" s="2"/>
      <c r="AD2740" s="3"/>
      <c r="AH2740" s="3"/>
      <c r="AL2740" s="3"/>
    </row>
    <row r="2741" spans="12:38" x14ac:dyDescent="0.25">
      <c r="L2741" s="2"/>
      <c r="M2741" s="2"/>
      <c r="N2741" s="2"/>
      <c r="AD2741" s="3"/>
      <c r="AH2741" s="3"/>
      <c r="AL2741" s="3"/>
    </row>
    <row r="2742" spans="12:38" x14ac:dyDescent="0.25">
      <c r="L2742" s="2"/>
      <c r="M2742" s="2"/>
      <c r="N2742" s="2"/>
      <c r="AD2742" s="3"/>
      <c r="AH2742" s="3"/>
      <c r="AL2742" s="3"/>
    </row>
    <row r="2743" spans="12:38" x14ac:dyDescent="0.25">
      <c r="L2743" s="2"/>
      <c r="M2743" s="2"/>
      <c r="N2743" s="2"/>
      <c r="AD2743" s="3"/>
      <c r="AH2743" s="3"/>
      <c r="AL2743" s="3"/>
    </row>
    <row r="2744" spans="12:38" x14ac:dyDescent="0.25">
      <c r="L2744" s="2"/>
      <c r="M2744" s="2"/>
      <c r="N2744" s="2"/>
      <c r="AD2744" s="3"/>
      <c r="AH2744" s="3"/>
      <c r="AL2744" s="3"/>
    </row>
    <row r="2745" spans="12:38" x14ac:dyDescent="0.25">
      <c r="L2745" s="2"/>
      <c r="M2745" s="2"/>
      <c r="N2745" s="2"/>
      <c r="AD2745" s="3"/>
      <c r="AH2745" s="3"/>
      <c r="AL2745" s="3"/>
    </row>
    <row r="2746" spans="12:38" x14ac:dyDescent="0.25">
      <c r="L2746" s="2"/>
      <c r="M2746" s="2"/>
      <c r="N2746" s="2"/>
      <c r="AD2746" s="3"/>
      <c r="AH2746" s="3"/>
      <c r="AL2746" s="3"/>
    </row>
    <row r="2747" spans="12:38" x14ac:dyDescent="0.25">
      <c r="L2747" s="2"/>
      <c r="M2747" s="2"/>
      <c r="N2747" s="2"/>
      <c r="AD2747" s="3"/>
      <c r="AH2747" s="3"/>
      <c r="AL2747" s="3"/>
    </row>
    <row r="2748" spans="12:38" x14ac:dyDescent="0.25">
      <c r="L2748" s="2"/>
      <c r="M2748" s="2"/>
      <c r="N2748" s="2"/>
      <c r="AD2748" s="3"/>
      <c r="AH2748" s="3"/>
      <c r="AL2748" s="3"/>
    </row>
    <row r="2749" spans="12:38" x14ac:dyDescent="0.25">
      <c r="L2749" s="2"/>
      <c r="M2749" s="2"/>
      <c r="N2749" s="2"/>
      <c r="AD2749" s="3"/>
      <c r="AH2749" s="3"/>
      <c r="AL2749" s="3"/>
    </row>
    <row r="2750" spans="12:38" x14ac:dyDescent="0.25">
      <c r="L2750" s="2"/>
      <c r="M2750" s="2"/>
      <c r="N2750" s="2"/>
      <c r="AD2750" s="3"/>
      <c r="AH2750" s="3"/>
      <c r="AL2750" s="3"/>
    </row>
    <row r="2751" spans="12:38" x14ac:dyDescent="0.25">
      <c r="L2751" s="2"/>
      <c r="M2751" s="2"/>
      <c r="N2751" s="2"/>
      <c r="AD2751" s="3"/>
      <c r="AH2751" s="3"/>
      <c r="AL2751" s="3"/>
    </row>
    <row r="2752" spans="12:38" x14ac:dyDescent="0.25">
      <c r="L2752" s="2"/>
      <c r="M2752" s="2"/>
      <c r="N2752" s="2"/>
      <c r="AD2752" s="3"/>
      <c r="AH2752" s="3"/>
      <c r="AL2752" s="3"/>
    </row>
    <row r="2753" spans="12:38" x14ac:dyDescent="0.25">
      <c r="L2753" s="2"/>
      <c r="M2753" s="2"/>
      <c r="N2753" s="2"/>
      <c r="AD2753" s="3"/>
      <c r="AH2753" s="3"/>
      <c r="AL2753" s="3"/>
    </row>
    <row r="2754" spans="12:38" x14ac:dyDescent="0.25">
      <c r="L2754" s="2"/>
      <c r="M2754" s="2"/>
      <c r="N2754" s="2"/>
      <c r="AD2754" s="3"/>
      <c r="AH2754" s="3"/>
      <c r="AL2754" s="3"/>
    </row>
    <row r="2755" spans="12:38" x14ac:dyDescent="0.25">
      <c r="L2755" s="2"/>
      <c r="M2755" s="2"/>
      <c r="N2755" s="2"/>
      <c r="AD2755" s="3"/>
      <c r="AH2755" s="3"/>
      <c r="AL2755" s="3"/>
    </row>
    <row r="2756" spans="12:38" x14ac:dyDescent="0.25">
      <c r="L2756" s="2"/>
      <c r="M2756" s="2"/>
      <c r="N2756" s="2"/>
      <c r="AD2756" s="3"/>
      <c r="AH2756" s="3"/>
      <c r="AL2756" s="3"/>
    </row>
    <row r="2757" spans="12:38" x14ac:dyDescent="0.25">
      <c r="L2757" s="2"/>
      <c r="M2757" s="2"/>
      <c r="N2757" s="2"/>
      <c r="AD2757" s="3"/>
      <c r="AH2757" s="3"/>
      <c r="AL2757" s="3"/>
    </row>
    <row r="2758" spans="12:38" x14ac:dyDescent="0.25">
      <c r="L2758" s="2"/>
      <c r="M2758" s="2"/>
      <c r="N2758" s="2"/>
      <c r="AD2758" s="3"/>
      <c r="AH2758" s="3"/>
      <c r="AL2758" s="3"/>
    </row>
    <row r="2759" spans="12:38" x14ac:dyDescent="0.25">
      <c r="L2759" s="2"/>
      <c r="M2759" s="2"/>
      <c r="N2759" s="2"/>
      <c r="AD2759" s="3"/>
      <c r="AH2759" s="3"/>
      <c r="AL2759" s="3"/>
    </row>
    <row r="2760" spans="12:38" x14ac:dyDescent="0.25">
      <c r="L2760" s="2"/>
      <c r="M2760" s="2"/>
      <c r="N2760" s="2"/>
      <c r="AD2760" s="3"/>
      <c r="AH2760" s="3"/>
      <c r="AL2760" s="3"/>
    </row>
    <row r="2761" spans="12:38" x14ac:dyDescent="0.25">
      <c r="L2761" s="2"/>
      <c r="M2761" s="2"/>
      <c r="N2761" s="2"/>
      <c r="AD2761" s="3"/>
      <c r="AH2761" s="3"/>
      <c r="AL2761" s="3"/>
    </row>
    <row r="2762" spans="12:38" x14ac:dyDescent="0.25">
      <c r="L2762" s="2"/>
      <c r="M2762" s="2"/>
      <c r="N2762" s="2"/>
      <c r="AD2762" s="3"/>
      <c r="AH2762" s="3"/>
      <c r="AL2762" s="3"/>
    </row>
    <row r="2763" spans="12:38" x14ac:dyDescent="0.25">
      <c r="L2763" s="2"/>
      <c r="M2763" s="2"/>
      <c r="N2763" s="2"/>
      <c r="AD2763" s="3"/>
      <c r="AH2763" s="3"/>
      <c r="AL2763" s="3"/>
    </row>
    <row r="2764" spans="12:38" x14ac:dyDescent="0.25">
      <c r="L2764" s="2"/>
      <c r="M2764" s="2"/>
      <c r="N2764" s="2"/>
      <c r="AD2764" s="3"/>
      <c r="AH2764" s="3"/>
      <c r="AL2764" s="3"/>
    </row>
    <row r="2765" spans="12:38" x14ac:dyDescent="0.25">
      <c r="L2765" s="2"/>
      <c r="M2765" s="2"/>
      <c r="N2765" s="2"/>
      <c r="AD2765" s="3"/>
      <c r="AH2765" s="3"/>
      <c r="AL2765" s="3"/>
    </row>
    <row r="2766" spans="12:38" x14ac:dyDescent="0.25">
      <c r="L2766" s="2"/>
      <c r="M2766" s="2"/>
      <c r="N2766" s="2"/>
      <c r="AD2766" s="3"/>
      <c r="AH2766" s="3"/>
      <c r="AL2766" s="3"/>
    </row>
    <row r="2767" spans="12:38" x14ac:dyDescent="0.25">
      <c r="L2767" s="2"/>
      <c r="M2767" s="2"/>
      <c r="N2767" s="2"/>
      <c r="AD2767" s="3"/>
      <c r="AH2767" s="3"/>
      <c r="AL2767" s="3"/>
    </row>
    <row r="2768" spans="12:38" x14ac:dyDescent="0.25">
      <c r="L2768" s="2"/>
      <c r="M2768" s="2"/>
      <c r="N2768" s="2"/>
      <c r="AD2768" s="3"/>
      <c r="AH2768" s="3"/>
      <c r="AL2768" s="3"/>
    </row>
    <row r="2769" spans="12:38" x14ac:dyDescent="0.25">
      <c r="L2769" s="2"/>
      <c r="M2769" s="2"/>
      <c r="N2769" s="2"/>
      <c r="AD2769" s="3"/>
      <c r="AH2769" s="3"/>
      <c r="AL2769" s="3"/>
    </row>
    <row r="2770" spans="12:38" x14ac:dyDescent="0.25">
      <c r="L2770" s="2"/>
      <c r="M2770" s="2"/>
      <c r="N2770" s="2"/>
      <c r="AD2770" s="3"/>
      <c r="AH2770" s="3"/>
      <c r="AL2770" s="3"/>
    </row>
    <row r="2771" spans="12:38" x14ac:dyDescent="0.25">
      <c r="L2771" s="2"/>
      <c r="M2771" s="2"/>
      <c r="N2771" s="2"/>
      <c r="AD2771" s="3"/>
      <c r="AH2771" s="3"/>
      <c r="AL2771" s="3"/>
    </row>
    <row r="2772" spans="12:38" x14ac:dyDescent="0.25">
      <c r="L2772" s="2"/>
      <c r="M2772" s="2"/>
      <c r="N2772" s="2"/>
      <c r="AD2772" s="3"/>
      <c r="AH2772" s="3"/>
      <c r="AL2772" s="3"/>
    </row>
    <row r="2773" spans="12:38" x14ac:dyDescent="0.25">
      <c r="L2773" s="2"/>
      <c r="M2773" s="2"/>
      <c r="N2773" s="2"/>
      <c r="AD2773" s="3"/>
      <c r="AH2773" s="3"/>
      <c r="AL2773" s="3"/>
    </row>
    <row r="2774" spans="12:38" x14ac:dyDescent="0.25">
      <c r="L2774" s="2"/>
      <c r="M2774" s="2"/>
      <c r="N2774" s="2"/>
      <c r="AD2774" s="3"/>
      <c r="AH2774" s="3"/>
      <c r="AL2774" s="3"/>
    </row>
    <row r="2775" spans="12:38" x14ac:dyDescent="0.25">
      <c r="L2775" s="2"/>
      <c r="M2775" s="2"/>
      <c r="N2775" s="2"/>
      <c r="AD2775" s="3"/>
      <c r="AH2775" s="3"/>
      <c r="AL2775" s="3"/>
    </row>
    <row r="2776" spans="12:38" x14ac:dyDescent="0.25">
      <c r="L2776" s="2"/>
      <c r="M2776" s="2"/>
      <c r="N2776" s="2"/>
      <c r="AD2776" s="3"/>
      <c r="AH2776" s="3"/>
      <c r="AL2776" s="3"/>
    </row>
    <row r="2777" spans="12:38" x14ac:dyDescent="0.25">
      <c r="L2777" s="2"/>
      <c r="M2777" s="2"/>
      <c r="N2777" s="2"/>
      <c r="AD2777" s="3"/>
      <c r="AH2777" s="3"/>
      <c r="AL2777" s="3"/>
    </row>
    <row r="2778" spans="12:38" x14ac:dyDescent="0.25">
      <c r="L2778" s="2"/>
      <c r="M2778" s="2"/>
      <c r="N2778" s="2"/>
      <c r="AD2778" s="3"/>
      <c r="AH2778" s="3"/>
      <c r="AL2778" s="3"/>
    </row>
    <row r="2779" spans="12:38" x14ac:dyDescent="0.25">
      <c r="L2779" s="2"/>
      <c r="M2779" s="2"/>
      <c r="N2779" s="2"/>
      <c r="AD2779" s="3"/>
      <c r="AH2779" s="3"/>
      <c r="AL2779" s="3"/>
    </row>
    <row r="2780" spans="12:38" x14ac:dyDescent="0.25">
      <c r="L2780" s="2"/>
      <c r="M2780" s="2"/>
      <c r="N2780" s="2"/>
      <c r="AD2780" s="3"/>
      <c r="AH2780" s="3"/>
      <c r="AL2780" s="3"/>
    </row>
    <row r="2781" spans="12:38" x14ac:dyDescent="0.25">
      <c r="L2781" s="2"/>
      <c r="M2781" s="2"/>
      <c r="N2781" s="2"/>
      <c r="AD2781" s="3"/>
      <c r="AH2781" s="3"/>
      <c r="AL2781" s="3"/>
    </row>
    <row r="2782" spans="12:38" x14ac:dyDescent="0.25">
      <c r="L2782" s="2"/>
      <c r="M2782" s="2"/>
      <c r="N2782" s="2"/>
      <c r="AD2782" s="3"/>
      <c r="AH2782" s="3"/>
      <c r="AL2782" s="3"/>
    </row>
    <row r="2783" spans="12:38" x14ac:dyDescent="0.25">
      <c r="L2783" s="2"/>
      <c r="M2783" s="2"/>
      <c r="N2783" s="2"/>
      <c r="AD2783" s="3"/>
      <c r="AH2783" s="3"/>
      <c r="AL2783" s="3"/>
    </row>
    <row r="2784" spans="12:38" x14ac:dyDescent="0.25">
      <c r="L2784" s="2"/>
      <c r="M2784" s="2"/>
      <c r="N2784" s="2"/>
      <c r="AD2784" s="3"/>
      <c r="AH2784" s="3"/>
      <c r="AL2784" s="3"/>
    </row>
    <row r="2785" spans="12:38" x14ac:dyDescent="0.25">
      <c r="L2785" s="2"/>
      <c r="M2785" s="2"/>
      <c r="N2785" s="2"/>
      <c r="AD2785" s="3"/>
      <c r="AH2785" s="3"/>
      <c r="AL2785" s="3"/>
    </row>
    <row r="2786" spans="12:38" x14ac:dyDescent="0.25">
      <c r="L2786" s="2"/>
      <c r="M2786" s="2"/>
      <c r="N2786" s="2"/>
      <c r="AD2786" s="3"/>
      <c r="AH2786" s="3"/>
      <c r="AL2786" s="3"/>
    </row>
    <row r="2787" spans="12:38" x14ac:dyDescent="0.25">
      <c r="L2787" s="2"/>
      <c r="M2787" s="2"/>
      <c r="N2787" s="2"/>
      <c r="AD2787" s="3"/>
      <c r="AH2787" s="3"/>
      <c r="AL2787" s="3"/>
    </row>
    <row r="2788" spans="12:38" x14ac:dyDescent="0.25">
      <c r="L2788" s="2"/>
      <c r="M2788" s="2"/>
      <c r="N2788" s="2"/>
      <c r="AD2788" s="3"/>
      <c r="AH2788" s="3"/>
      <c r="AL2788" s="3"/>
    </row>
    <row r="2789" spans="12:38" x14ac:dyDescent="0.25">
      <c r="L2789" s="2"/>
      <c r="M2789" s="2"/>
      <c r="N2789" s="2"/>
      <c r="AD2789" s="3"/>
      <c r="AH2789" s="3"/>
      <c r="AL2789" s="3"/>
    </row>
    <row r="2790" spans="12:38" x14ac:dyDescent="0.25">
      <c r="L2790" s="2"/>
      <c r="M2790" s="2"/>
      <c r="N2790" s="2"/>
      <c r="AD2790" s="3"/>
      <c r="AH2790" s="3"/>
      <c r="AL2790" s="3"/>
    </row>
    <row r="2791" spans="12:38" x14ac:dyDescent="0.25">
      <c r="L2791" s="2"/>
      <c r="M2791" s="2"/>
      <c r="N2791" s="2"/>
      <c r="AD2791" s="3"/>
      <c r="AH2791" s="3"/>
      <c r="AL2791" s="3"/>
    </row>
    <row r="2792" spans="12:38" x14ac:dyDescent="0.25">
      <c r="L2792" s="2"/>
      <c r="M2792" s="2"/>
      <c r="N2792" s="2"/>
      <c r="AD2792" s="3"/>
      <c r="AH2792" s="3"/>
      <c r="AL2792" s="3"/>
    </row>
    <row r="2793" spans="12:38" x14ac:dyDescent="0.25">
      <c r="L2793" s="2"/>
      <c r="M2793" s="2"/>
      <c r="N2793" s="2"/>
      <c r="AD2793" s="3"/>
      <c r="AH2793" s="3"/>
      <c r="AL2793" s="3"/>
    </row>
    <row r="2794" spans="12:38" x14ac:dyDescent="0.25">
      <c r="L2794" s="2"/>
      <c r="M2794" s="2"/>
      <c r="N2794" s="2"/>
      <c r="AD2794" s="3"/>
      <c r="AH2794" s="3"/>
      <c r="AL2794" s="3"/>
    </row>
    <row r="2795" spans="12:38" x14ac:dyDescent="0.25">
      <c r="L2795" s="2"/>
      <c r="M2795" s="2"/>
      <c r="N2795" s="2"/>
      <c r="AD2795" s="3"/>
      <c r="AH2795" s="3"/>
      <c r="AL2795" s="3"/>
    </row>
    <row r="2796" spans="12:38" x14ac:dyDescent="0.25">
      <c r="L2796" s="2"/>
      <c r="M2796" s="2"/>
      <c r="N2796" s="2"/>
      <c r="AD2796" s="3"/>
      <c r="AH2796" s="3"/>
      <c r="AL2796" s="3"/>
    </row>
    <row r="2797" spans="12:38" x14ac:dyDescent="0.25">
      <c r="L2797" s="2"/>
      <c r="M2797" s="2"/>
      <c r="N2797" s="2"/>
      <c r="AD2797" s="3"/>
      <c r="AH2797" s="3"/>
      <c r="AL2797" s="3"/>
    </row>
    <row r="2798" spans="12:38" x14ac:dyDescent="0.25">
      <c r="L2798" s="2"/>
      <c r="M2798" s="2"/>
      <c r="N2798" s="2"/>
      <c r="AD2798" s="3"/>
      <c r="AH2798" s="3"/>
      <c r="AL2798" s="3"/>
    </row>
    <row r="2799" spans="12:38" x14ac:dyDescent="0.25">
      <c r="L2799" s="2"/>
      <c r="M2799" s="2"/>
      <c r="N2799" s="2"/>
      <c r="AD2799" s="3"/>
      <c r="AH2799" s="3"/>
      <c r="AL2799" s="3"/>
    </row>
    <row r="2800" spans="12:38" x14ac:dyDescent="0.25">
      <c r="L2800" s="2"/>
      <c r="M2800" s="2"/>
      <c r="N2800" s="2"/>
      <c r="AD2800" s="3"/>
      <c r="AH2800" s="3"/>
      <c r="AL2800" s="3"/>
    </row>
    <row r="2801" spans="12:38" x14ac:dyDescent="0.25">
      <c r="L2801" s="2"/>
      <c r="M2801" s="2"/>
      <c r="N2801" s="2"/>
      <c r="AD2801" s="3"/>
      <c r="AH2801" s="3"/>
      <c r="AL2801" s="3"/>
    </row>
    <row r="2802" spans="12:38" x14ac:dyDescent="0.25">
      <c r="L2802" s="2"/>
      <c r="M2802" s="2"/>
      <c r="N2802" s="2"/>
      <c r="AD2802" s="3"/>
      <c r="AH2802" s="3"/>
      <c r="AL2802" s="3"/>
    </row>
    <row r="2803" spans="12:38" x14ac:dyDescent="0.25">
      <c r="L2803" s="2"/>
      <c r="M2803" s="2"/>
      <c r="N2803" s="2"/>
      <c r="AD2803" s="3"/>
      <c r="AH2803" s="3"/>
      <c r="AL2803" s="3"/>
    </row>
    <row r="2804" spans="12:38" x14ac:dyDescent="0.25">
      <c r="L2804" s="2"/>
      <c r="M2804" s="2"/>
      <c r="N2804" s="2"/>
      <c r="AD2804" s="3"/>
      <c r="AH2804" s="3"/>
      <c r="AL2804" s="3"/>
    </row>
    <row r="2805" spans="12:38" x14ac:dyDescent="0.25">
      <c r="L2805" s="2"/>
      <c r="M2805" s="2"/>
      <c r="N2805" s="2"/>
      <c r="AD2805" s="3"/>
      <c r="AH2805" s="3"/>
      <c r="AL2805" s="3"/>
    </row>
    <row r="2806" spans="12:38" x14ac:dyDescent="0.25">
      <c r="L2806" s="2"/>
      <c r="M2806" s="2"/>
      <c r="N2806" s="2"/>
      <c r="AD2806" s="3"/>
      <c r="AH2806" s="3"/>
      <c r="AL2806" s="3"/>
    </row>
    <row r="2807" spans="12:38" x14ac:dyDescent="0.25">
      <c r="L2807" s="2"/>
      <c r="M2807" s="2"/>
      <c r="N2807" s="2"/>
      <c r="AD2807" s="3"/>
      <c r="AH2807" s="3"/>
      <c r="AL2807" s="3"/>
    </row>
    <row r="2808" spans="12:38" x14ac:dyDescent="0.25">
      <c r="L2808" s="2"/>
      <c r="M2808" s="2"/>
      <c r="N2808" s="2"/>
      <c r="AD2808" s="3"/>
      <c r="AH2808" s="3"/>
      <c r="AL2808" s="3"/>
    </row>
    <row r="2809" spans="12:38" x14ac:dyDescent="0.25">
      <c r="L2809" s="2"/>
      <c r="M2809" s="2"/>
      <c r="N2809" s="2"/>
      <c r="AD2809" s="3"/>
      <c r="AH2809" s="3"/>
      <c r="AL2809" s="3"/>
    </row>
    <row r="2810" spans="12:38" x14ac:dyDescent="0.25">
      <c r="L2810" s="2"/>
      <c r="M2810" s="2"/>
      <c r="N2810" s="2"/>
      <c r="AD2810" s="3"/>
      <c r="AH2810" s="3"/>
      <c r="AL2810" s="3"/>
    </row>
    <row r="2811" spans="12:38" x14ac:dyDescent="0.25">
      <c r="L2811" s="2"/>
      <c r="M2811" s="2"/>
      <c r="N2811" s="2"/>
      <c r="AD2811" s="3"/>
      <c r="AH2811" s="3"/>
      <c r="AL2811" s="3"/>
    </row>
    <row r="2812" spans="12:38" x14ac:dyDescent="0.25">
      <c r="L2812" s="2"/>
      <c r="M2812" s="2"/>
      <c r="N2812" s="2"/>
      <c r="AD2812" s="3"/>
      <c r="AH2812" s="3"/>
      <c r="AL2812" s="3"/>
    </row>
    <row r="2813" spans="12:38" x14ac:dyDescent="0.25">
      <c r="L2813" s="2"/>
      <c r="M2813" s="2"/>
      <c r="N2813" s="2"/>
      <c r="AD2813" s="3"/>
      <c r="AH2813" s="3"/>
      <c r="AL2813" s="3"/>
    </row>
    <row r="2814" spans="12:38" x14ac:dyDescent="0.25">
      <c r="L2814" s="2"/>
      <c r="M2814" s="2"/>
      <c r="N2814" s="2"/>
      <c r="AD2814" s="3"/>
      <c r="AH2814" s="3"/>
      <c r="AL2814" s="3"/>
    </row>
    <row r="2815" spans="12:38" x14ac:dyDescent="0.25">
      <c r="L2815" s="2"/>
      <c r="M2815" s="2"/>
      <c r="N2815" s="2"/>
      <c r="AD2815" s="3"/>
      <c r="AH2815" s="3"/>
      <c r="AL2815" s="3"/>
    </row>
    <row r="2816" spans="12:38" x14ac:dyDescent="0.25">
      <c r="L2816" s="2"/>
      <c r="M2816" s="2"/>
      <c r="N2816" s="2"/>
      <c r="AD2816" s="3"/>
      <c r="AH2816" s="3"/>
      <c r="AL2816" s="3"/>
    </row>
    <row r="2817" spans="12:38" x14ac:dyDescent="0.25">
      <c r="L2817" s="2"/>
      <c r="M2817" s="2"/>
      <c r="N2817" s="2"/>
      <c r="AD2817" s="3"/>
      <c r="AH2817" s="3"/>
      <c r="AL2817" s="3"/>
    </row>
    <row r="2818" spans="12:38" x14ac:dyDescent="0.25">
      <c r="L2818" s="2"/>
      <c r="M2818" s="2"/>
      <c r="N2818" s="2"/>
      <c r="AD2818" s="3"/>
      <c r="AH2818" s="3"/>
      <c r="AL2818" s="3"/>
    </row>
    <row r="2819" spans="12:38" x14ac:dyDescent="0.25">
      <c r="L2819" s="2"/>
      <c r="M2819" s="2"/>
      <c r="N2819" s="2"/>
      <c r="AD2819" s="3"/>
      <c r="AH2819" s="3"/>
      <c r="AL2819" s="3"/>
    </row>
    <row r="2820" spans="12:38" x14ac:dyDescent="0.25">
      <c r="L2820" s="2"/>
      <c r="M2820" s="2"/>
      <c r="N2820" s="2"/>
      <c r="AD2820" s="3"/>
      <c r="AH2820" s="3"/>
      <c r="AL2820" s="3"/>
    </row>
    <row r="2821" spans="12:38" x14ac:dyDescent="0.25">
      <c r="L2821" s="2"/>
      <c r="M2821" s="2"/>
      <c r="N2821" s="2"/>
      <c r="AD2821" s="3"/>
      <c r="AH2821" s="3"/>
      <c r="AL2821" s="3"/>
    </row>
    <row r="2822" spans="12:38" x14ac:dyDescent="0.25">
      <c r="L2822" s="2"/>
      <c r="M2822" s="2"/>
      <c r="N2822" s="2"/>
      <c r="AD2822" s="3"/>
      <c r="AH2822" s="3"/>
      <c r="AL2822" s="3"/>
    </row>
    <row r="2823" spans="12:38" x14ac:dyDescent="0.25">
      <c r="L2823" s="2"/>
      <c r="M2823" s="2"/>
      <c r="N2823" s="2"/>
      <c r="AD2823" s="3"/>
      <c r="AH2823" s="3"/>
      <c r="AL2823" s="3"/>
    </row>
    <row r="2824" spans="12:38" x14ac:dyDescent="0.25">
      <c r="L2824" s="2"/>
      <c r="M2824" s="2"/>
      <c r="N2824" s="2"/>
      <c r="AD2824" s="3"/>
      <c r="AH2824" s="3"/>
      <c r="AL2824" s="3"/>
    </row>
    <row r="2825" spans="12:38" x14ac:dyDescent="0.25">
      <c r="L2825" s="2"/>
      <c r="M2825" s="2"/>
      <c r="N2825" s="2"/>
      <c r="AD2825" s="3"/>
      <c r="AH2825" s="3"/>
      <c r="AL2825" s="3"/>
    </row>
    <row r="2826" spans="12:38" x14ac:dyDescent="0.25">
      <c r="L2826" s="2"/>
      <c r="M2826" s="2"/>
      <c r="N2826" s="2"/>
      <c r="AD2826" s="3"/>
      <c r="AH2826" s="3"/>
      <c r="AL2826" s="3"/>
    </row>
    <row r="2827" spans="12:38" x14ac:dyDescent="0.25">
      <c r="L2827" s="2"/>
      <c r="M2827" s="2"/>
      <c r="N2827" s="2"/>
      <c r="AD2827" s="3"/>
      <c r="AH2827" s="3"/>
      <c r="AL2827" s="3"/>
    </row>
    <row r="2828" spans="12:38" x14ac:dyDescent="0.25">
      <c r="L2828" s="2"/>
      <c r="M2828" s="2"/>
      <c r="N2828" s="2"/>
      <c r="AD2828" s="3"/>
      <c r="AH2828" s="3"/>
      <c r="AL2828" s="3"/>
    </row>
    <row r="2829" spans="12:38" x14ac:dyDescent="0.25">
      <c r="L2829" s="2"/>
      <c r="M2829" s="2"/>
      <c r="N2829" s="2"/>
      <c r="AD2829" s="3"/>
      <c r="AH2829" s="3"/>
      <c r="AL2829" s="3"/>
    </row>
    <row r="2830" spans="12:38" x14ac:dyDescent="0.25">
      <c r="L2830" s="2"/>
      <c r="M2830" s="2"/>
      <c r="N2830" s="2"/>
      <c r="AD2830" s="3"/>
      <c r="AH2830" s="3"/>
      <c r="AL2830" s="3"/>
    </row>
    <row r="2831" spans="12:38" x14ac:dyDescent="0.25">
      <c r="L2831" s="2"/>
      <c r="M2831" s="2"/>
      <c r="N2831" s="2"/>
      <c r="AD2831" s="3"/>
      <c r="AH2831" s="3"/>
      <c r="AL2831" s="3"/>
    </row>
    <row r="2832" spans="12:38" x14ac:dyDescent="0.25">
      <c r="L2832" s="2"/>
      <c r="M2832" s="2"/>
      <c r="N2832" s="2"/>
      <c r="AD2832" s="3"/>
      <c r="AH2832" s="3"/>
      <c r="AL2832" s="3"/>
    </row>
    <row r="2833" spans="12:38" x14ac:dyDescent="0.25">
      <c r="L2833" s="2"/>
      <c r="M2833" s="2"/>
      <c r="N2833" s="2"/>
      <c r="AD2833" s="3"/>
      <c r="AH2833" s="3"/>
      <c r="AL2833" s="3"/>
    </row>
    <row r="2834" spans="12:38" x14ac:dyDescent="0.25">
      <c r="L2834" s="2"/>
      <c r="M2834" s="2"/>
      <c r="N2834" s="2"/>
      <c r="AD2834" s="3"/>
      <c r="AH2834" s="3"/>
      <c r="AL2834" s="3"/>
    </row>
    <row r="2835" spans="12:38" x14ac:dyDescent="0.25">
      <c r="L2835" s="2"/>
      <c r="M2835" s="2"/>
      <c r="N2835" s="2"/>
      <c r="AD2835" s="3"/>
      <c r="AH2835" s="3"/>
      <c r="AL2835" s="3"/>
    </row>
    <row r="2836" spans="12:38" x14ac:dyDescent="0.25">
      <c r="L2836" s="2"/>
      <c r="M2836" s="2"/>
      <c r="N2836" s="2"/>
      <c r="AD2836" s="3"/>
      <c r="AH2836" s="3"/>
      <c r="AL2836" s="3"/>
    </row>
    <row r="2837" spans="12:38" x14ac:dyDescent="0.25">
      <c r="L2837" s="2"/>
      <c r="M2837" s="2"/>
      <c r="N2837" s="2"/>
      <c r="AD2837" s="3"/>
      <c r="AH2837" s="3"/>
      <c r="AL2837" s="3"/>
    </row>
    <row r="2838" spans="12:38" x14ac:dyDescent="0.25">
      <c r="L2838" s="2"/>
      <c r="M2838" s="2"/>
      <c r="N2838" s="2"/>
      <c r="AD2838" s="3"/>
      <c r="AH2838" s="3"/>
      <c r="AL2838" s="3"/>
    </row>
    <row r="2839" spans="12:38" x14ac:dyDescent="0.25">
      <c r="L2839" s="2"/>
      <c r="M2839" s="2"/>
      <c r="N2839" s="2"/>
      <c r="AD2839" s="3"/>
      <c r="AH2839" s="3"/>
      <c r="AL2839" s="3"/>
    </row>
    <row r="2840" spans="12:38" x14ac:dyDescent="0.25">
      <c r="L2840" s="2"/>
      <c r="M2840" s="2"/>
      <c r="N2840" s="2"/>
      <c r="AD2840" s="3"/>
      <c r="AH2840" s="3"/>
      <c r="AL2840" s="3"/>
    </row>
    <row r="2841" spans="12:38" x14ac:dyDescent="0.25">
      <c r="L2841" s="2"/>
      <c r="M2841" s="2"/>
      <c r="N2841" s="2"/>
      <c r="AD2841" s="3"/>
      <c r="AH2841" s="3"/>
      <c r="AL2841" s="3"/>
    </row>
    <row r="2842" spans="12:38" x14ac:dyDescent="0.25">
      <c r="L2842" s="2"/>
      <c r="M2842" s="2"/>
      <c r="N2842" s="2"/>
      <c r="AD2842" s="3"/>
      <c r="AH2842" s="3"/>
      <c r="AL2842" s="3"/>
    </row>
    <row r="2843" spans="12:38" x14ac:dyDescent="0.25">
      <c r="L2843" s="2"/>
      <c r="M2843" s="2"/>
      <c r="N2843" s="2"/>
      <c r="AD2843" s="3"/>
      <c r="AH2843" s="3"/>
      <c r="AL2843" s="3"/>
    </row>
    <row r="2844" spans="12:38" x14ac:dyDescent="0.25">
      <c r="L2844" s="2"/>
      <c r="M2844" s="2"/>
      <c r="N2844" s="2"/>
      <c r="AD2844" s="3"/>
      <c r="AH2844" s="3"/>
      <c r="AL2844" s="3"/>
    </row>
    <row r="2845" spans="12:38" x14ac:dyDescent="0.25">
      <c r="L2845" s="2"/>
      <c r="M2845" s="2"/>
      <c r="N2845" s="2"/>
      <c r="AD2845" s="3"/>
      <c r="AH2845" s="3"/>
      <c r="AL2845" s="3"/>
    </row>
    <row r="2846" spans="12:38" x14ac:dyDescent="0.25">
      <c r="L2846" s="2"/>
      <c r="M2846" s="2"/>
      <c r="N2846" s="2"/>
      <c r="AD2846" s="3"/>
      <c r="AH2846" s="3"/>
      <c r="AL2846" s="3"/>
    </row>
    <row r="2847" spans="12:38" x14ac:dyDescent="0.25">
      <c r="L2847" s="2"/>
      <c r="M2847" s="2"/>
      <c r="N2847" s="2"/>
      <c r="AD2847" s="3"/>
      <c r="AH2847" s="3"/>
      <c r="AL2847" s="3"/>
    </row>
    <row r="2848" spans="12:38" x14ac:dyDescent="0.25">
      <c r="L2848" s="2"/>
      <c r="M2848" s="2"/>
      <c r="N2848" s="2"/>
      <c r="AD2848" s="3"/>
      <c r="AH2848" s="3"/>
      <c r="AL2848" s="3"/>
    </row>
    <row r="2849" spans="12:38" x14ac:dyDescent="0.25">
      <c r="L2849" s="2"/>
      <c r="M2849" s="2"/>
      <c r="N2849" s="2"/>
      <c r="AD2849" s="3"/>
      <c r="AH2849" s="3"/>
      <c r="AL2849" s="3"/>
    </row>
    <row r="2850" spans="12:38" x14ac:dyDescent="0.25">
      <c r="L2850" s="2"/>
      <c r="M2850" s="2"/>
      <c r="N2850" s="2"/>
      <c r="AD2850" s="3"/>
      <c r="AH2850" s="3"/>
      <c r="AL2850" s="3"/>
    </row>
    <row r="2851" spans="12:38" x14ac:dyDescent="0.25">
      <c r="L2851" s="2"/>
      <c r="M2851" s="2"/>
      <c r="N2851" s="2"/>
      <c r="AD2851" s="3"/>
      <c r="AH2851" s="3"/>
      <c r="AL2851" s="3"/>
    </row>
    <row r="2852" spans="12:38" x14ac:dyDescent="0.25">
      <c r="L2852" s="2"/>
      <c r="M2852" s="2"/>
      <c r="N2852" s="2"/>
      <c r="AD2852" s="3"/>
      <c r="AH2852" s="3"/>
      <c r="AL2852" s="3"/>
    </row>
    <row r="2853" spans="12:38" x14ac:dyDescent="0.25">
      <c r="L2853" s="2"/>
      <c r="M2853" s="2"/>
      <c r="N2853" s="2"/>
      <c r="AD2853" s="3"/>
      <c r="AH2853" s="3"/>
      <c r="AL2853" s="3"/>
    </row>
    <row r="2854" spans="12:38" x14ac:dyDescent="0.25">
      <c r="L2854" s="2"/>
      <c r="M2854" s="2"/>
      <c r="N2854" s="2"/>
      <c r="AD2854" s="3"/>
      <c r="AH2854" s="3"/>
      <c r="AL2854" s="3"/>
    </row>
    <row r="2855" spans="12:38" x14ac:dyDescent="0.25">
      <c r="L2855" s="2"/>
      <c r="M2855" s="2"/>
      <c r="N2855" s="2"/>
      <c r="AD2855" s="3"/>
      <c r="AH2855" s="3"/>
      <c r="AL2855" s="3"/>
    </row>
    <row r="2856" spans="12:38" x14ac:dyDescent="0.25">
      <c r="L2856" s="2"/>
      <c r="M2856" s="2"/>
      <c r="N2856" s="2"/>
      <c r="AD2856" s="3"/>
      <c r="AH2856" s="3"/>
      <c r="AL2856" s="3"/>
    </row>
    <row r="2857" spans="12:38" x14ac:dyDescent="0.25">
      <c r="L2857" s="2"/>
      <c r="M2857" s="2"/>
      <c r="N2857" s="2"/>
      <c r="AD2857" s="3"/>
      <c r="AH2857" s="3"/>
      <c r="AL2857" s="3"/>
    </row>
    <row r="2858" spans="12:38" x14ac:dyDescent="0.25">
      <c r="L2858" s="2"/>
      <c r="M2858" s="2"/>
      <c r="N2858" s="2"/>
      <c r="AD2858" s="3"/>
      <c r="AH2858" s="3"/>
      <c r="AL2858" s="3"/>
    </row>
    <row r="2859" spans="12:38" x14ac:dyDescent="0.25">
      <c r="L2859" s="2"/>
      <c r="M2859" s="2"/>
      <c r="N2859" s="2"/>
      <c r="AD2859" s="3"/>
      <c r="AH2859" s="3"/>
      <c r="AL2859" s="3"/>
    </row>
    <row r="2860" spans="12:38" x14ac:dyDescent="0.25">
      <c r="L2860" s="2"/>
      <c r="M2860" s="2"/>
      <c r="N2860" s="2"/>
      <c r="AD2860" s="3"/>
      <c r="AH2860" s="3"/>
      <c r="AL2860" s="3"/>
    </row>
    <row r="2861" spans="12:38" x14ac:dyDescent="0.25">
      <c r="L2861" s="2"/>
      <c r="M2861" s="2"/>
      <c r="N2861" s="2"/>
      <c r="AD2861" s="3"/>
      <c r="AH2861" s="3"/>
      <c r="AL2861" s="3"/>
    </row>
    <row r="2862" spans="12:38" x14ac:dyDescent="0.25">
      <c r="L2862" s="2"/>
      <c r="M2862" s="2"/>
      <c r="N2862" s="2"/>
      <c r="AD2862" s="3"/>
      <c r="AH2862" s="3"/>
      <c r="AL2862" s="3"/>
    </row>
    <row r="2863" spans="12:38" x14ac:dyDescent="0.25">
      <c r="L2863" s="2"/>
      <c r="M2863" s="2"/>
      <c r="N2863" s="2"/>
      <c r="AD2863" s="3"/>
      <c r="AH2863" s="3"/>
      <c r="AL2863" s="3"/>
    </row>
    <row r="2864" spans="12:38" x14ac:dyDescent="0.25">
      <c r="L2864" s="2"/>
      <c r="M2864" s="2"/>
      <c r="N2864" s="2"/>
      <c r="AD2864" s="3"/>
      <c r="AH2864" s="3"/>
      <c r="AL2864" s="3"/>
    </row>
    <row r="2865" spans="12:38" x14ac:dyDescent="0.25">
      <c r="L2865" s="2"/>
      <c r="M2865" s="2"/>
      <c r="N2865" s="2"/>
      <c r="AD2865" s="3"/>
      <c r="AH2865" s="3"/>
      <c r="AL2865" s="3"/>
    </row>
    <row r="2866" spans="12:38" x14ac:dyDescent="0.25">
      <c r="L2866" s="2"/>
      <c r="M2866" s="2"/>
      <c r="N2866" s="2"/>
      <c r="AD2866" s="3"/>
      <c r="AH2866" s="3"/>
      <c r="AL2866" s="3"/>
    </row>
    <row r="2867" spans="12:38" x14ac:dyDescent="0.25">
      <c r="L2867" s="2"/>
      <c r="M2867" s="2"/>
      <c r="N2867" s="2"/>
      <c r="AD2867" s="3"/>
      <c r="AH2867" s="3"/>
      <c r="AL2867" s="3"/>
    </row>
    <row r="2868" spans="12:38" x14ac:dyDescent="0.25">
      <c r="L2868" s="2"/>
      <c r="M2868" s="2"/>
      <c r="N2868" s="2"/>
      <c r="AD2868" s="3"/>
      <c r="AH2868" s="3"/>
      <c r="AL2868" s="3"/>
    </row>
    <row r="2869" spans="12:38" x14ac:dyDescent="0.25">
      <c r="L2869" s="2"/>
      <c r="M2869" s="2"/>
      <c r="N2869" s="2"/>
      <c r="AD2869" s="3"/>
      <c r="AH2869" s="3"/>
      <c r="AL2869" s="3"/>
    </row>
    <row r="2870" spans="12:38" x14ac:dyDescent="0.25">
      <c r="L2870" s="2"/>
      <c r="M2870" s="2"/>
      <c r="N2870" s="2"/>
      <c r="AD2870" s="3"/>
      <c r="AH2870" s="3"/>
      <c r="AL2870" s="3"/>
    </row>
    <row r="2871" spans="12:38" x14ac:dyDescent="0.25">
      <c r="L2871" s="2"/>
      <c r="M2871" s="2"/>
      <c r="N2871" s="2"/>
      <c r="AD2871" s="3"/>
      <c r="AH2871" s="3"/>
      <c r="AL2871" s="3"/>
    </row>
    <row r="2872" spans="12:38" x14ac:dyDescent="0.25">
      <c r="L2872" s="2"/>
      <c r="M2872" s="2"/>
      <c r="N2872" s="2"/>
      <c r="AD2872" s="3"/>
      <c r="AH2872" s="3"/>
      <c r="AL2872" s="3"/>
    </row>
    <row r="2873" spans="12:38" x14ac:dyDescent="0.25">
      <c r="L2873" s="2"/>
      <c r="M2873" s="2"/>
      <c r="N2873" s="2"/>
      <c r="AD2873" s="3"/>
      <c r="AH2873" s="3"/>
      <c r="AL2873" s="3"/>
    </row>
    <row r="2874" spans="12:38" x14ac:dyDescent="0.25">
      <c r="L2874" s="2"/>
      <c r="M2874" s="2"/>
      <c r="N2874" s="2"/>
      <c r="AD2874" s="3"/>
      <c r="AH2874" s="3"/>
      <c r="AL2874" s="3"/>
    </row>
    <row r="2875" spans="12:38" x14ac:dyDescent="0.25">
      <c r="L2875" s="2"/>
      <c r="M2875" s="2"/>
      <c r="N2875" s="2"/>
      <c r="AD2875" s="3"/>
      <c r="AH2875" s="3"/>
      <c r="AL2875" s="3"/>
    </row>
    <row r="2876" spans="12:38" x14ac:dyDescent="0.25">
      <c r="L2876" s="2"/>
      <c r="M2876" s="2"/>
      <c r="N2876" s="2"/>
      <c r="AD2876" s="3"/>
      <c r="AH2876" s="3"/>
      <c r="AL2876" s="3"/>
    </row>
    <row r="2877" spans="12:38" x14ac:dyDescent="0.25">
      <c r="L2877" s="2"/>
      <c r="M2877" s="2"/>
      <c r="N2877" s="2"/>
      <c r="AD2877" s="3"/>
      <c r="AH2877" s="3"/>
      <c r="AL2877" s="3"/>
    </row>
    <row r="2878" spans="12:38" x14ac:dyDescent="0.25">
      <c r="L2878" s="2"/>
      <c r="M2878" s="2"/>
      <c r="N2878" s="2"/>
      <c r="AD2878" s="3"/>
      <c r="AH2878" s="3"/>
      <c r="AL2878" s="3"/>
    </row>
    <row r="2879" spans="12:38" x14ac:dyDescent="0.25">
      <c r="L2879" s="2"/>
      <c r="M2879" s="2"/>
      <c r="N2879" s="2"/>
      <c r="AD2879" s="3"/>
      <c r="AH2879" s="3"/>
      <c r="AL2879" s="3"/>
    </row>
    <row r="2880" spans="12:38" x14ac:dyDescent="0.25">
      <c r="L2880" s="2"/>
      <c r="M2880" s="2"/>
      <c r="N2880" s="2"/>
      <c r="AD2880" s="3"/>
      <c r="AH2880" s="3"/>
      <c r="AL2880" s="3"/>
    </row>
    <row r="2881" spans="12:38" x14ac:dyDescent="0.25">
      <c r="L2881" s="2"/>
      <c r="M2881" s="2"/>
      <c r="N2881" s="2"/>
      <c r="AD2881" s="3"/>
      <c r="AH2881" s="3"/>
      <c r="AL2881" s="3"/>
    </row>
    <row r="2882" spans="12:38" x14ac:dyDescent="0.25">
      <c r="L2882" s="2"/>
      <c r="M2882" s="2"/>
      <c r="N2882" s="2"/>
      <c r="AD2882" s="3"/>
      <c r="AH2882" s="3"/>
      <c r="AL2882" s="3"/>
    </row>
    <row r="2883" spans="12:38" x14ac:dyDescent="0.25">
      <c r="L2883" s="2"/>
      <c r="M2883" s="2"/>
      <c r="N2883" s="2"/>
      <c r="AD2883" s="3"/>
      <c r="AH2883" s="3"/>
      <c r="AL2883" s="3"/>
    </row>
    <row r="2884" spans="12:38" x14ac:dyDescent="0.25">
      <c r="L2884" s="2"/>
      <c r="M2884" s="2"/>
      <c r="N2884" s="2"/>
      <c r="AD2884" s="3"/>
      <c r="AH2884" s="3"/>
      <c r="AL2884" s="3"/>
    </row>
    <row r="2885" spans="12:38" x14ac:dyDescent="0.25">
      <c r="L2885" s="2"/>
      <c r="M2885" s="2"/>
      <c r="N2885" s="2"/>
      <c r="AD2885" s="3"/>
      <c r="AH2885" s="3"/>
      <c r="AL2885" s="3"/>
    </row>
    <row r="2886" spans="12:38" x14ac:dyDescent="0.25">
      <c r="L2886" s="2"/>
      <c r="M2886" s="2"/>
      <c r="N2886" s="2"/>
      <c r="AD2886" s="3"/>
      <c r="AH2886" s="3"/>
      <c r="AL2886" s="3"/>
    </row>
    <row r="2887" spans="12:38" x14ac:dyDescent="0.25">
      <c r="L2887" s="2"/>
      <c r="M2887" s="2"/>
      <c r="N2887" s="2"/>
      <c r="AD2887" s="3"/>
      <c r="AH2887" s="3"/>
      <c r="AL2887" s="3"/>
    </row>
    <row r="2888" spans="12:38" x14ac:dyDescent="0.25">
      <c r="L2888" s="2"/>
      <c r="M2888" s="2"/>
      <c r="N2888" s="2"/>
      <c r="AD2888" s="3"/>
      <c r="AH2888" s="3"/>
      <c r="AL2888" s="3"/>
    </row>
    <row r="2889" spans="12:38" x14ac:dyDescent="0.25">
      <c r="L2889" s="2"/>
      <c r="M2889" s="2"/>
      <c r="N2889" s="2"/>
      <c r="AD2889" s="3"/>
      <c r="AH2889" s="3"/>
      <c r="AL2889" s="3"/>
    </row>
    <row r="2890" spans="12:38" x14ac:dyDescent="0.25">
      <c r="L2890" s="2"/>
      <c r="M2890" s="2"/>
      <c r="N2890" s="2"/>
      <c r="AD2890" s="3"/>
      <c r="AH2890" s="3"/>
      <c r="AL2890" s="3"/>
    </row>
    <row r="2891" spans="12:38" x14ac:dyDescent="0.25">
      <c r="L2891" s="2"/>
      <c r="M2891" s="2"/>
      <c r="N2891" s="2"/>
      <c r="AD2891" s="3"/>
      <c r="AH2891" s="3"/>
      <c r="AL2891" s="3"/>
    </row>
    <row r="2892" spans="12:38" x14ac:dyDescent="0.25">
      <c r="L2892" s="2"/>
      <c r="M2892" s="2"/>
      <c r="N2892" s="2"/>
      <c r="AD2892" s="3"/>
      <c r="AH2892" s="3"/>
      <c r="AL2892" s="3"/>
    </row>
    <row r="2893" spans="12:38" x14ac:dyDescent="0.25">
      <c r="L2893" s="2"/>
      <c r="M2893" s="2"/>
      <c r="N2893" s="2"/>
      <c r="AD2893" s="3"/>
      <c r="AH2893" s="3"/>
      <c r="AL2893" s="3"/>
    </row>
    <row r="2894" spans="12:38" x14ac:dyDescent="0.25">
      <c r="L2894" s="2"/>
      <c r="M2894" s="2"/>
      <c r="N2894" s="2"/>
      <c r="AD2894" s="3"/>
      <c r="AH2894" s="3"/>
      <c r="AL2894" s="3"/>
    </row>
    <row r="2895" spans="12:38" x14ac:dyDescent="0.25">
      <c r="L2895" s="2"/>
      <c r="M2895" s="2"/>
      <c r="N2895" s="2"/>
      <c r="AD2895" s="3"/>
      <c r="AH2895" s="3"/>
      <c r="AL2895" s="3"/>
    </row>
    <row r="2896" spans="12:38" x14ac:dyDescent="0.25">
      <c r="L2896" s="2"/>
      <c r="M2896" s="2"/>
      <c r="N2896" s="2"/>
      <c r="AD2896" s="3"/>
      <c r="AH2896" s="3"/>
      <c r="AL2896" s="3"/>
    </row>
    <row r="2897" spans="12:38" x14ac:dyDescent="0.25">
      <c r="L2897" s="2"/>
      <c r="M2897" s="2"/>
      <c r="N2897" s="2"/>
      <c r="AD2897" s="3"/>
      <c r="AH2897" s="3"/>
      <c r="AL2897" s="3"/>
    </row>
    <row r="2898" spans="12:38" x14ac:dyDescent="0.25">
      <c r="L2898" s="2"/>
      <c r="M2898" s="2"/>
      <c r="N2898" s="2"/>
      <c r="AD2898" s="3"/>
      <c r="AH2898" s="3"/>
      <c r="AL2898" s="3"/>
    </row>
    <row r="2899" spans="12:38" x14ac:dyDescent="0.25">
      <c r="L2899" s="2"/>
      <c r="M2899" s="2"/>
      <c r="N2899" s="2"/>
      <c r="AD2899" s="3"/>
      <c r="AH2899" s="3"/>
      <c r="AL2899" s="3"/>
    </row>
    <row r="2900" spans="12:38" x14ac:dyDescent="0.25">
      <c r="L2900" s="2"/>
      <c r="M2900" s="2"/>
      <c r="N2900" s="2"/>
      <c r="AD2900" s="3"/>
      <c r="AH2900" s="3"/>
      <c r="AL2900" s="3"/>
    </row>
    <row r="2901" spans="12:38" x14ac:dyDescent="0.25">
      <c r="L2901" s="2"/>
      <c r="M2901" s="2"/>
      <c r="N2901" s="2"/>
      <c r="AD2901" s="3"/>
      <c r="AH2901" s="3"/>
      <c r="AL2901" s="3"/>
    </row>
    <row r="2902" spans="12:38" x14ac:dyDescent="0.25">
      <c r="L2902" s="2"/>
      <c r="M2902" s="2"/>
      <c r="N2902" s="2"/>
      <c r="AD2902" s="3"/>
      <c r="AH2902" s="3"/>
      <c r="AL2902" s="3"/>
    </row>
    <row r="2903" spans="12:38" x14ac:dyDescent="0.25">
      <c r="L2903" s="2"/>
      <c r="M2903" s="2"/>
      <c r="N2903" s="2"/>
      <c r="AD2903" s="3"/>
      <c r="AH2903" s="3"/>
      <c r="AL2903" s="3"/>
    </row>
    <row r="2904" spans="12:38" x14ac:dyDescent="0.25">
      <c r="L2904" s="2"/>
      <c r="M2904" s="2"/>
      <c r="N2904" s="2"/>
      <c r="AD2904" s="3"/>
      <c r="AH2904" s="3"/>
      <c r="AL2904" s="3"/>
    </row>
    <row r="2905" spans="12:38" x14ac:dyDescent="0.25">
      <c r="L2905" s="2"/>
      <c r="M2905" s="2"/>
      <c r="N2905" s="2"/>
      <c r="AD2905" s="3"/>
      <c r="AH2905" s="3"/>
      <c r="AL2905" s="3"/>
    </row>
    <row r="2906" spans="12:38" x14ac:dyDescent="0.25">
      <c r="L2906" s="2"/>
      <c r="M2906" s="2"/>
      <c r="N2906" s="2"/>
      <c r="AD2906" s="3"/>
      <c r="AH2906" s="3"/>
      <c r="AL2906" s="3"/>
    </row>
    <row r="2907" spans="12:38" x14ac:dyDescent="0.25">
      <c r="L2907" s="2"/>
      <c r="M2907" s="2"/>
      <c r="N2907" s="2"/>
      <c r="AD2907" s="3"/>
      <c r="AH2907" s="3"/>
      <c r="AL2907" s="3"/>
    </row>
    <row r="2908" spans="12:38" x14ac:dyDescent="0.25">
      <c r="L2908" s="2"/>
      <c r="M2908" s="2"/>
      <c r="N2908" s="2"/>
      <c r="AD2908" s="3"/>
      <c r="AH2908" s="3"/>
      <c r="AL2908" s="3"/>
    </row>
    <row r="2909" spans="12:38" x14ac:dyDescent="0.25">
      <c r="L2909" s="2"/>
      <c r="M2909" s="2"/>
      <c r="N2909" s="2"/>
      <c r="AD2909" s="3"/>
      <c r="AH2909" s="3"/>
      <c r="AL2909" s="3"/>
    </row>
    <row r="2910" spans="12:38" x14ac:dyDescent="0.25">
      <c r="L2910" s="2"/>
      <c r="M2910" s="2"/>
      <c r="N2910" s="2"/>
      <c r="AD2910" s="3"/>
      <c r="AH2910" s="3"/>
      <c r="AL2910" s="3"/>
    </row>
    <row r="2911" spans="12:38" x14ac:dyDescent="0.25">
      <c r="L2911" s="2"/>
      <c r="M2911" s="2"/>
      <c r="N2911" s="2"/>
      <c r="AD2911" s="3"/>
      <c r="AH2911" s="3"/>
      <c r="AL2911" s="3"/>
    </row>
    <row r="2912" spans="12:38" x14ac:dyDescent="0.25">
      <c r="L2912" s="2"/>
      <c r="M2912" s="2"/>
      <c r="N2912" s="2"/>
      <c r="AD2912" s="3"/>
      <c r="AH2912" s="3"/>
      <c r="AL2912" s="3"/>
    </row>
    <row r="2913" spans="12:38" x14ac:dyDescent="0.25">
      <c r="L2913" s="2"/>
      <c r="M2913" s="2"/>
      <c r="N2913" s="2"/>
      <c r="AD2913" s="3"/>
      <c r="AH2913" s="3"/>
      <c r="AL2913" s="3"/>
    </row>
    <row r="2914" spans="12:38" x14ac:dyDescent="0.25">
      <c r="L2914" s="2"/>
      <c r="M2914" s="2"/>
      <c r="N2914" s="2"/>
      <c r="AD2914" s="3"/>
      <c r="AH2914" s="3"/>
      <c r="AL2914" s="3"/>
    </row>
    <row r="2915" spans="12:38" x14ac:dyDescent="0.25">
      <c r="L2915" s="2"/>
      <c r="M2915" s="2"/>
      <c r="N2915" s="2"/>
      <c r="AD2915" s="3"/>
      <c r="AH2915" s="3"/>
      <c r="AL2915" s="3"/>
    </row>
    <row r="2916" spans="12:38" x14ac:dyDescent="0.25">
      <c r="L2916" s="2"/>
      <c r="M2916" s="2"/>
      <c r="N2916" s="2"/>
      <c r="AD2916" s="3"/>
      <c r="AH2916" s="3"/>
      <c r="AL2916" s="3"/>
    </row>
    <row r="2917" spans="12:38" x14ac:dyDescent="0.25">
      <c r="L2917" s="2"/>
      <c r="M2917" s="2"/>
      <c r="N2917" s="2"/>
      <c r="AD2917" s="3"/>
      <c r="AH2917" s="3"/>
      <c r="AL2917" s="3"/>
    </row>
    <row r="2918" spans="12:38" x14ac:dyDescent="0.25">
      <c r="L2918" s="2"/>
      <c r="M2918" s="2"/>
      <c r="N2918" s="2"/>
      <c r="AD2918" s="3"/>
      <c r="AH2918" s="3"/>
      <c r="AL2918" s="3"/>
    </row>
    <row r="2919" spans="12:38" x14ac:dyDescent="0.25">
      <c r="L2919" s="2"/>
      <c r="M2919" s="2"/>
      <c r="N2919" s="2"/>
      <c r="AD2919" s="3"/>
      <c r="AH2919" s="3"/>
      <c r="AL2919" s="3"/>
    </row>
    <row r="2920" spans="12:38" x14ac:dyDescent="0.25">
      <c r="L2920" s="2"/>
      <c r="M2920" s="2"/>
      <c r="N2920" s="2"/>
      <c r="AD2920" s="3"/>
      <c r="AH2920" s="3"/>
      <c r="AL2920" s="3"/>
    </row>
    <row r="2921" spans="12:38" x14ac:dyDescent="0.25">
      <c r="L2921" s="2"/>
      <c r="M2921" s="2"/>
      <c r="N2921" s="2"/>
      <c r="AD2921" s="3"/>
      <c r="AH2921" s="3"/>
      <c r="AL2921" s="3"/>
    </row>
    <row r="2922" spans="12:38" x14ac:dyDescent="0.25">
      <c r="L2922" s="2"/>
      <c r="M2922" s="2"/>
      <c r="N2922" s="2"/>
      <c r="AD2922" s="3"/>
      <c r="AH2922" s="3"/>
      <c r="AL2922" s="3"/>
    </row>
    <row r="2923" spans="12:38" x14ac:dyDescent="0.25">
      <c r="L2923" s="2"/>
      <c r="M2923" s="2"/>
      <c r="N2923" s="2"/>
      <c r="AD2923" s="3"/>
      <c r="AH2923" s="3"/>
      <c r="AL2923" s="3"/>
    </row>
    <row r="2924" spans="12:38" x14ac:dyDescent="0.25">
      <c r="L2924" s="2"/>
      <c r="M2924" s="2"/>
      <c r="N2924" s="2"/>
      <c r="AD2924" s="3"/>
      <c r="AH2924" s="3"/>
      <c r="AL2924" s="3"/>
    </row>
    <row r="2925" spans="12:38" x14ac:dyDescent="0.25">
      <c r="L2925" s="2"/>
      <c r="M2925" s="2"/>
      <c r="N2925" s="2"/>
      <c r="AD2925" s="3"/>
      <c r="AH2925" s="3"/>
      <c r="AL2925" s="3"/>
    </row>
    <row r="2926" spans="12:38" x14ac:dyDescent="0.25">
      <c r="L2926" s="2"/>
      <c r="M2926" s="2"/>
      <c r="N2926" s="2"/>
      <c r="AD2926" s="3"/>
      <c r="AH2926" s="3"/>
      <c r="AL2926" s="3"/>
    </row>
    <row r="2927" spans="12:38" x14ac:dyDescent="0.25">
      <c r="L2927" s="2"/>
      <c r="M2927" s="2"/>
      <c r="N2927" s="2"/>
      <c r="AD2927" s="3"/>
      <c r="AH2927" s="3"/>
      <c r="AL2927" s="3"/>
    </row>
    <row r="2928" spans="12:38" x14ac:dyDescent="0.25">
      <c r="L2928" s="2"/>
      <c r="M2928" s="2"/>
      <c r="N2928" s="2"/>
      <c r="AD2928" s="3"/>
      <c r="AH2928" s="3"/>
      <c r="AL2928" s="3"/>
    </row>
    <row r="2929" spans="12:38" x14ac:dyDescent="0.25">
      <c r="L2929" s="2"/>
      <c r="M2929" s="2"/>
      <c r="N2929" s="2"/>
      <c r="AD2929" s="3"/>
      <c r="AH2929" s="3"/>
      <c r="AL2929" s="3"/>
    </row>
    <row r="2930" spans="12:38" x14ac:dyDescent="0.25">
      <c r="L2930" s="2"/>
      <c r="M2930" s="2"/>
      <c r="N2930" s="2"/>
      <c r="AD2930" s="3"/>
      <c r="AH2930" s="3"/>
      <c r="AL2930" s="3"/>
    </row>
    <row r="2931" spans="12:38" x14ac:dyDescent="0.25">
      <c r="L2931" s="2"/>
      <c r="M2931" s="2"/>
      <c r="N2931" s="2"/>
      <c r="AD2931" s="3"/>
      <c r="AH2931" s="3"/>
      <c r="AL2931" s="3"/>
    </row>
    <row r="2932" spans="12:38" x14ac:dyDescent="0.25">
      <c r="L2932" s="2"/>
      <c r="M2932" s="2"/>
      <c r="N2932" s="2"/>
      <c r="AD2932" s="3"/>
      <c r="AH2932" s="3"/>
      <c r="AL2932" s="3"/>
    </row>
    <row r="2933" spans="12:38" x14ac:dyDescent="0.25">
      <c r="L2933" s="2"/>
      <c r="M2933" s="2"/>
      <c r="N2933" s="2"/>
      <c r="AD2933" s="3"/>
      <c r="AH2933" s="3"/>
      <c r="AL2933" s="3"/>
    </row>
    <row r="2934" spans="12:38" x14ac:dyDescent="0.25">
      <c r="L2934" s="2"/>
      <c r="M2934" s="2"/>
      <c r="N2934" s="2"/>
      <c r="AD2934" s="3"/>
      <c r="AH2934" s="3"/>
      <c r="AL2934" s="3"/>
    </row>
    <row r="2935" spans="12:38" x14ac:dyDescent="0.25">
      <c r="L2935" s="2"/>
      <c r="M2935" s="2"/>
      <c r="N2935" s="2"/>
      <c r="AD2935" s="3"/>
      <c r="AH2935" s="3"/>
      <c r="AL2935" s="3"/>
    </row>
    <row r="2936" spans="12:38" x14ac:dyDescent="0.25">
      <c r="L2936" s="2"/>
      <c r="M2936" s="2"/>
      <c r="N2936" s="2"/>
      <c r="AD2936" s="3"/>
      <c r="AH2936" s="3"/>
      <c r="AL2936" s="3"/>
    </row>
    <row r="2937" spans="12:38" x14ac:dyDescent="0.25">
      <c r="L2937" s="2"/>
      <c r="M2937" s="2"/>
      <c r="N2937" s="2"/>
      <c r="AD2937" s="3"/>
      <c r="AH2937" s="3"/>
      <c r="AL2937" s="3"/>
    </row>
    <row r="2938" spans="12:38" x14ac:dyDescent="0.25">
      <c r="L2938" s="2"/>
      <c r="M2938" s="2"/>
      <c r="N2938" s="2"/>
      <c r="AD2938" s="3"/>
      <c r="AH2938" s="3"/>
      <c r="AL2938" s="3"/>
    </row>
    <row r="2939" spans="12:38" x14ac:dyDescent="0.25">
      <c r="L2939" s="2"/>
      <c r="M2939" s="2"/>
      <c r="N2939" s="2"/>
      <c r="AD2939" s="3"/>
      <c r="AH2939" s="3"/>
      <c r="AL2939" s="3"/>
    </row>
    <row r="2940" spans="12:38" x14ac:dyDescent="0.25">
      <c r="L2940" s="2"/>
      <c r="M2940" s="2"/>
      <c r="N2940" s="2"/>
      <c r="AD2940" s="3"/>
      <c r="AH2940" s="3"/>
      <c r="AL2940" s="3"/>
    </row>
    <row r="2941" spans="12:38" x14ac:dyDescent="0.25">
      <c r="L2941" s="2"/>
      <c r="M2941" s="2"/>
      <c r="N2941" s="2"/>
      <c r="AD2941" s="3"/>
      <c r="AH2941" s="3"/>
      <c r="AL2941" s="3"/>
    </row>
    <row r="2942" spans="12:38" x14ac:dyDescent="0.25">
      <c r="L2942" s="2"/>
      <c r="M2942" s="2"/>
      <c r="N2942" s="2"/>
      <c r="AD2942" s="3"/>
      <c r="AH2942" s="3"/>
      <c r="AL2942" s="3"/>
    </row>
    <row r="2943" spans="12:38" x14ac:dyDescent="0.25">
      <c r="L2943" s="2"/>
      <c r="M2943" s="2"/>
      <c r="N2943" s="2"/>
      <c r="AD2943" s="3"/>
      <c r="AH2943" s="3"/>
      <c r="AL2943" s="3"/>
    </row>
    <row r="2944" spans="12:38" x14ac:dyDescent="0.25">
      <c r="L2944" s="2"/>
      <c r="M2944" s="2"/>
      <c r="N2944" s="2"/>
      <c r="AD2944" s="3"/>
      <c r="AH2944" s="3"/>
      <c r="AL2944" s="3"/>
    </row>
    <row r="2945" spans="12:38" x14ac:dyDescent="0.25">
      <c r="L2945" s="2"/>
      <c r="M2945" s="2"/>
      <c r="N2945" s="2"/>
      <c r="AD2945" s="3"/>
      <c r="AH2945" s="3"/>
      <c r="AL2945" s="3"/>
    </row>
    <row r="2946" spans="12:38" x14ac:dyDescent="0.25">
      <c r="L2946" s="2"/>
      <c r="M2946" s="2"/>
      <c r="N2946" s="2"/>
      <c r="AD2946" s="3"/>
      <c r="AH2946" s="3"/>
      <c r="AL2946" s="3"/>
    </row>
    <row r="2947" spans="12:38" x14ac:dyDescent="0.25">
      <c r="L2947" s="2"/>
      <c r="M2947" s="2"/>
      <c r="N2947" s="2"/>
      <c r="AD2947" s="3"/>
      <c r="AH2947" s="3"/>
      <c r="AL2947" s="3"/>
    </row>
    <row r="2948" spans="12:38" x14ac:dyDescent="0.25">
      <c r="L2948" s="2"/>
      <c r="M2948" s="2"/>
      <c r="N2948" s="2"/>
      <c r="AD2948" s="3"/>
      <c r="AH2948" s="3"/>
      <c r="AL2948" s="3"/>
    </row>
    <row r="2949" spans="12:38" x14ac:dyDescent="0.25">
      <c r="L2949" s="2"/>
      <c r="M2949" s="2"/>
      <c r="N2949" s="2"/>
      <c r="AD2949" s="3"/>
      <c r="AH2949" s="3"/>
      <c r="AL2949" s="3"/>
    </row>
    <row r="2950" spans="12:38" x14ac:dyDescent="0.25">
      <c r="L2950" s="2"/>
      <c r="M2950" s="2"/>
      <c r="N2950" s="2"/>
      <c r="AD2950" s="3"/>
      <c r="AH2950" s="3"/>
      <c r="AL2950" s="3"/>
    </row>
    <row r="2951" spans="12:38" x14ac:dyDescent="0.25">
      <c r="L2951" s="2"/>
      <c r="M2951" s="2"/>
      <c r="N2951" s="2"/>
      <c r="AD2951" s="3"/>
      <c r="AH2951" s="3"/>
      <c r="AL2951" s="3"/>
    </row>
    <row r="2952" spans="12:38" x14ac:dyDescent="0.25">
      <c r="L2952" s="2"/>
      <c r="M2952" s="2"/>
      <c r="N2952" s="2"/>
      <c r="AD2952" s="3"/>
      <c r="AH2952" s="3"/>
      <c r="AL2952" s="3"/>
    </row>
    <row r="2953" spans="12:38" x14ac:dyDescent="0.25">
      <c r="L2953" s="2"/>
      <c r="M2953" s="2"/>
      <c r="N2953" s="2"/>
      <c r="AD2953" s="3"/>
      <c r="AH2953" s="3"/>
      <c r="AL2953" s="3"/>
    </row>
    <row r="2954" spans="12:38" x14ac:dyDescent="0.25">
      <c r="L2954" s="2"/>
      <c r="M2954" s="2"/>
      <c r="N2954" s="2"/>
      <c r="AD2954" s="3"/>
      <c r="AH2954" s="3"/>
      <c r="AL2954" s="3"/>
    </row>
    <row r="2955" spans="12:38" x14ac:dyDescent="0.25">
      <c r="L2955" s="2"/>
      <c r="M2955" s="2"/>
      <c r="N2955" s="2"/>
      <c r="AD2955" s="3"/>
      <c r="AH2955" s="3"/>
      <c r="AL2955" s="3"/>
    </row>
    <row r="2956" spans="12:38" x14ac:dyDescent="0.25">
      <c r="L2956" s="2"/>
      <c r="M2956" s="2"/>
      <c r="N2956" s="2"/>
      <c r="AD2956" s="3"/>
      <c r="AH2956" s="3"/>
      <c r="AL2956" s="3"/>
    </row>
    <row r="2957" spans="12:38" x14ac:dyDescent="0.25">
      <c r="L2957" s="2"/>
      <c r="M2957" s="2"/>
      <c r="N2957" s="2"/>
      <c r="AD2957" s="3"/>
      <c r="AH2957" s="3"/>
      <c r="AL2957" s="3"/>
    </row>
    <row r="2958" spans="12:38" x14ac:dyDescent="0.25">
      <c r="L2958" s="2"/>
      <c r="M2958" s="2"/>
      <c r="N2958" s="2"/>
      <c r="AD2958" s="3"/>
      <c r="AH2958" s="3"/>
      <c r="AL2958" s="3"/>
    </row>
    <row r="2959" spans="12:38" x14ac:dyDescent="0.25">
      <c r="L2959" s="2"/>
      <c r="M2959" s="2"/>
      <c r="N2959" s="2"/>
      <c r="AD2959" s="3"/>
      <c r="AH2959" s="3"/>
      <c r="AL2959" s="3"/>
    </row>
    <row r="2960" spans="12:38" x14ac:dyDescent="0.25">
      <c r="L2960" s="2"/>
      <c r="M2960" s="2"/>
      <c r="N2960" s="2"/>
      <c r="AD2960" s="3"/>
      <c r="AH2960" s="3"/>
      <c r="AL2960" s="3"/>
    </row>
    <row r="2961" spans="12:38" x14ac:dyDescent="0.25">
      <c r="L2961" s="2"/>
      <c r="M2961" s="2"/>
      <c r="N2961" s="2"/>
      <c r="AD2961" s="3"/>
      <c r="AH2961" s="3"/>
      <c r="AL2961" s="3"/>
    </row>
    <row r="2962" spans="12:38" x14ac:dyDescent="0.25">
      <c r="L2962" s="2"/>
      <c r="M2962" s="2"/>
      <c r="N2962" s="2"/>
      <c r="AD2962" s="3"/>
      <c r="AH2962" s="3"/>
      <c r="AL2962" s="3"/>
    </row>
    <row r="2963" spans="12:38" x14ac:dyDescent="0.25">
      <c r="L2963" s="2"/>
      <c r="M2963" s="2"/>
      <c r="N2963" s="2"/>
      <c r="AD2963" s="3"/>
      <c r="AH2963" s="3"/>
      <c r="AL2963" s="3"/>
    </row>
    <row r="2964" spans="12:38" x14ac:dyDescent="0.25">
      <c r="L2964" s="2"/>
      <c r="M2964" s="2"/>
      <c r="N2964" s="2"/>
      <c r="AD2964" s="3"/>
      <c r="AH2964" s="3"/>
      <c r="AL2964" s="3"/>
    </row>
    <row r="2965" spans="12:38" x14ac:dyDescent="0.25">
      <c r="L2965" s="2"/>
      <c r="M2965" s="2"/>
      <c r="N2965" s="2"/>
      <c r="AD2965" s="3"/>
      <c r="AH2965" s="3"/>
      <c r="AL2965" s="3"/>
    </row>
    <row r="2966" spans="12:38" x14ac:dyDescent="0.25">
      <c r="L2966" s="2"/>
      <c r="M2966" s="2"/>
      <c r="N2966" s="2"/>
      <c r="AD2966" s="3"/>
      <c r="AH2966" s="3"/>
      <c r="AL2966" s="3"/>
    </row>
    <row r="2967" spans="12:38" x14ac:dyDescent="0.25">
      <c r="L2967" s="2"/>
      <c r="M2967" s="2"/>
      <c r="N2967" s="2"/>
      <c r="AD2967" s="3"/>
      <c r="AH2967" s="3"/>
      <c r="AL2967" s="3"/>
    </row>
    <row r="2968" spans="12:38" x14ac:dyDescent="0.25">
      <c r="L2968" s="2"/>
      <c r="M2968" s="2"/>
      <c r="N2968" s="2"/>
      <c r="AD2968" s="3"/>
      <c r="AH2968" s="3"/>
      <c r="AL2968" s="3"/>
    </row>
    <row r="2969" spans="12:38" x14ac:dyDescent="0.25">
      <c r="L2969" s="2"/>
      <c r="M2969" s="2"/>
      <c r="N2969" s="2"/>
      <c r="AD2969" s="3"/>
      <c r="AH2969" s="3"/>
      <c r="AL2969" s="3"/>
    </row>
    <row r="2970" spans="12:38" x14ac:dyDescent="0.25">
      <c r="L2970" s="2"/>
      <c r="M2970" s="2"/>
      <c r="N2970" s="2"/>
      <c r="AD2970" s="3"/>
      <c r="AH2970" s="3"/>
      <c r="AL2970" s="3"/>
    </row>
    <row r="2971" spans="12:38" x14ac:dyDescent="0.25">
      <c r="L2971" s="2"/>
      <c r="M2971" s="2"/>
      <c r="N2971" s="2"/>
      <c r="AD2971" s="3"/>
      <c r="AH2971" s="3"/>
      <c r="AL2971" s="3"/>
    </row>
    <row r="2972" spans="12:38" x14ac:dyDescent="0.25">
      <c r="L2972" s="2"/>
      <c r="M2972" s="2"/>
      <c r="N2972" s="2"/>
      <c r="AD2972" s="3"/>
      <c r="AH2972" s="3"/>
      <c r="AL2972" s="3"/>
    </row>
    <row r="2973" spans="12:38" x14ac:dyDescent="0.25">
      <c r="L2973" s="2"/>
      <c r="M2973" s="2"/>
      <c r="N2973" s="2"/>
      <c r="AD2973" s="3"/>
      <c r="AH2973" s="3"/>
      <c r="AL2973" s="3"/>
    </row>
    <row r="2974" spans="12:38" x14ac:dyDescent="0.25">
      <c r="L2974" s="2"/>
      <c r="M2974" s="2"/>
      <c r="N2974" s="2"/>
      <c r="AD2974" s="3"/>
      <c r="AH2974" s="3"/>
      <c r="AL2974" s="3"/>
    </row>
    <row r="2975" spans="12:38" x14ac:dyDescent="0.25">
      <c r="L2975" s="2"/>
      <c r="M2975" s="2"/>
      <c r="N2975" s="2"/>
      <c r="AD2975" s="3"/>
      <c r="AH2975" s="3"/>
      <c r="AL2975" s="3"/>
    </row>
    <row r="2976" spans="12:38" x14ac:dyDescent="0.25">
      <c r="L2976" s="2"/>
      <c r="M2976" s="2"/>
      <c r="N2976" s="2"/>
      <c r="AD2976" s="3"/>
      <c r="AH2976" s="3"/>
      <c r="AL2976" s="3"/>
    </row>
    <row r="2977" spans="12:38" x14ac:dyDescent="0.25">
      <c r="L2977" s="2"/>
      <c r="M2977" s="2"/>
      <c r="N2977" s="2"/>
      <c r="AD2977" s="3"/>
      <c r="AH2977" s="3"/>
      <c r="AL2977" s="3"/>
    </row>
    <row r="2978" spans="12:38" x14ac:dyDescent="0.25">
      <c r="L2978" s="2"/>
      <c r="M2978" s="2"/>
      <c r="N2978" s="2"/>
      <c r="AD2978" s="3"/>
      <c r="AH2978" s="3"/>
      <c r="AL2978" s="3"/>
    </row>
    <row r="2979" spans="12:38" x14ac:dyDescent="0.25">
      <c r="L2979" s="2"/>
      <c r="M2979" s="2"/>
      <c r="N2979" s="2"/>
      <c r="AD2979" s="3"/>
      <c r="AH2979" s="3"/>
      <c r="AL2979" s="3"/>
    </row>
    <row r="2980" spans="12:38" x14ac:dyDescent="0.25">
      <c r="L2980" s="2"/>
      <c r="M2980" s="2"/>
      <c r="N2980" s="2"/>
      <c r="AD2980" s="3"/>
      <c r="AH2980" s="3"/>
      <c r="AL2980" s="3"/>
    </row>
    <row r="2981" spans="12:38" x14ac:dyDescent="0.25">
      <c r="L2981" s="2"/>
      <c r="M2981" s="2"/>
      <c r="N2981" s="2"/>
      <c r="AD2981" s="3"/>
      <c r="AH2981" s="3"/>
      <c r="AL2981" s="3"/>
    </row>
    <row r="2982" spans="12:38" x14ac:dyDescent="0.25">
      <c r="L2982" s="2"/>
      <c r="M2982" s="2"/>
      <c r="N2982" s="2"/>
      <c r="AD2982" s="3"/>
      <c r="AH2982" s="3"/>
      <c r="AL2982" s="3"/>
    </row>
    <row r="2983" spans="12:38" x14ac:dyDescent="0.25">
      <c r="L2983" s="2"/>
      <c r="M2983" s="2"/>
      <c r="N2983" s="2"/>
      <c r="AD2983" s="3"/>
      <c r="AH2983" s="3"/>
      <c r="AL2983" s="3"/>
    </row>
    <row r="2984" spans="12:38" x14ac:dyDescent="0.25">
      <c r="L2984" s="2"/>
      <c r="M2984" s="2"/>
      <c r="N2984" s="2"/>
      <c r="AD2984" s="3"/>
      <c r="AH2984" s="3"/>
      <c r="AL2984" s="3"/>
    </row>
    <row r="2985" spans="12:38" x14ac:dyDescent="0.25">
      <c r="L2985" s="2"/>
      <c r="M2985" s="2"/>
      <c r="N2985" s="2"/>
      <c r="AD2985" s="3"/>
      <c r="AH2985" s="3"/>
      <c r="AL2985" s="3"/>
    </row>
    <row r="2986" spans="12:38" x14ac:dyDescent="0.25">
      <c r="L2986" s="2"/>
      <c r="M2986" s="2"/>
      <c r="N2986" s="2"/>
      <c r="AD2986" s="3"/>
      <c r="AH2986" s="3"/>
      <c r="AL2986" s="3"/>
    </row>
    <row r="2987" spans="12:38" x14ac:dyDescent="0.25">
      <c r="L2987" s="2"/>
      <c r="M2987" s="2"/>
      <c r="N2987" s="2"/>
      <c r="AD2987" s="3"/>
      <c r="AH2987" s="3"/>
      <c r="AL2987" s="3"/>
    </row>
    <row r="2988" spans="12:38" x14ac:dyDescent="0.25">
      <c r="L2988" s="2"/>
      <c r="M2988" s="2"/>
      <c r="N2988" s="2"/>
      <c r="AD2988" s="3"/>
      <c r="AH2988" s="3"/>
      <c r="AL2988" s="3"/>
    </row>
    <row r="2989" spans="12:38" x14ac:dyDescent="0.25">
      <c r="L2989" s="2"/>
      <c r="M2989" s="2"/>
      <c r="N2989" s="2"/>
      <c r="AD2989" s="3"/>
      <c r="AH2989" s="3"/>
      <c r="AL2989" s="3"/>
    </row>
    <row r="2990" spans="12:38" x14ac:dyDescent="0.25">
      <c r="L2990" s="2"/>
      <c r="M2990" s="2"/>
      <c r="N2990" s="2"/>
      <c r="AD2990" s="3"/>
      <c r="AH2990" s="3"/>
      <c r="AL2990" s="3"/>
    </row>
    <row r="2991" spans="12:38" x14ac:dyDescent="0.25">
      <c r="L2991" s="2"/>
      <c r="M2991" s="2"/>
      <c r="N2991" s="2"/>
      <c r="AD2991" s="3"/>
      <c r="AH2991" s="3"/>
      <c r="AL2991" s="3"/>
    </row>
    <row r="2992" spans="12:38" x14ac:dyDescent="0.25">
      <c r="L2992" s="2"/>
      <c r="M2992" s="2"/>
      <c r="N2992" s="2"/>
      <c r="AD2992" s="3"/>
      <c r="AH2992" s="3"/>
      <c r="AL2992" s="3"/>
    </row>
    <row r="2993" spans="12:38" x14ac:dyDescent="0.25">
      <c r="L2993" s="2"/>
      <c r="M2993" s="2"/>
      <c r="N2993" s="2"/>
      <c r="AD2993" s="3"/>
      <c r="AH2993" s="3"/>
      <c r="AL2993" s="3"/>
    </row>
    <row r="2994" spans="12:38" x14ac:dyDescent="0.25">
      <c r="L2994" s="2"/>
      <c r="M2994" s="2"/>
      <c r="N2994" s="2"/>
      <c r="AD2994" s="3"/>
      <c r="AH2994" s="3"/>
      <c r="AL2994" s="3"/>
    </row>
    <row r="2995" spans="12:38" x14ac:dyDescent="0.25">
      <c r="L2995" s="2"/>
      <c r="M2995" s="2"/>
      <c r="N2995" s="2"/>
      <c r="AD2995" s="3"/>
      <c r="AH2995" s="3"/>
      <c r="AL2995" s="3"/>
    </row>
    <row r="2996" spans="12:38" x14ac:dyDescent="0.25">
      <c r="L2996" s="2"/>
      <c r="M2996" s="2"/>
      <c r="N2996" s="2"/>
      <c r="AD2996" s="3"/>
      <c r="AH2996" s="3"/>
      <c r="AL2996" s="3"/>
    </row>
    <row r="2997" spans="12:38" x14ac:dyDescent="0.25">
      <c r="L2997" s="2"/>
      <c r="M2997" s="2"/>
      <c r="N2997" s="2"/>
      <c r="AD2997" s="3"/>
      <c r="AH2997" s="3"/>
      <c r="AL2997" s="3"/>
    </row>
    <row r="2998" spans="12:38" x14ac:dyDescent="0.25">
      <c r="L2998" s="2"/>
      <c r="M2998" s="2"/>
      <c r="N2998" s="2"/>
      <c r="AD2998" s="3"/>
      <c r="AH2998" s="3"/>
      <c r="AL2998" s="3"/>
    </row>
    <row r="2999" spans="12:38" x14ac:dyDescent="0.25">
      <c r="L2999" s="2"/>
      <c r="M2999" s="2"/>
      <c r="N2999" s="2"/>
      <c r="AD2999" s="3"/>
      <c r="AH2999" s="3"/>
      <c r="AL2999" s="3"/>
    </row>
    <row r="3000" spans="12:38" x14ac:dyDescent="0.25">
      <c r="L3000" s="2"/>
      <c r="M3000" s="2"/>
      <c r="N3000" s="2"/>
      <c r="AD3000" s="3"/>
      <c r="AH3000" s="3"/>
      <c r="AL3000" s="3"/>
    </row>
    <row r="3001" spans="12:38" x14ac:dyDescent="0.25">
      <c r="L3001" s="2"/>
      <c r="M3001" s="2"/>
      <c r="N3001" s="2"/>
      <c r="AD3001" s="3"/>
      <c r="AH3001" s="3"/>
      <c r="AL3001" s="3"/>
    </row>
    <row r="3002" spans="12:38" x14ac:dyDescent="0.25">
      <c r="L3002" s="2"/>
      <c r="M3002" s="2"/>
      <c r="N3002" s="2"/>
      <c r="AD3002" s="3"/>
      <c r="AH3002" s="3"/>
      <c r="AL3002" s="3"/>
    </row>
    <row r="3003" spans="12:38" x14ac:dyDescent="0.25">
      <c r="L3003" s="2"/>
      <c r="M3003" s="2"/>
      <c r="N3003" s="2"/>
      <c r="AD3003" s="3"/>
      <c r="AH3003" s="3"/>
      <c r="AL3003" s="3"/>
    </row>
    <row r="3004" spans="12:38" x14ac:dyDescent="0.25">
      <c r="L3004" s="2"/>
      <c r="M3004" s="2"/>
      <c r="N3004" s="2"/>
      <c r="AD3004" s="3"/>
      <c r="AH3004" s="3"/>
      <c r="AL3004" s="3"/>
    </row>
    <row r="3005" spans="12:38" x14ac:dyDescent="0.25">
      <c r="L3005" s="2"/>
      <c r="M3005" s="2"/>
      <c r="N3005" s="2"/>
      <c r="AD3005" s="3"/>
      <c r="AH3005" s="3"/>
      <c r="AL3005" s="3"/>
    </row>
    <row r="3006" spans="12:38" x14ac:dyDescent="0.25">
      <c r="L3006" s="2"/>
      <c r="M3006" s="2"/>
      <c r="N3006" s="2"/>
      <c r="AD3006" s="3"/>
      <c r="AH3006" s="3"/>
      <c r="AL3006" s="3"/>
    </row>
    <row r="3007" spans="12:38" x14ac:dyDescent="0.25">
      <c r="L3007" s="2"/>
      <c r="M3007" s="2"/>
      <c r="N3007" s="2"/>
      <c r="AD3007" s="3"/>
      <c r="AH3007" s="3"/>
      <c r="AL3007" s="3"/>
    </row>
    <row r="3008" spans="12:38" x14ac:dyDescent="0.25">
      <c r="L3008" s="2"/>
      <c r="M3008" s="2"/>
      <c r="N3008" s="2"/>
      <c r="AD3008" s="3"/>
      <c r="AH3008" s="3"/>
      <c r="AL3008" s="3"/>
    </row>
    <row r="3009" spans="12:38" x14ac:dyDescent="0.25">
      <c r="L3009" s="2"/>
      <c r="M3009" s="2"/>
      <c r="N3009" s="2"/>
      <c r="AD3009" s="3"/>
      <c r="AH3009" s="3"/>
      <c r="AL3009" s="3"/>
    </row>
    <row r="3010" spans="12:38" x14ac:dyDescent="0.25">
      <c r="L3010" s="2"/>
      <c r="M3010" s="2"/>
      <c r="N3010" s="2"/>
      <c r="AD3010" s="3"/>
      <c r="AH3010" s="3"/>
      <c r="AL3010" s="3"/>
    </row>
    <row r="3011" spans="12:38" x14ac:dyDescent="0.25">
      <c r="L3011" s="2"/>
      <c r="M3011" s="2"/>
      <c r="N3011" s="2"/>
      <c r="AD3011" s="3"/>
      <c r="AH3011" s="3"/>
      <c r="AL3011" s="3"/>
    </row>
    <row r="3012" spans="12:38" x14ac:dyDescent="0.25">
      <c r="L3012" s="2"/>
      <c r="M3012" s="2"/>
      <c r="N3012" s="2"/>
      <c r="AD3012" s="3"/>
      <c r="AH3012" s="3"/>
      <c r="AL3012" s="3"/>
    </row>
    <row r="3013" spans="12:38" x14ac:dyDescent="0.25">
      <c r="L3013" s="2"/>
      <c r="M3013" s="2"/>
      <c r="N3013" s="2"/>
      <c r="AD3013" s="3"/>
      <c r="AH3013" s="3"/>
      <c r="AL3013" s="3"/>
    </row>
    <row r="3014" spans="12:38" x14ac:dyDescent="0.25">
      <c r="L3014" s="2"/>
      <c r="M3014" s="2"/>
      <c r="N3014" s="2"/>
      <c r="AD3014" s="3"/>
      <c r="AH3014" s="3"/>
      <c r="AL3014" s="3"/>
    </row>
    <row r="3015" spans="12:38" x14ac:dyDescent="0.25">
      <c r="L3015" s="2"/>
      <c r="M3015" s="2"/>
      <c r="N3015" s="2"/>
      <c r="AD3015" s="3"/>
      <c r="AH3015" s="3"/>
      <c r="AL3015" s="3"/>
    </row>
    <row r="3016" spans="12:38" x14ac:dyDescent="0.25">
      <c r="L3016" s="2"/>
      <c r="M3016" s="2"/>
      <c r="N3016" s="2"/>
      <c r="AD3016" s="3"/>
      <c r="AH3016" s="3"/>
      <c r="AL3016" s="3"/>
    </row>
    <row r="3017" spans="12:38" x14ac:dyDescent="0.25">
      <c r="L3017" s="2"/>
      <c r="M3017" s="2"/>
      <c r="N3017" s="2"/>
      <c r="AD3017" s="3"/>
      <c r="AH3017" s="3"/>
      <c r="AL3017" s="3"/>
    </row>
    <row r="3018" spans="12:38" x14ac:dyDescent="0.25">
      <c r="L3018" s="2"/>
      <c r="M3018" s="2"/>
      <c r="N3018" s="2"/>
      <c r="AD3018" s="3"/>
      <c r="AH3018" s="3"/>
      <c r="AL3018" s="3"/>
    </row>
    <row r="3019" spans="12:38" x14ac:dyDescent="0.25">
      <c r="L3019" s="2"/>
      <c r="M3019" s="2"/>
      <c r="N3019" s="2"/>
      <c r="AD3019" s="3"/>
      <c r="AH3019" s="3"/>
      <c r="AL3019" s="3"/>
    </row>
    <row r="3020" spans="12:38" x14ac:dyDescent="0.25">
      <c r="L3020" s="2"/>
      <c r="M3020" s="2"/>
      <c r="N3020" s="2"/>
      <c r="AD3020" s="3"/>
      <c r="AH3020" s="3"/>
      <c r="AL3020" s="3"/>
    </row>
    <row r="3021" spans="12:38" x14ac:dyDescent="0.25">
      <c r="L3021" s="2"/>
      <c r="M3021" s="2"/>
      <c r="N3021" s="2"/>
      <c r="AD3021" s="3"/>
      <c r="AH3021" s="3"/>
      <c r="AL3021" s="3"/>
    </row>
    <row r="3022" spans="12:38" x14ac:dyDescent="0.25">
      <c r="L3022" s="2"/>
      <c r="M3022" s="2"/>
      <c r="N3022" s="2"/>
      <c r="AD3022" s="3"/>
      <c r="AH3022" s="3"/>
      <c r="AL3022" s="3"/>
    </row>
    <row r="3023" spans="12:38" x14ac:dyDescent="0.25">
      <c r="L3023" s="2"/>
      <c r="M3023" s="2"/>
      <c r="N3023" s="2"/>
      <c r="AD3023" s="3"/>
      <c r="AH3023" s="3"/>
      <c r="AL3023" s="3"/>
    </row>
    <row r="3024" spans="12:38" x14ac:dyDescent="0.25">
      <c r="L3024" s="2"/>
      <c r="M3024" s="2"/>
      <c r="N3024" s="2"/>
      <c r="AD3024" s="3"/>
      <c r="AH3024" s="3"/>
      <c r="AL3024" s="3"/>
    </row>
    <row r="3025" spans="12:38" x14ac:dyDescent="0.25">
      <c r="L3025" s="2"/>
      <c r="M3025" s="2"/>
      <c r="N3025" s="2"/>
      <c r="AD3025" s="3"/>
      <c r="AH3025" s="3"/>
      <c r="AL3025" s="3"/>
    </row>
    <row r="3026" spans="12:38" x14ac:dyDescent="0.25">
      <c r="L3026" s="2"/>
      <c r="M3026" s="2"/>
      <c r="N3026" s="2"/>
      <c r="AD3026" s="3"/>
      <c r="AH3026" s="3"/>
      <c r="AL3026" s="3"/>
    </row>
    <row r="3027" spans="12:38" x14ac:dyDescent="0.25">
      <c r="L3027" s="2"/>
      <c r="M3027" s="2"/>
      <c r="N3027" s="2"/>
      <c r="AD3027" s="3"/>
      <c r="AH3027" s="3"/>
      <c r="AL3027" s="3"/>
    </row>
    <row r="3028" spans="12:38" x14ac:dyDescent="0.25">
      <c r="L3028" s="2"/>
      <c r="M3028" s="2"/>
      <c r="N3028" s="2"/>
      <c r="AD3028" s="3"/>
      <c r="AH3028" s="3"/>
      <c r="AL3028" s="3"/>
    </row>
    <row r="3029" spans="12:38" x14ac:dyDescent="0.25">
      <c r="L3029" s="2"/>
      <c r="M3029" s="2"/>
      <c r="N3029" s="2"/>
      <c r="AD3029" s="3"/>
      <c r="AH3029" s="3"/>
      <c r="AL3029" s="3"/>
    </row>
    <row r="3030" spans="12:38" x14ac:dyDescent="0.25">
      <c r="L3030" s="2"/>
      <c r="M3030" s="2"/>
      <c r="N3030" s="2"/>
      <c r="AD3030" s="3"/>
      <c r="AH3030" s="3"/>
      <c r="AL3030" s="3"/>
    </row>
    <row r="3031" spans="12:38" x14ac:dyDescent="0.25">
      <c r="L3031" s="2"/>
      <c r="M3031" s="2"/>
      <c r="N3031" s="2"/>
      <c r="AD3031" s="3"/>
      <c r="AH3031" s="3"/>
      <c r="AL3031" s="3"/>
    </row>
    <row r="3032" spans="12:38" x14ac:dyDescent="0.25">
      <c r="L3032" s="2"/>
      <c r="M3032" s="2"/>
      <c r="N3032" s="2"/>
      <c r="AD3032" s="3"/>
      <c r="AH3032" s="3"/>
      <c r="AL3032" s="3"/>
    </row>
    <row r="3033" spans="12:38" x14ac:dyDescent="0.25">
      <c r="L3033" s="2"/>
      <c r="M3033" s="2"/>
      <c r="N3033" s="2"/>
      <c r="AD3033" s="3"/>
      <c r="AH3033" s="3"/>
      <c r="AL3033" s="3"/>
    </row>
    <row r="3034" spans="12:38" x14ac:dyDescent="0.25">
      <c r="L3034" s="2"/>
      <c r="M3034" s="2"/>
      <c r="N3034" s="2"/>
      <c r="AD3034" s="3"/>
      <c r="AH3034" s="3"/>
      <c r="AL3034" s="3"/>
    </row>
    <row r="3035" spans="12:38" x14ac:dyDescent="0.25">
      <c r="L3035" s="2"/>
      <c r="M3035" s="2"/>
      <c r="N3035" s="2"/>
      <c r="AD3035" s="3"/>
      <c r="AH3035" s="3"/>
      <c r="AL3035" s="3"/>
    </row>
    <row r="3036" spans="12:38" x14ac:dyDescent="0.25">
      <c r="L3036" s="2"/>
      <c r="M3036" s="2"/>
      <c r="N3036" s="2"/>
      <c r="AD3036" s="3"/>
      <c r="AH3036" s="3"/>
      <c r="AL3036" s="3"/>
    </row>
    <row r="3037" spans="12:38" x14ac:dyDescent="0.25">
      <c r="L3037" s="2"/>
      <c r="M3037" s="2"/>
      <c r="N3037" s="2"/>
      <c r="AD3037" s="3"/>
      <c r="AH3037" s="3"/>
      <c r="AL3037" s="3"/>
    </row>
    <row r="3038" spans="12:38" x14ac:dyDescent="0.25">
      <c r="L3038" s="2"/>
      <c r="M3038" s="2"/>
      <c r="N3038" s="2"/>
      <c r="AD3038" s="3"/>
      <c r="AH3038" s="3"/>
      <c r="AL3038" s="3"/>
    </row>
    <row r="3039" spans="12:38" x14ac:dyDescent="0.25">
      <c r="L3039" s="2"/>
      <c r="M3039" s="2"/>
      <c r="N3039" s="2"/>
      <c r="AD3039" s="3"/>
      <c r="AH3039" s="3"/>
      <c r="AL3039" s="3"/>
    </row>
    <row r="3040" spans="12:38" x14ac:dyDescent="0.25">
      <c r="L3040" s="2"/>
      <c r="M3040" s="2"/>
      <c r="N3040" s="2"/>
      <c r="AD3040" s="3"/>
      <c r="AH3040" s="3"/>
      <c r="AL3040" s="3"/>
    </row>
    <row r="3041" spans="12:38" x14ac:dyDescent="0.25">
      <c r="L3041" s="2"/>
      <c r="M3041" s="2"/>
      <c r="N3041" s="2"/>
      <c r="AD3041" s="3"/>
      <c r="AH3041" s="3"/>
      <c r="AL3041" s="3"/>
    </row>
    <row r="3042" spans="12:38" x14ac:dyDescent="0.25">
      <c r="L3042" s="2"/>
      <c r="M3042" s="2"/>
      <c r="N3042" s="2"/>
      <c r="AD3042" s="3"/>
      <c r="AH3042" s="3"/>
      <c r="AL3042" s="3"/>
    </row>
    <row r="3043" spans="12:38" x14ac:dyDescent="0.25">
      <c r="L3043" s="2"/>
      <c r="M3043" s="2"/>
      <c r="N3043" s="2"/>
      <c r="AD3043" s="3"/>
      <c r="AH3043" s="3"/>
      <c r="AL3043" s="3"/>
    </row>
    <row r="3044" spans="12:38" x14ac:dyDescent="0.25">
      <c r="L3044" s="2"/>
      <c r="M3044" s="2"/>
      <c r="N3044" s="2"/>
      <c r="AD3044" s="3"/>
      <c r="AH3044" s="3"/>
      <c r="AL3044" s="3"/>
    </row>
    <row r="3045" spans="12:38" x14ac:dyDescent="0.25">
      <c r="L3045" s="2"/>
      <c r="M3045" s="2"/>
      <c r="N3045" s="2"/>
      <c r="AD3045" s="3"/>
      <c r="AH3045" s="3"/>
      <c r="AL3045" s="3"/>
    </row>
    <row r="3046" spans="12:38" x14ac:dyDescent="0.25">
      <c r="L3046" s="2"/>
      <c r="M3046" s="2"/>
      <c r="N3046" s="2"/>
      <c r="AD3046" s="3"/>
      <c r="AH3046" s="3"/>
      <c r="AL3046" s="3"/>
    </row>
    <row r="3047" spans="12:38" x14ac:dyDescent="0.25">
      <c r="L3047" s="2"/>
      <c r="M3047" s="2"/>
      <c r="N3047" s="2"/>
      <c r="AD3047" s="3"/>
      <c r="AH3047" s="3"/>
      <c r="AL3047" s="3"/>
    </row>
    <row r="3048" spans="12:38" x14ac:dyDescent="0.25">
      <c r="L3048" s="2"/>
      <c r="M3048" s="2"/>
      <c r="N3048" s="2"/>
      <c r="AD3048" s="3"/>
      <c r="AH3048" s="3"/>
      <c r="AL3048" s="3"/>
    </row>
    <row r="3049" spans="12:38" x14ac:dyDescent="0.25">
      <c r="L3049" s="2"/>
      <c r="M3049" s="2"/>
      <c r="N3049" s="2"/>
      <c r="AD3049" s="3"/>
      <c r="AH3049" s="3"/>
      <c r="AL3049" s="3"/>
    </row>
    <row r="3050" spans="12:38" x14ac:dyDescent="0.25">
      <c r="L3050" s="2"/>
      <c r="M3050" s="2"/>
      <c r="N3050" s="2"/>
      <c r="AD3050" s="3"/>
      <c r="AH3050" s="3"/>
      <c r="AL3050" s="3"/>
    </row>
    <row r="3051" spans="12:38" x14ac:dyDescent="0.25">
      <c r="L3051" s="2"/>
      <c r="M3051" s="2"/>
      <c r="N3051" s="2"/>
      <c r="AD3051" s="3"/>
      <c r="AH3051" s="3"/>
      <c r="AL3051" s="3"/>
    </row>
    <row r="3052" spans="12:38" x14ac:dyDescent="0.25">
      <c r="L3052" s="2"/>
      <c r="M3052" s="2"/>
      <c r="N3052" s="2"/>
      <c r="AD3052" s="3"/>
      <c r="AH3052" s="3"/>
      <c r="AL3052" s="3"/>
    </row>
    <row r="3053" spans="12:38" x14ac:dyDescent="0.25">
      <c r="L3053" s="2"/>
      <c r="M3053" s="2"/>
      <c r="N3053" s="2"/>
      <c r="AD3053" s="3"/>
      <c r="AH3053" s="3"/>
      <c r="AL3053" s="3"/>
    </row>
    <row r="3054" spans="12:38" x14ac:dyDescent="0.25">
      <c r="L3054" s="2"/>
      <c r="M3054" s="2"/>
      <c r="N3054" s="2"/>
      <c r="AD3054" s="3"/>
      <c r="AH3054" s="3"/>
      <c r="AL3054" s="3"/>
    </row>
    <row r="3055" spans="12:38" x14ac:dyDescent="0.25">
      <c r="L3055" s="2"/>
      <c r="M3055" s="2"/>
      <c r="N3055" s="2"/>
      <c r="AD3055" s="3"/>
      <c r="AH3055" s="3"/>
      <c r="AL3055" s="3"/>
    </row>
    <row r="3056" spans="12:38" x14ac:dyDescent="0.25">
      <c r="L3056" s="2"/>
      <c r="M3056" s="2"/>
      <c r="N3056" s="2"/>
      <c r="AD3056" s="3"/>
      <c r="AH3056" s="3"/>
      <c r="AL3056" s="3"/>
    </row>
    <row r="3057" spans="12:38" x14ac:dyDescent="0.25">
      <c r="L3057" s="2"/>
      <c r="M3057" s="2"/>
      <c r="N3057" s="2"/>
      <c r="AD3057" s="3"/>
      <c r="AH3057" s="3"/>
      <c r="AL3057" s="3"/>
    </row>
    <row r="3058" spans="12:38" x14ac:dyDescent="0.25">
      <c r="L3058" s="2"/>
      <c r="M3058" s="2"/>
      <c r="N3058" s="2"/>
      <c r="AD3058" s="3"/>
      <c r="AH3058" s="3"/>
      <c r="AL3058" s="3"/>
    </row>
    <row r="3059" spans="12:38" x14ac:dyDescent="0.25">
      <c r="L3059" s="2"/>
      <c r="M3059" s="2"/>
      <c r="N3059" s="2"/>
      <c r="AD3059" s="3"/>
      <c r="AH3059" s="3"/>
      <c r="AL3059" s="3"/>
    </row>
    <row r="3060" spans="12:38" x14ac:dyDescent="0.25">
      <c r="L3060" s="2"/>
      <c r="M3060" s="2"/>
      <c r="N3060" s="2"/>
      <c r="AD3060" s="3"/>
      <c r="AH3060" s="3"/>
      <c r="AL3060" s="3"/>
    </row>
    <row r="3061" spans="12:38" x14ac:dyDescent="0.25">
      <c r="L3061" s="2"/>
      <c r="M3061" s="2"/>
      <c r="N3061" s="2"/>
      <c r="AD3061" s="3"/>
      <c r="AH3061" s="3"/>
      <c r="AL3061" s="3"/>
    </row>
    <row r="3062" spans="12:38" x14ac:dyDescent="0.25">
      <c r="L3062" s="2"/>
      <c r="M3062" s="2"/>
      <c r="N3062" s="2"/>
      <c r="AD3062" s="3"/>
      <c r="AH3062" s="3"/>
      <c r="AL3062" s="3"/>
    </row>
    <row r="3063" spans="12:38" x14ac:dyDescent="0.25">
      <c r="L3063" s="2"/>
      <c r="M3063" s="2"/>
      <c r="N3063" s="2"/>
      <c r="AD3063" s="3"/>
      <c r="AH3063" s="3"/>
      <c r="AL3063" s="3"/>
    </row>
    <row r="3064" spans="12:38" x14ac:dyDescent="0.25">
      <c r="L3064" s="2"/>
      <c r="M3064" s="2"/>
      <c r="N3064" s="2"/>
      <c r="AD3064" s="3"/>
      <c r="AH3064" s="3"/>
      <c r="AL3064" s="3"/>
    </row>
    <row r="3065" spans="12:38" x14ac:dyDescent="0.25">
      <c r="L3065" s="2"/>
      <c r="M3065" s="2"/>
      <c r="N3065" s="2"/>
      <c r="AD3065" s="3"/>
      <c r="AH3065" s="3"/>
      <c r="AL3065" s="3"/>
    </row>
    <row r="3066" spans="12:38" x14ac:dyDescent="0.25">
      <c r="L3066" s="2"/>
      <c r="M3066" s="2"/>
      <c r="N3066" s="2"/>
      <c r="AD3066" s="3"/>
      <c r="AH3066" s="3"/>
      <c r="AL3066" s="3"/>
    </row>
    <row r="3067" spans="12:38" x14ac:dyDescent="0.25">
      <c r="L3067" s="2"/>
      <c r="M3067" s="2"/>
      <c r="N3067" s="2"/>
      <c r="AD3067" s="3"/>
      <c r="AH3067" s="3"/>
      <c r="AL3067" s="3"/>
    </row>
    <row r="3068" spans="12:38" x14ac:dyDescent="0.25">
      <c r="L3068" s="2"/>
      <c r="M3068" s="2"/>
      <c r="N3068" s="2"/>
      <c r="AD3068" s="3"/>
      <c r="AH3068" s="3"/>
      <c r="AL3068" s="3"/>
    </row>
    <row r="3069" spans="12:38" x14ac:dyDescent="0.25">
      <c r="L3069" s="2"/>
      <c r="M3069" s="2"/>
      <c r="N3069" s="2"/>
      <c r="AD3069" s="3"/>
      <c r="AH3069" s="3"/>
      <c r="AL3069" s="3"/>
    </row>
    <row r="3070" spans="12:38" x14ac:dyDescent="0.25">
      <c r="L3070" s="2"/>
      <c r="M3070" s="2"/>
      <c r="N3070" s="2"/>
      <c r="AD3070" s="3"/>
      <c r="AH3070" s="3"/>
      <c r="AL3070" s="3"/>
    </row>
    <row r="3071" spans="12:38" x14ac:dyDescent="0.25">
      <c r="L3071" s="2"/>
      <c r="M3071" s="2"/>
      <c r="N3071" s="2"/>
      <c r="AD3071" s="3"/>
      <c r="AH3071" s="3"/>
      <c r="AL3071" s="3"/>
    </row>
    <row r="3072" spans="12:38" x14ac:dyDescent="0.25">
      <c r="L3072" s="2"/>
      <c r="M3072" s="2"/>
      <c r="N3072" s="2"/>
      <c r="AD3072" s="3"/>
      <c r="AH3072" s="3"/>
      <c r="AL3072" s="3"/>
    </row>
    <row r="3073" spans="12:38" x14ac:dyDescent="0.25">
      <c r="L3073" s="2"/>
      <c r="M3073" s="2"/>
      <c r="N3073" s="2"/>
      <c r="AD3073" s="3"/>
      <c r="AH3073" s="3"/>
      <c r="AL3073" s="3"/>
    </row>
    <row r="3074" spans="12:38" x14ac:dyDescent="0.25">
      <c r="L3074" s="2"/>
      <c r="M3074" s="2"/>
      <c r="N3074" s="2"/>
      <c r="AD3074" s="3"/>
      <c r="AH3074" s="3"/>
      <c r="AL3074" s="3"/>
    </row>
    <row r="3075" spans="12:38" x14ac:dyDescent="0.25">
      <c r="L3075" s="2"/>
      <c r="M3075" s="2"/>
      <c r="N3075" s="2"/>
      <c r="AD3075" s="3"/>
      <c r="AH3075" s="3"/>
      <c r="AL3075" s="3"/>
    </row>
    <row r="3076" spans="12:38" x14ac:dyDescent="0.25">
      <c r="L3076" s="2"/>
      <c r="M3076" s="2"/>
      <c r="N3076" s="2"/>
      <c r="AD3076" s="3"/>
      <c r="AH3076" s="3"/>
      <c r="AL3076" s="3"/>
    </row>
    <row r="3077" spans="12:38" x14ac:dyDescent="0.25">
      <c r="L3077" s="2"/>
      <c r="M3077" s="2"/>
      <c r="N3077" s="2"/>
      <c r="AD3077" s="3"/>
      <c r="AH3077" s="3"/>
      <c r="AL3077" s="3"/>
    </row>
    <row r="3078" spans="12:38" x14ac:dyDescent="0.25">
      <c r="L3078" s="2"/>
      <c r="M3078" s="2"/>
      <c r="N3078" s="2"/>
      <c r="AD3078" s="3"/>
      <c r="AH3078" s="3"/>
      <c r="AL3078" s="3"/>
    </row>
    <row r="3079" spans="12:38" x14ac:dyDescent="0.25">
      <c r="L3079" s="2"/>
      <c r="M3079" s="2"/>
      <c r="N3079" s="2"/>
      <c r="AD3079" s="3"/>
      <c r="AH3079" s="3"/>
      <c r="AL3079" s="3"/>
    </row>
    <row r="3080" spans="12:38" x14ac:dyDescent="0.25">
      <c r="L3080" s="2"/>
      <c r="M3080" s="2"/>
      <c r="N3080" s="2"/>
      <c r="AD3080" s="3"/>
      <c r="AH3080" s="3"/>
      <c r="AL3080" s="3"/>
    </row>
    <row r="3081" spans="12:38" x14ac:dyDescent="0.25">
      <c r="L3081" s="2"/>
      <c r="M3081" s="2"/>
      <c r="N3081" s="2"/>
      <c r="AD3081" s="3"/>
      <c r="AH3081" s="3"/>
      <c r="AL3081" s="3"/>
    </row>
    <row r="3082" spans="12:38" x14ac:dyDescent="0.25">
      <c r="L3082" s="2"/>
      <c r="M3082" s="2"/>
      <c r="N3082" s="2"/>
      <c r="AD3082" s="3"/>
      <c r="AH3082" s="3"/>
      <c r="AL3082" s="3"/>
    </row>
    <row r="3083" spans="12:38" x14ac:dyDescent="0.25">
      <c r="L3083" s="2"/>
      <c r="M3083" s="2"/>
      <c r="N3083" s="2"/>
      <c r="AD3083" s="3"/>
      <c r="AH3083" s="3"/>
      <c r="AL3083" s="3"/>
    </row>
    <row r="3084" spans="12:38" x14ac:dyDescent="0.25">
      <c r="L3084" s="2"/>
      <c r="M3084" s="2"/>
      <c r="N3084" s="2"/>
      <c r="AD3084" s="3"/>
      <c r="AH3084" s="3"/>
      <c r="AL3084" s="3"/>
    </row>
    <row r="3085" spans="12:38" x14ac:dyDescent="0.25">
      <c r="L3085" s="2"/>
      <c r="M3085" s="2"/>
      <c r="N3085" s="2"/>
      <c r="AD3085" s="3"/>
      <c r="AH3085" s="3"/>
      <c r="AL3085" s="3"/>
    </row>
    <row r="3086" spans="12:38" x14ac:dyDescent="0.25">
      <c r="L3086" s="2"/>
      <c r="M3086" s="2"/>
      <c r="N3086" s="2"/>
      <c r="AD3086" s="3"/>
      <c r="AH3086" s="3"/>
      <c r="AL3086" s="3"/>
    </row>
    <row r="3087" spans="12:38" x14ac:dyDescent="0.25">
      <c r="L3087" s="2"/>
      <c r="M3087" s="2"/>
      <c r="N3087" s="2"/>
      <c r="AD3087" s="3"/>
      <c r="AH3087" s="3"/>
      <c r="AL3087" s="3"/>
    </row>
    <row r="3088" spans="12:38" x14ac:dyDescent="0.25">
      <c r="L3088" s="2"/>
      <c r="M3088" s="2"/>
      <c r="N3088" s="2"/>
      <c r="AD3088" s="3"/>
      <c r="AH3088" s="3"/>
      <c r="AL3088" s="3"/>
    </row>
    <row r="3089" spans="12:38" x14ac:dyDescent="0.25">
      <c r="L3089" s="2"/>
      <c r="M3089" s="2"/>
      <c r="N3089" s="2"/>
      <c r="AD3089" s="3"/>
      <c r="AH3089" s="3"/>
      <c r="AL3089" s="3"/>
    </row>
    <row r="3090" spans="12:38" x14ac:dyDescent="0.25">
      <c r="L3090" s="2"/>
      <c r="M3090" s="2"/>
      <c r="N3090" s="2"/>
      <c r="AD3090" s="3"/>
      <c r="AH3090" s="3"/>
      <c r="AL3090" s="3"/>
    </row>
    <row r="3091" spans="12:38" x14ac:dyDescent="0.25">
      <c r="L3091" s="2"/>
      <c r="M3091" s="2"/>
      <c r="N3091" s="2"/>
      <c r="AD3091" s="3"/>
      <c r="AH3091" s="3"/>
      <c r="AL3091" s="3"/>
    </row>
    <row r="3092" spans="12:38" x14ac:dyDescent="0.25">
      <c r="L3092" s="2"/>
      <c r="M3092" s="2"/>
      <c r="N3092" s="2"/>
      <c r="AD3092" s="3"/>
      <c r="AH3092" s="3"/>
      <c r="AL3092" s="3"/>
    </row>
    <row r="3093" spans="12:38" x14ac:dyDescent="0.25">
      <c r="L3093" s="2"/>
      <c r="M3093" s="2"/>
      <c r="N3093" s="2"/>
      <c r="AD3093" s="3"/>
      <c r="AH3093" s="3"/>
      <c r="AL3093" s="3"/>
    </row>
    <row r="3094" spans="12:38" x14ac:dyDescent="0.25">
      <c r="L3094" s="2"/>
      <c r="M3094" s="2"/>
      <c r="N3094" s="2"/>
      <c r="AD3094" s="3"/>
      <c r="AH3094" s="3"/>
      <c r="AL3094" s="3"/>
    </row>
    <row r="3095" spans="12:38" x14ac:dyDescent="0.25">
      <c r="L3095" s="2"/>
      <c r="M3095" s="2"/>
      <c r="N3095" s="2"/>
      <c r="AD3095" s="3"/>
      <c r="AH3095" s="3"/>
      <c r="AL3095" s="3"/>
    </row>
    <row r="3096" spans="12:38" x14ac:dyDescent="0.25">
      <c r="L3096" s="2"/>
      <c r="M3096" s="2"/>
      <c r="N3096" s="2"/>
      <c r="AD3096" s="3"/>
      <c r="AH3096" s="3"/>
      <c r="AL3096" s="3"/>
    </row>
    <row r="3097" spans="12:38" x14ac:dyDescent="0.25">
      <c r="L3097" s="2"/>
      <c r="M3097" s="2"/>
      <c r="N3097" s="2"/>
      <c r="AD3097" s="3"/>
      <c r="AH3097" s="3"/>
      <c r="AL3097" s="3"/>
    </row>
    <row r="3098" spans="12:38" x14ac:dyDescent="0.25">
      <c r="L3098" s="2"/>
      <c r="M3098" s="2"/>
      <c r="N3098" s="2"/>
      <c r="AD3098" s="3"/>
      <c r="AH3098" s="3"/>
      <c r="AL3098" s="3"/>
    </row>
    <row r="3099" spans="12:38" x14ac:dyDescent="0.25">
      <c r="L3099" s="2"/>
      <c r="M3099" s="2"/>
      <c r="N3099" s="2"/>
      <c r="AD3099" s="3"/>
      <c r="AH3099" s="3"/>
      <c r="AL3099" s="3"/>
    </row>
    <row r="3100" spans="12:38" x14ac:dyDescent="0.25">
      <c r="L3100" s="2"/>
      <c r="M3100" s="2"/>
      <c r="N3100" s="2"/>
      <c r="AD3100" s="3"/>
      <c r="AH3100" s="3"/>
      <c r="AL3100" s="3"/>
    </row>
    <row r="3101" spans="12:38" x14ac:dyDescent="0.25">
      <c r="L3101" s="2"/>
      <c r="M3101" s="2"/>
      <c r="N3101" s="2"/>
      <c r="AD3101" s="3"/>
      <c r="AH3101" s="3"/>
      <c r="AL3101" s="3"/>
    </row>
    <row r="3102" spans="12:38" x14ac:dyDescent="0.25">
      <c r="L3102" s="2"/>
      <c r="M3102" s="2"/>
      <c r="N3102" s="2"/>
      <c r="AD3102" s="3"/>
      <c r="AH3102" s="3"/>
      <c r="AL3102" s="3"/>
    </row>
    <row r="3103" spans="12:38" x14ac:dyDescent="0.25">
      <c r="L3103" s="2"/>
      <c r="M3103" s="2"/>
      <c r="N3103" s="2"/>
      <c r="AD3103" s="3"/>
      <c r="AH3103" s="3"/>
      <c r="AL3103" s="3"/>
    </row>
    <row r="3104" spans="12:38" x14ac:dyDescent="0.25">
      <c r="L3104" s="2"/>
      <c r="M3104" s="2"/>
      <c r="N3104" s="2"/>
      <c r="AD3104" s="3"/>
      <c r="AH3104" s="3"/>
      <c r="AL3104" s="3"/>
    </row>
    <row r="3105" spans="12:38" x14ac:dyDescent="0.25">
      <c r="L3105" s="2"/>
      <c r="M3105" s="2"/>
      <c r="N3105" s="2"/>
      <c r="AD3105" s="3"/>
      <c r="AH3105" s="3"/>
      <c r="AL3105" s="3"/>
    </row>
    <row r="3106" spans="12:38" x14ac:dyDescent="0.25">
      <c r="L3106" s="2"/>
      <c r="M3106" s="2"/>
      <c r="N3106" s="2"/>
      <c r="AD3106" s="3"/>
      <c r="AH3106" s="3"/>
      <c r="AL3106" s="3"/>
    </row>
    <row r="3107" spans="12:38" x14ac:dyDescent="0.25">
      <c r="L3107" s="2"/>
      <c r="M3107" s="2"/>
      <c r="N3107" s="2"/>
      <c r="AD3107" s="3"/>
      <c r="AH3107" s="3"/>
      <c r="AL3107" s="3"/>
    </row>
    <row r="3108" spans="12:38" x14ac:dyDescent="0.25">
      <c r="L3108" s="2"/>
      <c r="M3108" s="2"/>
      <c r="N3108" s="2"/>
      <c r="AD3108" s="3"/>
      <c r="AH3108" s="3"/>
      <c r="AL3108" s="3"/>
    </row>
    <row r="3109" spans="12:38" x14ac:dyDescent="0.25">
      <c r="L3109" s="2"/>
      <c r="M3109" s="2"/>
      <c r="N3109" s="2"/>
      <c r="AD3109" s="3"/>
      <c r="AH3109" s="3"/>
      <c r="AL3109" s="3"/>
    </row>
    <row r="3110" spans="12:38" x14ac:dyDescent="0.25">
      <c r="L3110" s="2"/>
      <c r="M3110" s="2"/>
      <c r="N3110" s="2"/>
      <c r="AD3110" s="3"/>
      <c r="AH3110" s="3"/>
      <c r="AL3110" s="3"/>
    </row>
    <row r="3111" spans="12:38" x14ac:dyDescent="0.25">
      <c r="L3111" s="2"/>
      <c r="M3111" s="2"/>
      <c r="N3111" s="2"/>
      <c r="AD3111" s="3"/>
      <c r="AH3111" s="3"/>
      <c r="AL3111" s="3"/>
    </row>
    <row r="3112" spans="12:38" x14ac:dyDescent="0.25">
      <c r="L3112" s="2"/>
      <c r="M3112" s="2"/>
      <c r="N3112" s="2"/>
      <c r="AD3112" s="3"/>
      <c r="AH3112" s="3"/>
      <c r="AL3112" s="3"/>
    </row>
    <row r="3113" spans="12:38" x14ac:dyDescent="0.25">
      <c r="L3113" s="2"/>
      <c r="M3113" s="2"/>
      <c r="N3113" s="2"/>
      <c r="AD3113" s="3"/>
      <c r="AH3113" s="3"/>
      <c r="AL3113" s="3"/>
    </row>
    <row r="3114" spans="12:38" x14ac:dyDescent="0.25">
      <c r="L3114" s="2"/>
      <c r="M3114" s="2"/>
      <c r="N3114" s="2"/>
      <c r="AD3114" s="3"/>
      <c r="AH3114" s="3"/>
      <c r="AL3114" s="3"/>
    </row>
    <row r="3115" spans="12:38" x14ac:dyDescent="0.25">
      <c r="L3115" s="2"/>
      <c r="M3115" s="2"/>
      <c r="N3115" s="2"/>
      <c r="AD3115" s="3"/>
      <c r="AH3115" s="3"/>
      <c r="AL3115" s="3"/>
    </row>
    <row r="3116" spans="12:38" x14ac:dyDescent="0.25">
      <c r="L3116" s="2"/>
      <c r="M3116" s="2"/>
      <c r="N3116" s="2"/>
      <c r="AD3116" s="3"/>
      <c r="AH3116" s="3"/>
      <c r="AL3116" s="3"/>
    </row>
    <row r="3117" spans="12:38" x14ac:dyDescent="0.25">
      <c r="L3117" s="2"/>
      <c r="M3117" s="2"/>
      <c r="N3117" s="2"/>
      <c r="AD3117" s="3"/>
      <c r="AH3117" s="3"/>
      <c r="AL3117" s="3"/>
    </row>
    <row r="3118" spans="12:38" x14ac:dyDescent="0.25">
      <c r="L3118" s="2"/>
      <c r="M3118" s="2"/>
      <c r="N3118" s="2"/>
      <c r="AD3118" s="3"/>
      <c r="AH3118" s="3"/>
      <c r="AL3118" s="3"/>
    </row>
    <row r="3119" spans="12:38" x14ac:dyDescent="0.25">
      <c r="L3119" s="2"/>
      <c r="M3119" s="2"/>
      <c r="N3119" s="2"/>
      <c r="AD3119" s="3"/>
      <c r="AH3119" s="3"/>
      <c r="AL3119" s="3"/>
    </row>
    <row r="3120" spans="12:38" x14ac:dyDescent="0.25">
      <c r="L3120" s="2"/>
      <c r="M3120" s="2"/>
      <c r="N3120" s="2"/>
      <c r="AD3120" s="3"/>
      <c r="AH3120" s="3"/>
      <c r="AL3120" s="3"/>
    </row>
    <row r="3121" spans="12:38" x14ac:dyDescent="0.25">
      <c r="L3121" s="2"/>
      <c r="M3121" s="2"/>
      <c r="N3121" s="2"/>
      <c r="AD3121" s="3"/>
      <c r="AH3121" s="3"/>
      <c r="AL3121" s="3"/>
    </row>
    <row r="3122" spans="12:38" x14ac:dyDescent="0.25">
      <c r="L3122" s="2"/>
      <c r="M3122" s="2"/>
      <c r="N3122" s="2"/>
      <c r="AD3122" s="3"/>
      <c r="AH3122" s="3"/>
      <c r="AL3122" s="3"/>
    </row>
    <row r="3123" spans="12:38" x14ac:dyDescent="0.25">
      <c r="L3123" s="2"/>
      <c r="M3123" s="2"/>
      <c r="N3123" s="2"/>
      <c r="AD3123" s="3"/>
      <c r="AH3123" s="3"/>
      <c r="AL3123" s="3"/>
    </row>
    <row r="3124" spans="12:38" x14ac:dyDescent="0.25">
      <c r="L3124" s="2"/>
      <c r="M3124" s="2"/>
      <c r="N3124" s="2"/>
      <c r="AD3124" s="3"/>
      <c r="AH3124" s="3"/>
      <c r="AL3124" s="3"/>
    </row>
    <row r="3125" spans="12:38" x14ac:dyDescent="0.25">
      <c r="L3125" s="2"/>
      <c r="M3125" s="2"/>
      <c r="N3125" s="2"/>
      <c r="AD3125" s="3"/>
      <c r="AH3125" s="3"/>
      <c r="AL3125" s="3"/>
    </row>
    <row r="3126" spans="12:38" x14ac:dyDescent="0.25">
      <c r="L3126" s="2"/>
      <c r="M3126" s="2"/>
      <c r="N3126" s="2"/>
      <c r="AD3126" s="3"/>
      <c r="AH3126" s="3"/>
      <c r="AL3126" s="3"/>
    </row>
    <row r="3127" spans="12:38" x14ac:dyDescent="0.25">
      <c r="L3127" s="2"/>
      <c r="M3127" s="2"/>
      <c r="N3127" s="2"/>
      <c r="AD3127" s="3"/>
      <c r="AH3127" s="3"/>
      <c r="AL3127" s="3"/>
    </row>
    <row r="3128" spans="12:38" x14ac:dyDescent="0.25">
      <c r="L3128" s="2"/>
      <c r="M3128" s="2"/>
      <c r="N3128" s="2"/>
      <c r="AD3128" s="3"/>
      <c r="AH3128" s="3"/>
      <c r="AL3128" s="3"/>
    </row>
    <row r="3129" spans="12:38" x14ac:dyDescent="0.25">
      <c r="L3129" s="2"/>
      <c r="M3129" s="2"/>
      <c r="N3129" s="2"/>
      <c r="AD3129" s="3"/>
      <c r="AH3129" s="3"/>
      <c r="AL3129" s="3"/>
    </row>
    <row r="3130" spans="12:38" x14ac:dyDescent="0.25">
      <c r="L3130" s="2"/>
      <c r="M3130" s="2"/>
      <c r="N3130" s="2"/>
      <c r="AD3130" s="3"/>
      <c r="AH3130" s="3"/>
      <c r="AL3130" s="3"/>
    </row>
    <row r="3131" spans="12:38" x14ac:dyDescent="0.25">
      <c r="L3131" s="2"/>
      <c r="M3131" s="2"/>
      <c r="N3131" s="2"/>
      <c r="AD3131" s="3"/>
      <c r="AH3131" s="3"/>
      <c r="AL3131" s="3"/>
    </row>
    <row r="3132" spans="12:38" x14ac:dyDescent="0.25">
      <c r="L3132" s="2"/>
      <c r="M3132" s="2"/>
      <c r="N3132" s="2"/>
      <c r="AD3132" s="3"/>
      <c r="AH3132" s="3"/>
      <c r="AL3132" s="3"/>
    </row>
    <row r="3133" spans="12:38" x14ac:dyDescent="0.25">
      <c r="L3133" s="2"/>
      <c r="M3133" s="2"/>
      <c r="N3133" s="2"/>
      <c r="AD3133" s="3"/>
      <c r="AH3133" s="3"/>
      <c r="AL3133" s="3"/>
    </row>
    <row r="3134" spans="12:38" x14ac:dyDescent="0.25">
      <c r="L3134" s="2"/>
      <c r="M3134" s="2"/>
      <c r="N3134" s="2"/>
      <c r="AD3134" s="3"/>
      <c r="AH3134" s="3"/>
      <c r="AL3134" s="3"/>
    </row>
    <row r="3135" spans="12:38" x14ac:dyDescent="0.25">
      <c r="L3135" s="2"/>
      <c r="M3135" s="2"/>
      <c r="N3135" s="2"/>
      <c r="AD3135" s="3"/>
      <c r="AH3135" s="3"/>
      <c r="AL3135" s="3"/>
    </row>
    <row r="3136" spans="12:38" x14ac:dyDescent="0.25">
      <c r="L3136" s="2"/>
      <c r="M3136" s="2"/>
      <c r="N3136" s="2"/>
      <c r="AD3136" s="3"/>
      <c r="AH3136" s="3"/>
      <c r="AL3136" s="3"/>
    </row>
    <row r="3137" spans="12:38" x14ac:dyDescent="0.25">
      <c r="L3137" s="2"/>
      <c r="M3137" s="2"/>
      <c r="N3137" s="2"/>
      <c r="AD3137" s="3"/>
      <c r="AH3137" s="3"/>
      <c r="AL3137" s="3"/>
    </row>
    <row r="3138" spans="12:38" x14ac:dyDescent="0.25">
      <c r="L3138" s="2"/>
      <c r="M3138" s="2"/>
      <c r="N3138" s="2"/>
      <c r="AD3138" s="3"/>
      <c r="AH3138" s="3"/>
      <c r="AL3138" s="3"/>
    </row>
    <row r="3139" spans="12:38" x14ac:dyDescent="0.25">
      <c r="L3139" s="2"/>
      <c r="M3139" s="2"/>
      <c r="N3139" s="2"/>
      <c r="AD3139" s="3"/>
      <c r="AH3139" s="3"/>
      <c r="AL3139" s="3"/>
    </row>
    <row r="3140" spans="12:38" x14ac:dyDescent="0.25">
      <c r="L3140" s="2"/>
      <c r="M3140" s="2"/>
      <c r="N3140" s="2"/>
      <c r="AD3140" s="3"/>
      <c r="AH3140" s="3"/>
      <c r="AL3140" s="3"/>
    </row>
    <row r="3141" spans="12:38" x14ac:dyDescent="0.25">
      <c r="L3141" s="2"/>
      <c r="M3141" s="2"/>
      <c r="N3141" s="2"/>
      <c r="AD3141" s="3"/>
      <c r="AH3141" s="3"/>
      <c r="AL3141" s="3"/>
    </row>
    <row r="3142" spans="12:38" x14ac:dyDescent="0.25">
      <c r="L3142" s="2"/>
      <c r="M3142" s="2"/>
      <c r="N3142" s="2"/>
      <c r="AD3142" s="3"/>
      <c r="AH3142" s="3"/>
      <c r="AL3142" s="3"/>
    </row>
    <row r="3143" spans="12:38" x14ac:dyDescent="0.25">
      <c r="L3143" s="2"/>
      <c r="M3143" s="2"/>
      <c r="N3143" s="2"/>
      <c r="AD3143" s="3"/>
      <c r="AH3143" s="3"/>
      <c r="AL3143" s="3"/>
    </row>
    <row r="3144" spans="12:38" x14ac:dyDescent="0.25">
      <c r="L3144" s="2"/>
      <c r="M3144" s="2"/>
      <c r="N3144" s="2"/>
      <c r="AD3144" s="3"/>
      <c r="AH3144" s="3"/>
      <c r="AL3144" s="3"/>
    </row>
    <row r="3145" spans="12:38" x14ac:dyDescent="0.25">
      <c r="L3145" s="2"/>
      <c r="M3145" s="2"/>
      <c r="N3145" s="2"/>
      <c r="AD3145" s="3"/>
      <c r="AH3145" s="3"/>
      <c r="AL3145" s="3"/>
    </row>
    <row r="3146" spans="12:38" x14ac:dyDescent="0.25">
      <c r="L3146" s="2"/>
      <c r="M3146" s="2"/>
      <c r="N3146" s="2"/>
      <c r="AD3146" s="3"/>
      <c r="AH3146" s="3"/>
      <c r="AL3146" s="3"/>
    </row>
    <row r="3147" spans="12:38" x14ac:dyDescent="0.25">
      <c r="L3147" s="2"/>
      <c r="M3147" s="2"/>
      <c r="N3147" s="2"/>
      <c r="AD3147" s="3"/>
      <c r="AH3147" s="3"/>
      <c r="AL3147" s="3"/>
    </row>
    <row r="3148" spans="12:38" x14ac:dyDescent="0.25">
      <c r="L3148" s="2"/>
      <c r="M3148" s="2"/>
      <c r="N3148" s="2"/>
      <c r="AD3148" s="3"/>
      <c r="AH3148" s="3"/>
      <c r="AL3148" s="3"/>
    </row>
    <row r="3149" spans="12:38" x14ac:dyDescent="0.25">
      <c r="L3149" s="2"/>
      <c r="M3149" s="2"/>
      <c r="N3149" s="2"/>
      <c r="AD3149" s="3"/>
      <c r="AH3149" s="3"/>
      <c r="AL3149" s="3"/>
    </row>
    <row r="3150" spans="12:38" x14ac:dyDescent="0.25">
      <c r="L3150" s="2"/>
      <c r="M3150" s="2"/>
      <c r="N3150" s="2"/>
      <c r="AD3150" s="3"/>
      <c r="AH3150" s="3"/>
      <c r="AL3150" s="3"/>
    </row>
    <row r="3151" spans="12:38" x14ac:dyDescent="0.25">
      <c r="L3151" s="2"/>
      <c r="M3151" s="2"/>
      <c r="N3151" s="2"/>
      <c r="AD3151" s="3"/>
      <c r="AH3151" s="3"/>
      <c r="AL3151" s="3"/>
    </row>
    <row r="3152" spans="12:38" x14ac:dyDescent="0.25">
      <c r="L3152" s="2"/>
      <c r="M3152" s="2"/>
      <c r="N3152" s="2"/>
      <c r="AD3152" s="3"/>
      <c r="AH3152" s="3"/>
      <c r="AL3152" s="3"/>
    </row>
    <row r="3153" spans="12:38" x14ac:dyDescent="0.25">
      <c r="L3153" s="2"/>
      <c r="M3153" s="2"/>
      <c r="N3153" s="2"/>
      <c r="AD3153" s="3"/>
      <c r="AH3153" s="3"/>
      <c r="AL3153" s="3"/>
    </row>
    <row r="3154" spans="12:38" x14ac:dyDescent="0.25">
      <c r="L3154" s="2"/>
      <c r="M3154" s="2"/>
      <c r="N3154" s="2"/>
      <c r="AD3154" s="3"/>
      <c r="AH3154" s="3"/>
      <c r="AL3154" s="3"/>
    </row>
    <row r="3155" spans="12:38" x14ac:dyDescent="0.25">
      <c r="L3155" s="2"/>
      <c r="M3155" s="2"/>
      <c r="N3155" s="2"/>
      <c r="AD3155" s="3"/>
      <c r="AH3155" s="3"/>
      <c r="AL3155" s="3"/>
    </row>
    <row r="3156" spans="12:38" x14ac:dyDescent="0.25">
      <c r="L3156" s="2"/>
      <c r="M3156" s="2"/>
      <c r="N3156" s="2"/>
      <c r="AD3156" s="3"/>
      <c r="AH3156" s="3"/>
      <c r="AL3156" s="3"/>
    </row>
    <row r="3157" spans="12:38" x14ac:dyDescent="0.25">
      <c r="L3157" s="2"/>
      <c r="M3157" s="2"/>
      <c r="N3157" s="2"/>
      <c r="AD3157" s="3"/>
      <c r="AH3157" s="3"/>
      <c r="AL3157" s="3"/>
    </row>
    <row r="3158" spans="12:38" x14ac:dyDescent="0.25">
      <c r="L3158" s="2"/>
      <c r="M3158" s="2"/>
      <c r="N3158" s="2"/>
      <c r="AD3158" s="3"/>
      <c r="AH3158" s="3"/>
      <c r="AL3158" s="3"/>
    </row>
    <row r="3159" spans="12:38" x14ac:dyDescent="0.25">
      <c r="L3159" s="2"/>
      <c r="M3159" s="2"/>
      <c r="N3159" s="2"/>
      <c r="AD3159" s="3"/>
      <c r="AH3159" s="3"/>
      <c r="AL3159" s="3"/>
    </row>
    <row r="3160" spans="12:38" x14ac:dyDescent="0.25">
      <c r="L3160" s="2"/>
      <c r="M3160" s="2"/>
      <c r="N3160" s="2"/>
      <c r="AD3160" s="3"/>
      <c r="AH3160" s="3"/>
      <c r="AL3160" s="3"/>
    </row>
    <row r="3161" spans="12:38" x14ac:dyDescent="0.25">
      <c r="L3161" s="2"/>
      <c r="M3161" s="2"/>
      <c r="N3161" s="2"/>
      <c r="AD3161" s="3"/>
      <c r="AH3161" s="3"/>
      <c r="AL3161" s="3"/>
    </row>
    <row r="3162" spans="12:38" x14ac:dyDescent="0.25">
      <c r="L3162" s="2"/>
      <c r="M3162" s="2"/>
      <c r="N3162" s="2"/>
      <c r="AD3162" s="3"/>
      <c r="AH3162" s="3"/>
      <c r="AL3162" s="3"/>
    </row>
    <row r="3163" spans="12:38" x14ac:dyDescent="0.25">
      <c r="L3163" s="2"/>
      <c r="M3163" s="2"/>
      <c r="N3163" s="2"/>
      <c r="AD3163" s="3"/>
      <c r="AH3163" s="3"/>
      <c r="AL3163" s="3"/>
    </row>
    <row r="3164" spans="12:38" x14ac:dyDescent="0.25">
      <c r="L3164" s="2"/>
      <c r="M3164" s="2"/>
      <c r="N3164" s="2"/>
      <c r="AD3164" s="3"/>
      <c r="AH3164" s="3"/>
      <c r="AL3164" s="3"/>
    </row>
    <row r="3165" spans="12:38" x14ac:dyDescent="0.25">
      <c r="L3165" s="2"/>
      <c r="M3165" s="2"/>
      <c r="N3165" s="2"/>
      <c r="AD3165" s="3"/>
      <c r="AH3165" s="3"/>
      <c r="AL3165" s="3"/>
    </row>
    <row r="3166" spans="12:38" x14ac:dyDescent="0.25">
      <c r="L3166" s="2"/>
      <c r="M3166" s="2"/>
      <c r="N3166" s="2"/>
      <c r="AD3166" s="3"/>
      <c r="AH3166" s="3"/>
      <c r="AL3166" s="3"/>
    </row>
    <row r="3167" spans="12:38" x14ac:dyDescent="0.25">
      <c r="L3167" s="2"/>
      <c r="M3167" s="2"/>
      <c r="N3167" s="2"/>
      <c r="AD3167" s="3"/>
      <c r="AH3167" s="3"/>
      <c r="AL3167" s="3"/>
    </row>
    <row r="3168" spans="12:38" x14ac:dyDescent="0.25">
      <c r="L3168" s="2"/>
      <c r="M3168" s="2"/>
      <c r="N3168" s="2"/>
      <c r="AD3168" s="3"/>
      <c r="AH3168" s="3"/>
      <c r="AL3168" s="3"/>
    </row>
    <row r="3169" spans="12:38" x14ac:dyDescent="0.25">
      <c r="L3169" s="2"/>
      <c r="M3169" s="2"/>
      <c r="N3169" s="2"/>
      <c r="AD3169" s="3"/>
      <c r="AH3169" s="3"/>
      <c r="AL3169" s="3"/>
    </row>
    <row r="3170" spans="12:38" x14ac:dyDescent="0.25">
      <c r="L3170" s="2"/>
      <c r="M3170" s="2"/>
      <c r="N3170" s="2"/>
      <c r="AD3170" s="3"/>
      <c r="AH3170" s="3"/>
      <c r="AL3170" s="3"/>
    </row>
    <row r="3171" spans="12:38" x14ac:dyDescent="0.25">
      <c r="L3171" s="2"/>
      <c r="M3171" s="2"/>
      <c r="N3171" s="2"/>
      <c r="AD3171" s="3"/>
      <c r="AH3171" s="3"/>
      <c r="AL3171" s="3"/>
    </row>
    <row r="3172" spans="12:38" x14ac:dyDescent="0.25">
      <c r="L3172" s="2"/>
      <c r="M3172" s="2"/>
      <c r="N3172" s="2"/>
      <c r="AD3172" s="3"/>
      <c r="AH3172" s="3"/>
      <c r="AL3172" s="3"/>
    </row>
    <row r="3173" spans="12:38" x14ac:dyDescent="0.25">
      <c r="L3173" s="2"/>
      <c r="M3173" s="2"/>
      <c r="N3173" s="2"/>
      <c r="AD3173" s="3"/>
      <c r="AH3173" s="3"/>
      <c r="AL3173" s="3"/>
    </row>
    <row r="3174" spans="12:38" x14ac:dyDescent="0.25">
      <c r="L3174" s="2"/>
      <c r="M3174" s="2"/>
      <c r="N3174" s="2"/>
      <c r="AD3174" s="3"/>
      <c r="AH3174" s="3"/>
      <c r="AL3174" s="3"/>
    </row>
    <row r="3175" spans="12:38" x14ac:dyDescent="0.25">
      <c r="L3175" s="2"/>
      <c r="M3175" s="2"/>
      <c r="N3175" s="2"/>
      <c r="AD3175" s="3"/>
      <c r="AH3175" s="3"/>
      <c r="AL3175" s="3"/>
    </row>
    <row r="3176" spans="12:38" x14ac:dyDescent="0.25">
      <c r="L3176" s="2"/>
      <c r="M3176" s="2"/>
      <c r="N3176" s="2"/>
      <c r="AD3176" s="3"/>
      <c r="AH3176" s="3"/>
      <c r="AL3176" s="3"/>
    </row>
    <row r="3177" spans="12:38" x14ac:dyDescent="0.25">
      <c r="L3177" s="2"/>
      <c r="M3177" s="2"/>
      <c r="N3177" s="2"/>
      <c r="AD3177" s="3"/>
      <c r="AH3177" s="3"/>
      <c r="AL3177" s="3"/>
    </row>
    <row r="3178" spans="12:38" x14ac:dyDescent="0.25">
      <c r="L3178" s="2"/>
      <c r="M3178" s="2"/>
      <c r="N3178" s="2"/>
      <c r="AD3178" s="3"/>
      <c r="AH3178" s="3"/>
      <c r="AL3178" s="3"/>
    </row>
    <row r="3179" spans="12:38" x14ac:dyDescent="0.25">
      <c r="L3179" s="2"/>
      <c r="M3179" s="2"/>
      <c r="N3179" s="2"/>
      <c r="AD3179" s="3"/>
      <c r="AH3179" s="3"/>
      <c r="AL3179" s="3"/>
    </row>
    <row r="3180" spans="12:38" x14ac:dyDescent="0.25">
      <c r="L3180" s="2"/>
      <c r="M3180" s="2"/>
      <c r="N3180" s="2"/>
      <c r="AD3180" s="3"/>
      <c r="AH3180" s="3"/>
      <c r="AL3180" s="3"/>
    </row>
    <row r="3181" spans="12:38" x14ac:dyDescent="0.25">
      <c r="L3181" s="2"/>
      <c r="M3181" s="2"/>
      <c r="N3181" s="2"/>
      <c r="AD3181" s="3"/>
      <c r="AH3181" s="3"/>
      <c r="AL3181" s="3"/>
    </row>
    <row r="3182" spans="12:38" x14ac:dyDescent="0.25">
      <c r="L3182" s="2"/>
      <c r="M3182" s="2"/>
      <c r="N3182" s="2"/>
      <c r="AD3182" s="3"/>
      <c r="AH3182" s="3"/>
      <c r="AL3182" s="3"/>
    </row>
    <row r="3183" spans="12:38" x14ac:dyDescent="0.25">
      <c r="L3183" s="2"/>
      <c r="M3183" s="2"/>
      <c r="N3183" s="2"/>
      <c r="AD3183" s="3"/>
      <c r="AH3183" s="3"/>
      <c r="AL3183" s="3"/>
    </row>
    <row r="3184" spans="12:38" x14ac:dyDescent="0.25">
      <c r="L3184" s="2"/>
      <c r="M3184" s="2"/>
      <c r="N3184" s="2"/>
      <c r="AD3184" s="3"/>
      <c r="AH3184" s="3"/>
      <c r="AL3184" s="3"/>
    </row>
    <row r="3185" spans="12:38" x14ac:dyDescent="0.25">
      <c r="L3185" s="2"/>
      <c r="M3185" s="2"/>
      <c r="N3185" s="2"/>
      <c r="AD3185" s="3"/>
      <c r="AH3185" s="3"/>
      <c r="AL3185" s="3"/>
    </row>
    <row r="3186" spans="12:38" x14ac:dyDescent="0.25">
      <c r="L3186" s="2"/>
      <c r="M3186" s="2"/>
      <c r="N3186" s="2"/>
      <c r="AD3186" s="3"/>
      <c r="AH3186" s="3"/>
      <c r="AL3186" s="3"/>
    </row>
    <row r="3187" spans="12:38" x14ac:dyDescent="0.25">
      <c r="L3187" s="2"/>
      <c r="M3187" s="2"/>
      <c r="N3187" s="2"/>
      <c r="AD3187" s="3"/>
      <c r="AH3187" s="3"/>
      <c r="AL3187" s="3"/>
    </row>
    <row r="3188" spans="12:38" x14ac:dyDescent="0.25">
      <c r="L3188" s="2"/>
      <c r="M3188" s="2"/>
      <c r="N3188" s="2"/>
      <c r="AD3188" s="3"/>
      <c r="AH3188" s="3"/>
      <c r="AL3188" s="3"/>
    </row>
    <row r="3189" spans="12:38" x14ac:dyDescent="0.25">
      <c r="L3189" s="2"/>
      <c r="M3189" s="2"/>
      <c r="N3189" s="2"/>
      <c r="AD3189" s="3"/>
      <c r="AH3189" s="3"/>
      <c r="AL3189" s="3"/>
    </row>
    <row r="3190" spans="12:38" x14ac:dyDescent="0.25">
      <c r="L3190" s="2"/>
      <c r="M3190" s="2"/>
      <c r="N3190" s="2"/>
      <c r="AD3190" s="3"/>
      <c r="AH3190" s="3"/>
      <c r="AL3190" s="3"/>
    </row>
    <row r="3191" spans="12:38" x14ac:dyDescent="0.25">
      <c r="L3191" s="2"/>
      <c r="M3191" s="2"/>
      <c r="N3191" s="2"/>
      <c r="AD3191" s="3"/>
      <c r="AH3191" s="3"/>
      <c r="AL3191" s="3"/>
    </row>
    <row r="3192" spans="12:38" x14ac:dyDescent="0.25">
      <c r="L3192" s="2"/>
      <c r="M3192" s="2"/>
      <c r="N3192" s="2"/>
      <c r="AD3192" s="3"/>
      <c r="AH3192" s="3"/>
      <c r="AL3192" s="3"/>
    </row>
    <row r="3193" spans="12:38" x14ac:dyDescent="0.25">
      <c r="L3193" s="2"/>
      <c r="M3193" s="2"/>
      <c r="N3193" s="2"/>
      <c r="AD3193" s="3"/>
      <c r="AH3193" s="3"/>
      <c r="AL3193" s="3"/>
    </row>
    <row r="3194" spans="12:38" x14ac:dyDescent="0.25">
      <c r="L3194" s="2"/>
      <c r="M3194" s="2"/>
      <c r="N3194" s="2"/>
      <c r="AD3194" s="3"/>
      <c r="AH3194" s="3"/>
      <c r="AL3194" s="3"/>
    </row>
    <row r="3195" spans="12:38" x14ac:dyDescent="0.25">
      <c r="L3195" s="2"/>
      <c r="M3195" s="2"/>
      <c r="N3195" s="2"/>
      <c r="AD3195" s="3"/>
      <c r="AH3195" s="3"/>
      <c r="AL3195" s="3"/>
    </row>
    <row r="3196" spans="12:38" x14ac:dyDescent="0.25">
      <c r="L3196" s="2"/>
      <c r="M3196" s="2"/>
      <c r="N3196" s="2"/>
      <c r="AD3196" s="3"/>
      <c r="AH3196" s="3"/>
      <c r="AL3196" s="3"/>
    </row>
    <row r="3197" spans="12:38" x14ac:dyDescent="0.25">
      <c r="L3197" s="2"/>
      <c r="M3197" s="2"/>
      <c r="N3197" s="2"/>
      <c r="AD3197" s="3"/>
      <c r="AH3197" s="3"/>
      <c r="AL3197" s="3"/>
    </row>
    <row r="3198" spans="12:38" x14ac:dyDescent="0.25">
      <c r="L3198" s="2"/>
      <c r="M3198" s="2"/>
      <c r="N3198" s="2"/>
      <c r="AD3198" s="3"/>
      <c r="AH3198" s="3"/>
      <c r="AL3198" s="3"/>
    </row>
    <row r="3199" spans="12:38" x14ac:dyDescent="0.25">
      <c r="L3199" s="2"/>
      <c r="M3199" s="2"/>
      <c r="N3199" s="2"/>
      <c r="AD3199" s="3"/>
      <c r="AH3199" s="3"/>
      <c r="AL3199" s="3"/>
    </row>
    <row r="3200" spans="12:38" x14ac:dyDescent="0.25">
      <c r="L3200" s="2"/>
      <c r="M3200" s="2"/>
      <c r="N3200" s="2"/>
      <c r="AD3200" s="3"/>
      <c r="AH3200" s="3"/>
      <c r="AL3200" s="3"/>
    </row>
    <row r="3201" spans="12:38" x14ac:dyDescent="0.25">
      <c r="L3201" s="2"/>
      <c r="M3201" s="2"/>
      <c r="N3201" s="2"/>
      <c r="AD3201" s="3"/>
      <c r="AH3201" s="3"/>
      <c r="AL3201" s="3"/>
    </row>
    <row r="3202" spans="12:38" x14ac:dyDescent="0.25">
      <c r="L3202" s="2"/>
      <c r="M3202" s="2"/>
      <c r="N3202" s="2"/>
      <c r="AD3202" s="3"/>
      <c r="AH3202" s="3"/>
      <c r="AL3202" s="3"/>
    </row>
    <row r="3203" spans="12:38" x14ac:dyDescent="0.25">
      <c r="L3203" s="2"/>
      <c r="M3203" s="2"/>
      <c r="N3203" s="2"/>
      <c r="AD3203" s="3"/>
      <c r="AH3203" s="3"/>
      <c r="AL3203" s="3"/>
    </row>
    <row r="3204" spans="12:38" x14ac:dyDescent="0.25">
      <c r="L3204" s="2"/>
      <c r="M3204" s="2"/>
      <c r="N3204" s="2"/>
      <c r="AD3204" s="3"/>
      <c r="AH3204" s="3"/>
      <c r="AL3204" s="3"/>
    </row>
    <row r="3205" spans="12:38" x14ac:dyDescent="0.25">
      <c r="L3205" s="2"/>
      <c r="M3205" s="2"/>
      <c r="N3205" s="2"/>
      <c r="AD3205" s="3"/>
      <c r="AH3205" s="3"/>
      <c r="AL3205" s="3"/>
    </row>
    <row r="3206" spans="12:38" x14ac:dyDescent="0.25">
      <c r="L3206" s="2"/>
      <c r="M3206" s="2"/>
      <c r="N3206" s="2"/>
      <c r="AD3206" s="3"/>
      <c r="AH3206" s="3"/>
      <c r="AL3206" s="3"/>
    </row>
    <row r="3207" spans="12:38" x14ac:dyDescent="0.25">
      <c r="L3207" s="2"/>
      <c r="M3207" s="2"/>
      <c r="N3207" s="2"/>
      <c r="AD3207" s="3"/>
      <c r="AH3207" s="3"/>
      <c r="AL3207" s="3"/>
    </row>
    <row r="3208" spans="12:38" x14ac:dyDescent="0.25">
      <c r="L3208" s="2"/>
      <c r="M3208" s="2"/>
      <c r="N3208" s="2"/>
      <c r="AD3208" s="3"/>
      <c r="AH3208" s="3"/>
      <c r="AL3208" s="3"/>
    </row>
    <row r="3209" spans="12:38" x14ac:dyDescent="0.25">
      <c r="L3209" s="2"/>
      <c r="M3209" s="2"/>
      <c r="N3209" s="2"/>
      <c r="AD3209" s="3"/>
      <c r="AH3209" s="3"/>
      <c r="AL3209" s="3"/>
    </row>
    <row r="3210" spans="12:38" x14ac:dyDescent="0.25">
      <c r="L3210" s="2"/>
      <c r="M3210" s="2"/>
      <c r="N3210" s="2"/>
      <c r="AD3210" s="3"/>
      <c r="AH3210" s="3"/>
      <c r="AL3210" s="3"/>
    </row>
    <row r="3211" spans="12:38" x14ac:dyDescent="0.25">
      <c r="L3211" s="2"/>
      <c r="M3211" s="2"/>
      <c r="N3211" s="2"/>
      <c r="AD3211" s="3"/>
      <c r="AH3211" s="3"/>
      <c r="AL3211" s="3"/>
    </row>
    <row r="3212" spans="12:38" x14ac:dyDescent="0.25">
      <c r="L3212" s="2"/>
      <c r="M3212" s="2"/>
      <c r="N3212" s="2"/>
      <c r="AD3212" s="3"/>
      <c r="AH3212" s="3"/>
      <c r="AL3212" s="3"/>
    </row>
    <row r="3213" spans="12:38" x14ac:dyDescent="0.25">
      <c r="L3213" s="2"/>
      <c r="M3213" s="2"/>
      <c r="N3213" s="2"/>
      <c r="AD3213" s="3"/>
      <c r="AH3213" s="3"/>
      <c r="AL3213" s="3"/>
    </row>
    <row r="3214" spans="12:38" x14ac:dyDescent="0.25">
      <c r="L3214" s="2"/>
      <c r="M3214" s="2"/>
      <c r="N3214" s="2"/>
      <c r="AD3214" s="3"/>
      <c r="AH3214" s="3"/>
      <c r="AL3214" s="3"/>
    </row>
    <row r="3215" spans="12:38" x14ac:dyDescent="0.25">
      <c r="L3215" s="2"/>
      <c r="M3215" s="2"/>
      <c r="N3215" s="2"/>
      <c r="AD3215" s="3"/>
      <c r="AH3215" s="3"/>
      <c r="AL3215" s="3"/>
    </row>
    <row r="3216" spans="12:38" x14ac:dyDescent="0.25">
      <c r="L3216" s="2"/>
      <c r="M3216" s="2"/>
      <c r="N3216" s="2"/>
      <c r="AD3216" s="3"/>
      <c r="AH3216" s="3"/>
      <c r="AL3216" s="3"/>
    </row>
    <row r="3217" spans="12:38" x14ac:dyDescent="0.25">
      <c r="L3217" s="2"/>
      <c r="M3217" s="2"/>
      <c r="N3217" s="2"/>
      <c r="AD3217" s="3"/>
      <c r="AH3217" s="3"/>
      <c r="AL3217" s="3"/>
    </row>
    <row r="3218" spans="12:38" x14ac:dyDescent="0.25">
      <c r="L3218" s="2"/>
      <c r="M3218" s="2"/>
      <c r="N3218" s="2"/>
      <c r="AD3218" s="3"/>
      <c r="AH3218" s="3"/>
      <c r="AL3218" s="3"/>
    </row>
    <row r="3219" spans="12:38" x14ac:dyDescent="0.25">
      <c r="L3219" s="2"/>
      <c r="M3219" s="2"/>
      <c r="N3219" s="2"/>
      <c r="AD3219" s="3"/>
      <c r="AH3219" s="3"/>
      <c r="AL3219" s="3"/>
    </row>
    <row r="3220" spans="12:38" x14ac:dyDescent="0.25">
      <c r="L3220" s="2"/>
      <c r="M3220" s="2"/>
      <c r="N3220" s="2"/>
      <c r="AD3220" s="3"/>
      <c r="AH3220" s="3"/>
      <c r="AL3220" s="3"/>
    </row>
    <row r="3221" spans="12:38" x14ac:dyDescent="0.25">
      <c r="L3221" s="2"/>
      <c r="M3221" s="2"/>
      <c r="N3221" s="2"/>
      <c r="AD3221" s="3"/>
      <c r="AH3221" s="3"/>
      <c r="AL3221" s="3"/>
    </row>
    <row r="3222" spans="12:38" x14ac:dyDescent="0.25">
      <c r="L3222" s="2"/>
      <c r="M3222" s="2"/>
      <c r="N3222" s="2"/>
      <c r="AD3222" s="3"/>
      <c r="AH3222" s="3"/>
      <c r="AL3222" s="3"/>
    </row>
    <row r="3223" spans="12:38" x14ac:dyDescent="0.25">
      <c r="L3223" s="2"/>
      <c r="M3223" s="2"/>
      <c r="N3223" s="2"/>
      <c r="AD3223" s="3"/>
      <c r="AH3223" s="3"/>
      <c r="AL3223" s="3"/>
    </row>
    <row r="3224" spans="12:38" x14ac:dyDescent="0.25">
      <c r="L3224" s="2"/>
      <c r="M3224" s="2"/>
      <c r="N3224" s="2"/>
      <c r="AD3224" s="3"/>
      <c r="AH3224" s="3"/>
      <c r="AL3224" s="3"/>
    </row>
    <row r="3225" spans="12:38" x14ac:dyDescent="0.25">
      <c r="L3225" s="2"/>
      <c r="M3225" s="2"/>
      <c r="N3225" s="2"/>
      <c r="AD3225" s="3"/>
      <c r="AH3225" s="3"/>
      <c r="AL3225" s="3"/>
    </row>
    <row r="3226" spans="12:38" x14ac:dyDescent="0.25">
      <c r="L3226" s="2"/>
      <c r="M3226" s="2"/>
      <c r="N3226" s="2"/>
      <c r="AD3226" s="3"/>
      <c r="AH3226" s="3"/>
      <c r="AL3226" s="3"/>
    </row>
    <row r="3227" spans="12:38" x14ac:dyDescent="0.25">
      <c r="L3227" s="2"/>
      <c r="M3227" s="2"/>
      <c r="N3227" s="2"/>
      <c r="AD3227" s="3"/>
      <c r="AH3227" s="3"/>
      <c r="AL3227" s="3"/>
    </row>
    <row r="3228" spans="12:38" x14ac:dyDescent="0.25">
      <c r="L3228" s="2"/>
      <c r="M3228" s="2"/>
      <c r="N3228" s="2"/>
      <c r="AD3228" s="3"/>
      <c r="AH3228" s="3"/>
      <c r="AL3228" s="3"/>
    </row>
    <row r="3229" spans="12:38" x14ac:dyDescent="0.25">
      <c r="L3229" s="2"/>
      <c r="M3229" s="2"/>
      <c r="N3229" s="2"/>
      <c r="AD3229" s="3"/>
      <c r="AH3229" s="3"/>
      <c r="AL3229" s="3"/>
    </row>
    <row r="3230" spans="12:38" x14ac:dyDescent="0.25">
      <c r="L3230" s="2"/>
      <c r="M3230" s="2"/>
      <c r="N3230" s="2"/>
      <c r="AD3230" s="3"/>
      <c r="AH3230" s="3"/>
      <c r="AL3230" s="3"/>
    </row>
    <row r="3231" spans="12:38" x14ac:dyDescent="0.25">
      <c r="L3231" s="2"/>
      <c r="M3231" s="2"/>
      <c r="N3231" s="2"/>
      <c r="AD3231" s="3"/>
      <c r="AH3231" s="3"/>
      <c r="AL3231" s="3"/>
    </row>
    <row r="3232" spans="12:38" x14ac:dyDescent="0.25">
      <c r="L3232" s="2"/>
      <c r="M3232" s="2"/>
      <c r="N3232" s="2"/>
      <c r="AD3232" s="3"/>
      <c r="AH3232" s="3"/>
      <c r="AL3232" s="3"/>
    </row>
    <row r="3233" spans="12:38" x14ac:dyDescent="0.25">
      <c r="L3233" s="2"/>
      <c r="M3233" s="2"/>
      <c r="N3233" s="2"/>
      <c r="AD3233" s="3"/>
      <c r="AH3233" s="3"/>
      <c r="AL3233" s="3"/>
    </row>
    <row r="3234" spans="12:38" x14ac:dyDescent="0.25">
      <c r="L3234" s="2"/>
      <c r="M3234" s="2"/>
      <c r="N3234" s="2"/>
      <c r="AD3234" s="3"/>
      <c r="AH3234" s="3"/>
      <c r="AL3234" s="3"/>
    </row>
    <row r="3235" spans="12:38" x14ac:dyDescent="0.25">
      <c r="L3235" s="2"/>
      <c r="M3235" s="2"/>
      <c r="N3235" s="2"/>
      <c r="AD3235" s="3"/>
      <c r="AH3235" s="3"/>
      <c r="AL3235" s="3"/>
    </row>
    <row r="3236" spans="12:38" x14ac:dyDescent="0.25">
      <c r="L3236" s="2"/>
      <c r="M3236" s="2"/>
      <c r="N3236" s="2"/>
      <c r="AD3236" s="3"/>
      <c r="AH3236" s="3"/>
      <c r="AL3236" s="3"/>
    </row>
    <row r="3237" spans="12:38" x14ac:dyDescent="0.25">
      <c r="L3237" s="2"/>
      <c r="M3237" s="2"/>
      <c r="N3237" s="2"/>
      <c r="AD3237" s="3"/>
      <c r="AH3237" s="3"/>
      <c r="AL3237" s="3"/>
    </row>
    <row r="3238" spans="12:38" x14ac:dyDescent="0.25">
      <c r="L3238" s="2"/>
      <c r="M3238" s="2"/>
      <c r="N3238" s="2"/>
      <c r="AD3238" s="3"/>
      <c r="AH3238" s="3"/>
      <c r="AL3238" s="3"/>
    </row>
    <row r="3239" spans="12:38" x14ac:dyDescent="0.25">
      <c r="L3239" s="2"/>
      <c r="M3239" s="2"/>
      <c r="N3239" s="2"/>
      <c r="AD3239" s="3"/>
      <c r="AH3239" s="3"/>
      <c r="AL3239" s="3"/>
    </row>
    <row r="3240" spans="12:38" x14ac:dyDescent="0.25">
      <c r="L3240" s="2"/>
      <c r="M3240" s="2"/>
      <c r="N3240" s="2"/>
      <c r="AD3240" s="3"/>
      <c r="AH3240" s="3"/>
      <c r="AL3240" s="3"/>
    </row>
    <row r="3241" spans="12:38" x14ac:dyDescent="0.25">
      <c r="L3241" s="2"/>
      <c r="M3241" s="2"/>
      <c r="N3241" s="2"/>
      <c r="AD3241" s="3"/>
      <c r="AH3241" s="3"/>
      <c r="AL3241" s="3"/>
    </row>
    <row r="3242" spans="12:38" x14ac:dyDescent="0.25">
      <c r="L3242" s="2"/>
      <c r="M3242" s="2"/>
      <c r="N3242" s="2"/>
      <c r="AD3242" s="3"/>
      <c r="AH3242" s="3"/>
      <c r="AL3242" s="3"/>
    </row>
    <row r="3243" spans="12:38" x14ac:dyDescent="0.25">
      <c r="L3243" s="2"/>
      <c r="M3243" s="2"/>
      <c r="N3243" s="2"/>
      <c r="AD3243" s="3"/>
      <c r="AH3243" s="3"/>
      <c r="AL3243" s="3"/>
    </row>
    <row r="3244" spans="12:38" x14ac:dyDescent="0.25">
      <c r="L3244" s="2"/>
      <c r="M3244" s="2"/>
      <c r="N3244" s="2"/>
      <c r="AD3244" s="3"/>
      <c r="AH3244" s="3"/>
      <c r="AL3244" s="3"/>
    </row>
    <row r="3245" spans="12:38" x14ac:dyDescent="0.25">
      <c r="L3245" s="2"/>
      <c r="M3245" s="2"/>
      <c r="N3245" s="2"/>
      <c r="AD3245" s="3"/>
      <c r="AH3245" s="3"/>
      <c r="AL3245" s="3"/>
    </row>
    <row r="3246" spans="12:38" x14ac:dyDescent="0.25">
      <c r="L3246" s="2"/>
      <c r="M3246" s="2"/>
      <c r="N3246" s="2"/>
      <c r="AD3246" s="3"/>
      <c r="AH3246" s="3"/>
      <c r="AL3246" s="3"/>
    </row>
    <row r="3247" spans="12:38" x14ac:dyDescent="0.25">
      <c r="L3247" s="2"/>
      <c r="M3247" s="2"/>
      <c r="N3247" s="2"/>
      <c r="AD3247" s="3"/>
      <c r="AH3247" s="3"/>
      <c r="AL3247" s="3"/>
    </row>
    <row r="3248" spans="12:38" x14ac:dyDescent="0.25">
      <c r="L3248" s="2"/>
      <c r="M3248" s="2"/>
      <c r="N3248" s="2"/>
      <c r="AD3248" s="3"/>
      <c r="AH3248" s="3"/>
      <c r="AL3248" s="3"/>
    </row>
    <row r="3249" spans="12:38" x14ac:dyDescent="0.25">
      <c r="L3249" s="2"/>
      <c r="M3249" s="2"/>
      <c r="N3249" s="2"/>
      <c r="AD3249" s="3"/>
      <c r="AH3249" s="3"/>
      <c r="AL3249" s="3"/>
    </row>
    <row r="3250" spans="12:38" x14ac:dyDescent="0.25">
      <c r="L3250" s="2"/>
      <c r="M3250" s="2"/>
      <c r="N3250" s="2"/>
      <c r="AD3250" s="3"/>
      <c r="AH3250" s="3"/>
      <c r="AL3250" s="3"/>
    </row>
    <row r="3251" spans="12:38" x14ac:dyDescent="0.25">
      <c r="L3251" s="2"/>
      <c r="M3251" s="2"/>
      <c r="N3251" s="2"/>
      <c r="AD3251" s="3"/>
      <c r="AH3251" s="3"/>
      <c r="AL3251" s="3"/>
    </row>
    <row r="3252" spans="12:38" x14ac:dyDescent="0.25">
      <c r="L3252" s="2"/>
      <c r="M3252" s="2"/>
      <c r="N3252" s="2"/>
      <c r="AD3252" s="3"/>
      <c r="AH3252" s="3"/>
      <c r="AL3252" s="3"/>
    </row>
    <row r="3253" spans="12:38" x14ac:dyDescent="0.25">
      <c r="L3253" s="2"/>
      <c r="M3253" s="2"/>
      <c r="N3253" s="2"/>
      <c r="AD3253" s="3"/>
      <c r="AH3253" s="3"/>
      <c r="AL3253" s="3"/>
    </row>
    <row r="3254" spans="12:38" x14ac:dyDescent="0.25">
      <c r="L3254" s="2"/>
      <c r="M3254" s="2"/>
      <c r="N3254" s="2"/>
      <c r="AD3254" s="3"/>
      <c r="AH3254" s="3"/>
      <c r="AL3254" s="3"/>
    </row>
    <row r="3255" spans="12:38" x14ac:dyDescent="0.25">
      <c r="L3255" s="2"/>
      <c r="M3255" s="2"/>
      <c r="N3255" s="2"/>
      <c r="AD3255" s="3"/>
      <c r="AH3255" s="3"/>
      <c r="AL3255" s="3"/>
    </row>
    <row r="3256" spans="12:38" x14ac:dyDescent="0.25">
      <c r="L3256" s="2"/>
      <c r="M3256" s="2"/>
      <c r="N3256" s="2"/>
      <c r="AD3256" s="3"/>
      <c r="AH3256" s="3"/>
      <c r="AL3256" s="3"/>
    </row>
    <row r="3257" spans="12:38" x14ac:dyDescent="0.25">
      <c r="L3257" s="2"/>
      <c r="M3257" s="2"/>
      <c r="N3257" s="2"/>
      <c r="AD3257" s="3"/>
      <c r="AH3257" s="3"/>
      <c r="AL3257" s="3"/>
    </row>
    <row r="3258" spans="12:38" x14ac:dyDescent="0.25">
      <c r="L3258" s="2"/>
      <c r="M3258" s="2"/>
      <c r="N3258" s="2"/>
      <c r="AD3258" s="3"/>
      <c r="AH3258" s="3"/>
      <c r="AL3258" s="3"/>
    </row>
    <row r="3259" spans="12:38" x14ac:dyDescent="0.25">
      <c r="L3259" s="2"/>
      <c r="M3259" s="2"/>
      <c r="N3259" s="2"/>
      <c r="AD3259" s="3"/>
      <c r="AH3259" s="3"/>
      <c r="AL3259" s="3"/>
    </row>
    <row r="3260" spans="12:38" x14ac:dyDescent="0.25">
      <c r="L3260" s="2"/>
      <c r="M3260" s="2"/>
      <c r="N3260" s="2"/>
      <c r="AD3260" s="3"/>
      <c r="AH3260" s="3"/>
      <c r="AL3260" s="3"/>
    </row>
    <row r="3261" spans="12:38" x14ac:dyDescent="0.25">
      <c r="L3261" s="2"/>
      <c r="M3261" s="2"/>
      <c r="N3261" s="2"/>
      <c r="AD3261" s="3"/>
      <c r="AH3261" s="3"/>
      <c r="AL3261" s="3"/>
    </row>
    <row r="3262" spans="12:38" x14ac:dyDescent="0.25">
      <c r="L3262" s="2"/>
      <c r="M3262" s="2"/>
      <c r="N3262" s="2"/>
      <c r="AD3262" s="3"/>
      <c r="AH3262" s="3"/>
      <c r="AL3262" s="3"/>
    </row>
    <row r="3263" spans="12:38" x14ac:dyDescent="0.25">
      <c r="L3263" s="2"/>
      <c r="M3263" s="2"/>
      <c r="N3263" s="2"/>
      <c r="AD3263" s="3"/>
      <c r="AH3263" s="3"/>
      <c r="AL3263" s="3"/>
    </row>
    <row r="3264" spans="12:38" x14ac:dyDescent="0.25">
      <c r="L3264" s="2"/>
      <c r="M3264" s="2"/>
      <c r="N3264" s="2"/>
      <c r="AD3264" s="3"/>
      <c r="AH3264" s="3"/>
      <c r="AL3264" s="3"/>
    </row>
    <row r="3265" spans="12:38" x14ac:dyDescent="0.25">
      <c r="L3265" s="2"/>
      <c r="M3265" s="2"/>
      <c r="N3265" s="2"/>
      <c r="AD3265" s="3"/>
      <c r="AH3265" s="3"/>
      <c r="AL3265" s="3"/>
    </row>
    <row r="3266" spans="12:38" x14ac:dyDescent="0.25">
      <c r="L3266" s="2"/>
      <c r="M3266" s="2"/>
      <c r="N3266" s="2"/>
      <c r="AD3266" s="3"/>
      <c r="AH3266" s="3"/>
      <c r="AL3266" s="3"/>
    </row>
    <row r="3267" spans="12:38" x14ac:dyDescent="0.25">
      <c r="L3267" s="2"/>
      <c r="M3267" s="2"/>
      <c r="N3267" s="2"/>
      <c r="AD3267" s="3"/>
      <c r="AH3267" s="3"/>
      <c r="AL3267" s="3"/>
    </row>
    <row r="3268" spans="12:38" x14ac:dyDescent="0.25">
      <c r="L3268" s="2"/>
      <c r="M3268" s="2"/>
      <c r="N3268" s="2"/>
      <c r="AD3268" s="3"/>
      <c r="AH3268" s="3"/>
      <c r="AL3268" s="3"/>
    </row>
    <row r="3269" spans="12:38" x14ac:dyDescent="0.25">
      <c r="L3269" s="2"/>
      <c r="M3269" s="2"/>
      <c r="N3269" s="2"/>
      <c r="AD3269" s="3"/>
      <c r="AH3269" s="3"/>
      <c r="AL3269" s="3"/>
    </row>
    <row r="3270" spans="12:38" x14ac:dyDescent="0.25">
      <c r="L3270" s="2"/>
      <c r="M3270" s="2"/>
      <c r="N3270" s="2"/>
      <c r="AD3270" s="3"/>
      <c r="AH3270" s="3"/>
      <c r="AL3270" s="3"/>
    </row>
    <row r="3271" spans="12:38" x14ac:dyDescent="0.25">
      <c r="L3271" s="2"/>
      <c r="M3271" s="2"/>
      <c r="N3271" s="2"/>
      <c r="AD3271" s="3"/>
      <c r="AH3271" s="3"/>
      <c r="AL3271" s="3"/>
    </row>
    <row r="3272" spans="12:38" x14ac:dyDescent="0.25">
      <c r="L3272" s="2"/>
      <c r="M3272" s="2"/>
      <c r="N3272" s="2"/>
      <c r="AD3272" s="3"/>
      <c r="AH3272" s="3"/>
      <c r="AL3272" s="3"/>
    </row>
    <row r="3273" spans="12:38" x14ac:dyDescent="0.25">
      <c r="L3273" s="2"/>
      <c r="M3273" s="2"/>
      <c r="N3273" s="2"/>
      <c r="AD3273" s="3"/>
      <c r="AH3273" s="3"/>
      <c r="AL3273" s="3"/>
    </row>
    <row r="3274" spans="12:38" x14ac:dyDescent="0.25">
      <c r="L3274" s="2"/>
      <c r="M3274" s="2"/>
      <c r="N3274" s="2"/>
      <c r="AD3274" s="3"/>
      <c r="AH3274" s="3"/>
      <c r="AL3274" s="3"/>
    </row>
    <row r="3275" spans="12:38" x14ac:dyDescent="0.25">
      <c r="L3275" s="2"/>
      <c r="M3275" s="2"/>
      <c r="N3275" s="2"/>
      <c r="AD3275" s="3"/>
      <c r="AH3275" s="3"/>
      <c r="AL3275" s="3"/>
    </row>
    <row r="3276" spans="12:38" x14ac:dyDescent="0.25">
      <c r="L3276" s="2"/>
      <c r="M3276" s="2"/>
      <c r="N3276" s="2"/>
      <c r="AD3276" s="3"/>
      <c r="AH3276" s="3"/>
      <c r="AL3276" s="3"/>
    </row>
    <row r="3277" spans="12:38" x14ac:dyDescent="0.25">
      <c r="L3277" s="2"/>
      <c r="M3277" s="2"/>
      <c r="N3277" s="2"/>
      <c r="AD3277" s="3"/>
      <c r="AH3277" s="3"/>
      <c r="AL3277" s="3"/>
    </row>
    <row r="3278" spans="12:38" x14ac:dyDescent="0.25">
      <c r="L3278" s="2"/>
      <c r="M3278" s="2"/>
      <c r="N3278" s="2"/>
      <c r="AD3278" s="3"/>
      <c r="AH3278" s="3"/>
      <c r="AL3278" s="3"/>
    </row>
    <row r="3279" spans="12:38" x14ac:dyDescent="0.25">
      <c r="L3279" s="2"/>
      <c r="M3279" s="2"/>
      <c r="N3279" s="2"/>
      <c r="AD3279" s="3"/>
      <c r="AH3279" s="3"/>
      <c r="AL3279" s="3"/>
    </row>
    <row r="3280" spans="12:38" x14ac:dyDescent="0.25">
      <c r="L3280" s="2"/>
      <c r="M3280" s="2"/>
      <c r="N3280" s="2"/>
      <c r="AD3280" s="3"/>
      <c r="AH3280" s="3"/>
      <c r="AL3280" s="3"/>
    </row>
    <row r="3281" spans="12:38" x14ac:dyDescent="0.25">
      <c r="L3281" s="2"/>
      <c r="M3281" s="2"/>
      <c r="N3281" s="2"/>
      <c r="AD3281" s="3"/>
      <c r="AH3281" s="3"/>
      <c r="AL3281" s="3"/>
    </row>
    <row r="3282" spans="12:38" x14ac:dyDescent="0.25">
      <c r="L3282" s="2"/>
      <c r="M3282" s="2"/>
      <c r="N3282" s="2"/>
      <c r="AD3282" s="3"/>
      <c r="AH3282" s="3"/>
      <c r="AL3282" s="3"/>
    </row>
    <row r="3283" spans="12:38" x14ac:dyDescent="0.25">
      <c r="L3283" s="2"/>
      <c r="M3283" s="2"/>
      <c r="N3283" s="2"/>
      <c r="AD3283" s="3"/>
      <c r="AH3283" s="3"/>
      <c r="AL3283" s="3"/>
    </row>
    <row r="3284" spans="12:38" x14ac:dyDescent="0.25">
      <c r="L3284" s="2"/>
      <c r="M3284" s="2"/>
      <c r="N3284" s="2"/>
      <c r="AD3284" s="3"/>
      <c r="AH3284" s="3"/>
      <c r="AL3284" s="3"/>
    </row>
    <row r="3285" spans="12:38" x14ac:dyDescent="0.25">
      <c r="L3285" s="2"/>
      <c r="M3285" s="2"/>
      <c r="N3285" s="2"/>
      <c r="AD3285" s="3"/>
      <c r="AH3285" s="3"/>
      <c r="AL3285" s="3"/>
    </row>
    <row r="3286" spans="12:38" x14ac:dyDescent="0.25">
      <c r="L3286" s="2"/>
      <c r="M3286" s="2"/>
      <c r="N3286" s="2"/>
      <c r="AD3286" s="3"/>
      <c r="AH3286" s="3"/>
      <c r="AL3286" s="3"/>
    </row>
    <row r="3287" spans="12:38" x14ac:dyDescent="0.25">
      <c r="L3287" s="2"/>
      <c r="M3287" s="2"/>
      <c r="N3287" s="2"/>
      <c r="AD3287" s="3"/>
      <c r="AH3287" s="3"/>
      <c r="AL3287" s="3"/>
    </row>
    <row r="3288" spans="12:38" x14ac:dyDescent="0.25">
      <c r="L3288" s="2"/>
      <c r="M3288" s="2"/>
      <c r="N3288" s="2"/>
      <c r="AD3288" s="3"/>
      <c r="AH3288" s="3"/>
      <c r="AL3288" s="3"/>
    </row>
    <row r="3289" spans="12:38" x14ac:dyDescent="0.25">
      <c r="L3289" s="2"/>
      <c r="M3289" s="2"/>
      <c r="N3289" s="2"/>
      <c r="AD3289" s="3"/>
      <c r="AH3289" s="3"/>
      <c r="AL3289" s="3"/>
    </row>
    <row r="3290" spans="12:38" x14ac:dyDescent="0.25">
      <c r="L3290" s="2"/>
      <c r="M3290" s="2"/>
      <c r="N3290" s="2"/>
      <c r="AD3290" s="3"/>
      <c r="AH3290" s="3"/>
      <c r="AL3290" s="3"/>
    </row>
    <row r="3291" spans="12:38" x14ac:dyDescent="0.25">
      <c r="L3291" s="2"/>
      <c r="M3291" s="2"/>
      <c r="N3291" s="2"/>
      <c r="AD3291" s="3"/>
      <c r="AH3291" s="3"/>
      <c r="AL3291" s="3"/>
    </row>
    <row r="3292" spans="12:38" x14ac:dyDescent="0.25">
      <c r="L3292" s="2"/>
      <c r="M3292" s="2"/>
      <c r="N3292" s="2"/>
      <c r="AD3292" s="3"/>
      <c r="AH3292" s="3"/>
      <c r="AL3292" s="3"/>
    </row>
    <row r="3293" spans="12:38" x14ac:dyDescent="0.25">
      <c r="L3293" s="2"/>
      <c r="M3293" s="2"/>
      <c r="N3293" s="2"/>
      <c r="AD3293" s="3"/>
      <c r="AH3293" s="3"/>
      <c r="AL3293" s="3"/>
    </row>
    <row r="3294" spans="12:38" x14ac:dyDescent="0.25">
      <c r="L3294" s="2"/>
      <c r="M3294" s="2"/>
      <c r="N3294" s="2"/>
      <c r="AD3294" s="3"/>
      <c r="AH3294" s="3"/>
      <c r="AL3294" s="3"/>
    </row>
    <row r="3295" spans="12:38" x14ac:dyDescent="0.25">
      <c r="L3295" s="2"/>
      <c r="M3295" s="2"/>
      <c r="N3295" s="2"/>
      <c r="AD3295" s="3"/>
      <c r="AH3295" s="3"/>
      <c r="AL3295" s="3"/>
    </row>
    <row r="3296" spans="12:38" x14ac:dyDescent="0.25">
      <c r="L3296" s="2"/>
      <c r="M3296" s="2"/>
      <c r="N3296" s="2"/>
      <c r="AD3296" s="3"/>
      <c r="AH3296" s="3"/>
      <c r="AL3296" s="3"/>
    </row>
    <row r="3297" spans="12:38" x14ac:dyDescent="0.25">
      <c r="L3297" s="2"/>
      <c r="M3297" s="2"/>
      <c r="N3297" s="2"/>
      <c r="AD3297" s="3"/>
      <c r="AH3297" s="3"/>
      <c r="AL3297" s="3"/>
    </row>
    <row r="3298" spans="12:38" x14ac:dyDescent="0.25">
      <c r="L3298" s="2"/>
      <c r="M3298" s="2"/>
      <c r="N3298" s="2"/>
      <c r="AD3298" s="3"/>
      <c r="AH3298" s="3"/>
      <c r="AL3298" s="3"/>
    </row>
    <row r="3299" spans="12:38" x14ac:dyDescent="0.25">
      <c r="L3299" s="2"/>
      <c r="M3299" s="2"/>
      <c r="N3299" s="2"/>
      <c r="AD3299" s="3"/>
      <c r="AH3299" s="3"/>
      <c r="AL3299" s="3"/>
    </row>
    <row r="3300" spans="12:38" x14ac:dyDescent="0.25">
      <c r="L3300" s="2"/>
      <c r="M3300" s="2"/>
      <c r="N3300" s="2"/>
      <c r="AD3300" s="3"/>
      <c r="AH3300" s="3"/>
      <c r="AL3300" s="3"/>
    </row>
    <row r="3301" spans="12:38" x14ac:dyDescent="0.25">
      <c r="L3301" s="2"/>
      <c r="M3301" s="2"/>
      <c r="N3301" s="2"/>
      <c r="AD3301" s="3"/>
      <c r="AH3301" s="3"/>
      <c r="AL3301" s="3"/>
    </row>
    <row r="3302" spans="12:38" x14ac:dyDescent="0.25">
      <c r="L3302" s="2"/>
      <c r="M3302" s="2"/>
      <c r="N3302" s="2"/>
      <c r="AD3302" s="3"/>
      <c r="AH3302" s="3"/>
      <c r="AL3302" s="3"/>
    </row>
    <row r="3303" spans="12:38" x14ac:dyDescent="0.25">
      <c r="L3303" s="2"/>
      <c r="M3303" s="2"/>
      <c r="N3303" s="2"/>
      <c r="AD3303" s="3"/>
      <c r="AH3303" s="3"/>
      <c r="AL3303" s="3"/>
    </row>
    <row r="3304" spans="12:38" x14ac:dyDescent="0.25">
      <c r="L3304" s="2"/>
      <c r="M3304" s="2"/>
      <c r="N3304" s="2"/>
      <c r="AD3304" s="3"/>
      <c r="AH3304" s="3"/>
      <c r="AL3304" s="3"/>
    </row>
    <row r="3305" spans="12:38" x14ac:dyDescent="0.25">
      <c r="L3305" s="2"/>
      <c r="M3305" s="2"/>
      <c r="N3305" s="2"/>
      <c r="AD3305" s="3"/>
      <c r="AH3305" s="3"/>
      <c r="AL3305" s="3"/>
    </row>
    <row r="3306" spans="12:38" x14ac:dyDescent="0.25">
      <c r="L3306" s="2"/>
      <c r="M3306" s="2"/>
      <c r="N3306" s="2"/>
      <c r="AD3306" s="3"/>
      <c r="AH3306" s="3"/>
      <c r="AL3306" s="3"/>
    </row>
    <row r="3307" spans="12:38" x14ac:dyDescent="0.25">
      <c r="L3307" s="2"/>
      <c r="M3307" s="2"/>
      <c r="N3307" s="2"/>
      <c r="AD3307" s="3"/>
      <c r="AH3307" s="3"/>
      <c r="AL3307" s="3"/>
    </row>
    <row r="3308" spans="12:38" x14ac:dyDescent="0.25">
      <c r="L3308" s="2"/>
      <c r="M3308" s="2"/>
      <c r="N3308" s="2"/>
      <c r="AD3308" s="3"/>
      <c r="AH3308" s="3"/>
      <c r="AL3308" s="3"/>
    </row>
    <row r="3309" spans="12:38" x14ac:dyDescent="0.25">
      <c r="L3309" s="2"/>
      <c r="M3309" s="2"/>
      <c r="N3309" s="2"/>
      <c r="AD3309" s="3"/>
      <c r="AH3309" s="3"/>
      <c r="AL3309" s="3"/>
    </row>
    <row r="3310" spans="12:38" x14ac:dyDescent="0.25">
      <c r="L3310" s="2"/>
      <c r="M3310" s="2"/>
      <c r="N3310" s="2"/>
      <c r="AD3310" s="3"/>
      <c r="AH3310" s="3"/>
      <c r="AL3310" s="3"/>
    </row>
    <row r="3311" spans="12:38" x14ac:dyDescent="0.25">
      <c r="L3311" s="2"/>
      <c r="M3311" s="2"/>
      <c r="N3311" s="2"/>
      <c r="AD3311" s="3"/>
      <c r="AH3311" s="3"/>
      <c r="AL3311" s="3"/>
    </row>
    <row r="3312" spans="12:38" x14ac:dyDescent="0.25">
      <c r="L3312" s="2"/>
      <c r="M3312" s="2"/>
      <c r="N3312" s="2"/>
      <c r="AD3312" s="3"/>
      <c r="AH3312" s="3"/>
      <c r="AL3312" s="3"/>
    </row>
    <row r="3313" spans="12:38" x14ac:dyDescent="0.25">
      <c r="L3313" s="2"/>
      <c r="M3313" s="2"/>
      <c r="N3313" s="2"/>
      <c r="AD3313" s="3"/>
      <c r="AH3313" s="3"/>
      <c r="AL3313" s="3"/>
    </row>
    <row r="3314" spans="12:38" x14ac:dyDescent="0.25">
      <c r="L3314" s="2"/>
      <c r="M3314" s="2"/>
      <c r="N3314" s="2"/>
      <c r="AD3314" s="3"/>
      <c r="AH3314" s="3"/>
      <c r="AL3314" s="3"/>
    </row>
    <row r="3315" spans="12:38" x14ac:dyDescent="0.25">
      <c r="L3315" s="2"/>
      <c r="M3315" s="2"/>
      <c r="N3315" s="2"/>
      <c r="AD3315" s="3"/>
      <c r="AH3315" s="3"/>
      <c r="AL3315" s="3"/>
    </row>
    <row r="3316" spans="12:38" x14ac:dyDescent="0.25">
      <c r="L3316" s="2"/>
      <c r="M3316" s="2"/>
      <c r="N3316" s="2"/>
      <c r="AD3316" s="3"/>
      <c r="AH3316" s="3"/>
      <c r="AL3316" s="3"/>
    </row>
    <row r="3317" spans="12:38" x14ac:dyDescent="0.25">
      <c r="L3317" s="2"/>
      <c r="M3317" s="2"/>
      <c r="N3317" s="2"/>
      <c r="AD3317" s="3"/>
      <c r="AH3317" s="3"/>
      <c r="AL3317" s="3"/>
    </row>
    <row r="3318" spans="12:38" x14ac:dyDescent="0.25">
      <c r="L3318" s="2"/>
      <c r="M3318" s="2"/>
      <c r="N3318" s="2"/>
      <c r="AD3318" s="3"/>
      <c r="AH3318" s="3"/>
      <c r="AL3318" s="3"/>
    </row>
    <row r="3319" spans="12:38" x14ac:dyDescent="0.25">
      <c r="L3319" s="2"/>
      <c r="M3319" s="2"/>
      <c r="N3319" s="2"/>
      <c r="AD3319" s="3"/>
      <c r="AH3319" s="3"/>
      <c r="AL3319" s="3"/>
    </row>
    <row r="3320" spans="12:38" x14ac:dyDescent="0.25">
      <c r="L3320" s="2"/>
      <c r="M3320" s="2"/>
      <c r="N3320" s="2"/>
      <c r="AD3320" s="3"/>
      <c r="AH3320" s="3"/>
      <c r="AL3320" s="3"/>
    </row>
    <row r="3321" spans="12:38" x14ac:dyDescent="0.25">
      <c r="L3321" s="2"/>
      <c r="M3321" s="2"/>
      <c r="N3321" s="2"/>
      <c r="AD3321" s="3"/>
      <c r="AH3321" s="3"/>
      <c r="AL3321" s="3"/>
    </row>
    <row r="3322" spans="12:38" x14ac:dyDescent="0.25">
      <c r="L3322" s="2"/>
      <c r="M3322" s="2"/>
      <c r="N3322" s="2"/>
      <c r="AD3322" s="3"/>
      <c r="AH3322" s="3"/>
      <c r="AL3322" s="3"/>
    </row>
    <row r="3323" spans="12:38" x14ac:dyDescent="0.25">
      <c r="L3323" s="2"/>
      <c r="M3323" s="2"/>
      <c r="N3323" s="2"/>
      <c r="AD3323" s="3"/>
      <c r="AH3323" s="3"/>
      <c r="AL3323" s="3"/>
    </row>
    <row r="3324" spans="12:38" x14ac:dyDescent="0.25">
      <c r="L3324" s="2"/>
      <c r="M3324" s="2"/>
      <c r="N3324" s="2"/>
      <c r="AD3324" s="3"/>
      <c r="AH3324" s="3"/>
      <c r="AL3324" s="3"/>
    </row>
    <row r="3325" spans="12:38" x14ac:dyDescent="0.25">
      <c r="L3325" s="2"/>
      <c r="M3325" s="2"/>
      <c r="N3325" s="2"/>
      <c r="AD3325" s="3"/>
      <c r="AH3325" s="3"/>
      <c r="AL3325" s="3"/>
    </row>
    <row r="3326" spans="12:38" x14ac:dyDescent="0.25">
      <c r="L3326" s="2"/>
      <c r="M3326" s="2"/>
      <c r="N3326" s="2"/>
      <c r="AD3326" s="3"/>
      <c r="AH3326" s="3"/>
      <c r="AL3326" s="3"/>
    </row>
    <row r="3327" spans="12:38" x14ac:dyDescent="0.25">
      <c r="L3327" s="2"/>
      <c r="M3327" s="2"/>
      <c r="N3327" s="2"/>
      <c r="AD3327" s="3"/>
      <c r="AH3327" s="3"/>
      <c r="AL3327" s="3"/>
    </row>
    <row r="3328" spans="12:38" x14ac:dyDescent="0.25">
      <c r="L3328" s="2"/>
      <c r="M3328" s="2"/>
      <c r="N3328" s="2"/>
      <c r="AD3328" s="3"/>
      <c r="AH3328" s="3"/>
      <c r="AL3328" s="3"/>
    </row>
    <row r="3329" spans="12:38" x14ac:dyDescent="0.25">
      <c r="L3329" s="2"/>
      <c r="M3329" s="2"/>
      <c r="N3329" s="2"/>
      <c r="AD3329" s="3"/>
      <c r="AH3329" s="3"/>
      <c r="AL3329" s="3"/>
    </row>
    <row r="3330" spans="12:38" x14ac:dyDescent="0.25">
      <c r="L3330" s="2"/>
      <c r="M3330" s="2"/>
      <c r="N3330" s="2"/>
      <c r="AD3330" s="3"/>
      <c r="AH3330" s="3"/>
      <c r="AL3330" s="3"/>
    </row>
    <row r="3331" spans="12:38" x14ac:dyDescent="0.25">
      <c r="L3331" s="2"/>
      <c r="M3331" s="2"/>
      <c r="N3331" s="2"/>
      <c r="AD3331" s="3"/>
      <c r="AH3331" s="3"/>
      <c r="AL3331" s="3"/>
    </row>
    <row r="3332" spans="12:38" x14ac:dyDescent="0.25">
      <c r="L3332" s="2"/>
      <c r="M3332" s="2"/>
      <c r="N3332" s="2"/>
      <c r="AD3332" s="3"/>
      <c r="AH3332" s="3"/>
      <c r="AL3332" s="3"/>
    </row>
    <row r="3333" spans="12:38" x14ac:dyDescent="0.25">
      <c r="L3333" s="2"/>
      <c r="M3333" s="2"/>
      <c r="N3333" s="2"/>
      <c r="AD3333" s="3"/>
      <c r="AH3333" s="3"/>
      <c r="AL3333" s="3"/>
    </row>
    <row r="3334" spans="12:38" x14ac:dyDescent="0.25">
      <c r="L3334" s="2"/>
      <c r="M3334" s="2"/>
      <c r="N3334" s="2"/>
      <c r="AD3334" s="3"/>
      <c r="AH3334" s="3"/>
      <c r="AL3334" s="3"/>
    </row>
    <row r="3335" spans="12:38" x14ac:dyDescent="0.25">
      <c r="L3335" s="2"/>
      <c r="M3335" s="2"/>
      <c r="N3335" s="2"/>
      <c r="AD3335" s="3"/>
      <c r="AH3335" s="3"/>
      <c r="AL3335" s="3"/>
    </row>
    <row r="3336" spans="12:38" x14ac:dyDescent="0.25">
      <c r="L3336" s="2"/>
      <c r="M3336" s="2"/>
      <c r="N3336" s="2"/>
      <c r="AD3336" s="3"/>
      <c r="AH3336" s="3"/>
      <c r="AL3336" s="3"/>
    </row>
    <row r="3337" spans="12:38" x14ac:dyDescent="0.25">
      <c r="L3337" s="2"/>
      <c r="M3337" s="2"/>
      <c r="N3337" s="2"/>
      <c r="AD3337" s="3"/>
      <c r="AH3337" s="3"/>
      <c r="AL3337" s="3"/>
    </row>
    <row r="3338" spans="12:38" x14ac:dyDescent="0.25">
      <c r="L3338" s="2"/>
      <c r="M3338" s="2"/>
      <c r="N3338" s="2"/>
      <c r="AD3338" s="3"/>
      <c r="AH3338" s="3"/>
      <c r="AL3338" s="3"/>
    </row>
    <row r="3339" spans="12:38" x14ac:dyDescent="0.25">
      <c r="L3339" s="2"/>
      <c r="M3339" s="2"/>
      <c r="N3339" s="2"/>
      <c r="AD3339" s="3"/>
      <c r="AH3339" s="3"/>
      <c r="AL3339" s="3"/>
    </row>
    <row r="3340" spans="12:38" x14ac:dyDescent="0.25">
      <c r="L3340" s="2"/>
      <c r="M3340" s="2"/>
      <c r="N3340" s="2"/>
      <c r="AD3340" s="3"/>
      <c r="AH3340" s="3"/>
      <c r="AL3340" s="3"/>
    </row>
    <row r="3341" spans="12:38" x14ac:dyDescent="0.25">
      <c r="L3341" s="2"/>
      <c r="M3341" s="2"/>
      <c r="N3341" s="2"/>
      <c r="AD3341" s="3"/>
      <c r="AH3341" s="3"/>
      <c r="AL3341" s="3"/>
    </row>
    <row r="3342" spans="12:38" x14ac:dyDescent="0.25">
      <c r="L3342" s="2"/>
      <c r="M3342" s="2"/>
      <c r="N3342" s="2"/>
      <c r="AD3342" s="3"/>
      <c r="AH3342" s="3"/>
      <c r="AL3342" s="3"/>
    </row>
    <row r="3343" spans="12:38" x14ac:dyDescent="0.25">
      <c r="L3343" s="2"/>
      <c r="M3343" s="2"/>
      <c r="N3343" s="2"/>
      <c r="AD3343" s="3"/>
      <c r="AH3343" s="3"/>
      <c r="AL3343" s="3"/>
    </row>
    <row r="3344" spans="12:38" x14ac:dyDescent="0.25">
      <c r="L3344" s="2"/>
      <c r="M3344" s="2"/>
      <c r="N3344" s="2"/>
      <c r="AD3344" s="3"/>
      <c r="AH3344" s="3"/>
      <c r="AL3344" s="3"/>
    </row>
    <row r="3345" spans="12:38" x14ac:dyDescent="0.25">
      <c r="L3345" s="2"/>
      <c r="M3345" s="2"/>
      <c r="N3345" s="2"/>
      <c r="AD3345" s="3"/>
      <c r="AH3345" s="3"/>
      <c r="AL3345" s="3"/>
    </row>
    <row r="3346" spans="12:38" x14ac:dyDescent="0.25">
      <c r="L3346" s="2"/>
      <c r="M3346" s="2"/>
      <c r="N3346" s="2"/>
      <c r="AD3346" s="3"/>
      <c r="AH3346" s="3"/>
      <c r="AL3346" s="3"/>
    </row>
    <row r="3347" spans="12:38" x14ac:dyDescent="0.25">
      <c r="L3347" s="2"/>
      <c r="M3347" s="2"/>
      <c r="N3347" s="2"/>
      <c r="AD3347" s="3"/>
      <c r="AH3347" s="3"/>
      <c r="AL3347" s="3"/>
    </row>
    <row r="3348" spans="12:38" x14ac:dyDescent="0.25">
      <c r="L3348" s="2"/>
      <c r="M3348" s="2"/>
      <c r="N3348" s="2"/>
      <c r="AD3348" s="3"/>
      <c r="AH3348" s="3"/>
      <c r="AL3348" s="3"/>
    </row>
    <row r="3349" spans="12:38" x14ac:dyDescent="0.25">
      <c r="L3349" s="2"/>
      <c r="M3349" s="2"/>
      <c r="N3349" s="2"/>
      <c r="AD3349" s="3"/>
      <c r="AH3349" s="3"/>
      <c r="AL3349" s="3"/>
    </row>
    <row r="3350" spans="12:38" x14ac:dyDescent="0.25">
      <c r="L3350" s="2"/>
      <c r="M3350" s="2"/>
      <c r="N3350" s="2"/>
      <c r="AD3350" s="3"/>
      <c r="AH3350" s="3"/>
      <c r="AL3350" s="3"/>
    </row>
    <row r="3351" spans="12:38" x14ac:dyDescent="0.25">
      <c r="L3351" s="2"/>
      <c r="M3351" s="2"/>
      <c r="N3351" s="2"/>
      <c r="AD3351" s="3"/>
      <c r="AH3351" s="3"/>
      <c r="AL3351" s="3"/>
    </row>
    <row r="3352" spans="12:38" x14ac:dyDescent="0.25">
      <c r="L3352" s="2"/>
      <c r="M3352" s="2"/>
      <c r="N3352" s="2"/>
      <c r="AD3352" s="3"/>
      <c r="AH3352" s="3"/>
      <c r="AL3352" s="3"/>
    </row>
    <row r="3353" spans="12:38" x14ac:dyDescent="0.25">
      <c r="L3353" s="2"/>
      <c r="M3353" s="2"/>
      <c r="N3353" s="2"/>
      <c r="AD3353" s="3"/>
      <c r="AH3353" s="3"/>
      <c r="AL3353" s="3"/>
    </row>
    <row r="3354" spans="12:38" x14ac:dyDescent="0.25">
      <c r="L3354" s="2"/>
      <c r="M3354" s="2"/>
      <c r="N3354" s="2"/>
      <c r="AD3354" s="3"/>
      <c r="AH3354" s="3"/>
      <c r="AL3354" s="3"/>
    </row>
    <row r="3355" spans="12:38" x14ac:dyDescent="0.25">
      <c r="L3355" s="2"/>
      <c r="M3355" s="2"/>
      <c r="N3355" s="2"/>
      <c r="AD3355" s="3"/>
      <c r="AH3355" s="3"/>
      <c r="AL3355" s="3"/>
    </row>
    <row r="3356" spans="12:38" x14ac:dyDescent="0.25">
      <c r="L3356" s="2"/>
      <c r="M3356" s="2"/>
      <c r="N3356" s="2"/>
      <c r="AD3356" s="3"/>
      <c r="AH3356" s="3"/>
      <c r="AL3356" s="3"/>
    </row>
    <row r="3357" spans="12:38" x14ac:dyDescent="0.25">
      <c r="L3357" s="2"/>
      <c r="M3357" s="2"/>
      <c r="N3357" s="2"/>
      <c r="AD3357" s="3"/>
      <c r="AH3357" s="3"/>
      <c r="AL3357" s="3"/>
    </row>
    <row r="3358" spans="12:38" x14ac:dyDescent="0.25">
      <c r="L3358" s="2"/>
      <c r="M3358" s="2"/>
      <c r="N3358" s="2"/>
      <c r="AD3358" s="3"/>
      <c r="AH3358" s="3"/>
      <c r="AL3358" s="3"/>
    </row>
    <row r="3359" spans="12:38" x14ac:dyDescent="0.25">
      <c r="L3359" s="2"/>
      <c r="M3359" s="2"/>
      <c r="N3359" s="2"/>
      <c r="AD3359" s="3"/>
      <c r="AH3359" s="3"/>
      <c r="AL3359" s="3"/>
    </row>
    <row r="3360" spans="12:38" x14ac:dyDescent="0.25">
      <c r="L3360" s="2"/>
      <c r="M3360" s="2"/>
      <c r="N3360" s="2"/>
      <c r="AD3360" s="3"/>
      <c r="AH3360" s="3"/>
      <c r="AL3360" s="3"/>
    </row>
    <row r="3361" spans="12:38" x14ac:dyDescent="0.25">
      <c r="L3361" s="2"/>
      <c r="M3361" s="2"/>
      <c r="N3361" s="2"/>
      <c r="AD3361" s="3"/>
      <c r="AH3361" s="3"/>
      <c r="AL3361" s="3"/>
    </row>
    <row r="3362" spans="12:38" x14ac:dyDescent="0.25">
      <c r="L3362" s="2"/>
      <c r="M3362" s="2"/>
      <c r="N3362" s="2"/>
      <c r="AD3362" s="3"/>
      <c r="AH3362" s="3"/>
      <c r="AL3362" s="3"/>
    </row>
    <row r="3363" spans="12:38" x14ac:dyDescent="0.25">
      <c r="L3363" s="2"/>
      <c r="M3363" s="2"/>
      <c r="N3363" s="2"/>
      <c r="AD3363" s="3"/>
      <c r="AH3363" s="3"/>
      <c r="AL3363" s="3"/>
    </row>
    <row r="3364" spans="12:38" x14ac:dyDescent="0.25">
      <c r="L3364" s="2"/>
      <c r="M3364" s="2"/>
      <c r="N3364" s="2"/>
      <c r="AD3364" s="3"/>
      <c r="AH3364" s="3"/>
      <c r="AL3364" s="3"/>
    </row>
    <row r="3365" spans="12:38" x14ac:dyDescent="0.25">
      <c r="L3365" s="2"/>
      <c r="M3365" s="2"/>
      <c r="N3365" s="2"/>
      <c r="AD3365" s="3"/>
      <c r="AH3365" s="3"/>
      <c r="AL3365" s="3"/>
    </row>
    <row r="3366" spans="12:38" x14ac:dyDescent="0.25">
      <c r="L3366" s="2"/>
      <c r="M3366" s="2"/>
      <c r="N3366" s="2"/>
      <c r="AD3366" s="3"/>
      <c r="AH3366" s="3"/>
      <c r="AL3366" s="3"/>
    </row>
    <row r="3367" spans="12:38" x14ac:dyDescent="0.25">
      <c r="L3367" s="2"/>
      <c r="M3367" s="2"/>
      <c r="N3367" s="2"/>
      <c r="AD3367" s="3"/>
      <c r="AH3367" s="3"/>
      <c r="AL3367" s="3"/>
    </row>
    <row r="3368" spans="12:38" x14ac:dyDescent="0.25">
      <c r="L3368" s="2"/>
      <c r="M3368" s="2"/>
      <c r="N3368" s="2"/>
      <c r="AD3368" s="3"/>
      <c r="AH3368" s="3"/>
      <c r="AL3368" s="3"/>
    </row>
    <row r="3369" spans="12:38" x14ac:dyDescent="0.25">
      <c r="L3369" s="2"/>
      <c r="M3369" s="2"/>
      <c r="N3369" s="2"/>
      <c r="AD3369" s="3"/>
      <c r="AH3369" s="3"/>
      <c r="AL3369" s="3"/>
    </row>
    <row r="3370" spans="12:38" x14ac:dyDescent="0.25">
      <c r="L3370" s="2"/>
      <c r="M3370" s="2"/>
      <c r="N3370" s="2"/>
      <c r="AD3370" s="3"/>
      <c r="AH3370" s="3"/>
      <c r="AL3370" s="3"/>
    </row>
    <row r="3371" spans="12:38" x14ac:dyDescent="0.25">
      <c r="L3371" s="2"/>
      <c r="M3371" s="2"/>
      <c r="N3371" s="2"/>
      <c r="AD3371" s="3"/>
      <c r="AH3371" s="3"/>
      <c r="AL3371" s="3"/>
    </row>
    <row r="3372" spans="12:38" x14ac:dyDescent="0.25">
      <c r="L3372" s="2"/>
      <c r="M3372" s="2"/>
      <c r="N3372" s="2"/>
      <c r="AD3372" s="3"/>
      <c r="AH3372" s="3"/>
      <c r="AL3372" s="3"/>
    </row>
    <row r="3373" spans="12:38" x14ac:dyDescent="0.25">
      <c r="L3373" s="2"/>
      <c r="M3373" s="2"/>
      <c r="N3373" s="2"/>
      <c r="AD3373" s="3"/>
      <c r="AH3373" s="3"/>
      <c r="AL3373" s="3"/>
    </row>
    <row r="3374" spans="12:38" x14ac:dyDescent="0.25">
      <c r="L3374" s="2"/>
      <c r="M3374" s="2"/>
      <c r="N3374" s="2"/>
      <c r="AD3374" s="3"/>
      <c r="AH3374" s="3"/>
      <c r="AL3374" s="3"/>
    </row>
    <row r="3375" spans="12:38" x14ac:dyDescent="0.25">
      <c r="L3375" s="2"/>
      <c r="M3375" s="2"/>
      <c r="N3375" s="2"/>
      <c r="AD3375" s="3"/>
      <c r="AH3375" s="3"/>
      <c r="AL3375" s="3"/>
    </row>
    <row r="3376" spans="12:38" x14ac:dyDescent="0.25">
      <c r="L3376" s="2"/>
      <c r="M3376" s="2"/>
      <c r="N3376" s="2"/>
      <c r="AD3376" s="3"/>
      <c r="AH3376" s="3"/>
      <c r="AL3376" s="3"/>
    </row>
    <row r="3377" spans="12:38" x14ac:dyDescent="0.25">
      <c r="L3377" s="2"/>
      <c r="M3377" s="2"/>
      <c r="N3377" s="2"/>
      <c r="AD3377" s="3"/>
      <c r="AH3377" s="3"/>
      <c r="AL3377" s="3"/>
    </row>
    <row r="3378" spans="12:38" x14ac:dyDescent="0.25">
      <c r="L3378" s="2"/>
      <c r="M3378" s="2"/>
      <c r="N3378" s="2"/>
      <c r="AD3378" s="3"/>
      <c r="AH3378" s="3"/>
      <c r="AL3378" s="3"/>
    </row>
    <row r="3379" spans="12:38" x14ac:dyDescent="0.25">
      <c r="L3379" s="2"/>
      <c r="M3379" s="2"/>
      <c r="N3379" s="2"/>
      <c r="AD3379" s="3"/>
      <c r="AH3379" s="3"/>
      <c r="AL3379" s="3"/>
    </row>
    <row r="3380" spans="12:38" x14ac:dyDescent="0.25">
      <c r="L3380" s="2"/>
      <c r="M3380" s="2"/>
      <c r="N3380" s="2"/>
      <c r="AD3380" s="3"/>
      <c r="AH3380" s="3"/>
      <c r="AL3380" s="3"/>
    </row>
    <row r="3381" spans="12:38" x14ac:dyDescent="0.25">
      <c r="L3381" s="2"/>
      <c r="M3381" s="2"/>
      <c r="N3381" s="2"/>
      <c r="AD3381" s="3"/>
      <c r="AH3381" s="3"/>
      <c r="AL3381" s="3"/>
    </row>
    <row r="3382" spans="12:38" x14ac:dyDescent="0.25">
      <c r="L3382" s="2"/>
      <c r="M3382" s="2"/>
      <c r="N3382" s="2"/>
      <c r="AD3382" s="3"/>
      <c r="AH3382" s="3"/>
      <c r="AL3382" s="3"/>
    </row>
    <row r="3383" spans="12:38" x14ac:dyDescent="0.25">
      <c r="L3383" s="2"/>
      <c r="M3383" s="2"/>
      <c r="N3383" s="2"/>
      <c r="AD3383" s="3"/>
      <c r="AH3383" s="3"/>
      <c r="AL3383" s="3"/>
    </row>
    <row r="3384" spans="12:38" x14ac:dyDescent="0.25">
      <c r="L3384" s="2"/>
      <c r="M3384" s="2"/>
      <c r="N3384" s="2"/>
      <c r="AD3384" s="3"/>
      <c r="AH3384" s="3"/>
      <c r="AL3384" s="3"/>
    </row>
    <row r="3385" spans="12:38" x14ac:dyDescent="0.25">
      <c r="L3385" s="2"/>
      <c r="M3385" s="2"/>
      <c r="N3385" s="2"/>
      <c r="AD3385" s="3"/>
      <c r="AH3385" s="3"/>
      <c r="AL3385" s="3"/>
    </row>
    <row r="3386" spans="12:38" x14ac:dyDescent="0.25">
      <c r="L3386" s="2"/>
      <c r="M3386" s="2"/>
      <c r="N3386" s="2"/>
      <c r="AD3386" s="3"/>
      <c r="AH3386" s="3"/>
      <c r="AL3386" s="3"/>
    </row>
    <row r="3387" spans="12:38" x14ac:dyDescent="0.25">
      <c r="L3387" s="2"/>
      <c r="M3387" s="2"/>
      <c r="N3387" s="2"/>
      <c r="AD3387" s="3"/>
      <c r="AH3387" s="3"/>
      <c r="AL3387" s="3"/>
    </row>
    <row r="3388" spans="12:38" x14ac:dyDescent="0.25">
      <c r="L3388" s="2"/>
      <c r="M3388" s="2"/>
      <c r="N3388" s="2"/>
      <c r="AD3388" s="3"/>
      <c r="AH3388" s="3"/>
      <c r="AL3388" s="3"/>
    </row>
    <row r="3389" spans="12:38" x14ac:dyDescent="0.25">
      <c r="L3389" s="2"/>
      <c r="M3389" s="2"/>
      <c r="N3389" s="2"/>
      <c r="AD3389" s="3"/>
      <c r="AH3389" s="3"/>
      <c r="AL3389" s="3"/>
    </row>
    <row r="3390" spans="12:38" x14ac:dyDescent="0.25">
      <c r="L3390" s="2"/>
      <c r="M3390" s="2"/>
      <c r="N3390" s="2"/>
      <c r="AD3390" s="3"/>
      <c r="AH3390" s="3"/>
      <c r="AL3390" s="3"/>
    </row>
    <row r="3391" spans="12:38" x14ac:dyDescent="0.25">
      <c r="L3391" s="2"/>
      <c r="M3391" s="2"/>
      <c r="N3391" s="2"/>
      <c r="AD3391" s="3"/>
      <c r="AH3391" s="3"/>
      <c r="AL3391" s="3"/>
    </row>
    <row r="3392" spans="12:38" x14ac:dyDescent="0.25">
      <c r="L3392" s="2"/>
      <c r="M3392" s="2"/>
      <c r="N3392" s="2"/>
      <c r="AD3392" s="3"/>
      <c r="AH3392" s="3"/>
      <c r="AL3392" s="3"/>
    </row>
    <row r="3393" spans="12:38" x14ac:dyDescent="0.25">
      <c r="L3393" s="2"/>
      <c r="M3393" s="2"/>
      <c r="N3393" s="2"/>
      <c r="AD3393" s="3"/>
      <c r="AH3393" s="3"/>
      <c r="AL3393" s="3"/>
    </row>
    <row r="3394" spans="12:38" x14ac:dyDescent="0.25">
      <c r="L3394" s="2"/>
      <c r="M3394" s="2"/>
      <c r="N3394" s="2"/>
      <c r="AD3394" s="3"/>
      <c r="AH3394" s="3"/>
      <c r="AL3394" s="3"/>
    </row>
    <row r="3395" spans="12:38" x14ac:dyDescent="0.25">
      <c r="L3395" s="2"/>
      <c r="M3395" s="2"/>
      <c r="N3395" s="2"/>
      <c r="AD3395" s="3"/>
      <c r="AH3395" s="3"/>
      <c r="AL3395" s="3"/>
    </row>
    <row r="3396" spans="12:38" x14ac:dyDescent="0.25">
      <c r="L3396" s="2"/>
      <c r="M3396" s="2"/>
      <c r="N3396" s="2"/>
      <c r="AD3396" s="3"/>
      <c r="AH3396" s="3"/>
      <c r="AL3396" s="3"/>
    </row>
    <row r="3397" spans="12:38" x14ac:dyDescent="0.25">
      <c r="L3397" s="2"/>
      <c r="M3397" s="2"/>
      <c r="N3397" s="2"/>
      <c r="AD3397" s="3"/>
      <c r="AH3397" s="3"/>
      <c r="AL3397" s="3"/>
    </row>
    <row r="3398" spans="12:38" x14ac:dyDescent="0.25">
      <c r="L3398" s="2"/>
      <c r="M3398" s="2"/>
      <c r="N3398" s="2"/>
      <c r="AD3398" s="3"/>
      <c r="AH3398" s="3"/>
      <c r="AL3398" s="3"/>
    </row>
    <row r="3399" spans="12:38" x14ac:dyDescent="0.25">
      <c r="L3399" s="2"/>
      <c r="M3399" s="2"/>
      <c r="N3399" s="2"/>
      <c r="AD3399" s="3"/>
      <c r="AH3399" s="3"/>
      <c r="AL3399" s="3"/>
    </row>
    <row r="3400" spans="12:38" x14ac:dyDescent="0.25">
      <c r="L3400" s="2"/>
      <c r="M3400" s="2"/>
      <c r="N3400" s="2"/>
      <c r="AD3400" s="3"/>
      <c r="AH3400" s="3"/>
      <c r="AL3400" s="3"/>
    </row>
    <row r="3401" spans="12:38" x14ac:dyDescent="0.25">
      <c r="L3401" s="2"/>
      <c r="M3401" s="2"/>
      <c r="N3401" s="2"/>
      <c r="AD3401" s="3"/>
      <c r="AH3401" s="3"/>
      <c r="AL3401" s="3"/>
    </row>
    <row r="3402" spans="12:38" x14ac:dyDescent="0.25">
      <c r="L3402" s="2"/>
      <c r="M3402" s="2"/>
      <c r="N3402" s="2"/>
      <c r="AD3402" s="3"/>
      <c r="AH3402" s="3"/>
      <c r="AL3402" s="3"/>
    </row>
    <row r="3403" spans="12:38" x14ac:dyDescent="0.25">
      <c r="L3403" s="2"/>
      <c r="M3403" s="2"/>
      <c r="N3403" s="2"/>
      <c r="AD3403" s="3"/>
      <c r="AH3403" s="3"/>
      <c r="AL3403" s="3"/>
    </row>
    <row r="3404" spans="12:38" x14ac:dyDescent="0.25">
      <c r="L3404" s="2"/>
      <c r="M3404" s="2"/>
      <c r="N3404" s="2"/>
      <c r="AD3404" s="3"/>
      <c r="AH3404" s="3"/>
      <c r="AL3404" s="3"/>
    </row>
    <row r="3405" spans="12:38" x14ac:dyDescent="0.25">
      <c r="L3405" s="2"/>
      <c r="M3405" s="2"/>
      <c r="N3405" s="2"/>
      <c r="AD3405" s="3"/>
      <c r="AH3405" s="3"/>
      <c r="AL3405" s="3"/>
    </row>
    <row r="3406" spans="12:38" x14ac:dyDescent="0.25">
      <c r="L3406" s="2"/>
      <c r="M3406" s="2"/>
      <c r="N3406" s="2"/>
      <c r="AD3406" s="3"/>
      <c r="AH3406" s="3"/>
      <c r="AL3406" s="3"/>
    </row>
    <row r="3407" spans="12:38" x14ac:dyDescent="0.25">
      <c r="L3407" s="2"/>
      <c r="M3407" s="2"/>
      <c r="N3407" s="2"/>
      <c r="AD3407" s="3"/>
      <c r="AH3407" s="3"/>
      <c r="AL3407" s="3"/>
    </row>
    <row r="3408" spans="12:38" x14ac:dyDescent="0.25">
      <c r="L3408" s="2"/>
      <c r="M3408" s="2"/>
      <c r="N3408" s="2"/>
      <c r="AD3408" s="3"/>
      <c r="AH3408" s="3"/>
      <c r="AL3408" s="3"/>
    </row>
    <row r="3409" spans="12:38" x14ac:dyDescent="0.25">
      <c r="L3409" s="2"/>
      <c r="M3409" s="2"/>
      <c r="N3409" s="2"/>
      <c r="AD3409" s="3"/>
      <c r="AH3409" s="3"/>
      <c r="AL3409" s="3"/>
    </row>
    <row r="3410" spans="12:38" x14ac:dyDescent="0.25">
      <c r="L3410" s="2"/>
      <c r="M3410" s="2"/>
      <c r="N3410" s="2"/>
      <c r="AD3410" s="3"/>
      <c r="AH3410" s="3"/>
      <c r="AL3410" s="3"/>
    </row>
    <row r="3411" spans="12:38" x14ac:dyDescent="0.25">
      <c r="L3411" s="2"/>
      <c r="M3411" s="2"/>
      <c r="N3411" s="2"/>
      <c r="AD3411" s="3"/>
      <c r="AH3411" s="3"/>
      <c r="AL3411" s="3"/>
    </row>
    <row r="3412" spans="12:38" x14ac:dyDescent="0.25">
      <c r="L3412" s="2"/>
      <c r="M3412" s="2"/>
      <c r="N3412" s="2"/>
      <c r="AD3412" s="3"/>
      <c r="AH3412" s="3"/>
      <c r="AL3412" s="3"/>
    </row>
    <row r="3413" spans="12:38" x14ac:dyDescent="0.25">
      <c r="L3413" s="2"/>
      <c r="M3413" s="2"/>
      <c r="N3413" s="2"/>
      <c r="AD3413" s="3"/>
      <c r="AH3413" s="3"/>
      <c r="AL3413" s="3"/>
    </row>
    <row r="3414" spans="12:38" x14ac:dyDescent="0.25">
      <c r="L3414" s="2"/>
      <c r="M3414" s="2"/>
      <c r="N3414" s="2"/>
      <c r="AD3414" s="3"/>
      <c r="AH3414" s="3"/>
      <c r="AL3414" s="3"/>
    </row>
    <row r="3415" spans="12:38" x14ac:dyDescent="0.25">
      <c r="L3415" s="2"/>
      <c r="M3415" s="2"/>
      <c r="N3415" s="2"/>
      <c r="AD3415" s="3"/>
      <c r="AH3415" s="3"/>
      <c r="AL3415" s="3"/>
    </row>
    <row r="3416" spans="12:38" x14ac:dyDescent="0.25">
      <c r="L3416" s="2"/>
      <c r="M3416" s="2"/>
      <c r="N3416" s="2"/>
      <c r="AD3416" s="3"/>
      <c r="AH3416" s="3"/>
      <c r="AL3416" s="3"/>
    </row>
    <row r="3417" spans="12:38" x14ac:dyDescent="0.25">
      <c r="L3417" s="2"/>
      <c r="M3417" s="2"/>
      <c r="N3417" s="2"/>
      <c r="AD3417" s="3"/>
      <c r="AH3417" s="3"/>
      <c r="AL3417" s="3"/>
    </row>
    <row r="3418" spans="12:38" x14ac:dyDescent="0.25">
      <c r="L3418" s="2"/>
      <c r="M3418" s="2"/>
      <c r="N3418" s="2"/>
      <c r="AD3418" s="3"/>
      <c r="AH3418" s="3"/>
      <c r="AL3418" s="3"/>
    </row>
    <row r="3419" spans="12:38" x14ac:dyDescent="0.25">
      <c r="L3419" s="2"/>
      <c r="M3419" s="2"/>
      <c r="N3419" s="2"/>
      <c r="AD3419" s="3"/>
      <c r="AH3419" s="3"/>
      <c r="AL3419" s="3"/>
    </row>
    <row r="3420" spans="12:38" x14ac:dyDescent="0.25">
      <c r="L3420" s="2"/>
      <c r="M3420" s="2"/>
      <c r="N3420" s="2"/>
      <c r="AD3420" s="3"/>
      <c r="AH3420" s="3"/>
      <c r="AL3420" s="3"/>
    </row>
    <row r="3421" spans="12:38" x14ac:dyDescent="0.25">
      <c r="L3421" s="2"/>
      <c r="M3421" s="2"/>
      <c r="N3421" s="2"/>
      <c r="AD3421" s="3"/>
      <c r="AH3421" s="3"/>
      <c r="AL3421" s="3"/>
    </row>
    <row r="3422" spans="12:38" x14ac:dyDescent="0.25">
      <c r="L3422" s="2"/>
      <c r="M3422" s="2"/>
      <c r="N3422" s="2"/>
      <c r="AD3422" s="3"/>
      <c r="AH3422" s="3"/>
      <c r="AL3422" s="3"/>
    </row>
    <row r="3423" spans="12:38" x14ac:dyDescent="0.25">
      <c r="L3423" s="2"/>
      <c r="M3423" s="2"/>
      <c r="N3423" s="2"/>
      <c r="AD3423" s="3"/>
      <c r="AH3423" s="3"/>
      <c r="AL3423" s="3"/>
    </row>
    <row r="3424" spans="12:38" x14ac:dyDescent="0.25">
      <c r="L3424" s="2"/>
      <c r="M3424" s="2"/>
      <c r="N3424" s="2"/>
      <c r="AD3424" s="3"/>
      <c r="AH3424" s="3"/>
      <c r="AL3424" s="3"/>
    </row>
    <row r="3425" spans="12:38" x14ac:dyDescent="0.25">
      <c r="L3425" s="2"/>
      <c r="M3425" s="2"/>
      <c r="N3425" s="2"/>
      <c r="AD3425" s="3"/>
      <c r="AH3425" s="3"/>
      <c r="AL3425" s="3"/>
    </row>
    <row r="3426" spans="12:38" x14ac:dyDescent="0.25">
      <c r="L3426" s="2"/>
      <c r="M3426" s="2"/>
      <c r="N3426" s="2"/>
      <c r="AD3426" s="3"/>
      <c r="AH3426" s="3"/>
      <c r="AL3426" s="3"/>
    </row>
    <row r="3427" spans="12:38" x14ac:dyDescent="0.25">
      <c r="L3427" s="2"/>
      <c r="M3427" s="2"/>
      <c r="N3427" s="2"/>
      <c r="AD3427" s="3"/>
      <c r="AH3427" s="3"/>
      <c r="AL3427" s="3"/>
    </row>
    <row r="3428" spans="12:38" x14ac:dyDescent="0.25">
      <c r="L3428" s="2"/>
      <c r="M3428" s="2"/>
      <c r="N3428" s="2"/>
      <c r="AD3428" s="3"/>
      <c r="AH3428" s="3"/>
      <c r="AL3428" s="3"/>
    </row>
    <row r="3429" spans="12:38" x14ac:dyDescent="0.25">
      <c r="L3429" s="2"/>
      <c r="M3429" s="2"/>
      <c r="N3429" s="2"/>
      <c r="AD3429" s="3"/>
      <c r="AH3429" s="3"/>
      <c r="AL3429" s="3"/>
    </row>
    <row r="3430" spans="12:38" x14ac:dyDescent="0.25">
      <c r="L3430" s="2"/>
      <c r="M3430" s="2"/>
      <c r="N3430" s="2"/>
      <c r="AD3430" s="3"/>
      <c r="AH3430" s="3"/>
      <c r="AL3430" s="3"/>
    </row>
    <row r="3431" spans="12:38" x14ac:dyDescent="0.25">
      <c r="L3431" s="2"/>
      <c r="M3431" s="2"/>
      <c r="N3431" s="2"/>
      <c r="AD3431" s="3"/>
      <c r="AH3431" s="3"/>
      <c r="AL3431" s="3"/>
    </row>
    <row r="3432" spans="12:38" x14ac:dyDescent="0.25">
      <c r="L3432" s="2"/>
      <c r="M3432" s="2"/>
      <c r="N3432" s="2"/>
      <c r="AD3432" s="3"/>
      <c r="AH3432" s="3"/>
      <c r="AL3432" s="3"/>
    </row>
    <row r="3433" spans="12:38" x14ac:dyDescent="0.25">
      <c r="L3433" s="2"/>
      <c r="M3433" s="2"/>
      <c r="N3433" s="2"/>
      <c r="AD3433" s="3"/>
      <c r="AH3433" s="3"/>
      <c r="AL3433" s="3"/>
    </row>
    <row r="3434" spans="12:38" x14ac:dyDescent="0.25">
      <c r="L3434" s="2"/>
      <c r="M3434" s="2"/>
      <c r="N3434" s="2"/>
      <c r="AD3434" s="3"/>
      <c r="AH3434" s="3"/>
      <c r="AL3434" s="3"/>
    </row>
    <row r="3435" spans="12:38" x14ac:dyDescent="0.25">
      <c r="L3435" s="2"/>
      <c r="M3435" s="2"/>
      <c r="N3435" s="2"/>
      <c r="AD3435" s="3"/>
      <c r="AH3435" s="3"/>
      <c r="AL3435" s="3"/>
    </row>
    <row r="3436" spans="12:38" x14ac:dyDescent="0.25">
      <c r="L3436" s="2"/>
      <c r="M3436" s="2"/>
      <c r="N3436" s="2"/>
      <c r="AD3436" s="3"/>
      <c r="AH3436" s="3"/>
      <c r="AL3436" s="3"/>
    </row>
    <row r="3437" spans="12:38" x14ac:dyDescent="0.25">
      <c r="L3437" s="2"/>
      <c r="M3437" s="2"/>
      <c r="N3437" s="2"/>
      <c r="AD3437" s="3"/>
      <c r="AH3437" s="3"/>
      <c r="AL3437" s="3"/>
    </row>
    <row r="3438" spans="12:38" x14ac:dyDescent="0.25">
      <c r="L3438" s="2"/>
      <c r="M3438" s="2"/>
      <c r="N3438" s="2"/>
      <c r="AD3438" s="3"/>
      <c r="AH3438" s="3"/>
      <c r="AL3438" s="3"/>
    </row>
    <row r="3439" spans="12:38" x14ac:dyDescent="0.25">
      <c r="L3439" s="2"/>
      <c r="M3439" s="2"/>
      <c r="N3439" s="2"/>
      <c r="AD3439" s="3"/>
      <c r="AH3439" s="3"/>
      <c r="AL3439" s="3"/>
    </row>
    <row r="3440" spans="12:38" x14ac:dyDescent="0.25">
      <c r="L3440" s="2"/>
      <c r="M3440" s="2"/>
      <c r="N3440" s="2"/>
      <c r="AD3440" s="3"/>
      <c r="AH3440" s="3"/>
      <c r="AL3440" s="3"/>
    </row>
    <row r="3441" spans="12:38" x14ac:dyDescent="0.25">
      <c r="L3441" s="2"/>
      <c r="M3441" s="2"/>
      <c r="N3441" s="2"/>
      <c r="AD3441" s="3"/>
      <c r="AH3441" s="3"/>
      <c r="AL3441" s="3"/>
    </row>
    <row r="3442" spans="12:38" x14ac:dyDescent="0.25">
      <c r="L3442" s="2"/>
      <c r="M3442" s="2"/>
      <c r="N3442" s="2"/>
      <c r="AD3442" s="3"/>
      <c r="AH3442" s="3"/>
      <c r="AL3442" s="3"/>
    </row>
    <row r="3443" spans="12:38" x14ac:dyDescent="0.25">
      <c r="L3443" s="2"/>
      <c r="M3443" s="2"/>
      <c r="N3443" s="2"/>
      <c r="AD3443" s="3"/>
      <c r="AH3443" s="3"/>
      <c r="AL3443" s="3"/>
    </row>
    <row r="3444" spans="12:38" x14ac:dyDescent="0.25">
      <c r="L3444" s="2"/>
      <c r="M3444" s="2"/>
      <c r="N3444" s="2"/>
      <c r="AD3444" s="3"/>
      <c r="AH3444" s="3"/>
      <c r="AL3444" s="3"/>
    </row>
    <row r="3445" spans="12:38" x14ac:dyDescent="0.25">
      <c r="L3445" s="2"/>
      <c r="M3445" s="2"/>
      <c r="N3445" s="2"/>
      <c r="AD3445" s="3"/>
      <c r="AH3445" s="3"/>
      <c r="AL3445" s="3"/>
    </row>
    <row r="3446" spans="12:38" x14ac:dyDescent="0.25">
      <c r="L3446" s="2"/>
      <c r="M3446" s="2"/>
      <c r="N3446" s="2"/>
      <c r="AD3446" s="3"/>
      <c r="AH3446" s="3"/>
      <c r="AL3446" s="3"/>
    </row>
    <row r="3447" spans="12:38" x14ac:dyDescent="0.25">
      <c r="L3447" s="2"/>
      <c r="M3447" s="2"/>
      <c r="N3447" s="2"/>
      <c r="AD3447" s="3"/>
      <c r="AH3447" s="3"/>
      <c r="AL3447" s="3"/>
    </row>
    <row r="3448" spans="12:38" x14ac:dyDescent="0.25">
      <c r="L3448" s="2"/>
      <c r="M3448" s="2"/>
      <c r="N3448" s="2"/>
      <c r="AD3448" s="3"/>
      <c r="AH3448" s="3"/>
      <c r="AL3448" s="3"/>
    </row>
    <row r="3449" spans="12:38" x14ac:dyDescent="0.25">
      <c r="L3449" s="2"/>
      <c r="M3449" s="2"/>
      <c r="N3449" s="2"/>
      <c r="AD3449" s="3"/>
      <c r="AH3449" s="3"/>
      <c r="AL3449" s="3"/>
    </row>
    <row r="3450" spans="12:38" x14ac:dyDescent="0.25">
      <c r="L3450" s="2"/>
      <c r="M3450" s="2"/>
      <c r="N3450" s="2"/>
      <c r="AD3450" s="3"/>
      <c r="AH3450" s="3"/>
      <c r="AL3450" s="3"/>
    </row>
    <row r="3451" spans="12:38" x14ac:dyDescent="0.25">
      <c r="L3451" s="2"/>
      <c r="M3451" s="2"/>
      <c r="N3451" s="2"/>
      <c r="AD3451" s="3"/>
      <c r="AH3451" s="3"/>
      <c r="AL3451" s="3"/>
    </row>
    <row r="3452" spans="12:38" x14ac:dyDescent="0.25">
      <c r="L3452" s="2"/>
      <c r="M3452" s="2"/>
      <c r="N3452" s="2"/>
      <c r="AD3452" s="3"/>
      <c r="AH3452" s="3"/>
      <c r="AL3452" s="3"/>
    </row>
    <row r="3453" spans="12:38" x14ac:dyDescent="0.25">
      <c r="L3453" s="2"/>
      <c r="M3453" s="2"/>
      <c r="N3453" s="2"/>
      <c r="AD3453" s="3"/>
      <c r="AH3453" s="3"/>
      <c r="AL3453" s="3"/>
    </row>
    <row r="3454" spans="12:38" x14ac:dyDescent="0.25">
      <c r="L3454" s="2"/>
      <c r="M3454" s="2"/>
      <c r="N3454" s="2"/>
      <c r="AD3454" s="3"/>
      <c r="AH3454" s="3"/>
      <c r="AL3454" s="3"/>
    </row>
    <row r="3455" spans="12:38" x14ac:dyDescent="0.25">
      <c r="L3455" s="2"/>
      <c r="M3455" s="2"/>
      <c r="N3455" s="2"/>
      <c r="AD3455" s="3"/>
      <c r="AH3455" s="3"/>
      <c r="AL3455" s="3"/>
    </row>
    <row r="3456" spans="12:38" x14ac:dyDescent="0.25">
      <c r="L3456" s="2"/>
      <c r="M3456" s="2"/>
      <c r="N3456" s="2"/>
      <c r="AD3456" s="3"/>
      <c r="AH3456" s="3"/>
      <c r="AL3456" s="3"/>
    </row>
    <row r="3457" spans="12:38" x14ac:dyDescent="0.25">
      <c r="L3457" s="2"/>
      <c r="M3457" s="2"/>
      <c r="N3457" s="2"/>
      <c r="AD3457" s="3"/>
      <c r="AH3457" s="3"/>
      <c r="AL3457" s="3"/>
    </row>
    <row r="3458" spans="12:38" x14ac:dyDescent="0.25">
      <c r="L3458" s="2"/>
      <c r="M3458" s="2"/>
      <c r="N3458" s="2"/>
      <c r="AD3458" s="3"/>
      <c r="AH3458" s="3"/>
      <c r="AL3458" s="3"/>
    </row>
    <row r="3459" spans="12:38" x14ac:dyDescent="0.25">
      <c r="L3459" s="2"/>
      <c r="M3459" s="2"/>
      <c r="N3459" s="2"/>
      <c r="AD3459" s="3"/>
      <c r="AH3459" s="3"/>
      <c r="AL3459" s="3"/>
    </row>
    <row r="3460" spans="12:38" x14ac:dyDescent="0.25">
      <c r="L3460" s="2"/>
      <c r="M3460" s="2"/>
      <c r="N3460" s="2"/>
      <c r="AD3460" s="3"/>
      <c r="AH3460" s="3"/>
      <c r="AL3460" s="3"/>
    </row>
    <row r="3461" spans="12:38" x14ac:dyDescent="0.25">
      <c r="L3461" s="2"/>
      <c r="M3461" s="2"/>
      <c r="N3461" s="2"/>
      <c r="AD3461" s="3"/>
      <c r="AH3461" s="3"/>
      <c r="AL3461" s="3"/>
    </row>
    <row r="3462" spans="12:38" x14ac:dyDescent="0.25">
      <c r="L3462" s="2"/>
      <c r="M3462" s="2"/>
      <c r="N3462" s="2"/>
      <c r="AD3462" s="3"/>
      <c r="AH3462" s="3"/>
      <c r="AL3462" s="3"/>
    </row>
    <row r="3463" spans="12:38" x14ac:dyDescent="0.25">
      <c r="L3463" s="2"/>
      <c r="M3463" s="2"/>
      <c r="N3463" s="2"/>
      <c r="AD3463" s="3"/>
      <c r="AH3463" s="3"/>
      <c r="AL3463" s="3"/>
    </row>
    <row r="3464" spans="12:38" x14ac:dyDescent="0.25">
      <c r="L3464" s="2"/>
      <c r="M3464" s="2"/>
      <c r="N3464" s="2"/>
      <c r="AD3464" s="3"/>
      <c r="AH3464" s="3"/>
      <c r="AL3464" s="3"/>
    </row>
    <row r="3465" spans="12:38" x14ac:dyDescent="0.25">
      <c r="L3465" s="2"/>
      <c r="M3465" s="2"/>
      <c r="N3465" s="2"/>
      <c r="AD3465" s="3"/>
      <c r="AH3465" s="3"/>
      <c r="AL3465" s="3"/>
    </row>
    <row r="3466" spans="12:38" x14ac:dyDescent="0.25">
      <c r="L3466" s="2"/>
      <c r="M3466" s="2"/>
      <c r="N3466" s="2"/>
      <c r="AD3466" s="3"/>
      <c r="AH3466" s="3"/>
      <c r="AL3466" s="3"/>
    </row>
    <row r="3467" spans="12:38" x14ac:dyDescent="0.25">
      <c r="L3467" s="2"/>
      <c r="M3467" s="2"/>
      <c r="N3467" s="2"/>
      <c r="AD3467" s="3"/>
      <c r="AH3467" s="3"/>
      <c r="AL3467" s="3"/>
    </row>
    <row r="3468" spans="12:38" x14ac:dyDescent="0.25">
      <c r="L3468" s="2"/>
      <c r="M3468" s="2"/>
      <c r="N3468" s="2"/>
      <c r="AD3468" s="3"/>
      <c r="AH3468" s="3"/>
      <c r="AL3468" s="3"/>
    </row>
    <row r="3469" spans="12:38" x14ac:dyDescent="0.25">
      <c r="L3469" s="2"/>
      <c r="M3469" s="2"/>
      <c r="N3469" s="2"/>
      <c r="AD3469" s="3"/>
      <c r="AH3469" s="3"/>
      <c r="AL3469" s="3"/>
    </row>
    <row r="3470" spans="12:38" x14ac:dyDescent="0.25">
      <c r="L3470" s="2"/>
      <c r="M3470" s="2"/>
      <c r="N3470" s="2"/>
      <c r="AD3470" s="3"/>
      <c r="AH3470" s="3"/>
      <c r="AL3470" s="3"/>
    </row>
    <row r="3471" spans="12:38" x14ac:dyDescent="0.25">
      <c r="L3471" s="2"/>
      <c r="M3471" s="2"/>
      <c r="N3471" s="2"/>
      <c r="AD3471" s="3"/>
      <c r="AH3471" s="3"/>
      <c r="AL3471" s="3"/>
    </row>
    <row r="3472" spans="12:38" x14ac:dyDescent="0.25">
      <c r="L3472" s="2"/>
      <c r="M3472" s="2"/>
      <c r="N3472" s="2"/>
      <c r="AD3472" s="3"/>
      <c r="AH3472" s="3"/>
      <c r="AL3472" s="3"/>
    </row>
    <row r="3473" spans="12:38" x14ac:dyDescent="0.25">
      <c r="L3473" s="2"/>
      <c r="M3473" s="2"/>
      <c r="N3473" s="2"/>
      <c r="AD3473" s="3"/>
      <c r="AH3473" s="3"/>
      <c r="AL3473" s="3"/>
    </row>
    <row r="3474" spans="12:38" x14ac:dyDescent="0.25">
      <c r="L3474" s="2"/>
      <c r="M3474" s="2"/>
      <c r="N3474" s="2"/>
      <c r="AD3474" s="3"/>
      <c r="AH3474" s="3"/>
      <c r="AL3474" s="3"/>
    </row>
    <row r="3475" spans="12:38" x14ac:dyDescent="0.25">
      <c r="L3475" s="2"/>
      <c r="M3475" s="2"/>
      <c r="N3475" s="2"/>
      <c r="AD3475" s="3"/>
      <c r="AH3475" s="3"/>
      <c r="AL3475" s="3"/>
    </row>
    <row r="3476" spans="12:38" x14ac:dyDescent="0.25">
      <c r="L3476" s="2"/>
      <c r="M3476" s="2"/>
      <c r="N3476" s="2"/>
      <c r="AD3476" s="3"/>
      <c r="AH3476" s="3"/>
      <c r="AL3476" s="3"/>
    </row>
    <row r="3477" spans="12:38" x14ac:dyDescent="0.25">
      <c r="L3477" s="2"/>
      <c r="M3477" s="2"/>
      <c r="N3477" s="2"/>
      <c r="AD3477" s="3"/>
      <c r="AH3477" s="3"/>
      <c r="AL3477" s="3"/>
    </row>
    <row r="3478" spans="12:38" x14ac:dyDescent="0.25">
      <c r="L3478" s="2"/>
      <c r="M3478" s="2"/>
      <c r="N3478" s="2"/>
      <c r="AD3478" s="3"/>
      <c r="AH3478" s="3"/>
      <c r="AL3478" s="3"/>
    </row>
    <row r="3479" spans="12:38" x14ac:dyDescent="0.25">
      <c r="L3479" s="2"/>
      <c r="M3479" s="2"/>
      <c r="N3479" s="2"/>
      <c r="AD3479" s="3"/>
      <c r="AH3479" s="3"/>
      <c r="AL3479" s="3"/>
    </row>
    <row r="3480" spans="12:38" x14ac:dyDescent="0.25">
      <c r="L3480" s="2"/>
      <c r="M3480" s="2"/>
      <c r="N3480" s="2"/>
      <c r="AD3480" s="3"/>
      <c r="AH3480" s="3"/>
      <c r="AL3480" s="3"/>
    </row>
    <row r="3481" spans="12:38" x14ac:dyDescent="0.25">
      <c r="L3481" s="2"/>
      <c r="M3481" s="2"/>
      <c r="N3481" s="2"/>
      <c r="AD3481" s="3"/>
      <c r="AH3481" s="3"/>
      <c r="AL3481" s="3"/>
    </row>
    <row r="3482" spans="12:38" x14ac:dyDescent="0.25">
      <c r="L3482" s="2"/>
      <c r="M3482" s="2"/>
      <c r="N3482" s="2"/>
      <c r="AD3482" s="3"/>
      <c r="AH3482" s="3"/>
      <c r="AL3482" s="3"/>
    </row>
    <row r="3483" spans="12:38" x14ac:dyDescent="0.25">
      <c r="L3483" s="2"/>
      <c r="M3483" s="2"/>
      <c r="N3483" s="2"/>
      <c r="AD3483" s="3"/>
      <c r="AH3483" s="3"/>
      <c r="AL3483" s="3"/>
    </row>
    <row r="3484" spans="12:38" x14ac:dyDescent="0.25">
      <c r="L3484" s="2"/>
      <c r="M3484" s="2"/>
      <c r="N3484" s="2"/>
      <c r="AD3484" s="3"/>
      <c r="AH3484" s="3"/>
      <c r="AL3484" s="3"/>
    </row>
    <row r="3485" spans="12:38" x14ac:dyDescent="0.25">
      <c r="L3485" s="2"/>
      <c r="M3485" s="2"/>
      <c r="N3485" s="2"/>
      <c r="AD3485" s="3"/>
      <c r="AH3485" s="3"/>
      <c r="AL3485" s="3"/>
    </row>
    <row r="3486" spans="12:38" x14ac:dyDescent="0.25">
      <c r="L3486" s="2"/>
      <c r="M3486" s="2"/>
      <c r="N3486" s="2"/>
      <c r="AD3486" s="3"/>
      <c r="AH3486" s="3"/>
      <c r="AL3486" s="3"/>
    </row>
    <row r="3487" spans="12:38" x14ac:dyDescent="0.25">
      <c r="L3487" s="2"/>
      <c r="M3487" s="2"/>
      <c r="N3487" s="2"/>
      <c r="AD3487" s="3"/>
      <c r="AH3487" s="3"/>
      <c r="AL3487" s="3"/>
    </row>
    <row r="3488" spans="12:38" x14ac:dyDescent="0.25">
      <c r="L3488" s="2"/>
      <c r="M3488" s="2"/>
      <c r="N3488" s="2"/>
      <c r="AD3488" s="3"/>
      <c r="AH3488" s="3"/>
      <c r="AL3488" s="3"/>
    </row>
    <row r="3489" spans="12:38" x14ac:dyDescent="0.25">
      <c r="L3489" s="2"/>
      <c r="M3489" s="2"/>
      <c r="N3489" s="2"/>
      <c r="AD3489" s="3"/>
      <c r="AH3489" s="3"/>
      <c r="AL3489" s="3"/>
    </row>
    <row r="3490" spans="12:38" x14ac:dyDescent="0.25">
      <c r="L3490" s="2"/>
      <c r="M3490" s="2"/>
      <c r="N3490" s="2"/>
      <c r="AD3490" s="3"/>
      <c r="AH3490" s="3"/>
      <c r="AL3490" s="3"/>
    </row>
    <row r="3491" spans="12:38" x14ac:dyDescent="0.25">
      <c r="L3491" s="2"/>
      <c r="M3491" s="2"/>
      <c r="N3491" s="2"/>
      <c r="AD3491" s="3"/>
      <c r="AH3491" s="3"/>
      <c r="AL3491" s="3"/>
    </row>
    <row r="3492" spans="12:38" x14ac:dyDescent="0.25">
      <c r="L3492" s="2"/>
      <c r="M3492" s="2"/>
      <c r="N3492" s="2"/>
      <c r="AD3492" s="3"/>
      <c r="AH3492" s="3"/>
      <c r="AL3492" s="3"/>
    </row>
    <row r="3493" spans="12:38" x14ac:dyDescent="0.25">
      <c r="L3493" s="2"/>
      <c r="M3493" s="2"/>
      <c r="N3493" s="2"/>
      <c r="AD3493" s="3"/>
      <c r="AH3493" s="3"/>
      <c r="AL3493" s="3"/>
    </row>
    <row r="3494" spans="12:38" x14ac:dyDescent="0.25">
      <c r="L3494" s="2"/>
      <c r="M3494" s="2"/>
      <c r="N3494" s="2"/>
      <c r="AD3494" s="3"/>
      <c r="AH3494" s="3"/>
      <c r="AL3494" s="3"/>
    </row>
    <row r="3495" spans="12:38" x14ac:dyDescent="0.25">
      <c r="L3495" s="2"/>
      <c r="M3495" s="2"/>
      <c r="N3495" s="2"/>
      <c r="AD3495" s="3"/>
      <c r="AH3495" s="3"/>
      <c r="AL3495" s="3"/>
    </row>
    <row r="3496" spans="12:38" x14ac:dyDescent="0.25">
      <c r="L3496" s="2"/>
      <c r="M3496" s="2"/>
      <c r="N3496" s="2"/>
      <c r="AD3496" s="3"/>
      <c r="AH3496" s="3"/>
      <c r="AL3496" s="3"/>
    </row>
    <row r="3497" spans="12:38" x14ac:dyDescent="0.25">
      <c r="L3497" s="2"/>
      <c r="M3497" s="2"/>
      <c r="N3497" s="2"/>
      <c r="AD3497" s="3"/>
      <c r="AH3497" s="3"/>
      <c r="AL3497" s="3"/>
    </row>
    <row r="3498" spans="12:38" x14ac:dyDescent="0.25">
      <c r="L3498" s="2"/>
      <c r="M3498" s="2"/>
      <c r="N3498" s="2"/>
      <c r="AD3498" s="3"/>
      <c r="AH3498" s="3"/>
      <c r="AL3498" s="3"/>
    </row>
    <row r="3499" spans="12:38" x14ac:dyDescent="0.25">
      <c r="L3499" s="2"/>
      <c r="M3499" s="2"/>
      <c r="N3499" s="2"/>
      <c r="AD3499" s="3"/>
      <c r="AH3499" s="3"/>
      <c r="AL3499" s="3"/>
    </row>
    <row r="3500" spans="12:38" x14ac:dyDescent="0.25">
      <c r="L3500" s="2"/>
      <c r="M3500" s="2"/>
      <c r="N3500" s="2"/>
      <c r="AD3500" s="3"/>
      <c r="AH3500" s="3"/>
      <c r="AL3500" s="3"/>
    </row>
    <row r="3501" spans="12:38" x14ac:dyDescent="0.25">
      <c r="L3501" s="2"/>
      <c r="M3501" s="2"/>
      <c r="N3501" s="2"/>
      <c r="AD3501" s="3"/>
      <c r="AH3501" s="3"/>
      <c r="AL3501" s="3"/>
    </row>
    <row r="3502" spans="12:38" x14ac:dyDescent="0.25">
      <c r="L3502" s="2"/>
      <c r="M3502" s="2"/>
      <c r="N3502" s="2"/>
      <c r="AD3502" s="3"/>
      <c r="AH3502" s="3"/>
      <c r="AL3502" s="3"/>
    </row>
    <row r="3503" spans="12:38" x14ac:dyDescent="0.25">
      <c r="L3503" s="2"/>
      <c r="M3503" s="2"/>
      <c r="N3503" s="2"/>
      <c r="AD3503" s="3"/>
      <c r="AH3503" s="3"/>
      <c r="AL3503" s="3"/>
    </row>
    <row r="3504" spans="12:38" x14ac:dyDescent="0.25">
      <c r="L3504" s="2"/>
      <c r="M3504" s="2"/>
      <c r="N3504" s="2"/>
      <c r="AD3504" s="3"/>
      <c r="AH3504" s="3"/>
      <c r="AL3504" s="3"/>
    </row>
    <row r="3505" spans="12:38" x14ac:dyDescent="0.25">
      <c r="L3505" s="2"/>
      <c r="M3505" s="2"/>
      <c r="N3505" s="2"/>
      <c r="AD3505" s="3"/>
      <c r="AH3505" s="3"/>
      <c r="AL3505" s="3"/>
    </row>
    <row r="3506" spans="12:38" x14ac:dyDescent="0.25">
      <c r="L3506" s="2"/>
      <c r="M3506" s="2"/>
      <c r="N3506" s="2"/>
      <c r="AD3506" s="3"/>
      <c r="AH3506" s="3"/>
      <c r="AL3506" s="3"/>
    </row>
    <row r="3507" spans="12:38" x14ac:dyDescent="0.25">
      <c r="L3507" s="2"/>
      <c r="M3507" s="2"/>
      <c r="N3507" s="2"/>
      <c r="AD3507" s="3"/>
      <c r="AH3507" s="3"/>
      <c r="AL3507" s="3"/>
    </row>
    <row r="3508" spans="12:38" x14ac:dyDescent="0.25">
      <c r="L3508" s="2"/>
      <c r="M3508" s="2"/>
      <c r="N3508" s="2"/>
      <c r="AD3508" s="3"/>
      <c r="AH3508" s="3"/>
      <c r="AL3508" s="3"/>
    </row>
    <row r="3509" spans="12:38" x14ac:dyDescent="0.25">
      <c r="L3509" s="2"/>
      <c r="M3509" s="2"/>
      <c r="N3509" s="2"/>
      <c r="AD3509" s="3"/>
      <c r="AH3509" s="3"/>
      <c r="AL3509" s="3"/>
    </row>
    <row r="3510" spans="12:38" x14ac:dyDescent="0.25">
      <c r="L3510" s="2"/>
      <c r="M3510" s="2"/>
      <c r="N3510" s="2"/>
      <c r="AD3510" s="3"/>
      <c r="AH3510" s="3"/>
      <c r="AL3510" s="3"/>
    </row>
    <row r="3511" spans="12:38" x14ac:dyDescent="0.25">
      <c r="L3511" s="2"/>
      <c r="M3511" s="2"/>
      <c r="N3511" s="2"/>
      <c r="AD3511" s="3"/>
      <c r="AH3511" s="3"/>
      <c r="AL3511" s="3"/>
    </row>
    <row r="3512" spans="12:38" x14ac:dyDescent="0.25">
      <c r="L3512" s="2"/>
      <c r="M3512" s="2"/>
      <c r="N3512" s="2"/>
      <c r="AD3512" s="3"/>
      <c r="AH3512" s="3"/>
      <c r="AL3512" s="3"/>
    </row>
    <row r="3513" spans="12:38" x14ac:dyDescent="0.25">
      <c r="L3513" s="2"/>
      <c r="M3513" s="2"/>
      <c r="N3513" s="2"/>
      <c r="AD3513" s="3"/>
      <c r="AH3513" s="3"/>
      <c r="AL3513" s="3"/>
    </row>
    <row r="3514" spans="12:38" x14ac:dyDescent="0.25">
      <c r="L3514" s="2"/>
      <c r="M3514" s="2"/>
      <c r="N3514" s="2"/>
      <c r="AD3514" s="3"/>
      <c r="AH3514" s="3"/>
      <c r="AL3514" s="3"/>
    </row>
    <row r="3515" spans="12:38" x14ac:dyDescent="0.25">
      <c r="L3515" s="2"/>
      <c r="M3515" s="2"/>
      <c r="N3515" s="2"/>
      <c r="AD3515" s="3"/>
      <c r="AH3515" s="3"/>
      <c r="AL3515" s="3"/>
    </row>
    <row r="3516" spans="12:38" x14ac:dyDescent="0.25">
      <c r="L3516" s="2"/>
      <c r="M3516" s="2"/>
      <c r="N3516" s="2"/>
      <c r="AD3516" s="3"/>
      <c r="AH3516" s="3"/>
      <c r="AL3516" s="3"/>
    </row>
    <row r="3517" spans="12:38" x14ac:dyDescent="0.25">
      <c r="L3517" s="2"/>
      <c r="M3517" s="2"/>
      <c r="N3517" s="2"/>
      <c r="AD3517" s="3"/>
      <c r="AH3517" s="3"/>
      <c r="AL3517" s="3"/>
    </row>
    <row r="3518" spans="12:38" x14ac:dyDescent="0.25">
      <c r="L3518" s="2"/>
      <c r="M3518" s="2"/>
      <c r="N3518" s="2"/>
      <c r="AD3518" s="3"/>
      <c r="AH3518" s="3"/>
      <c r="AL3518" s="3"/>
    </row>
    <row r="3519" spans="12:38" x14ac:dyDescent="0.25">
      <c r="L3519" s="2"/>
      <c r="M3519" s="2"/>
      <c r="N3519" s="2"/>
      <c r="AD3519" s="3"/>
      <c r="AH3519" s="3"/>
      <c r="AL3519" s="3"/>
    </row>
    <row r="3520" spans="12:38" x14ac:dyDescent="0.25">
      <c r="L3520" s="2"/>
      <c r="M3520" s="2"/>
      <c r="N3520" s="2"/>
      <c r="AD3520" s="3"/>
      <c r="AH3520" s="3"/>
      <c r="AL3520" s="3"/>
    </row>
    <row r="3521" spans="12:38" x14ac:dyDescent="0.25">
      <c r="L3521" s="2"/>
      <c r="M3521" s="2"/>
      <c r="N3521" s="2"/>
      <c r="AD3521" s="3"/>
      <c r="AH3521" s="3"/>
      <c r="AL3521" s="3"/>
    </row>
    <row r="3522" spans="12:38" x14ac:dyDescent="0.25">
      <c r="L3522" s="2"/>
      <c r="M3522" s="2"/>
      <c r="N3522" s="2"/>
      <c r="AD3522" s="3"/>
      <c r="AH3522" s="3"/>
      <c r="AL3522" s="3"/>
    </row>
    <row r="3523" spans="12:38" x14ac:dyDescent="0.25">
      <c r="L3523" s="2"/>
      <c r="M3523" s="2"/>
      <c r="N3523" s="2"/>
      <c r="AD3523" s="3"/>
      <c r="AH3523" s="3"/>
      <c r="AL3523" s="3"/>
    </row>
    <row r="3524" spans="12:38" x14ac:dyDescent="0.25">
      <c r="L3524" s="2"/>
      <c r="M3524" s="2"/>
      <c r="N3524" s="2"/>
      <c r="AD3524" s="3"/>
      <c r="AH3524" s="3"/>
      <c r="AL3524" s="3"/>
    </row>
    <row r="3525" spans="12:38" x14ac:dyDescent="0.25">
      <c r="L3525" s="2"/>
      <c r="M3525" s="2"/>
      <c r="N3525" s="2"/>
      <c r="AD3525" s="3"/>
      <c r="AH3525" s="3"/>
      <c r="AL3525" s="3"/>
    </row>
    <row r="3526" spans="12:38" x14ac:dyDescent="0.25">
      <c r="L3526" s="2"/>
      <c r="M3526" s="2"/>
      <c r="N3526" s="2"/>
      <c r="AD3526" s="3"/>
      <c r="AH3526" s="3"/>
      <c r="AL3526" s="3"/>
    </row>
    <row r="3527" spans="12:38" x14ac:dyDescent="0.25">
      <c r="L3527" s="2"/>
      <c r="M3527" s="2"/>
      <c r="N3527" s="2"/>
      <c r="AD3527" s="3"/>
      <c r="AH3527" s="3"/>
      <c r="AL3527" s="3"/>
    </row>
    <row r="3528" spans="12:38" x14ac:dyDescent="0.25">
      <c r="L3528" s="2"/>
      <c r="M3528" s="2"/>
      <c r="N3528" s="2"/>
      <c r="AD3528" s="3"/>
      <c r="AH3528" s="3"/>
      <c r="AL3528" s="3"/>
    </row>
    <row r="3529" spans="12:38" x14ac:dyDescent="0.25">
      <c r="L3529" s="2"/>
      <c r="M3529" s="2"/>
      <c r="N3529" s="2"/>
      <c r="AD3529" s="3"/>
      <c r="AH3529" s="3"/>
      <c r="AL3529" s="3"/>
    </row>
    <row r="3530" spans="12:38" x14ac:dyDescent="0.25">
      <c r="L3530" s="2"/>
      <c r="M3530" s="2"/>
      <c r="N3530" s="2"/>
      <c r="AD3530" s="3"/>
      <c r="AH3530" s="3"/>
      <c r="AL3530" s="3"/>
    </row>
    <row r="3531" spans="12:38" x14ac:dyDescent="0.25">
      <c r="L3531" s="2"/>
      <c r="M3531" s="2"/>
      <c r="N3531" s="2"/>
      <c r="AD3531" s="3"/>
      <c r="AH3531" s="3"/>
      <c r="AL3531" s="3"/>
    </row>
    <row r="3532" spans="12:38" x14ac:dyDescent="0.25">
      <c r="L3532" s="2"/>
      <c r="M3532" s="2"/>
      <c r="N3532" s="2"/>
      <c r="AD3532" s="3"/>
      <c r="AH3532" s="3"/>
      <c r="AL3532" s="3"/>
    </row>
    <row r="3533" spans="12:38" x14ac:dyDescent="0.25">
      <c r="L3533" s="2"/>
      <c r="M3533" s="2"/>
      <c r="N3533" s="2"/>
      <c r="AD3533" s="3"/>
      <c r="AH3533" s="3"/>
      <c r="AL3533" s="3"/>
    </row>
    <row r="3534" spans="12:38" x14ac:dyDescent="0.25">
      <c r="L3534" s="2"/>
      <c r="M3534" s="2"/>
      <c r="N3534" s="2"/>
      <c r="AD3534" s="3"/>
      <c r="AH3534" s="3"/>
      <c r="AL3534" s="3"/>
    </row>
    <row r="3535" spans="12:38" x14ac:dyDescent="0.25">
      <c r="L3535" s="2"/>
      <c r="M3535" s="2"/>
      <c r="N3535" s="2"/>
      <c r="AD3535" s="3"/>
      <c r="AH3535" s="3"/>
      <c r="AL3535" s="3"/>
    </row>
    <row r="3536" spans="12:38" x14ac:dyDescent="0.25">
      <c r="L3536" s="2"/>
      <c r="M3536" s="2"/>
      <c r="N3536" s="2"/>
      <c r="AD3536" s="3"/>
      <c r="AH3536" s="3"/>
      <c r="AL3536" s="3"/>
    </row>
    <row r="3537" spans="12:38" x14ac:dyDescent="0.25">
      <c r="L3537" s="2"/>
      <c r="M3537" s="2"/>
      <c r="N3537" s="2"/>
      <c r="AD3537" s="3"/>
      <c r="AH3537" s="3"/>
      <c r="AL3537" s="3"/>
    </row>
    <row r="3538" spans="12:38" x14ac:dyDescent="0.25">
      <c r="L3538" s="2"/>
      <c r="M3538" s="2"/>
      <c r="N3538" s="2"/>
      <c r="AD3538" s="3"/>
      <c r="AH3538" s="3"/>
      <c r="AL3538" s="3"/>
    </row>
    <row r="3539" spans="12:38" x14ac:dyDescent="0.25">
      <c r="L3539" s="2"/>
      <c r="M3539" s="2"/>
      <c r="N3539" s="2"/>
      <c r="AD3539" s="3"/>
      <c r="AH3539" s="3"/>
      <c r="AL3539" s="3"/>
    </row>
    <row r="3540" spans="12:38" x14ac:dyDescent="0.25">
      <c r="L3540" s="2"/>
      <c r="M3540" s="2"/>
      <c r="N3540" s="2"/>
      <c r="AD3540" s="3"/>
      <c r="AH3540" s="3"/>
      <c r="AL3540" s="3"/>
    </row>
    <row r="3541" spans="12:38" x14ac:dyDescent="0.25">
      <c r="L3541" s="2"/>
      <c r="M3541" s="2"/>
      <c r="N3541" s="2"/>
      <c r="AD3541" s="3"/>
      <c r="AH3541" s="3"/>
      <c r="AL3541" s="3"/>
    </row>
    <row r="3542" spans="12:38" x14ac:dyDescent="0.25">
      <c r="L3542" s="2"/>
      <c r="M3542" s="2"/>
      <c r="N3542" s="2"/>
      <c r="AD3542" s="3"/>
      <c r="AH3542" s="3"/>
      <c r="AL3542" s="3"/>
    </row>
    <row r="3543" spans="12:38" x14ac:dyDescent="0.25">
      <c r="L3543" s="2"/>
      <c r="M3543" s="2"/>
      <c r="N3543" s="2"/>
      <c r="AD3543" s="3"/>
      <c r="AH3543" s="3"/>
      <c r="AL3543" s="3"/>
    </row>
    <row r="3544" spans="12:38" x14ac:dyDescent="0.25">
      <c r="L3544" s="2"/>
      <c r="M3544" s="2"/>
      <c r="N3544" s="2"/>
      <c r="AD3544" s="3"/>
      <c r="AH3544" s="3"/>
      <c r="AL3544" s="3"/>
    </row>
    <row r="3545" spans="12:38" x14ac:dyDescent="0.25">
      <c r="L3545" s="2"/>
      <c r="M3545" s="2"/>
      <c r="N3545" s="2"/>
      <c r="AD3545" s="3"/>
      <c r="AH3545" s="3"/>
      <c r="AL3545" s="3"/>
    </row>
    <row r="3546" spans="12:38" x14ac:dyDescent="0.25">
      <c r="L3546" s="2"/>
      <c r="M3546" s="2"/>
      <c r="N3546" s="2"/>
      <c r="AD3546" s="3"/>
      <c r="AH3546" s="3"/>
      <c r="AL3546" s="3"/>
    </row>
    <row r="3547" spans="12:38" x14ac:dyDescent="0.25">
      <c r="L3547" s="2"/>
      <c r="M3547" s="2"/>
      <c r="N3547" s="2"/>
      <c r="AD3547" s="3"/>
      <c r="AH3547" s="3"/>
      <c r="AL3547" s="3"/>
    </row>
    <row r="3548" spans="12:38" x14ac:dyDescent="0.25">
      <c r="L3548" s="2"/>
      <c r="M3548" s="2"/>
      <c r="N3548" s="2"/>
      <c r="AD3548" s="3"/>
      <c r="AH3548" s="3"/>
      <c r="AL3548" s="3"/>
    </row>
    <row r="3549" spans="12:38" x14ac:dyDescent="0.25">
      <c r="L3549" s="2"/>
      <c r="M3549" s="2"/>
      <c r="N3549" s="2"/>
      <c r="AD3549" s="3"/>
      <c r="AH3549" s="3"/>
      <c r="AL3549" s="3"/>
    </row>
    <row r="3550" spans="12:38" x14ac:dyDescent="0.25">
      <c r="L3550" s="2"/>
      <c r="M3550" s="2"/>
      <c r="N3550" s="2"/>
      <c r="AD3550" s="3"/>
      <c r="AH3550" s="3"/>
      <c r="AL3550" s="3"/>
    </row>
    <row r="3551" spans="12:38" x14ac:dyDescent="0.25">
      <c r="L3551" s="2"/>
      <c r="M3551" s="2"/>
      <c r="N3551" s="2"/>
      <c r="AD3551" s="3"/>
      <c r="AH3551" s="3"/>
      <c r="AL3551" s="3"/>
    </row>
    <row r="3552" spans="12:38" x14ac:dyDescent="0.25">
      <c r="L3552" s="2"/>
      <c r="M3552" s="2"/>
      <c r="N3552" s="2"/>
      <c r="AD3552" s="3"/>
      <c r="AH3552" s="3"/>
      <c r="AL3552" s="3"/>
    </row>
    <row r="3553" spans="12:38" x14ac:dyDescent="0.25">
      <c r="L3553" s="2"/>
      <c r="M3553" s="2"/>
      <c r="N3553" s="2"/>
      <c r="AD3553" s="3"/>
      <c r="AH3553" s="3"/>
      <c r="AL3553" s="3"/>
    </row>
    <row r="3554" spans="12:38" x14ac:dyDescent="0.25">
      <c r="L3554" s="2"/>
      <c r="M3554" s="2"/>
      <c r="N3554" s="2"/>
      <c r="AD3554" s="3"/>
      <c r="AH3554" s="3"/>
      <c r="AL3554" s="3"/>
    </row>
    <row r="3555" spans="12:38" x14ac:dyDescent="0.25">
      <c r="L3555" s="2"/>
      <c r="M3555" s="2"/>
      <c r="N3555" s="2"/>
      <c r="AD3555" s="3"/>
      <c r="AH3555" s="3"/>
      <c r="AL3555" s="3"/>
    </row>
    <row r="3556" spans="12:38" x14ac:dyDescent="0.25">
      <c r="L3556" s="2"/>
      <c r="M3556" s="2"/>
      <c r="N3556" s="2"/>
      <c r="AD3556" s="3"/>
      <c r="AH3556" s="3"/>
      <c r="AL3556" s="3"/>
    </row>
    <row r="3557" spans="12:38" x14ac:dyDescent="0.25">
      <c r="L3557" s="2"/>
      <c r="M3557" s="2"/>
      <c r="N3557" s="2"/>
      <c r="AD3557" s="3"/>
      <c r="AH3557" s="3"/>
      <c r="AL3557" s="3"/>
    </row>
    <row r="3558" spans="12:38" x14ac:dyDescent="0.25">
      <c r="L3558" s="2"/>
      <c r="M3558" s="2"/>
      <c r="N3558" s="2"/>
      <c r="AD3558" s="3"/>
      <c r="AH3558" s="3"/>
      <c r="AL3558" s="3"/>
    </row>
    <row r="3559" spans="12:38" x14ac:dyDescent="0.25">
      <c r="L3559" s="2"/>
      <c r="M3559" s="2"/>
      <c r="N3559" s="2"/>
      <c r="AD3559" s="3"/>
      <c r="AH3559" s="3"/>
      <c r="AL3559" s="3"/>
    </row>
    <row r="3560" spans="12:38" x14ac:dyDescent="0.25">
      <c r="L3560" s="2"/>
      <c r="M3560" s="2"/>
      <c r="N3560" s="2"/>
      <c r="AD3560" s="3"/>
      <c r="AH3560" s="3"/>
      <c r="AL3560" s="3"/>
    </row>
    <row r="3561" spans="12:38" x14ac:dyDescent="0.25">
      <c r="L3561" s="2"/>
      <c r="M3561" s="2"/>
      <c r="N3561" s="2"/>
      <c r="AD3561" s="3"/>
      <c r="AH3561" s="3"/>
      <c r="AL3561" s="3"/>
    </row>
    <row r="3562" spans="12:38" x14ac:dyDescent="0.25">
      <c r="L3562" s="2"/>
      <c r="M3562" s="2"/>
      <c r="N3562" s="2"/>
      <c r="AD3562" s="3"/>
      <c r="AH3562" s="3"/>
      <c r="AL3562" s="3"/>
    </row>
    <row r="3563" spans="12:38" x14ac:dyDescent="0.25">
      <c r="L3563" s="2"/>
      <c r="M3563" s="2"/>
      <c r="N3563" s="2"/>
      <c r="AD3563" s="3"/>
      <c r="AH3563" s="3"/>
      <c r="AL3563" s="3"/>
    </row>
    <row r="3564" spans="12:38" x14ac:dyDescent="0.25">
      <c r="L3564" s="2"/>
      <c r="M3564" s="2"/>
      <c r="N3564" s="2"/>
      <c r="AD3564" s="3"/>
      <c r="AH3564" s="3"/>
      <c r="AL3564" s="3"/>
    </row>
    <row r="3565" spans="12:38" x14ac:dyDescent="0.25">
      <c r="L3565" s="2"/>
      <c r="M3565" s="2"/>
      <c r="N3565" s="2"/>
      <c r="AD3565" s="3"/>
      <c r="AH3565" s="3"/>
      <c r="AL3565" s="3"/>
    </row>
    <row r="3566" spans="12:38" x14ac:dyDescent="0.25">
      <c r="L3566" s="2"/>
      <c r="M3566" s="2"/>
      <c r="N3566" s="2"/>
      <c r="AD3566" s="3"/>
      <c r="AH3566" s="3"/>
      <c r="AL3566" s="3"/>
    </row>
    <row r="3567" spans="12:38" x14ac:dyDescent="0.25">
      <c r="L3567" s="2"/>
      <c r="M3567" s="2"/>
      <c r="N3567" s="2"/>
      <c r="AD3567" s="3"/>
      <c r="AH3567" s="3"/>
      <c r="AL3567" s="3"/>
    </row>
    <row r="3568" spans="12:38" x14ac:dyDescent="0.25">
      <c r="L3568" s="2"/>
      <c r="M3568" s="2"/>
      <c r="N3568" s="2"/>
      <c r="AD3568" s="3"/>
      <c r="AH3568" s="3"/>
      <c r="AL3568" s="3"/>
    </row>
    <row r="3569" spans="12:38" x14ac:dyDescent="0.25">
      <c r="L3569" s="2"/>
      <c r="M3569" s="2"/>
      <c r="N3569" s="2"/>
      <c r="AD3569" s="3"/>
      <c r="AH3569" s="3"/>
      <c r="AL3569" s="3"/>
    </row>
    <row r="3570" spans="12:38" x14ac:dyDescent="0.25">
      <c r="L3570" s="2"/>
      <c r="M3570" s="2"/>
      <c r="N3570" s="2"/>
      <c r="AD3570" s="3"/>
      <c r="AH3570" s="3"/>
      <c r="AL3570" s="3"/>
    </row>
    <row r="3571" spans="12:38" x14ac:dyDescent="0.25">
      <c r="L3571" s="2"/>
      <c r="M3571" s="2"/>
      <c r="N3571" s="2"/>
      <c r="AD3571" s="3"/>
      <c r="AH3571" s="3"/>
      <c r="AL3571" s="3"/>
    </row>
    <row r="3572" spans="12:38" x14ac:dyDescent="0.25">
      <c r="L3572" s="2"/>
      <c r="M3572" s="2"/>
      <c r="N3572" s="2"/>
      <c r="AD3572" s="3"/>
      <c r="AH3572" s="3"/>
      <c r="AL3572" s="3"/>
    </row>
    <row r="3573" spans="12:38" x14ac:dyDescent="0.25">
      <c r="L3573" s="2"/>
      <c r="M3573" s="2"/>
      <c r="N3573" s="2"/>
      <c r="AD3573" s="3"/>
      <c r="AH3573" s="3"/>
      <c r="AL3573" s="3"/>
    </row>
    <row r="3574" spans="12:38" x14ac:dyDescent="0.25">
      <c r="L3574" s="2"/>
      <c r="M3574" s="2"/>
      <c r="N3574" s="2"/>
      <c r="AD3574" s="3"/>
      <c r="AH3574" s="3"/>
      <c r="AL3574" s="3"/>
    </row>
    <row r="3575" spans="12:38" x14ac:dyDescent="0.25">
      <c r="L3575" s="2"/>
      <c r="M3575" s="2"/>
      <c r="N3575" s="2"/>
      <c r="AD3575" s="3"/>
      <c r="AH3575" s="3"/>
      <c r="AL3575" s="3"/>
    </row>
    <row r="3576" spans="12:38" x14ac:dyDescent="0.25">
      <c r="L3576" s="2"/>
      <c r="M3576" s="2"/>
      <c r="N3576" s="2"/>
      <c r="AD3576" s="3"/>
      <c r="AH3576" s="3"/>
      <c r="AL3576" s="3"/>
    </row>
    <row r="3577" spans="12:38" x14ac:dyDescent="0.25">
      <c r="L3577" s="2"/>
      <c r="M3577" s="2"/>
      <c r="N3577" s="2"/>
      <c r="AD3577" s="3"/>
      <c r="AH3577" s="3"/>
      <c r="AL3577" s="3"/>
    </row>
    <row r="3578" spans="12:38" x14ac:dyDescent="0.25">
      <c r="L3578" s="2"/>
      <c r="M3578" s="2"/>
      <c r="N3578" s="2"/>
      <c r="AD3578" s="3"/>
      <c r="AH3578" s="3"/>
      <c r="AL3578" s="3"/>
    </row>
    <row r="3579" spans="12:38" x14ac:dyDescent="0.25">
      <c r="L3579" s="2"/>
      <c r="M3579" s="2"/>
      <c r="N3579" s="2"/>
      <c r="AD3579" s="3"/>
      <c r="AH3579" s="3"/>
      <c r="AL3579" s="3"/>
    </row>
    <row r="3580" spans="12:38" x14ac:dyDescent="0.25">
      <c r="L3580" s="2"/>
      <c r="M3580" s="2"/>
      <c r="N3580" s="2"/>
      <c r="AD3580" s="3"/>
      <c r="AH3580" s="3"/>
      <c r="AL3580" s="3"/>
    </row>
    <row r="3581" spans="12:38" x14ac:dyDescent="0.25">
      <c r="L3581" s="2"/>
      <c r="M3581" s="2"/>
      <c r="N3581" s="2"/>
      <c r="AD3581" s="3"/>
      <c r="AH3581" s="3"/>
      <c r="AL3581" s="3"/>
    </row>
    <row r="3582" spans="12:38" x14ac:dyDescent="0.25">
      <c r="L3582" s="2"/>
      <c r="M3582" s="2"/>
      <c r="N3582" s="2"/>
      <c r="AD3582" s="3"/>
      <c r="AH3582" s="3"/>
      <c r="AL3582" s="3"/>
    </row>
    <row r="3583" spans="12:38" x14ac:dyDescent="0.25">
      <c r="L3583" s="2"/>
      <c r="M3583" s="2"/>
      <c r="N3583" s="2"/>
      <c r="AD3583" s="3"/>
      <c r="AH3583" s="3"/>
      <c r="AL3583" s="3"/>
    </row>
    <row r="3584" spans="12:38" x14ac:dyDescent="0.25">
      <c r="L3584" s="2"/>
      <c r="M3584" s="2"/>
      <c r="N3584" s="2"/>
      <c r="AD3584" s="3"/>
      <c r="AH3584" s="3"/>
      <c r="AL3584" s="3"/>
    </row>
    <row r="3585" spans="12:38" x14ac:dyDescent="0.25">
      <c r="L3585" s="2"/>
      <c r="M3585" s="2"/>
      <c r="N3585" s="2"/>
      <c r="AD3585" s="3"/>
      <c r="AH3585" s="3"/>
      <c r="AL3585" s="3"/>
    </row>
    <row r="3586" spans="12:38" x14ac:dyDescent="0.25">
      <c r="L3586" s="2"/>
      <c r="M3586" s="2"/>
      <c r="N3586" s="2"/>
      <c r="AD3586" s="3"/>
      <c r="AH3586" s="3"/>
      <c r="AL3586" s="3"/>
    </row>
    <row r="3587" spans="12:38" x14ac:dyDescent="0.25">
      <c r="L3587" s="2"/>
      <c r="M3587" s="2"/>
      <c r="N3587" s="2"/>
      <c r="AD3587" s="3"/>
      <c r="AH3587" s="3"/>
      <c r="AL3587" s="3"/>
    </row>
    <row r="3588" spans="12:38" x14ac:dyDescent="0.25">
      <c r="L3588" s="2"/>
      <c r="M3588" s="2"/>
      <c r="N3588" s="2"/>
      <c r="AD3588" s="3"/>
      <c r="AH3588" s="3"/>
      <c r="AL3588" s="3"/>
    </row>
    <row r="3589" spans="12:38" x14ac:dyDescent="0.25">
      <c r="L3589" s="2"/>
      <c r="M3589" s="2"/>
      <c r="N3589" s="2"/>
      <c r="AD3589" s="3"/>
      <c r="AH3589" s="3"/>
      <c r="AL3589" s="3"/>
    </row>
    <row r="3590" spans="12:38" x14ac:dyDescent="0.25">
      <c r="L3590" s="2"/>
      <c r="M3590" s="2"/>
      <c r="N3590" s="2"/>
      <c r="AD3590" s="3"/>
      <c r="AH3590" s="3"/>
      <c r="AL3590" s="3"/>
    </row>
    <row r="3591" spans="12:38" x14ac:dyDescent="0.25">
      <c r="L3591" s="2"/>
      <c r="M3591" s="2"/>
      <c r="N3591" s="2"/>
      <c r="AD3591" s="3"/>
      <c r="AH3591" s="3"/>
      <c r="AL3591" s="3"/>
    </row>
    <row r="3592" spans="12:38" x14ac:dyDescent="0.25">
      <c r="L3592" s="2"/>
      <c r="M3592" s="2"/>
      <c r="N3592" s="2"/>
      <c r="AD3592" s="3"/>
      <c r="AH3592" s="3"/>
      <c r="AL3592" s="3"/>
    </row>
    <row r="3593" spans="12:38" x14ac:dyDescent="0.25">
      <c r="L3593" s="2"/>
      <c r="M3593" s="2"/>
      <c r="N3593" s="2"/>
      <c r="AD3593" s="3"/>
      <c r="AH3593" s="3"/>
      <c r="AL3593" s="3"/>
    </row>
    <row r="3594" spans="12:38" x14ac:dyDescent="0.25">
      <c r="L3594" s="2"/>
      <c r="M3594" s="2"/>
      <c r="N3594" s="2"/>
      <c r="AD3594" s="3"/>
      <c r="AH3594" s="3"/>
      <c r="AL3594" s="3"/>
    </row>
    <row r="3595" spans="12:38" x14ac:dyDescent="0.25">
      <c r="L3595" s="2"/>
      <c r="M3595" s="2"/>
      <c r="N3595" s="2"/>
      <c r="AD3595" s="3"/>
      <c r="AH3595" s="3"/>
      <c r="AL3595" s="3"/>
    </row>
    <row r="3596" spans="12:38" x14ac:dyDescent="0.25">
      <c r="L3596" s="2"/>
      <c r="M3596" s="2"/>
      <c r="N3596" s="2"/>
      <c r="AD3596" s="3"/>
      <c r="AH3596" s="3"/>
      <c r="AL3596" s="3"/>
    </row>
    <row r="3597" spans="12:38" x14ac:dyDescent="0.25">
      <c r="L3597" s="2"/>
      <c r="M3597" s="2"/>
      <c r="N3597" s="2"/>
      <c r="AD3597" s="3"/>
      <c r="AH3597" s="3"/>
      <c r="AL3597" s="3"/>
    </row>
    <row r="3598" spans="12:38" x14ac:dyDescent="0.25">
      <c r="L3598" s="2"/>
      <c r="M3598" s="2"/>
      <c r="N3598" s="2"/>
      <c r="AD3598" s="3"/>
      <c r="AH3598" s="3"/>
      <c r="AL3598" s="3"/>
    </row>
    <row r="3599" spans="12:38" x14ac:dyDescent="0.25">
      <c r="L3599" s="2"/>
      <c r="M3599" s="2"/>
      <c r="N3599" s="2"/>
      <c r="AD3599" s="3"/>
      <c r="AH3599" s="3"/>
      <c r="AL3599" s="3"/>
    </row>
    <row r="3600" spans="12:38" x14ac:dyDescent="0.25">
      <c r="L3600" s="2"/>
      <c r="M3600" s="2"/>
      <c r="N3600" s="2"/>
      <c r="AD3600" s="3"/>
      <c r="AH3600" s="3"/>
      <c r="AL3600" s="3"/>
    </row>
    <row r="3601" spans="12:38" x14ac:dyDescent="0.25">
      <c r="L3601" s="2"/>
      <c r="M3601" s="2"/>
      <c r="N3601" s="2"/>
      <c r="AD3601" s="3"/>
      <c r="AH3601" s="3"/>
      <c r="AL3601" s="3"/>
    </row>
    <row r="3602" spans="12:38" x14ac:dyDescent="0.25">
      <c r="L3602" s="2"/>
      <c r="M3602" s="2"/>
      <c r="N3602" s="2"/>
      <c r="AD3602" s="3"/>
      <c r="AH3602" s="3"/>
      <c r="AL3602" s="3"/>
    </row>
    <row r="3603" spans="12:38" x14ac:dyDescent="0.25">
      <c r="L3603" s="2"/>
      <c r="M3603" s="2"/>
      <c r="N3603" s="2"/>
      <c r="AD3603" s="3"/>
      <c r="AH3603" s="3"/>
      <c r="AL3603" s="3"/>
    </row>
    <row r="3604" spans="12:38" x14ac:dyDescent="0.25">
      <c r="L3604" s="2"/>
      <c r="M3604" s="2"/>
      <c r="N3604" s="2"/>
      <c r="AD3604" s="3"/>
      <c r="AH3604" s="3"/>
      <c r="AL3604" s="3"/>
    </row>
    <row r="3605" spans="12:38" x14ac:dyDescent="0.25">
      <c r="L3605" s="2"/>
      <c r="M3605" s="2"/>
      <c r="N3605" s="2"/>
      <c r="AD3605" s="3"/>
      <c r="AH3605" s="3"/>
      <c r="AL3605" s="3"/>
    </row>
    <row r="3606" spans="12:38" x14ac:dyDescent="0.25">
      <c r="L3606" s="2"/>
      <c r="M3606" s="2"/>
      <c r="N3606" s="2"/>
      <c r="AD3606" s="3"/>
      <c r="AH3606" s="3"/>
      <c r="AL3606" s="3"/>
    </row>
    <row r="3607" spans="12:38" x14ac:dyDescent="0.25">
      <c r="L3607" s="2"/>
      <c r="M3607" s="2"/>
      <c r="N3607" s="2"/>
      <c r="AD3607" s="3"/>
      <c r="AH3607" s="3"/>
      <c r="AL3607" s="3"/>
    </row>
    <row r="3608" spans="12:38" x14ac:dyDescent="0.25">
      <c r="L3608" s="2"/>
      <c r="M3608" s="2"/>
      <c r="N3608" s="2"/>
      <c r="AD3608" s="3"/>
      <c r="AH3608" s="3"/>
      <c r="AL3608" s="3"/>
    </row>
    <row r="3609" spans="12:38" x14ac:dyDescent="0.25">
      <c r="L3609" s="2"/>
      <c r="M3609" s="2"/>
      <c r="N3609" s="2"/>
      <c r="AD3609" s="3"/>
      <c r="AH3609" s="3"/>
      <c r="AL3609" s="3"/>
    </row>
    <row r="3610" spans="12:38" x14ac:dyDescent="0.25">
      <c r="L3610" s="2"/>
      <c r="M3610" s="2"/>
      <c r="N3610" s="2"/>
      <c r="AD3610" s="3"/>
      <c r="AH3610" s="3"/>
      <c r="AL3610" s="3"/>
    </row>
    <row r="3611" spans="12:38" x14ac:dyDescent="0.25">
      <c r="L3611" s="2"/>
      <c r="M3611" s="2"/>
      <c r="N3611" s="2"/>
      <c r="AD3611" s="3"/>
      <c r="AH3611" s="3"/>
      <c r="AL3611" s="3"/>
    </row>
    <row r="3612" spans="12:38" x14ac:dyDescent="0.25">
      <c r="L3612" s="2"/>
      <c r="M3612" s="2"/>
      <c r="N3612" s="2"/>
      <c r="AD3612" s="3"/>
      <c r="AH3612" s="3"/>
      <c r="AL3612" s="3"/>
    </row>
    <row r="3613" spans="12:38" x14ac:dyDescent="0.25">
      <c r="L3613" s="2"/>
      <c r="M3613" s="2"/>
      <c r="N3613" s="2"/>
      <c r="AD3613" s="3"/>
      <c r="AH3613" s="3"/>
      <c r="AL3613" s="3"/>
    </row>
    <row r="3614" spans="12:38" x14ac:dyDescent="0.25">
      <c r="L3614" s="2"/>
      <c r="M3614" s="2"/>
      <c r="N3614" s="2"/>
      <c r="AD3614" s="3"/>
      <c r="AH3614" s="3"/>
      <c r="AL3614" s="3"/>
    </row>
    <row r="3615" spans="12:38" x14ac:dyDescent="0.25">
      <c r="L3615" s="2"/>
      <c r="M3615" s="2"/>
      <c r="N3615" s="2"/>
      <c r="AD3615" s="3"/>
      <c r="AH3615" s="3"/>
      <c r="AL3615" s="3"/>
    </row>
    <row r="3616" spans="12:38" x14ac:dyDescent="0.25">
      <c r="L3616" s="2"/>
      <c r="M3616" s="2"/>
      <c r="N3616" s="2"/>
      <c r="AD3616" s="3"/>
      <c r="AH3616" s="3"/>
      <c r="AL3616" s="3"/>
    </row>
    <row r="3617" spans="12:38" x14ac:dyDescent="0.25">
      <c r="L3617" s="2"/>
      <c r="M3617" s="2"/>
      <c r="N3617" s="2"/>
      <c r="AD3617" s="3"/>
      <c r="AH3617" s="3"/>
      <c r="AL3617" s="3"/>
    </row>
    <row r="3618" spans="12:38" x14ac:dyDescent="0.25">
      <c r="L3618" s="2"/>
      <c r="M3618" s="2"/>
      <c r="N3618" s="2"/>
      <c r="AD3618" s="3"/>
      <c r="AH3618" s="3"/>
      <c r="AL3618" s="3"/>
    </row>
    <row r="3619" spans="12:38" x14ac:dyDescent="0.25">
      <c r="L3619" s="2"/>
      <c r="M3619" s="2"/>
      <c r="N3619" s="2"/>
      <c r="AD3619" s="3"/>
      <c r="AH3619" s="3"/>
      <c r="AL3619" s="3"/>
    </row>
    <row r="3620" spans="12:38" x14ac:dyDescent="0.25">
      <c r="L3620" s="2"/>
      <c r="M3620" s="2"/>
      <c r="N3620" s="2"/>
      <c r="AD3620" s="3"/>
      <c r="AH3620" s="3"/>
      <c r="AL3620" s="3"/>
    </row>
    <row r="3621" spans="12:38" x14ac:dyDescent="0.25">
      <c r="L3621" s="2"/>
      <c r="M3621" s="2"/>
      <c r="N3621" s="2"/>
      <c r="AD3621" s="3"/>
      <c r="AH3621" s="3"/>
      <c r="AL3621" s="3"/>
    </row>
    <row r="3622" spans="12:38" x14ac:dyDescent="0.25">
      <c r="L3622" s="2"/>
      <c r="M3622" s="2"/>
      <c r="N3622" s="2"/>
      <c r="AD3622" s="3"/>
      <c r="AH3622" s="3"/>
      <c r="AL3622" s="3"/>
    </row>
    <row r="3623" spans="12:38" x14ac:dyDescent="0.25">
      <c r="L3623" s="2"/>
      <c r="M3623" s="2"/>
      <c r="N3623" s="2"/>
      <c r="AD3623" s="3"/>
      <c r="AH3623" s="3"/>
      <c r="AL3623" s="3"/>
    </row>
    <row r="3624" spans="12:38" x14ac:dyDescent="0.25">
      <c r="L3624" s="2"/>
      <c r="M3624" s="2"/>
      <c r="N3624" s="2"/>
      <c r="AD3624" s="3"/>
      <c r="AH3624" s="3"/>
      <c r="AL3624" s="3"/>
    </row>
    <row r="3625" spans="12:38" x14ac:dyDescent="0.25">
      <c r="L3625" s="2"/>
      <c r="M3625" s="2"/>
      <c r="N3625" s="2"/>
      <c r="AD3625" s="3"/>
      <c r="AH3625" s="3"/>
      <c r="AL3625" s="3"/>
    </row>
    <row r="3626" spans="12:38" x14ac:dyDescent="0.25">
      <c r="L3626" s="2"/>
      <c r="M3626" s="2"/>
      <c r="N3626" s="2"/>
      <c r="AD3626" s="3"/>
      <c r="AH3626" s="3"/>
      <c r="AL3626" s="3"/>
    </row>
    <row r="3627" spans="12:38" x14ac:dyDescent="0.25">
      <c r="L3627" s="2"/>
      <c r="M3627" s="2"/>
      <c r="N3627" s="2"/>
      <c r="AD3627" s="3"/>
      <c r="AH3627" s="3"/>
      <c r="AL3627" s="3"/>
    </row>
    <row r="3628" spans="12:38" x14ac:dyDescent="0.25">
      <c r="L3628" s="2"/>
      <c r="M3628" s="2"/>
      <c r="N3628" s="2"/>
      <c r="AD3628" s="3"/>
      <c r="AH3628" s="3"/>
      <c r="AL3628" s="3"/>
    </row>
    <row r="3629" spans="12:38" x14ac:dyDescent="0.25">
      <c r="L3629" s="2"/>
      <c r="M3629" s="2"/>
      <c r="N3629" s="2"/>
      <c r="AD3629" s="3"/>
      <c r="AH3629" s="3"/>
      <c r="AL3629" s="3"/>
    </row>
    <row r="3630" spans="12:38" x14ac:dyDescent="0.25">
      <c r="L3630" s="2"/>
      <c r="M3630" s="2"/>
      <c r="N3630" s="2"/>
      <c r="AD3630" s="3"/>
      <c r="AH3630" s="3"/>
      <c r="AL3630" s="3"/>
    </row>
    <row r="3631" spans="12:38" x14ac:dyDescent="0.25">
      <c r="L3631" s="2"/>
      <c r="M3631" s="2"/>
      <c r="N3631" s="2"/>
      <c r="AD3631" s="3"/>
      <c r="AH3631" s="3"/>
      <c r="AL3631" s="3"/>
    </row>
    <row r="3632" spans="12:38" x14ac:dyDescent="0.25">
      <c r="L3632" s="2"/>
      <c r="M3632" s="2"/>
      <c r="N3632" s="2"/>
      <c r="AD3632" s="3"/>
      <c r="AH3632" s="3"/>
      <c r="AL3632" s="3"/>
    </row>
    <row r="3633" spans="12:38" x14ac:dyDescent="0.25">
      <c r="L3633" s="2"/>
      <c r="M3633" s="2"/>
      <c r="N3633" s="2"/>
      <c r="AD3633" s="3"/>
      <c r="AH3633" s="3"/>
      <c r="AL3633" s="3"/>
    </row>
    <row r="3634" spans="12:38" x14ac:dyDescent="0.25">
      <c r="L3634" s="2"/>
      <c r="M3634" s="2"/>
      <c r="N3634" s="2"/>
      <c r="AD3634" s="3"/>
      <c r="AH3634" s="3"/>
      <c r="AL3634" s="3"/>
    </row>
    <row r="3635" spans="12:38" x14ac:dyDescent="0.25">
      <c r="L3635" s="2"/>
      <c r="M3635" s="2"/>
      <c r="N3635" s="2"/>
      <c r="AD3635" s="3"/>
      <c r="AH3635" s="3"/>
      <c r="AL3635" s="3"/>
    </row>
    <row r="3636" spans="12:38" x14ac:dyDescent="0.25">
      <c r="L3636" s="2"/>
      <c r="M3636" s="2"/>
      <c r="N3636" s="2"/>
      <c r="AD3636" s="3"/>
      <c r="AH3636" s="3"/>
      <c r="AL3636" s="3"/>
    </row>
    <row r="3637" spans="12:38" x14ac:dyDescent="0.25">
      <c r="L3637" s="2"/>
      <c r="M3637" s="2"/>
      <c r="N3637" s="2"/>
      <c r="AD3637" s="3"/>
      <c r="AH3637" s="3"/>
      <c r="AL3637" s="3"/>
    </row>
    <row r="3638" spans="12:38" x14ac:dyDescent="0.25">
      <c r="L3638" s="2"/>
      <c r="M3638" s="2"/>
      <c r="N3638" s="2"/>
      <c r="AD3638" s="3"/>
      <c r="AH3638" s="3"/>
      <c r="AL3638" s="3"/>
    </row>
    <row r="3639" spans="12:38" x14ac:dyDescent="0.25">
      <c r="L3639" s="2"/>
      <c r="M3639" s="2"/>
      <c r="N3639" s="2"/>
      <c r="AD3639" s="3"/>
      <c r="AH3639" s="3"/>
      <c r="AL3639" s="3"/>
    </row>
    <row r="3640" spans="12:38" x14ac:dyDescent="0.25">
      <c r="L3640" s="2"/>
      <c r="M3640" s="2"/>
      <c r="N3640" s="2"/>
      <c r="AD3640" s="3"/>
      <c r="AH3640" s="3"/>
      <c r="AL3640" s="3"/>
    </row>
    <row r="3641" spans="12:38" x14ac:dyDescent="0.25">
      <c r="L3641" s="2"/>
      <c r="M3641" s="2"/>
      <c r="N3641" s="2"/>
      <c r="AD3641" s="3"/>
      <c r="AH3641" s="3"/>
      <c r="AL3641" s="3"/>
    </row>
    <row r="3642" spans="12:38" x14ac:dyDescent="0.25">
      <c r="L3642" s="2"/>
      <c r="M3642" s="2"/>
      <c r="N3642" s="2"/>
      <c r="AD3642" s="3"/>
      <c r="AH3642" s="3"/>
      <c r="AL3642" s="3"/>
    </row>
    <row r="3643" spans="12:38" x14ac:dyDescent="0.25">
      <c r="L3643" s="2"/>
      <c r="M3643" s="2"/>
      <c r="N3643" s="2"/>
      <c r="AD3643" s="3"/>
      <c r="AH3643" s="3"/>
      <c r="AL3643" s="3"/>
    </row>
    <row r="3644" spans="12:38" x14ac:dyDescent="0.25">
      <c r="L3644" s="2"/>
      <c r="M3644" s="2"/>
      <c r="N3644" s="2"/>
      <c r="AD3644" s="3"/>
      <c r="AH3644" s="3"/>
      <c r="AL3644" s="3"/>
    </row>
    <row r="3645" spans="12:38" x14ac:dyDescent="0.25">
      <c r="L3645" s="2"/>
      <c r="M3645" s="2"/>
      <c r="N3645" s="2"/>
      <c r="AD3645" s="3"/>
      <c r="AH3645" s="3"/>
      <c r="AL3645" s="3"/>
    </row>
    <row r="3646" spans="12:38" x14ac:dyDescent="0.25">
      <c r="L3646" s="2"/>
      <c r="M3646" s="2"/>
      <c r="N3646" s="2"/>
      <c r="AD3646" s="3"/>
      <c r="AH3646" s="3"/>
      <c r="AL3646" s="3"/>
    </row>
    <row r="3647" spans="12:38" x14ac:dyDescent="0.25">
      <c r="L3647" s="2"/>
      <c r="M3647" s="2"/>
      <c r="N3647" s="2"/>
      <c r="AD3647" s="3"/>
      <c r="AH3647" s="3"/>
      <c r="AL3647" s="3"/>
    </row>
    <row r="3648" spans="12:38" x14ac:dyDescent="0.25">
      <c r="L3648" s="2"/>
      <c r="M3648" s="2"/>
      <c r="N3648" s="2"/>
      <c r="AD3648" s="3"/>
      <c r="AH3648" s="3"/>
      <c r="AL3648" s="3"/>
    </row>
    <row r="3649" spans="12:38" x14ac:dyDescent="0.25">
      <c r="L3649" s="2"/>
      <c r="M3649" s="2"/>
      <c r="N3649" s="2"/>
      <c r="AD3649" s="3"/>
      <c r="AH3649" s="3"/>
      <c r="AL3649" s="3"/>
    </row>
    <row r="3650" spans="12:38" x14ac:dyDescent="0.25">
      <c r="L3650" s="2"/>
      <c r="M3650" s="2"/>
      <c r="N3650" s="2"/>
      <c r="AD3650" s="3"/>
      <c r="AH3650" s="3"/>
      <c r="AL3650" s="3"/>
    </row>
    <row r="3651" spans="12:38" x14ac:dyDescent="0.25">
      <c r="L3651" s="2"/>
      <c r="M3651" s="2"/>
      <c r="N3651" s="2"/>
      <c r="AD3651" s="3"/>
      <c r="AH3651" s="3"/>
      <c r="AL3651" s="3"/>
    </row>
    <row r="3652" spans="12:38" x14ac:dyDescent="0.25">
      <c r="L3652" s="2"/>
      <c r="M3652" s="2"/>
      <c r="N3652" s="2"/>
      <c r="AD3652" s="3"/>
      <c r="AH3652" s="3"/>
      <c r="AL3652" s="3"/>
    </row>
    <row r="3653" spans="12:38" x14ac:dyDescent="0.25">
      <c r="L3653" s="2"/>
      <c r="M3653" s="2"/>
      <c r="N3653" s="2"/>
      <c r="AD3653" s="3"/>
      <c r="AH3653" s="3"/>
      <c r="AL3653" s="3"/>
    </row>
    <row r="3654" spans="12:38" x14ac:dyDescent="0.25">
      <c r="L3654" s="2"/>
      <c r="M3654" s="2"/>
      <c r="N3654" s="2"/>
      <c r="AD3654" s="3"/>
      <c r="AH3654" s="3"/>
      <c r="AL3654" s="3"/>
    </row>
    <row r="3655" spans="12:38" x14ac:dyDescent="0.25">
      <c r="L3655" s="2"/>
      <c r="M3655" s="2"/>
      <c r="N3655" s="2"/>
      <c r="AD3655" s="3"/>
      <c r="AH3655" s="3"/>
      <c r="AL3655" s="3"/>
    </row>
    <row r="3656" spans="12:38" x14ac:dyDescent="0.25">
      <c r="L3656" s="2"/>
      <c r="M3656" s="2"/>
      <c r="N3656" s="2"/>
      <c r="AD3656" s="3"/>
      <c r="AH3656" s="3"/>
      <c r="AL3656" s="3"/>
    </row>
    <row r="3657" spans="12:38" x14ac:dyDescent="0.25">
      <c r="L3657" s="2"/>
      <c r="M3657" s="2"/>
      <c r="N3657" s="2"/>
      <c r="AD3657" s="3"/>
      <c r="AH3657" s="3"/>
      <c r="AL3657" s="3"/>
    </row>
    <row r="3658" spans="12:38" x14ac:dyDescent="0.25">
      <c r="L3658" s="2"/>
      <c r="M3658" s="2"/>
      <c r="N3658" s="2"/>
      <c r="AD3658" s="3"/>
      <c r="AH3658" s="3"/>
      <c r="AL3658" s="3"/>
    </row>
    <row r="3659" spans="12:38" x14ac:dyDescent="0.25">
      <c r="L3659" s="2"/>
      <c r="M3659" s="2"/>
      <c r="N3659" s="2"/>
      <c r="AD3659" s="3"/>
      <c r="AH3659" s="3"/>
      <c r="AL3659" s="3"/>
    </row>
    <row r="3660" spans="12:38" x14ac:dyDescent="0.25">
      <c r="L3660" s="2"/>
      <c r="M3660" s="2"/>
      <c r="N3660" s="2"/>
      <c r="AD3660" s="3"/>
      <c r="AH3660" s="3"/>
      <c r="AL3660" s="3"/>
    </row>
    <row r="3661" spans="12:38" x14ac:dyDescent="0.25">
      <c r="L3661" s="2"/>
      <c r="M3661" s="2"/>
      <c r="N3661" s="2"/>
      <c r="AD3661" s="3"/>
      <c r="AH3661" s="3"/>
      <c r="AL3661" s="3"/>
    </row>
    <row r="3662" spans="12:38" x14ac:dyDescent="0.25">
      <c r="L3662" s="2"/>
      <c r="M3662" s="2"/>
      <c r="N3662" s="2"/>
      <c r="AD3662" s="3"/>
      <c r="AH3662" s="3"/>
      <c r="AL3662" s="3"/>
    </row>
    <row r="3663" spans="12:38" x14ac:dyDescent="0.25">
      <c r="L3663" s="2"/>
      <c r="M3663" s="2"/>
      <c r="N3663" s="2"/>
      <c r="AD3663" s="3"/>
      <c r="AH3663" s="3"/>
      <c r="AL3663" s="3"/>
    </row>
    <row r="3664" spans="12:38" x14ac:dyDescent="0.25">
      <c r="L3664" s="2"/>
      <c r="M3664" s="2"/>
      <c r="N3664" s="2"/>
      <c r="AD3664" s="3"/>
      <c r="AH3664" s="3"/>
      <c r="AL3664" s="3"/>
    </row>
    <row r="3665" spans="12:38" x14ac:dyDescent="0.25">
      <c r="L3665" s="2"/>
      <c r="M3665" s="2"/>
      <c r="N3665" s="2"/>
      <c r="AD3665" s="3"/>
      <c r="AH3665" s="3"/>
      <c r="AL3665" s="3"/>
    </row>
    <row r="3666" spans="12:38" x14ac:dyDescent="0.25">
      <c r="L3666" s="2"/>
      <c r="M3666" s="2"/>
      <c r="N3666" s="2"/>
      <c r="AD3666" s="3"/>
      <c r="AH3666" s="3"/>
      <c r="AL3666" s="3"/>
    </row>
    <row r="3667" spans="12:38" x14ac:dyDescent="0.25">
      <c r="L3667" s="2"/>
      <c r="M3667" s="2"/>
      <c r="N3667" s="2"/>
      <c r="AD3667" s="3"/>
      <c r="AH3667" s="3"/>
      <c r="AL3667" s="3"/>
    </row>
    <row r="3668" spans="12:38" x14ac:dyDescent="0.25">
      <c r="L3668" s="2"/>
      <c r="M3668" s="2"/>
      <c r="N3668" s="2"/>
      <c r="AD3668" s="3"/>
      <c r="AH3668" s="3"/>
      <c r="AL3668" s="3"/>
    </row>
    <row r="3669" spans="12:38" x14ac:dyDescent="0.25">
      <c r="L3669" s="2"/>
      <c r="M3669" s="2"/>
      <c r="N3669" s="2"/>
      <c r="AD3669" s="3"/>
      <c r="AH3669" s="3"/>
      <c r="AL3669" s="3"/>
    </row>
    <row r="3670" spans="12:38" x14ac:dyDescent="0.25">
      <c r="L3670" s="2"/>
      <c r="M3670" s="2"/>
      <c r="N3670" s="2"/>
      <c r="AD3670" s="3"/>
      <c r="AH3670" s="3"/>
      <c r="AL3670" s="3"/>
    </row>
    <row r="3671" spans="12:38" x14ac:dyDescent="0.25">
      <c r="L3671" s="2"/>
      <c r="M3671" s="2"/>
      <c r="N3671" s="2"/>
      <c r="AD3671" s="3"/>
      <c r="AH3671" s="3"/>
      <c r="AL3671" s="3"/>
    </row>
    <row r="3672" spans="12:38" x14ac:dyDescent="0.25">
      <c r="L3672" s="2"/>
      <c r="M3672" s="2"/>
      <c r="N3672" s="2"/>
      <c r="AD3672" s="3"/>
      <c r="AH3672" s="3"/>
      <c r="AL3672" s="3"/>
    </row>
    <row r="3673" spans="12:38" x14ac:dyDescent="0.25">
      <c r="L3673" s="2"/>
      <c r="M3673" s="2"/>
      <c r="N3673" s="2"/>
      <c r="AD3673" s="3"/>
      <c r="AH3673" s="3"/>
      <c r="AL3673" s="3"/>
    </row>
    <row r="3674" spans="12:38" x14ac:dyDescent="0.25">
      <c r="L3674" s="2"/>
      <c r="M3674" s="2"/>
      <c r="N3674" s="2"/>
      <c r="AD3674" s="3"/>
      <c r="AH3674" s="3"/>
      <c r="AL3674" s="3"/>
    </row>
    <row r="3675" spans="12:38" x14ac:dyDescent="0.25">
      <c r="L3675" s="2"/>
      <c r="M3675" s="2"/>
      <c r="N3675" s="2"/>
      <c r="AD3675" s="3"/>
      <c r="AH3675" s="3"/>
      <c r="AL3675" s="3"/>
    </row>
    <row r="3676" spans="12:38" x14ac:dyDescent="0.25">
      <c r="L3676" s="2"/>
      <c r="M3676" s="2"/>
      <c r="N3676" s="2"/>
      <c r="AD3676" s="3"/>
      <c r="AH3676" s="3"/>
      <c r="AL3676" s="3"/>
    </row>
    <row r="3677" spans="12:38" x14ac:dyDescent="0.25">
      <c r="L3677" s="2"/>
      <c r="M3677" s="2"/>
      <c r="N3677" s="2"/>
      <c r="AD3677" s="3"/>
      <c r="AH3677" s="3"/>
      <c r="AL3677" s="3"/>
    </row>
    <row r="3678" spans="12:38" x14ac:dyDescent="0.25">
      <c r="L3678" s="2"/>
      <c r="M3678" s="2"/>
      <c r="N3678" s="2"/>
      <c r="AD3678" s="3"/>
      <c r="AH3678" s="3"/>
      <c r="AL3678" s="3"/>
    </row>
    <row r="3679" spans="12:38" x14ac:dyDescent="0.25">
      <c r="L3679" s="2"/>
      <c r="M3679" s="2"/>
      <c r="N3679" s="2"/>
      <c r="AD3679" s="3"/>
      <c r="AH3679" s="3"/>
      <c r="AL3679" s="3"/>
    </row>
    <row r="3680" spans="12:38" x14ac:dyDescent="0.25">
      <c r="L3680" s="2"/>
      <c r="M3680" s="2"/>
      <c r="N3680" s="2"/>
      <c r="AD3680" s="3"/>
      <c r="AH3680" s="3"/>
      <c r="AL3680" s="3"/>
    </row>
    <row r="3681" spans="12:38" x14ac:dyDescent="0.25">
      <c r="L3681" s="2"/>
      <c r="M3681" s="2"/>
      <c r="N3681" s="2"/>
      <c r="AD3681" s="3"/>
      <c r="AH3681" s="3"/>
      <c r="AL3681" s="3"/>
    </row>
    <row r="3682" spans="12:38" x14ac:dyDescent="0.25">
      <c r="L3682" s="2"/>
      <c r="M3682" s="2"/>
      <c r="N3682" s="2"/>
      <c r="AD3682" s="3"/>
      <c r="AH3682" s="3"/>
      <c r="AL3682" s="3"/>
    </row>
    <row r="3683" spans="12:38" x14ac:dyDescent="0.25">
      <c r="L3683" s="2"/>
      <c r="M3683" s="2"/>
      <c r="N3683" s="2"/>
      <c r="AD3683" s="3"/>
      <c r="AH3683" s="3"/>
      <c r="AL3683" s="3"/>
    </row>
    <row r="3684" spans="12:38" x14ac:dyDescent="0.25">
      <c r="L3684" s="2"/>
      <c r="M3684" s="2"/>
      <c r="N3684" s="2"/>
      <c r="AD3684" s="3"/>
      <c r="AH3684" s="3"/>
      <c r="AL3684" s="3"/>
    </row>
    <row r="3685" spans="12:38" x14ac:dyDescent="0.25">
      <c r="L3685" s="2"/>
      <c r="M3685" s="2"/>
      <c r="N3685" s="2"/>
      <c r="AD3685" s="3"/>
      <c r="AH3685" s="3"/>
      <c r="AL3685" s="3"/>
    </row>
    <row r="3686" spans="12:38" x14ac:dyDescent="0.25">
      <c r="L3686" s="2"/>
      <c r="M3686" s="2"/>
      <c r="N3686" s="2"/>
      <c r="AD3686" s="3"/>
      <c r="AH3686" s="3"/>
      <c r="AL3686" s="3"/>
    </row>
    <row r="3687" spans="12:38" x14ac:dyDescent="0.25">
      <c r="L3687" s="2"/>
      <c r="M3687" s="2"/>
      <c r="N3687" s="2"/>
      <c r="AD3687" s="3"/>
      <c r="AH3687" s="3"/>
      <c r="AL3687" s="3"/>
    </row>
    <row r="3688" spans="12:38" x14ac:dyDescent="0.25">
      <c r="L3688" s="2"/>
      <c r="M3688" s="2"/>
      <c r="N3688" s="2"/>
      <c r="AD3688" s="3"/>
      <c r="AH3688" s="3"/>
      <c r="AL3688" s="3"/>
    </row>
    <row r="3689" spans="12:38" x14ac:dyDescent="0.25">
      <c r="L3689" s="2"/>
      <c r="M3689" s="2"/>
      <c r="N3689" s="2"/>
      <c r="AD3689" s="3"/>
      <c r="AH3689" s="3"/>
      <c r="AL3689" s="3"/>
    </row>
    <row r="3690" spans="12:38" x14ac:dyDescent="0.25">
      <c r="L3690" s="2"/>
      <c r="M3690" s="2"/>
      <c r="N3690" s="2"/>
      <c r="AD3690" s="3"/>
      <c r="AH3690" s="3"/>
      <c r="AL3690" s="3"/>
    </row>
    <row r="3691" spans="12:38" x14ac:dyDescent="0.25">
      <c r="L3691" s="2"/>
      <c r="M3691" s="2"/>
      <c r="N3691" s="2"/>
      <c r="AD3691" s="3"/>
      <c r="AH3691" s="3"/>
      <c r="AL3691" s="3"/>
    </row>
    <row r="3692" spans="12:38" x14ac:dyDescent="0.25">
      <c r="L3692" s="2"/>
      <c r="M3692" s="2"/>
      <c r="N3692" s="2"/>
      <c r="AD3692" s="3"/>
      <c r="AH3692" s="3"/>
      <c r="AL3692" s="3"/>
    </row>
    <row r="3693" spans="12:38" x14ac:dyDescent="0.25">
      <c r="L3693" s="2"/>
      <c r="M3693" s="2"/>
      <c r="N3693" s="2"/>
      <c r="AD3693" s="3"/>
      <c r="AH3693" s="3"/>
      <c r="AL3693" s="3"/>
    </row>
    <row r="3694" spans="12:38" x14ac:dyDescent="0.25">
      <c r="L3694" s="2"/>
      <c r="M3694" s="2"/>
      <c r="N3694" s="2"/>
      <c r="AD3694" s="3"/>
      <c r="AH3694" s="3"/>
      <c r="AL3694" s="3"/>
    </row>
    <row r="3695" spans="12:38" x14ac:dyDescent="0.25">
      <c r="L3695" s="2"/>
      <c r="M3695" s="2"/>
      <c r="N3695" s="2"/>
      <c r="AD3695" s="3"/>
      <c r="AH3695" s="3"/>
      <c r="AL3695" s="3"/>
    </row>
    <row r="3696" spans="12:38" x14ac:dyDescent="0.25">
      <c r="L3696" s="2"/>
      <c r="M3696" s="2"/>
      <c r="N3696" s="2"/>
      <c r="AD3696" s="3"/>
      <c r="AH3696" s="3"/>
      <c r="AL3696" s="3"/>
    </row>
    <row r="3697" spans="12:38" x14ac:dyDescent="0.25">
      <c r="L3697" s="2"/>
      <c r="M3697" s="2"/>
      <c r="N3697" s="2"/>
      <c r="AD3697" s="3"/>
      <c r="AH3697" s="3"/>
      <c r="AL3697" s="3"/>
    </row>
    <row r="3698" spans="12:38" x14ac:dyDescent="0.25">
      <c r="L3698" s="2"/>
      <c r="M3698" s="2"/>
      <c r="N3698" s="2"/>
      <c r="AD3698" s="3"/>
      <c r="AH3698" s="3"/>
      <c r="AL3698" s="3"/>
    </row>
    <row r="3699" spans="12:38" x14ac:dyDescent="0.25">
      <c r="L3699" s="2"/>
      <c r="M3699" s="2"/>
      <c r="N3699" s="2"/>
      <c r="AD3699" s="3"/>
      <c r="AH3699" s="3"/>
      <c r="AL3699" s="3"/>
    </row>
    <row r="3700" spans="12:38" x14ac:dyDescent="0.25">
      <c r="L3700" s="2"/>
      <c r="M3700" s="2"/>
      <c r="N3700" s="2"/>
      <c r="AD3700" s="3"/>
      <c r="AH3700" s="3"/>
      <c r="AL3700" s="3"/>
    </row>
    <row r="3701" spans="12:38" x14ac:dyDescent="0.25">
      <c r="L3701" s="2"/>
      <c r="M3701" s="2"/>
      <c r="N3701" s="2"/>
      <c r="AD3701" s="3"/>
      <c r="AH3701" s="3"/>
      <c r="AL3701" s="3"/>
    </row>
    <row r="3702" spans="12:38" x14ac:dyDescent="0.25">
      <c r="L3702" s="2"/>
      <c r="M3702" s="2"/>
      <c r="N3702" s="2"/>
      <c r="AD3702" s="3"/>
      <c r="AH3702" s="3"/>
      <c r="AL3702" s="3"/>
    </row>
    <row r="3703" spans="12:38" x14ac:dyDescent="0.25">
      <c r="L3703" s="2"/>
      <c r="M3703" s="2"/>
      <c r="N3703" s="2"/>
      <c r="AD3703" s="3"/>
      <c r="AH3703" s="3"/>
      <c r="AL3703" s="3"/>
    </row>
    <row r="3704" spans="12:38" x14ac:dyDescent="0.25">
      <c r="L3704" s="2"/>
      <c r="M3704" s="2"/>
      <c r="N3704" s="2"/>
      <c r="AD3704" s="3"/>
      <c r="AH3704" s="3"/>
      <c r="AL3704" s="3"/>
    </row>
    <row r="3705" spans="12:38" x14ac:dyDescent="0.25">
      <c r="L3705" s="2"/>
      <c r="M3705" s="2"/>
      <c r="N3705" s="2"/>
      <c r="AD3705" s="3"/>
      <c r="AH3705" s="3"/>
      <c r="AL3705" s="3"/>
    </row>
    <row r="3706" spans="12:38" x14ac:dyDescent="0.25">
      <c r="L3706" s="2"/>
      <c r="M3706" s="2"/>
      <c r="N3706" s="2"/>
      <c r="AD3706" s="3"/>
      <c r="AH3706" s="3"/>
      <c r="AL3706" s="3"/>
    </row>
    <row r="3707" spans="12:38" x14ac:dyDescent="0.25">
      <c r="L3707" s="2"/>
      <c r="M3707" s="2"/>
      <c r="N3707" s="2"/>
      <c r="AD3707" s="3"/>
      <c r="AH3707" s="3"/>
      <c r="AL3707" s="3"/>
    </row>
    <row r="3708" spans="12:38" x14ac:dyDescent="0.25">
      <c r="L3708" s="2"/>
      <c r="M3708" s="2"/>
      <c r="N3708" s="2"/>
      <c r="AD3708" s="3"/>
      <c r="AH3708" s="3"/>
      <c r="AL3708" s="3"/>
    </row>
    <row r="3709" spans="12:38" x14ac:dyDescent="0.25">
      <c r="L3709" s="2"/>
      <c r="M3709" s="2"/>
      <c r="N3709" s="2"/>
      <c r="AD3709" s="3"/>
      <c r="AH3709" s="3"/>
      <c r="AL3709" s="3"/>
    </row>
    <row r="3710" spans="12:38" x14ac:dyDescent="0.25">
      <c r="L3710" s="2"/>
      <c r="M3710" s="2"/>
      <c r="N3710" s="2"/>
      <c r="AD3710" s="3"/>
      <c r="AH3710" s="3"/>
      <c r="AL3710" s="3"/>
    </row>
    <row r="3711" spans="12:38" x14ac:dyDescent="0.25">
      <c r="L3711" s="2"/>
      <c r="M3711" s="2"/>
      <c r="N3711" s="2"/>
      <c r="AD3711" s="3"/>
      <c r="AH3711" s="3"/>
      <c r="AL3711" s="3"/>
    </row>
    <row r="3712" spans="12:38" x14ac:dyDescent="0.25">
      <c r="L3712" s="2"/>
      <c r="M3712" s="2"/>
      <c r="N3712" s="2"/>
      <c r="AD3712" s="3"/>
      <c r="AH3712" s="3"/>
      <c r="AL3712" s="3"/>
    </row>
    <row r="3713" spans="12:38" x14ac:dyDescent="0.25">
      <c r="L3713" s="2"/>
      <c r="M3713" s="2"/>
      <c r="N3713" s="2"/>
      <c r="AD3713" s="3"/>
      <c r="AH3713" s="3"/>
      <c r="AL3713" s="3"/>
    </row>
    <row r="3714" spans="12:38" x14ac:dyDescent="0.25">
      <c r="L3714" s="2"/>
      <c r="M3714" s="2"/>
      <c r="N3714" s="2"/>
      <c r="AD3714" s="3"/>
      <c r="AH3714" s="3"/>
      <c r="AL3714" s="3"/>
    </row>
    <row r="3715" spans="12:38" x14ac:dyDescent="0.25">
      <c r="L3715" s="2"/>
      <c r="M3715" s="2"/>
      <c r="N3715" s="2"/>
      <c r="AD3715" s="3"/>
      <c r="AH3715" s="3"/>
      <c r="AL3715" s="3"/>
    </row>
    <row r="3716" spans="12:38" x14ac:dyDescent="0.25">
      <c r="L3716" s="2"/>
      <c r="M3716" s="2"/>
      <c r="N3716" s="2"/>
      <c r="AD3716" s="3"/>
      <c r="AH3716" s="3"/>
      <c r="AL3716" s="3"/>
    </row>
    <row r="3717" spans="12:38" x14ac:dyDescent="0.25">
      <c r="L3717" s="2"/>
      <c r="M3717" s="2"/>
      <c r="N3717" s="2"/>
      <c r="AD3717" s="3"/>
      <c r="AH3717" s="3"/>
      <c r="AL3717" s="3"/>
    </row>
    <row r="3718" spans="12:38" x14ac:dyDescent="0.25">
      <c r="L3718" s="2"/>
      <c r="M3718" s="2"/>
      <c r="N3718" s="2"/>
      <c r="AD3718" s="3"/>
      <c r="AH3718" s="3"/>
      <c r="AL3718" s="3"/>
    </row>
    <row r="3719" spans="12:38" x14ac:dyDescent="0.25">
      <c r="L3719" s="2"/>
      <c r="M3719" s="2"/>
      <c r="N3719" s="2"/>
      <c r="AD3719" s="3"/>
      <c r="AH3719" s="3"/>
      <c r="AL3719" s="3"/>
    </row>
    <row r="3720" spans="12:38" x14ac:dyDescent="0.25">
      <c r="L3720" s="2"/>
      <c r="M3720" s="2"/>
      <c r="N3720" s="2"/>
      <c r="AD3720" s="3"/>
      <c r="AH3720" s="3"/>
      <c r="AL3720" s="3"/>
    </row>
    <row r="3721" spans="12:38" x14ac:dyDescent="0.25">
      <c r="L3721" s="2"/>
      <c r="M3721" s="2"/>
      <c r="N3721" s="2"/>
      <c r="AD3721" s="3"/>
      <c r="AH3721" s="3"/>
      <c r="AL3721" s="3"/>
    </row>
    <row r="3722" spans="12:38" x14ac:dyDescent="0.25">
      <c r="L3722" s="2"/>
      <c r="M3722" s="2"/>
      <c r="N3722" s="2"/>
      <c r="AD3722" s="3"/>
      <c r="AH3722" s="3"/>
      <c r="AL3722" s="3"/>
    </row>
    <row r="3723" spans="12:38" x14ac:dyDescent="0.25">
      <c r="L3723" s="2"/>
      <c r="M3723" s="2"/>
      <c r="N3723" s="2"/>
      <c r="AD3723" s="3"/>
      <c r="AH3723" s="3"/>
      <c r="AL3723" s="3"/>
    </row>
    <row r="3724" spans="12:38" x14ac:dyDescent="0.25">
      <c r="L3724" s="2"/>
      <c r="M3724" s="2"/>
      <c r="N3724" s="2"/>
      <c r="AD3724" s="3"/>
      <c r="AH3724" s="3"/>
      <c r="AL3724" s="3"/>
    </row>
    <row r="3725" spans="12:38" x14ac:dyDescent="0.25">
      <c r="L3725" s="2"/>
      <c r="M3725" s="2"/>
      <c r="N3725" s="2"/>
      <c r="AD3725" s="3"/>
      <c r="AH3725" s="3"/>
      <c r="AL3725" s="3"/>
    </row>
    <row r="3726" spans="12:38" x14ac:dyDescent="0.25">
      <c r="L3726" s="2"/>
      <c r="M3726" s="2"/>
      <c r="N3726" s="2"/>
      <c r="AD3726" s="3"/>
      <c r="AH3726" s="3"/>
      <c r="AL3726" s="3"/>
    </row>
    <row r="3727" spans="12:38" x14ac:dyDescent="0.25">
      <c r="L3727" s="2"/>
      <c r="M3727" s="2"/>
      <c r="N3727" s="2"/>
      <c r="AD3727" s="3"/>
      <c r="AH3727" s="3"/>
      <c r="AL3727" s="3"/>
    </row>
    <row r="3728" spans="12:38" x14ac:dyDescent="0.25">
      <c r="L3728" s="2"/>
      <c r="M3728" s="2"/>
      <c r="N3728" s="2"/>
      <c r="AD3728" s="3"/>
      <c r="AH3728" s="3"/>
      <c r="AL3728" s="3"/>
    </row>
    <row r="3729" spans="12:38" x14ac:dyDescent="0.25">
      <c r="L3729" s="2"/>
      <c r="M3729" s="2"/>
      <c r="N3729" s="2"/>
      <c r="AD3729" s="3"/>
      <c r="AH3729" s="3"/>
      <c r="AL3729" s="3"/>
    </row>
    <row r="3730" spans="12:38" x14ac:dyDescent="0.25">
      <c r="L3730" s="2"/>
      <c r="M3730" s="2"/>
      <c r="N3730" s="2"/>
      <c r="AD3730" s="3"/>
      <c r="AH3730" s="3"/>
      <c r="AL3730" s="3"/>
    </row>
    <row r="3731" spans="12:38" x14ac:dyDescent="0.25">
      <c r="L3731" s="2"/>
      <c r="M3731" s="2"/>
      <c r="N3731" s="2"/>
      <c r="AD3731" s="3"/>
      <c r="AH3731" s="3"/>
      <c r="AL3731" s="3"/>
    </row>
    <row r="3732" spans="12:38" x14ac:dyDescent="0.25">
      <c r="L3732" s="2"/>
      <c r="M3732" s="2"/>
      <c r="N3732" s="2"/>
      <c r="AD3732" s="3"/>
      <c r="AH3732" s="3"/>
      <c r="AL3732" s="3"/>
    </row>
    <row r="3733" spans="12:38" x14ac:dyDescent="0.25">
      <c r="L3733" s="2"/>
      <c r="M3733" s="2"/>
      <c r="N3733" s="2"/>
      <c r="AD3733" s="3"/>
      <c r="AH3733" s="3"/>
      <c r="AL3733" s="3"/>
    </row>
    <row r="3734" spans="12:38" x14ac:dyDescent="0.25">
      <c r="L3734" s="2"/>
      <c r="M3734" s="2"/>
      <c r="N3734" s="2"/>
      <c r="AD3734" s="3"/>
      <c r="AH3734" s="3"/>
      <c r="AL3734" s="3"/>
    </row>
    <row r="3735" spans="12:38" x14ac:dyDescent="0.25">
      <c r="L3735" s="2"/>
      <c r="M3735" s="2"/>
      <c r="N3735" s="2"/>
      <c r="AD3735" s="3"/>
      <c r="AH3735" s="3"/>
      <c r="AL3735" s="3"/>
    </row>
    <row r="3736" spans="12:38" x14ac:dyDescent="0.25">
      <c r="L3736" s="2"/>
      <c r="M3736" s="2"/>
      <c r="N3736" s="2"/>
      <c r="AD3736" s="3"/>
      <c r="AH3736" s="3"/>
      <c r="AL3736" s="3"/>
    </row>
    <row r="3737" spans="12:38" x14ac:dyDescent="0.25">
      <c r="L3737" s="2"/>
      <c r="M3737" s="2"/>
      <c r="N3737" s="2"/>
      <c r="AD3737" s="3"/>
      <c r="AH3737" s="3"/>
      <c r="AL3737" s="3"/>
    </row>
    <row r="3738" spans="12:38" x14ac:dyDescent="0.25">
      <c r="L3738" s="2"/>
      <c r="M3738" s="2"/>
      <c r="N3738" s="2"/>
      <c r="AD3738" s="3"/>
      <c r="AH3738" s="3"/>
      <c r="AL3738" s="3"/>
    </row>
    <row r="3739" spans="12:38" x14ac:dyDescent="0.25">
      <c r="L3739" s="2"/>
      <c r="M3739" s="2"/>
      <c r="N3739" s="2"/>
      <c r="AD3739" s="3"/>
      <c r="AH3739" s="3"/>
      <c r="AL3739" s="3"/>
    </row>
    <row r="3740" spans="12:38" x14ac:dyDescent="0.25">
      <c r="L3740" s="2"/>
      <c r="M3740" s="2"/>
      <c r="N3740" s="2"/>
      <c r="AD3740" s="3"/>
      <c r="AH3740" s="3"/>
      <c r="AL3740" s="3"/>
    </row>
    <row r="3741" spans="12:38" x14ac:dyDescent="0.25">
      <c r="L3741" s="2"/>
      <c r="M3741" s="2"/>
      <c r="N3741" s="2"/>
      <c r="AD3741" s="3"/>
      <c r="AH3741" s="3"/>
      <c r="AL3741" s="3"/>
    </row>
    <row r="3742" spans="12:38" x14ac:dyDescent="0.25">
      <c r="L3742" s="2"/>
      <c r="M3742" s="2"/>
      <c r="N3742" s="2"/>
      <c r="AD3742" s="3"/>
      <c r="AH3742" s="3"/>
      <c r="AL3742" s="3"/>
    </row>
    <row r="3743" spans="12:38" x14ac:dyDescent="0.25">
      <c r="L3743" s="2"/>
      <c r="M3743" s="2"/>
      <c r="N3743" s="2"/>
      <c r="AD3743" s="3"/>
      <c r="AH3743" s="3"/>
      <c r="AL3743" s="3"/>
    </row>
    <row r="3744" spans="12:38" x14ac:dyDescent="0.25">
      <c r="L3744" s="2"/>
      <c r="M3744" s="2"/>
      <c r="N3744" s="2"/>
      <c r="AD3744" s="3"/>
      <c r="AH3744" s="3"/>
      <c r="AL3744" s="3"/>
    </row>
    <row r="3745" spans="12:38" x14ac:dyDescent="0.25">
      <c r="L3745" s="2"/>
      <c r="M3745" s="2"/>
      <c r="N3745" s="2"/>
      <c r="AD3745" s="3"/>
      <c r="AH3745" s="3"/>
      <c r="AL3745" s="3"/>
    </row>
    <row r="3746" spans="12:38" x14ac:dyDescent="0.25">
      <c r="L3746" s="2"/>
      <c r="M3746" s="2"/>
      <c r="N3746" s="2"/>
      <c r="AD3746" s="3"/>
      <c r="AH3746" s="3"/>
      <c r="AL3746" s="3"/>
    </row>
    <row r="3747" spans="12:38" x14ac:dyDescent="0.25">
      <c r="L3747" s="2"/>
      <c r="M3747" s="2"/>
      <c r="N3747" s="2"/>
      <c r="AD3747" s="3"/>
      <c r="AH3747" s="3"/>
      <c r="AL3747" s="3"/>
    </row>
    <row r="3748" spans="12:38" x14ac:dyDescent="0.25">
      <c r="L3748" s="2"/>
      <c r="M3748" s="2"/>
      <c r="N3748" s="2"/>
      <c r="AD3748" s="3"/>
      <c r="AH3748" s="3"/>
      <c r="AL3748" s="3"/>
    </row>
    <row r="3749" spans="12:38" x14ac:dyDescent="0.25">
      <c r="L3749" s="2"/>
      <c r="M3749" s="2"/>
      <c r="N3749" s="2"/>
      <c r="AD3749" s="3"/>
      <c r="AH3749" s="3"/>
      <c r="AL3749" s="3"/>
    </row>
    <row r="3750" spans="12:38" x14ac:dyDescent="0.25">
      <c r="L3750" s="2"/>
      <c r="M3750" s="2"/>
      <c r="N3750" s="2"/>
      <c r="AD3750" s="3"/>
      <c r="AH3750" s="3"/>
      <c r="AL3750" s="3"/>
    </row>
    <row r="3751" spans="12:38" x14ac:dyDescent="0.25">
      <c r="L3751" s="2"/>
      <c r="M3751" s="2"/>
      <c r="N3751" s="2"/>
      <c r="AD3751" s="3"/>
      <c r="AH3751" s="3"/>
      <c r="AL3751" s="3"/>
    </row>
    <row r="3752" spans="12:38" x14ac:dyDescent="0.25">
      <c r="L3752" s="2"/>
      <c r="M3752" s="2"/>
      <c r="N3752" s="2"/>
      <c r="AD3752" s="3"/>
      <c r="AH3752" s="3"/>
      <c r="AL3752" s="3"/>
    </row>
    <row r="3753" spans="12:38" x14ac:dyDescent="0.25">
      <c r="L3753" s="2"/>
      <c r="M3753" s="2"/>
      <c r="N3753" s="2"/>
      <c r="AD3753" s="3"/>
      <c r="AH3753" s="3"/>
      <c r="AL3753" s="3"/>
    </row>
    <row r="3754" spans="12:38" x14ac:dyDescent="0.25">
      <c r="L3754" s="2"/>
      <c r="M3754" s="2"/>
      <c r="N3754" s="2"/>
      <c r="AD3754" s="3"/>
      <c r="AH3754" s="3"/>
      <c r="AL3754" s="3"/>
    </row>
    <row r="3755" spans="12:38" x14ac:dyDescent="0.25">
      <c r="L3755" s="2"/>
      <c r="M3755" s="2"/>
      <c r="N3755" s="2"/>
      <c r="AD3755" s="3"/>
      <c r="AH3755" s="3"/>
      <c r="AL3755" s="3"/>
    </row>
    <row r="3756" spans="12:38" x14ac:dyDescent="0.25">
      <c r="L3756" s="2"/>
      <c r="M3756" s="2"/>
      <c r="N3756" s="2"/>
      <c r="AD3756" s="3"/>
      <c r="AH3756" s="3"/>
      <c r="AL3756" s="3"/>
    </row>
    <row r="3757" spans="12:38" x14ac:dyDescent="0.25">
      <c r="L3757" s="2"/>
      <c r="M3757" s="2"/>
      <c r="N3757" s="2"/>
      <c r="AD3757" s="3"/>
      <c r="AH3757" s="3"/>
      <c r="AL3757" s="3"/>
    </row>
    <row r="3758" spans="12:38" x14ac:dyDescent="0.25">
      <c r="L3758" s="2"/>
      <c r="M3758" s="2"/>
      <c r="N3758" s="2"/>
      <c r="AD3758" s="3"/>
      <c r="AH3758" s="3"/>
      <c r="AL3758" s="3"/>
    </row>
    <row r="3759" spans="12:38" x14ac:dyDescent="0.25">
      <c r="L3759" s="2"/>
      <c r="M3759" s="2"/>
      <c r="N3759" s="2"/>
      <c r="AD3759" s="3"/>
      <c r="AH3759" s="3"/>
      <c r="AL3759" s="3"/>
    </row>
    <row r="3760" spans="12:38" x14ac:dyDescent="0.25">
      <c r="L3760" s="2"/>
      <c r="M3760" s="2"/>
      <c r="N3760" s="2"/>
      <c r="AD3760" s="3"/>
      <c r="AH3760" s="3"/>
      <c r="AL3760" s="3"/>
    </row>
    <row r="3761" spans="12:38" x14ac:dyDescent="0.25">
      <c r="L3761" s="2"/>
      <c r="M3761" s="2"/>
      <c r="N3761" s="2"/>
      <c r="AD3761" s="3"/>
      <c r="AH3761" s="3"/>
      <c r="AL3761" s="3"/>
    </row>
    <row r="3762" spans="12:38" x14ac:dyDescent="0.25">
      <c r="L3762" s="2"/>
      <c r="M3762" s="2"/>
      <c r="N3762" s="2"/>
      <c r="AD3762" s="3"/>
      <c r="AH3762" s="3"/>
      <c r="AL3762" s="3"/>
    </row>
    <row r="3763" spans="12:38" x14ac:dyDescent="0.25">
      <c r="L3763" s="2"/>
      <c r="M3763" s="2"/>
      <c r="N3763" s="2"/>
      <c r="AD3763" s="3"/>
      <c r="AH3763" s="3"/>
      <c r="AL3763" s="3"/>
    </row>
    <row r="3764" spans="12:38" x14ac:dyDescent="0.25">
      <c r="L3764" s="2"/>
      <c r="M3764" s="2"/>
      <c r="N3764" s="2"/>
      <c r="AD3764" s="3"/>
      <c r="AH3764" s="3"/>
      <c r="AL3764" s="3"/>
    </row>
    <row r="3765" spans="12:38" x14ac:dyDescent="0.25">
      <c r="L3765" s="2"/>
      <c r="M3765" s="2"/>
      <c r="N3765" s="2"/>
      <c r="AD3765" s="3"/>
      <c r="AH3765" s="3"/>
      <c r="AL3765" s="3"/>
    </row>
    <row r="3766" spans="12:38" x14ac:dyDescent="0.25">
      <c r="L3766" s="2"/>
      <c r="M3766" s="2"/>
      <c r="N3766" s="2"/>
      <c r="AD3766" s="3"/>
      <c r="AH3766" s="3"/>
      <c r="AL3766" s="3"/>
    </row>
    <row r="3767" spans="12:38" x14ac:dyDescent="0.25">
      <c r="L3767" s="2"/>
      <c r="M3767" s="2"/>
      <c r="N3767" s="2"/>
      <c r="AD3767" s="3"/>
      <c r="AH3767" s="3"/>
      <c r="AL3767" s="3"/>
    </row>
    <row r="3768" spans="12:38" x14ac:dyDescent="0.25">
      <c r="L3768" s="2"/>
      <c r="M3768" s="2"/>
      <c r="N3768" s="2"/>
      <c r="AD3768" s="3"/>
      <c r="AH3768" s="3"/>
      <c r="AL3768" s="3"/>
    </row>
    <row r="3769" spans="12:38" x14ac:dyDescent="0.25">
      <c r="L3769" s="2"/>
      <c r="M3769" s="2"/>
      <c r="N3769" s="2"/>
      <c r="AD3769" s="3"/>
      <c r="AH3769" s="3"/>
      <c r="AL3769" s="3"/>
    </row>
    <row r="3770" spans="12:38" x14ac:dyDescent="0.25">
      <c r="L3770" s="2"/>
      <c r="M3770" s="2"/>
      <c r="N3770" s="2"/>
      <c r="AD3770" s="3"/>
      <c r="AH3770" s="3"/>
      <c r="AL3770" s="3"/>
    </row>
    <row r="3771" spans="12:38" x14ac:dyDescent="0.25">
      <c r="L3771" s="2"/>
      <c r="M3771" s="2"/>
      <c r="N3771" s="2"/>
      <c r="AD3771" s="3"/>
      <c r="AH3771" s="3"/>
      <c r="AL3771" s="3"/>
    </row>
    <row r="3772" spans="12:38" x14ac:dyDescent="0.25">
      <c r="L3772" s="2"/>
      <c r="M3772" s="2"/>
      <c r="N3772" s="2"/>
      <c r="AD3772" s="3"/>
      <c r="AH3772" s="3"/>
      <c r="AL3772" s="3"/>
    </row>
    <row r="3773" spans="12:38" x14ac:dyDescent="0.25">
      <c r="L3773" s="2"/>
      <c r="M3773" s="2"/>
      <c r="N3773" s="2"/>
      <c r="AD3773" s="3"/>
      <c r="AH3773" s="3"/>
      <c r="AL3773" s="3"/>
    </row>
    <row r="3774" spans="12:38" x14ac:dyDescent="0.25">
      <c r="L3774" s="2"/>
      <c r="M3774" s="2"/>
      <c r="N3774" s="2"/>
      <c r="AD3774" s="3"/>
      <c r="AH3774" s="3"/>
      <c r="AL3774" s="3"/>
    </row>
    <row r="3775" spans="12:38" x14ac:dyDescent="0.25">
      <c r="L3775" s="2"/>
      <c r="M3775" s="2"/>
      <c r="N3775" s="2"/>
      <c r="AD3775" s="3"/>
      <c r="AH3775" s="3"/>
      <c r="AL3775" s="3"/>
    </row>
    <row r="3776" spans="12:38" x14ac:dyDescent="0.25">
      <c r="L3776" s="2"/>
      <c r="M3776" s="2"/>
      <c r="N3776" s="2"/>
      <c r="AD3776" s="3"/>
      <c r="AH3776" s="3"/>
      <c r="AL3776" s="3"/>
    </row>
    <row r="3777" spans="12:38" x14ac:dyDescent="0.25">
      <c r="L3777" s="2"/>
      <c r="M3777" s="2"/>
      <c r="N3777" s="2"/>
      <c r="AD3777" s="3"/>
      <c r="AH3777" s="3"/>
      <c r="AL3777" s="3"/>
    </row>
    <row r="3778" spans="12:38" x14ac:dyDescent="0.25">
      <c r="L3778" s="2"/>
      <c r="M3778" s="2"/>
      <c r="N3778" s="2"/>
      <c r="AD3778" s="3"/>
      <c r="AH3778" s="3"/>
      <c r="AL3778" s="3"/>
    </row>
    <row r="3779" spans="12:38" x14ac:dyDescent="0.25">
      <c r="L3779" s="2"/>
      <c r="M3779" s="2"/>
      <c r="N3779" s="2"/>
      <c r="AD3779" s="3"/>
      <c r="AH3779" s="3"/>
      <c r="AL3779" s="3"/>
    </row>
    <row r="3780" spans="12:38" x14ac:dyDescent="0.25">
      <c r="L3780" s="2"/>
      <c r="M3780" s="2"/>
      <c r="N3780" s="2"/>
      <c r="AD3780" s="3"/>
      <c r="AH3780" s="3"/>
      <c r="AL3780" s="3"/>
    </row>
    <row r="3781" spans="12:38" x14ac:dyDescent="0.25">
      <c r="L3781" s="2"/>
      <c r="M3781" s="2"/>
      <c r="N3781" s="2"/>
      <c r="AD3781" s="3"/>
      <c r="AH3781" s="3"/>
      <c r="AL3781" s="3"/>
    </row>
    <row r="3782" spans="12:38" x14ac:dyDescent="0.25">
      <c r="L3782" s="2"/>
      <c r="M3782" s="2"/>
      <c r="N3782" s="2"/>
      <c r="AD3782" s="3"/>
      <c r="AH3782" s="3"/>
      <c r="AL3782" s="3"/>
    </row>
    <row r="3783" spans="12:38" x14ac:dyDescent="0.25">
      <c r="L3783" s="2"/>
      <c r="M3783" s="2"/>
      <c r="N3783" s="2"/>
      <c r="AD3783" s="3"/>
      <c r="AH3783" s="3"/>
      <c r="AL3783" s="3"/>
    </row>
    <row r="3784" spans="12:38" x14ac:dyDescent="0.25">
      <c r="L3784" s="2"/>
      <c r="M3784" s="2"/>
      <c r="N3784" s="2"/>
      <c r="AD3784" s="3"/>
      <c r="AH3784" s="3"/>
      <c r="AL3784" s="3"/>
    </row>
    <row r="3785" spans="12:38" x14ac:dyDescent="0.25">
      <c r="L3785" s="2"/>
      <c r="M3785" s="2"/>
      <c r="N3785" s="2"/>
      <c r="AD3785" s="3"/>
      <c r="AH3785" s="3"/>
      <c r="AL3785" s="3"/>
    </row>
    <row r="3786" spans="12:38" x14ac:dyDescent="0.25">
      <c r="L3786" s="2"/>
      <c r="M3786" s="2"/>
      <c r="N3786" s="2"/>
      <c r="AD3786" s="3"/>
      <c r="AH3786" s="3"/>
      <c r="AL3786" s="3"/>
    </row>
    <row r="3787" spans="12:38" x14ac:dyDescent="0.25">
      <c r="L3787" s="2"/>
      <c r="M3787" s="2"/>
      <c r="N3787" s="2"/>
      <c r="AD3787" s="3"/>
      <c r="AH3787" s="3"/>
      <c r="AL3787" s="3"/>
    </row>
    <row r="3788" spans="12:38" x14ac:dyDescent="0.25">
      <c r="L3788" s="2"/>
      <c r="M3788" s="2"/>
      <c r="N3788" s="2"/>
      <c r="AD3788" s="3"/>
      <c r="AH3788" s="3"/>
      <c r="AL3788" s="3"/>
    </row>
    <row r="3789" spans="12:38" x14ac:dyDescent="0.25">
      <c r="L3789" s="2"/>
      <c r="M3789" s="2"/>
      <c r="N3789" s="2"/>
      <c r="AD3789" s="3"/>
      <c r="AH3789" s="3"/>
      <c r="AL3789" s="3"/>
    </row>
    <row r="3790" spans="12:38" x14ac:dyDescent="0.25">
      <c r="L3790" s="2"/>
      <c r="M3790" s="2"/>
      <c r="N3790" s="2"/>
      <c r="AD3790" s="3"/>
      <c r="AH3790" s="3"/>
      <c r="AL3790" s="3"/>
    </row>
    <row r="3791" spans="12:38" x14ac:dyDescent="0.25">
      <c r="L3791" s="2"/>
      <c r="M3791" s="2"/>
      <c r="N3791" s="2"/>
      <c r="AD3791" s="3"/>
      <c r="AH3791" s="3"/>
      <c r="AL3791" s="3"/>
    </row>
    <row r="3792" spans="12:38" x14ac:dyDescent="0.25">
      <c r="L3792" s="2"/>
      <c r="M3792" s="2"/>
      <c r="N3792" s="2"/>
      <c r="AD3792" s="3"/>
      <c r="AH3792" s="3"/>
      <c r="AL3792" s="3"/>
    </row>
    <row r="3793" spans="12:38" x14ac:dyDescent="0.25">
      <c r="L3793" s="2"/>
      <c r="M3793" s="2"/>
      <c r="N3793" s="2"/>
      <c r="AD3793" s="3"/>
      <c r="AH3793" s="3"/>
      <c r="AL3793" s="3"/>
    </row>
    <row r="3794" spans="12:38" x14ac:dyDescent="0.25">
      <c r="L3794" s="2"/>
      <c r="M3794" s="2"/>
      <c r="N3794" s="2"/>
      <c r="AD3794" s="3"/>
      <c r="AH3794" s="3"/>
      <c r="AL3794" s="3"/>
    </row>
    <row r="3795" spans="12:38" x14ac:dyDescent="0.25">
      <c r="L3795" s="2"/>
      <c r="M3795" s="2"/>
      <c r="N3795" s="2"/>
      <c r="AD3795" s="3"/>
      <c r="AH3795" s="3"/>
      <c r="AL3795" s="3"/>
    </row>
    <row r="3796" spans="12:38" x14ac:dyDescent="0.25">
      <c r="L3796" s="2"/>
      <c r="M3796" s="2"/>
      <c r="N3796" s="2"/>
      <c r="AD3796" s="3"/>
      <c r="AH3796" s="3"/>
      <c r="AL3796" s="3"/>
    </row>
    <row r="3797" spans="12:38" x14ac:dyDescent="0.25">
      <c r="L3797" s="2"/>
      <c r="M3797" s="2"/>
      <c r="N3797" s="2"/>
      <c r="AD3797" s="3"/>
      <c r="AH3797" s="3"/>
      <c r="AL3797" s="3"/>
    </row>
    <row r="3798" spans="12:38" x14ac:dyDescent="0.25">
      <c r="L3798" s="2"/>
      <c r="M3798" s="2"/>
      <c r="N3798" s="2"/>
      <c r="AD3798" s="3"/>
      <c r="AH3798" s="3"/>
      <c r="AL3798" s="3"/>
    </row>
    <row r="3799" spans="12:38" x14ac:dyDescent="0.25">
      <c r="L3799" s="2"/>
      <c r="M3799" s="2"/>
      <c r="N3799" s="2"/>
      <c r="AD3799" s="3"/>
      <c r="AH3799" s="3"/>
      <c r="AL3799" s="3"/>
    </row>
    <row r="3800" spans="12:38" x14ac:dyDescent="0.25">
      <c r="L3800" s="2"/>
      <c r="M3800" s="2"/>
      <c r="N3800" s="2"/>
      <c r="AD3800" s="3"/>
      <c r="AH3800" s="3"/>
      <c r="AL3800" s="3"/>
    </row>
    <row r="3801" spans="12:38" x14ac:dyDescent="0.25">
      <c r="L3801" s="2"/>
      <c r="M3801" s="2"/>
      <c r="N3801" s="2"/>
      <c r="AD3801" s="3"/>
      <c r="AH3801" s="3"/>
      <c r="AL3801" s="3"/>
    </row>
    <row r="3802" spans="12:38" x14ac:dyDescent="0.25">
      <c r="L3802" s="2"/>
      <c r="M3802" s="2"/>
      <c r="N3802" s="2"/>
      <c r="AD3802" s="3"/>
      <c r="AH3802" s="3"/>
      <c r="AL3802" s="3"/>
    </row>
    <row r="3803" spans="12:38" x14ac:dyDescent="0.25">
      <c r="L3803" s="2"/>
      <c r="M3803" s="2"/>
      <c r="N3803" s="2"/>
      <c r="AD3803" s="3"/>
      <c r="AH3803" s="3"/>
      <c r="AL3803" s="3"/>
    </row>
    <row r="3804" spans="12:38" x14ac:dyDescent="0.25">
      <c r="L3804" s="2"/>
      <c r="M3804" s="2"/>
      <c r="N3804" s="2"/>
      <c r="AD3804" s="3"/>
      <c r="AH3804" s="3"/>
      <c r="AL3804" s="3"/>
    </row>
    <row r="3805" spans="12:38" x14ac:dyDescent="0.25">
      <c r="L3805" s="2"/>
      <c r="M3805" s="2"/>
      <c r="N3805" s="2"/>
      <c r="AD3805" s="3"/>
      <c r="AH3805" s="3"/>
      <c r="AL3805" s="3"/>
    </row>
    <row r="3806" spans="12:38" x14ac:dyDescent="0.25">
      <c r="L3806" s="2"/>
      <c r="M3806" s="2"/>
      <c r="N3806" s="2"/>
      <c r="AD3806" s="3"/>
      <c r="AH3806" s="3"/>
      <c r="AL3806" s="3"/>
    </row>
    <row r="3807" spans="12:38" x14ac:dyDescent="0.25">
      <c r="L3807" s="2"/>
      <c r="M3807" s="2"/>
      <c r="N3807" s="2"/>
      <c r="AD3807" s="3"/>
      <c r="AH3807" s="3"/>
      <c r="AL3807" s="3"/>
    </row>
    <row r="3808" spans="12:38" x14ac:dyDescent="0.25">
      <c r="L3808" s="2"/>
      <c r="M3808" s="2"/>
      <c r="N3808" s="2"/>
      <c r="AD3808" s="3"/>
      <c r="AH3808" s="3"/>
      <c r="AL3808" s="3"/>
    </row>
    <row r="3809" spans="12:38" x14ac:dyDescent="0.25">
      <c r="L3809" s="2"/>
      <c r="M3809" s="2"/>
      <c r="N3809" s="2"/>
      <c r="AD3809" s="3"/>
      <c r="AH3809" s="3"/>
      <c r="AL3809" s="3"/>
    </row>
    <row r="3810" spans="12:38" x14ac:dyDescent="0.25">
      <c r="L3810" s="2"/>
      <c r="M3810" s="2"/>
      <c r="N3810" s="2"/>
      <c r="AD3810" s="3"/>
      <c r="AH3810" s="3"/>
      <c r="AL3810" s="3"/>
    </row>
    <row r="3811" spans="12:38" x14ac:dyDescent="0.25">
      <c r="L3811" s="2"/>
      <c r="M3811" s="2"/>
      <c r="N3811" s="2"/>
      <c r="AD3811" s="3"/>
      <c r="AH3811" s="3"/>
      <c r="AL3811" s="3"/>
    </row>
    <row r="3812" spans="12:38" x14ac:dyDescent="0.25">
      <c r="L3812" s="2"/>
      <c r="M3812" s="2"/>
      <c r="N3812" s="2"/>
      <c r="AD3812" s="3"/>
      <c r="AH3812" s="3"/>
      <c r="AL3812" s="3"/>
    </row>
    <row r="3813" spans="12:38" x14ac:dyDescent="0.25">
      <c r="L3813" s="2"/>
      <c r="M3813" s="2"/>
      <c r="N3813" s="2"/>
      <c r="AD3813" s="3"/>
      <c r="AH3813" s="3"/>
      <c r="AL3813" s="3"/>
    </row>
    <row r="3814" spans="12:38" x14ac:dyDescent="0.25">
      <c r="L3814" s="2"/>
      <c r="M3814" s="2"/>
      <c r="N3814" s="2"/>
      <c r="AD3814" s="3"/>
      <c r="AH3814" s="3"/>
      <c r="AL3814" s="3"/>
    </row>
    <row r="3815" spans="12:38" x14ac:dyDescent="0.25">
      <c r="L3815" s="2"/>
      <c r="M3815" s="2"/>
      <c r="N3815" s="2"/>
      <c r="AD3815" s="3"/>
      <c r="AH3815" s="3"/>
      <c r="AL3815" s="3"/>
    </row>
    <row r="3816" spans="12:38" x14ac:dyDescent="0.25">
      <c r="L3816" s="2"/>
      <c r="M3816" s="2"/>
      <c r="N3816" s="2"/>
      <c r="AD3816" s="3"/>
      <c r="AH3816" s="3"/>
      <c r="AL3816" s="3"/>
    </row>
    <row r="3817" spans="12:38" x14ac:dyDescent="0.25">
      <c r="L3817" s="2"/>
      <c r="M3817" s="2"/>
      <c r="N3817" s="2"/>
      <c r="AD3817" s="3"/>
      <c r="AH3817" s="3"/>
      <c r="AL3817" s="3"/>
    </row>
    <row r="3818" spans="12:38" x14ac:dyDescent="0.25">
      <c r="L3818" s="2"/>
      <c r="M3818" s="2"/>
      <c r="N3818" s="2"/>
      <c r="AD3818" s="3"/>
      <c r="AH3818" s="3"/>
      <c r="AL3818" s="3"/>
    </row>
    <row r="3819" spans="12:38" x14ac:dyDescent="0.25">
      <c r="L3819" s="2"/>
      <c r="M3819" s="2"/>
      <c r="N3819" s="2"/>
      <c r="AD3819" s="3"/>
      <c r="AH3819" s="3"/>
      <c r="AL3819" s="3"/>
    </row>
    <row r="3820" spans="12:38" x14ac:dyDescent="0.25">
      <c r="L3820" s="2"/>
      <c r="M3820" s="2"/>
      <c r="N3820" s="2"/>
      <c r="AD3820" s="3"/>
      <c r="AH3820" s="3"/>
      <c r="AL3820" s="3"/>
    </row>
    <row r="3821" spans="12:38" x14ac:dyDescent="0.25">
      <c r="L3821" s="2"/>
      <c r="M3821" s="2"/>
      <c r="N3821" s="2"/>
      <c r="AD3821" s="3"/>
      <c r="AH3821" s="3"/>
      <c r="AL3821" s="3"/>
    </row>
    <row r="3822" spans="12:38" x14ac:dyDescent="0.25">
      <c r="L3822" s="2"/>
      <c r="M3822" s="2"/>
      <c r="N3822" s="2"/>
      <c r="AD3822" s="3"/>
      <c r="AH3822" s="3"/>
      <c r="AL3822" s="3"/>
    </row>
    <row r="3823" spans="12:38" x14ac:dyDescent="0.25">
      <c r="L3823" s="2"/>
      <c r="M3823" s="2"/>
      <c r="N3823" s="2"/>
      <c r="AD3823" s="3"/>
      <c r="AH3823" s="3"/>
      <c r="AL3823" s="3"/>
    </row>
    <row r="3824" spans="12:38" x14ac:dyDescent="0.25">
      <c r="L3824" s="2"/>
      <c r="M3824" s="2"/>
      <c r="N3824" s="2"/>
      <c r="AD3824" s="3"/>
      <c r="AH3824" s="3"/>
      <c r="AL3824" s="3"/>
    </row>
    <row r="3825" spans="12:38" x14ac:dyDescent="0.25">
      <c r="L3825" s="2"/>
      <c r="M3825" s="2"/>
      <c r="N3825" s="2"/>
      <c r="AD3825" s="3"/>
      <c r="AH3825" s="3"/>
      <c r="AL3825" s="3"/>
    </row>
    <row r="3826" spans="12:38" x14ac:dyDescent="0.25">
      <c r="L3826" s="2"/>
      <c r="M3826" s="2"/>
      <c r="N3826" s="2"/>
      <c r="AD3826" s="3"/>
      <c r="AH3826" s="3"/>
      <c r="AL3826" s="3"/>
    </row>
    <row r="3827" spans="12:38" x14ac:dyDescent="0.25">
      <c r="L3827" s="2"/>
      <c r="M3827" s="2"/>
      <c r="N3827" s="2"/>
      <c r="AD3827" s="3"/>
      <c r="AH3827" s="3"/>
      <c r="AL3827" s="3"/>
    </row>
    <row r="3828" spans="12:38" x14ac:dyDescent="0.25">
      <c r="L3828" s="2"/>
      <c r="M3828" s="2"/>
      <c r="N3828" s="2"/>
      <c r="AD3828" s="3"/>
      <c r="AH3828" s="3"/>
      <c r="AL3828" s="3"/>
    </row>
    <row r="3829" spans="12:38" x14ac:dyDescent="0.25">
      <c r="L3829" s="2"/>
      <c r="M3829" s="2"/>
      <c r="N3829" s="2"/>
      <c r="AD3829" s="3"/>
      <c r="AH3829" s="3"/>
      <c r="AL3829" s="3"/>
    </row>
    <row r="3830" spans="12:38" x14ac:dyDescent="0.25">
      <c r="L3830" s="2"/>
      <c r="M3830" s="2"/>
      <c r="N3830" s="2"/>
      <c r="AD3830" s="3"/>
      <c r="AH3830" s="3"/>
      <c r="AL3830" s="3"/>
    </row>
    <row r="3831" spans="12:38" x14ac:dyDescent="0.25">
      <c r="L3831" s="2"/>
      <c r="M3831" s="2"/>
      <c r="N3831" s="2"/>
      <c r="AD3831" s="3"/>
      <c r="AH3831" s="3"/>
      <c r="AL3831" s="3"/>
    </row>
    <row r="3832" spans="12:38" x14ac:dyDescent="0.25">
      <c r="L3832" s="2"/>
      <c r="M3832" s="2"/>
      <c r="N3832" s="2"/>
      <c r="AD3832" s="3"/>
      <c r="AH3832" s="3"/>
      <c r="AL3832" s="3"/>
    </row>
    <row r="3833" spans="12:38" x14ac:dyDescent="0.25">
      <c r="L3833" s="2"/>
      <c r="M3833" s="2"/>
      <c r="N3833" s="2"/>
      <c r="AD3833" s="3"/>
      <c r="AH3833" s="3"/>
      <c r="AL3833" s="3"/>
    </row>
    <row r="3834" spans="12:38" x14ac:dyDescent="0.25">
      <c r="L3834" s="2"/>
      <c r="M3834" s="2"/>
      <c r="N3834" s="2"/>
      <c r="AD3834" s="3"/>
      <c r="AH3834" s="3"/>
      <c r="AL3834" s="3"/>
    </row>
    <row r="3835" spans="12:38" x14ac:dyDescent="0.25">
      <c r="L3835" s="2"/>
      <c r="M3835" s="2"/>
      <c r="N3835" s="2"/>
      <c r="AD3835" s="3"/>
      <c r="AH3835" s="3"/>
      <c r="AL3835" s="3"/>
    </row>
    <row r="3836" spans="12:38" x14ac:dyDescent="0.25">
      <c r="L3836" s="2"/>
      <c r="M3836" s="2"/>
      <c r="N3836" s="2"/>
      <c r="AD3836" s="3"/>
      <c r="AH3836" s="3"/>
      <c r="AL3836" s="3"/>
    </row>
    <row r="3837" spans="12:38" x14ac:dyDescent="0.25">
      <c r="L3837" s="2"/>
      <c r="M3837" s="2"/>
      <c r="N3837" s="2"/>
      <c r="AD3837" s="3"/>
      <c r="AH3837" s="3"/>
      <c r="AL3837" s="3"/>
    </row>
    <row r="3838" spans="12:38" x14ac:dyDescent="0.25">
      <c r="L3838" s="2"/>
      <c r="M3838" s="2"/>
      <c r="N3838" s="2"/>
      <c r="AD3838" s="3"/>
      <c r="AH3838" s="3"/>
      <c r="AL3838" s="3"/>
    </row>
    <row r="3839" spans="12:38" x14ac:dyDescent="0.25">
      <c r="L3839" s="2"/>
      <c r="M3839" s="2"/>
      <c r="N3839" s="2"/>
      <c r="AD3839" s="3"/>
      <c r="AH3839" s="3"/>
      <c r="AL3839" s="3"/>
    </row>
    <row r="3840" spans="12:38" x14ac:dyDescent="0.25">
      <c r="L3840" s="2"/>
      <c r="M3840" s="2"/>
      <c r="N3840" s="2"/>
      <c r="AD3840" s="3"/>
      <c r="AH3840" s="3"/>
      <c r="AL3840" s="3"/>
    </row>
    <row r="3841" spans="12:38" x14ac:dyDescent="0.25">
      <c r="L3841" s="2"/>
      <c r="M3841" s="2"/>
      <c r="N3841" s="2"/>
      <c r="AD3841" s="3"/>
      <c r="AH3841" s="3"/>
      <c r="AL3841" s="3"/>
    </row>
    <row r="3842" spans="12:38" x14ac:dyDescent="0.25">
      <c r="L3842" s="2"/>
      <c r="M3842" s="2"/>
      <c r="N3842" s="2"/>
      <c r="AD3842" s="3"/>
      <c r="AH3842" s="3"/>
      <c r="AL3842" s="3"/>
    </row>
    <row r="3843" spans="12:38" x14ac:dyDescent="0.25">
      <c r="L3843" s="2"/>
      <c r="M3843" s="2"/>
      <c r="N3843" s="2"/>
      <c r="AD3843" s="3"/>
      <c r="AH3843" s="3"/>
      <c r="AL3843" s="3"/>
    </row>
    <row r="3844" spans="12:38" x14ac:dyDescent="0.25">
      <c r="L3844" s="2"/>
      <c r="M3844" s="2"/>
      <c r="N3844" s="2"/>
      <c r="AD3844" s="3"/>
      <c r="AH3844" s="3"/>
      <c r="AL3844" s="3"/>
    </row>
    <row r="3845" spans="12:38" x14ac:dyDescent="0.25">
      <c r="L3845" s="2"/>
      <c r="M3845" s="2"/>
      <c r="N3845" s="2"/>
      <c r="AD3845" s="3"/>
      <c r="AH3845" s="3"/>
      <c r="AL3845" s="3"/>
    </row>
    <row r="3846" spans="12:38" x14ac:dyDescent="0.25">
      <c r="L3846" s="2"/>
      <c r="M3846" s="2"/>
      <c r="N3846" s="2"/>
      <c r="AD3846" s="3"/>
      <c r="AH3846" s="3"/>
      <c r="AL3846" s="3"/>
    </row>
    <row r="3847" spans="12:38" x14ac:dyDescent="0.25">
      <c r="L3847" s="2"/>
      <c r="M3847" s="2"/>
      <c r="N3847" s="2"/>
      <c r="AD3847" s="3"/>
      <c r="AH3847" s="3"/>
      <c r="AL3847" s="3"/>
    </row>
    <row r="3848" spans="12:38" x14ac:dyDescent="0.25">
      <c r="L3848" s="2"/>
      <c r="M3848" s="2"/>
      <c r="N3848" s="2"/>
      <c r="AD3848" s="3"/>
      <c r="AH3848" s="3"/>
      <c r="AL3848" s="3"/>
    </row>
    <row r="3849" spans="12:38" x14ac:dyDescent="0.25">
      <c r="L3849" s="2"/>
      <c r="M3849" s="2"/>
      <c r="N3849" s="2"/>
      <c r="AD3849" s="3"/>
      <c r="AH3849" s="3"/>
      <c r="AL3849" s="3"/>
    </row>
    <row r="3850" spans="12:38" x14ac:dyDescent="0.25">
      <c r="L3850" s="2"/>
      <c r="M3850" s="2"/>
      <c r="N3850" s="2"/>
      <c r="AD3850" s="3"/>
      <c r="AH3850" s="3"/>
      <c r="AL3850" s="3"/>
    </row>
    <row r="3851" spans="12:38" x14ac:dyDescent="0.25">
      <c r="L3851" s="2"/>
      <c r="M3851" s="2"/>
      <c r="N3851" s="2"/>
      <c r="AD3851" s="3"/>
      <c r="AH3851" s="3"/>
      <c r="AL3851" s="3"/>
    </row>
    <row r="3852" spans="12:38" x14ac:dyDescent="0.25">
      <c r="L3852" s="2"/>
      <c r="M3852" s="2"/>
      <c r="N3852" s="2"/>
      <c r="AD3852" s="3"/>
      <c r="AH3852" s="3"/>
      <c r="AL3852" s="3"/>
    </row>
    <row r="3853" spans="12:38" x14ac:dyDescent="0.25">
      <c r="L3853" s="2"/>
      <c r="M3853" s="2"/>
      <c r="N3853" s="2"/>
      <c r="AD3853" s="3"/>
      <c r="AH3853" s="3"/>
      <c r="AL3853" s="3"/>
    </row>
    <row r="3854" spans="12:38" x14ac:dyDescent="0.25">
      <c r="L3854" s="2"/>
      <c r="M3854" s="2"/>
      <c r="N3854" s="2"/>
      <c r="AD3854" s="3"/>
      <c r="AH3854" s="3"/>
      <c r="AL3854" s="3"/>
    </row>
    <row r="3855" spans="12:38" x14ac:dyDescent="0.25">
      <c r="L3855" s="2"/>
      <c r="M3855" s="2"/>
      <c r="N3855" s="2"/>
      <c r="AD3855" s="3"/>
      <c r="AH3855" s="3"/>
      <c r="AL3855" s="3"/>
    </row>
    <row r="3856" spans="12:38" x14ac:dyDescent="0.25">
      <c r="L3856" s="2"/>
      <c r="M3856" s="2"/>
      <c r="N3856" s="2"/>
      <c r="AD3856" s="3"/>
      <c r="AH3856" s="3"/>
      <c r="AL3856" s="3"/>
    </row>
    <row r="3857" spans="12:38" x14ac:dyDescent="0.25">
      <c r="L3857" s="2"/>
      <c r="M3857" s="2"/>
      <c r="N3857" s="2"/>
      <c r="AD3857" s="3"/>
      <c r="AH3857" s="3"/>
      <c r="AL3857" s="3"/>
    </row>
    <row r="3858" spans="12:38" x14ac:dyDescent="0.25">
      <c r="L3858" s="2"/>
      <c r="M3858" s="2"/>
      <c r="N3858" s="2"/>
      <c r="AD3858" s="3"/>
      <c r="AH3858" s="3"/>
      <c r="AL3858" s="3"/>
    </row>
    <row r="3859" spans="12:38" x14ac:dyDescent="0.25">
      <c r="L3859" s="2"/>
      <c r="M3859" s="2"/>
      <c r="N3859" s="2"/>
      <c r="AD3859" s="3"/>
      <c r="AH3859" s="3"/>
      <c r="AL3859" s="3"/>
    </row>
    <row r="3860" spans="12:38" x14ac:dyDescent="0.25">
      <c r="L3860" s="2"/>
      <c r="M3860" s="2"/>
      <c r="N3860" s="2"/>
      <c r="AD3860" s="3"/>
      <c r="AH3860" s="3"/>
      <c r="AL3860" s="3"/>
    </row>
    <row r="3861" spans="12:38" x14ac:dyDescent="0.25">
      <c r="L3861" s="2"/>
      <c r="M3861" s="2"/>
      <c r="N3861" s="2"/>
      <c r="AD3861" s="3"/>
      <c r="AH3861" s="3"/>
      <c r="AL3861" s="3"/>
    </row>
    <row r="3862" spans="12:38" x14ac:dyDescent="0.25">
      <c r="L3862" s="2"/>
      <c r="M3862" s="2"/>
      <c r="N3862" s="2"/>
      <c r="AD3862" s="3"/>
      <c r="AH3862" s="3"/>
      <c r="AL3862" s="3"/>
    </row>
    <row r="3863" spans="12:38" x14ac:dyDescent="0.25">
      <c r="L3863" s="2"/>
      <c r="M3863" s="2"/>
      <c r="N3863" s="2"/>
      <c r="AD3863" s="3"/>
      <c r="AH3863" s="3"/>
      <c r="AL3863" s="3"/>
    </row>
    <row r="3864" spans="12:38" x14ac:dyDescent="0.25">
      <c r="L3864" s="2"/>
      <c r="M3864" s="2"/>
      <c r="N3864" s="2"/>
      <c r="AD3864" s="3"/>
      <c r="AH3864" s="3"/>
      <c r="AL3864" s="3"/>
    </row>
    <row r="3865" spans="12:38" x14ac:dyDescent="0.25">
      <c r="L3865" s="2"/>
      <c r="M3865" s="2"/>
      <c r="N3865" s="2"/>
      <c r="AD3865" s="3"/>
      <c r="AH3865" s="3"/>
      <c r="AL3865" s="3"/>
    </row>
    <row r="3866" spans="12:38" x14ac:dyDescent="0.25">
      <c r="L3866" s="2"/>
      <c r="M3866" s="2"/>
      <c r="N3866" s="2"/>
      <c r="AD3866" s="3"/>
      <c r="AH3866" s="3"/>
      <c r="AL3866" s="3"/>
    </row>
    <row r="3867" spans="12:38" x14ac:dyDescent="0.25">
      <c r="L3867" s="2"/>
      <c r="M3867" s="2"/>
      <c r="N3867" s="2"/>
      <c r="AD3867" s="3"/>
      <c r="AH3867" s="3"/>
      <c r="AL3867" s="3"/>
    </row>
    <row r="3868" spans="12:38" x14ac:dyDescent="0.25">
      <c r="L3868" s="2"/>
      <c r="M3868" s="2"/>
      <c r="N3868" s="2"/>
      <c r="AD3868" s="3"/>
      <c r="AH3868" s="3"/>
      <c r="AL3868" s="3"/>
    </row>
    <row r="3869" spans="12:38" x14ac:dyDescent="0.25">
      <c r="L3869" s="2"/>
      <c r="M3869" s="2"/>
      <c r="N3869" s="2"/>
      <c r="AD3869" s="3"/>
      <c r="AH3869" s="3"/>
      <c r="AL3869" s="3"/>
    </row>
    <row r="3870" spans="12:38" x14ac:dyDescent="0.25">
      <c r="L3870" s="2"/>
      <c r="M3870" s="2"/>
      <c r="N3870" s="2"/>
      <c r="AD3870" s="3"/>
      <c r="AH3870" s="3"/>
      <c r="AL3870" s="3"/>
    </row>
    <row r="3871" spans="12:38" x14ac:dyDescent="0.25">
      <c r="L3871" s="2"/>
      <c r="M3871" s="2"/>
      <c r="N3871" s="2"/>
      <c r="AD3871" s="3"/>
      <c r="AH3871" s="3"/>
      <c r="AL3871" s="3"/>
    </row>
    <row r="3872" spans="12:38" x14ac:dyDescent="0.25">
      <c r="L3872" s="2"/>
      <c r="M3872" s="2"/>
      <c r="N3872" s="2"/>
      <c r="AD3872" s="3"/>
      <c r="AH3872" s="3"/>
      <c r="AL3872" s="3"/>
    </row>
    <row r="3873" spans="12:38" x14ac:dyDescent="0.25">
      <c r="L3873" s="2"/>
      <c r="M3873" s="2"/>
      <c r="N3873" s="2"/>
      <c r="AD3873" s="3"/>
      <c r="AH3873" s="3"/>
      <c r="AL3873" s="3"/>
    </row>
    <row r="3874" spans="12:38" x14ac:dyDescent="0.25">
      <c r="L3874" s="2"/>
      <c r="M3874" s="2"/>
      <c r="N3874" s="2"/>
      <c r="AD3874" s="3"/>
      <c r="AH3874" s="3"/>
      <c r="AL3874" s="3"/>
    </row>
    <row r="3875" spans="12:38" x14ac:dyDescent="0.25">
      <c r="L3875" s="2"/>
      <c r="M3875" s="2"/>
      <c r="N3875" s="2"/>
      <c r="AD3875" s="3"/>
      <c r="AH3875" s="3"/>
      <c r="AL3875" s="3"/>
    </row>
    <row r="3876" spans="12:38" x14ac:dyDescent="0.25">
      <c r="L3876" s="2"/>
      <c r="M3876" s="2"/>
      <c r="N3876" s="2"/>
      <c r="AD3876" s="3"/>
      <c r="AH3876" s="3"/>
      <c r="AL3876" s="3"/>
    </row>
    <row r="3877" spans="12:38" x14ac:dyDescent="0.25">
      <c r="L3877" s="2"/>
      <c r="M3877" s="2"/>
      <c r="N3877" s="2"/>
      <c r="AD3877" s="3"/>
      <c r="AH3877" s="3"/>
      <c r="AL3877" s="3"/>
    </row>
    <row r="3878" spans="12:38" x14ac:dyDescent="0.25">
      <c r="L3878" s="2"/>
      <c r="M3878" s="2"/>
      <c r="N3878" s="2"/>
      <c r="AD3878" s="3"/>
      <c r="AH3878" s="3"/>
      <c r="AL3878" s="3"/>
    </row>
    <row r="3879" spans="12:38" x14ac:dyDescent="0.25">
      <c r="L3879" s="2"/>
      <c r="M3879" s="2"/>
      <c r="N3879" s="2"/>
      <c r="AD3879" s="3"/>
      <c r="AH3879" s="3"/>
      <c r="AL3879" s="3"/>
    </row>
    <row r="3880" spans="12:38" x14ac:dyDescent="0.25">
      <c r="L3880" s="2"/>
      <c r="M3880" s="2"/>
      <c r="N3880" s="2"/>
      <c r="AD3880" s="3"/>
      <c r="AH3880" s="3"/>
      <c r="AL3880" s="3"/>
    </row>
    <row r="3881" spans="12:38" x14ac:dyDescent="0.25">
      <c r="L3881" s="2"/>
      <c r="M3881" s="2"/>
      <c r="N3881" s="2"/>
      <c r="AD3881" s="3"/>
      <c r="AH3881" s="3"/>
      <c r="AL3881" s="3"/>
    </row>
    <row r="3882" spans="12:38" x14ac:dyDescent="0.25">
      <c r="L3882" s="2"/>
      <c r="M3882" s="2"/>
      <c r="N3882" s="2"/>
      <c r="AD3882" s="3"/>
      <c r="AH3882" s="3"/>
      <c r="AL3882" s="3"/>
    </row>
    <row r="3883" spans="12:38" x14ac:dyDescent="0.25">
      <c r="L3883" s="2"/>
      <c r="M3883" s="2"/>
      <c r="N3883" s="2"/>
      <c r="AD3883" s="3"/>
      <c r="AH3883" s="3"/>
      <c r="AL3883" s="3"/>
    </row>
    <row r="3884" spans="12:38" x14ac:dyDescent="0.25">
      <c r="L3884" s="2"/>
      <c r="M3884" s="2"/>
      <c r="N3884" s="2"/>
      <c r="AD3884" s="3"/>
      <c r="AH3884" s="3"/>
      <c r="AL3884" s="3"/>
    </row>
    <row r="3885" spans="12:38" x14ac:dyDescent="0.25">
      <c r="L3885" s="2"/>
      <c r="M3885" s="2"/>
      <c r="N3885" s="2"/>
      <c r="AD3885" s="3"/>
      <c r="AH3885" s="3"/>
      <c r="AL3885" s="3"/>
    </row>
    <row r="3886" spans="12:38" x14ac:dyDescent="0.25">
      <c r="L3886" s="2"/>
      <c r="M3886" s="2"/>
      <c r="N3886" s="2"/>
      <c r="AD3886" s="3"/>
      <c r="AH3886" s="3"/>
      <c r="AL3886" s="3"/>
    </row>
    <row r="3887" spans="12:38" x14ac:dyDescent="0.25">
      <c r="L3887" s="2"/>
      <c r="M3887" s="2"/>
      <c r="N3887" s="2"/>
      <c r="AD3887" s="3"/>
      <c r="AH3887" s="3"/>
      <c r="AL3887" s="3"/>
    </row>
    <row r="3888" spans="12:38" x14ac:dyDescent="0.25">
      <c r="L3888" s="2"/>
      <c r="M3888" s="2"/>
      <c r="N3888" s="2"/>
      <c r="AD3888" s="3"/>
      <c r="AH3888" s="3"/>
      <c r="AL3888" s="3"/>
    </row>
    <row r="3889" spans="12:38" x14ac:dyDescent="0.25">
      <c r="L3889" s="2"/>
      <c r="M3889" s="2"/>
      <c r="N3889" s="2"/>
      <c r="AD3889" s="3"/>
      <c r="AH3889" s="3"/>
      <c r="AL3889" s="3"/>
    </row>
    <row r="3890" spans="12:38" x14ac:dyDescent="0.25">
      <c r="L3890" s="2"/>
      <c r="M3890" s="2"/>
      <c r="N3890" s="2"/>
      <c r="AD3890" s="3"/>
      <c r="AH3890" s="3"/>
      <c r="AL3890" s="3"/>
    </row>
    <row r="3891" spans="12:38" x14ac:dyDescent="0.25">
      <c r="L3891" s="2"/>
      <c r="M3891" s="2"/>
      <c r="N3891" s="2"/>
      <c r="AD3891" s="3"/>
      <c r="AH3891" s="3"/>
      <c r="AL3891" s="3"/>
    </row>
    <row r="3892" spans="12:38" x14ac:dyDescent="0.25">
      <c r="L3892" s="2"/>
      <c r="M3892" s="2"/>
      <c r="N3892" s="2"/>
      <c r="AD3892" s="3"/>
      <c r="AH3892" s="3"/>
      <c r="AL3892" s="3"/>
    </row>
    <row r="3893" spans="12:38" x14ac:dyDescent="0.25">
      <c r="L3893" s="2"/>
      <c r="M3893" s="2"/>
      <c r="N3893" s="2"/>
      <c r="AD3893" s="3"/>
      <c r="AH3893" s="3"/>
      <c r="AL3893" s="3"/>
    </row>
    <row r="3894" spans="12:38" x14ac:dyDescent="0.25">
      <c r="L3894" s="2"/>
      <c r="M3894" s="2"/>
      <c r="N3894" s="2"/>
      <c r="AD3894" s="3"/>
      <c r="AH3894" s="3"/>
      <c r="AL3894" s="3"/>
    </row>
    <row r="3895" spans="12:38" x14ac:dyDescent="0.25">
      <c r="L3895" s="2"/>
      <c r="M3895" s="2"/>
      <c r="N3895" s="2"/>
      <c r="AD3895" s="3"/>
      <c r="AH3895" s="3"/>
      <c r="AL3895" s="3"/>
    </row>
    <row r="3896" spans="12:38" x14ac:dyDescent="0.25">
      <c r="L3896" s="2"/>
      <c r="M3896" s="2"/>
      <c r="N3896" s="2"/>
      <c r="AD3896" s="3"/>
      <c r="AH3896" s="3"/>
      <c r="AL3896" s="3"/>
    </row>
    <row r="3897" spans="12:38" x14ac:dyDescent="0.25">
      <c r="L3897" s="2"/>
      <c r="M3897" s="2"/>
      <c r="N3897" s="2"/>
      <c r="AD3897" s="3"/>
      <c r="AH3897" s="3"/>
      <c r="AL3897" s="3"/>
    </row>
    <row r="3898" spans="12:38" x14ac:dyDescent="0.25">
      <c r="L3898" s="2"/>
      <c r="M3898" s="2"/>
      <c r="N3898" s="2"/>
      <c r="AD3898" s="3"/>
      <c r="AH3898" s="3"/>
      <c r="AL3898" s="3"/>
    </row>
    <row r="3899" spans="12:38" x14ac:dyDescent="0.25">
      <c r="L3899" s="2"/>
      <c r="M3899" s="2"/>
      <c r="N3899" s="2"/>
      <c r="AD3899" s="3"/>
      <c r="AH3899" s="3"/>
      <c r="AL3899" s="3"/>
    </row>
    <row r="3900" spans="12:38" x14ac:dyDescent="0.25">
      <c r="L3900" s="2"/>
      <c r="M3900" s="2"/>
      <c r="N3900" s="2"/>
      <c r="AD3900" s="3"/>
      <c r="AH3900" s="3"/>
      <c r="AL3900" s="3"/>
    </row>
    <row r="3901" spans="12:38" x14ac:dyDescent="0.25">
      <c r="L3901" s="2"/>
      <c r="M3901" s="2"/>
      <c r="N3901" s="2"/>
      <c r="AD3901" s="3"/>
      <c r="AH3901" s="3"/>
      <c r="AL3901" s="3"/>
    </row>
    <row r="3902" spans="12:38" x14ac:dyDescent="0.25">
      <c r="L3902" s="2"/>
      <c r="M3902" s="2"/>
      <c r="N3902" s="2"/>
      <c r="AD3902" s="3"/>
      <c r="AH3902" s="3"/>
      <c r="AL3902" s="3"/>
    </row>
    <row r="3903" spans="12:38" x14ac:dyDescent="0.25">
      <c r="L3903" s="2"/>
      <c r="M3903" s="2"/>
      <c r="N3903" s="2"/>
      <c r="AD3903" s="3"/>
      <c r="AH3903" s="3"/>
      <c r="AL3903" s="3"/>
    </row>
    <row r="3904" spans="12:38" x14ac:dyDescent="0.25">
      <c r="L3904" s="2"/>
      <c r="M3904" s="2"/>
      <c r="N3904" s="2"/>
      <c r="AD3904" s="3"/>
      <c r="AH3904" s="3"/>
      <c r="AL3904" s="3"/>
    </row>
    <row r="3905" spans="12:38" x14ac:dyDescent="0.25">
      <c r="L3905" s="2"/>
      <c r="M3905" s="2"/>
      <c r="N3905" s="2"/>
      <c r="AD3905" s="3"/>
      <c r="AH3905" s="3"/>
      <c r="AL3905" s="3"/>
    </row>
    <row r="3906" spans="12:38" x14ac:dyDescent="0.25">
      <c r="L3906" s="2"/>
      <c r="M3906" s="2"/>
      <c r="N3906" s="2"/>
      <c r="AD3906" s="3"/>
      <c r="AH3906" s="3"/>
      <c r="AL3906" s="3"/>
    </row>
    <row r="3907" spans="12:38" x14ac:dyDescent="0.25">
      <c r="L3907" s="2"/>
      <c r="M3907" s="2"/>
      <c r="N3907" s="2"/>
      <c r="AD3907" s="3"/>
      <c r="AH3907" s="3"/>
      <c r="AL3907" s="3"/>
    </row>
    <row r="3908" spans="12:38" x14ac:dyDescent="0.25">
      <c r="L3908" s="2"/>
      <c r="M3908" s="2"/>
      <c r="N3908" s="2"/>
      <c r="AD3908" s="3"/>
      <c r="AH3908" s="3"/>
      <c r="AL3908" s="3"/>
    </row>
    <row r="3909" spans="12:38" x14ac:dyDescent="0.25">
      <c r="L3909" s="2"/>
      <c r="M3909" s="2"/>
      <c r="N3909" s="2"/>
      <c r="AD3909" s="3"/>
      <c r="AH3909" s="3"/>
      <c r="AL3909" s="3"/>
    </row>
    <row r="3910" spans="12:38" x14ac:dyDescent="0.25">
      <c r="L3910" s="2"/>
      <c r="M3910" s="2"/>
      <c r="N3910" s="2"/>
      <c r="AD3910" s="3"/>
      <c r="AH3910" s="3"/>
      <c r="AL3910" s="3"/>
    </row>
    <row r="3911" spans="12:38" x14ac:dyDescent="0.25">
      <c r="L3911" s="2"/>
      <c r="M3911" s="2"/>
      <c r="N3911" s="2"/>
      <c r="AD3911" s="3"/>
      <c r="AH3911" s="3"/>
      <c r="AL3911" s="3"/>
    </row>
    <row r="3912" spans="12:38" x14ac:dyDescent="0.25">
      <c r="L3912" s="2"/>
      <c r="M3912" s="2"/>
      <c r="N3912" s="2"/>
      <c r="AD3912" s="3"/>
      <c r="AH3912" s="3"/>
      <c r="AL3912" s="3"/>
    </row>
    <row r="3913" spans="12:38" x14ac:dyDescent="0.25">
      <c r="L3913" s="2"/>
      <c r="M3913" s="2"/>
      <c r="N3913" s="2"/>
      <c r="AD3913" s="3"/>
      <c r="AH3913" s="3"/>
      <c r="AL3913" s="3"/>
    </row>
    <row r="3914" spans="12:38" x14ac:dyDescent="0.25">
      <c r="L3914" s="2"/>
      <c r="M3914" s="2"/>
      <c r="N3914" s="2"/>
      <c r="AD3914" s="3"/>
      <c r="AH3914" s="3"/>
      <c r="AL3914" s="3"/>
    </row>
    <row r="3915" spans="12:38" x14ac:dyDescent="0.25">
      <c r="L3915" s="2"/>
      <c r="M3915" s="2"/>
      <c r="N3915" s="2"/>
      <c r="AD3915" s="3"/>
      <c r="AH3915" s="3"/>
      <c r="AL3915" s="3"/>
    </row>
    <row r="3916" spans="12:38" x14ac:dyDescent="0.25">
      <c r="L3916" s="2"/>
      <c r="M3916" s="2"/>
      <c r="N3916" s="2"/>
      <c r="AD3916" s="3"/>
      <c r="AH3916" s="3"/>
      <c r="AL3916" s="3"/>
    </row>
    <row r="3917" spans="12:38" x14ac:dyDescent="0.25">
      <c r="L3917" s="2"/>
      <c r="M3917" s="2"/>
      <c r="N3917" s="2"/>
      <c r="AD3917" s="3"/>
      <c r="AH3917" s="3"/>
      <c r="AL3917" s="3"/>
    </row>
    <row r="3918" spans="12:38" x14ac:dyDescent="0.25">
      <c r="L3918" s="2"/>
      <c r="M3918" s="2"/>
      <c r="N3918" s="2"/>
      <c r="AD3918" s="3"/>
      <c r="AH3918" s="3"/>
      <c r="AL3918" s="3"/>
    </row>
    <row r="3919" spans="12:38" x14ac:dyDescent="0.25">
      <c r="L3919" s="2"/>
      <c r="M3919" s="2"/>
      <c r="N3919" s="2"/>
      <c r="AD3919" s="3"/>
      <c r="AH3919" s="3"/>
      <c r="AL3919" s="3"/>
    </row>
    <row r="3920" spans="12:38" x14ac:dyDescent="0.25">
      <c r="L3920" s="2"/>
      <c r="M3920" s="2"/>
      <c r="N3920" s="2"/>
      <c r="AD3920" s="3"/>
      <c r="AH3920" s="3"/>
      <c r="AL3920" s="3"/>
    </row>
    <row r="3921" spans="12:38" x14ac:dyDescent="0.25">
      <c r="L3921" s="2"/>
      <c r="M3921" s="2"/>
      <c r="N3921" s="2"/>
      <c r="AD3921" s="3"/>
      <c r="AH3921" s="3"/>
      <c r="AL3921" s="3"/>
    </row>
    <row r="3922" spans="12:38" x14ac:dyDescent="0.25">
      <c r="L3922" s="2"/>
      <c r="M3922" s="2"/>
      <c r="N3922" s="2"/>
      <c r="AD3922" s="3"/>
      <c r="AH3922" s="3"/>
      <c r="AL3922" s="3"/>
    </row>
    <row r="3923" spans="12:38" x14ac:dyDescent="0.25">
      <c r="L3923" s="2"/>
      <c r="M3923" s="2"/>
      <c r="N3923" s="2"/>
      <c r="AD3923" s="3"/>
      <c r="AH3923" s="3"/>
      <c r="AL3923" s="3"/>
    </row>
    <row r="3924" spans="12:38" x14ac:dyDescent="0.25">
      <c r="L3924" s="2"/>
      <c r="M3924" s="2"/>
      <c r="N3924" s="2"/>
      <c r="AD3924" s="3"/>
      <c r="AH3924" s="3"/>
      <c r="AL3924" s="3"/>
    </row>
    <row r="3925" spans="12:38" x14ac:dyDescent="0.25">
      <c r="L3925" s="2"/>
      <c r="M3925" s="2"/>
      <c r="N3925" s="2"/>
      <c r="AD3925" s="3"/>
      <c r="AH3925" s="3"/>
      <c r="AL3925" s="3"/>
    </row>
    <row r="3926" spans="12:38" x14ac:dyDescent="0.25">
      <c r="L3926" s="2"/>
      <c r="M3926" s="2"/>
      <c r="N3926" s="2"/>
      <c r="AD3926" s="3"/>
      <c r="AH3926" s="3"/>
      <c r="AL3926" s="3"/>
    </row>
    <row r="3927" spans="12:38" x14ac:dyDescent="0.25">
      <c r="L3927" s="2"/>
      <c r="M3927" s="2"/>
      <c r="N3927" s="2"/>
      <c r="AD3927" s="3"/>
      <c r="AH3927" s="3"/>
      <c r="AL3927" s="3"/>
    </row>
    <row r="3928" spans="12:38" x14ac:dyDescent="0.25">
      <c r="L3928" s="2"/>
      <c r="M3928" s="2"/>
      <c r="N3928" s="2"/>
      <c r="AD3928" s="3"/>
      <c r="AH3928" s="3"/>
      <c r="AL3928" s="3"/>
    </row>
    <row r="3929" spans="12:38" x14ac:dyDescent="0.25">
      <c r="L3929" s="2"/>
      <c r="M3929" s="2"/>
      <c r="N3929" s="2"/>
      <c r="AD3929" s="3"/>
      <c r="AH3929" s="3"/>
      <c r="AL3929" s="3"/>
    </row>
    <row r="3930" spans="12:38" x14ac:dyDescent="0.25">
      <c r="L3930" s="2"/>
      <c r="M3930" s="2"/>
      <c r="N3930" s="2"/>
      <c r="AD3930" s="3"/>
      <c r="AH3930" s="3"/>
      <c r="AL3930" s="3"/>
    </row>
    <row r="3931" spans="12:38" x14ac:dyDescent="0.25">
      <c r="L3931" s="2"/>
      <c r="M3931" s="2"/>
      <c r="N3931" s="2"/>
      <c r="AD3931" s="3"/>
      <c r="AH3931" s="3"/>
      <c r="AL3931" s="3"/>
    </row>
    <row r="3932" spans="12:38" x14ac:dyDescent="0.25">
      <c r="L3932" s="2"/>
      <c r="M3932" s="2"/>
      <c r="N3932" s="2"/>
      <c r="AD3932" s="3"/>
      <c r="AH3932" s="3"/>
      <c r="AL3932" s="3"/>
    </row>
    <row r="3933" spans="12:38" x14ac:dyDescent="0.25">
      <c r="L3933" s="2"/>
      <c r="M3933" s="2"/>
      <c r="N3933" s="2"/>
      <c r="AD3933" s="3"/>
      <c r="AH3933" s="3"/>
      <c r="AL3933" s="3"/>
    </row>
    <row r="3934" spans="12:38" x14ac:dyDescent="0.25">
      <c r="L3934" s="2"/>
      <c r="M3934" s="2"/>
      <c r="N3934" s="2"/>
      <c r="AD3934" s="3"/>
      <c r="AH3934" s="3"/>
      <c r="AL3934" s="3"/>
    </row>
    <row r="3935" spans="12:38" x14ac:dyDescent="0.25">
      <c r="L3935" s="2"/>
      <c r="M3935" s="2"/>
      <c r="N3935" s="2"/>
      <c r="AD3935" s="3"/>
      <c r="AH3935" s="3"/>
      <c r="AL3935" s="3"/>
    </row>
    <row r="3936" spans="12:38" x14ac:dyDescent="0.25">
      <c r="L3936" s="2"/>
      <c r="M3936" s="2"/>
      <c r="N3936" s="2"/>
      <c r="AD3936" s="3"/>
      <c r="AH3936" s="3"/>
      <c r="AL3936" s="3"/>
    </row>
    <row r="3937" spans="12:38" x14ac:dyDescent="0.25">
      <c r="L3937" s="2"/>
      <c r="M3937" s="2"/>
      <c r="N3937" s="2"/>
      <c r="AD3937" s="3"/>
      <c r="AH3937" s="3"/>
      <c r="AL3937" s="3"/>
    </row>
    <row r="3938" spans="12:38" x14ac:dyDescent="0.25">
      <c r="L3938" s="2"/>
      <c r="M3938" s="2"/>
      <c r="N3938" s="2"/>
      <c r="AD3938" s="3"/>
      <c r="AH3938" s="3"/>
      <c r="AL3938" s="3"/>
    </row>
    <row r="3939" spans="12:38" x14ac:dyDescent="0.25">
      <c r="L3939" s="2"/>
      <c r="M3939" s="2"/>
      <c r="N3939" s="2"/>
      <c r="AD3939" s="3"/>
      <c r="AH3939" s="3"/>
      <c r="AL3939" s="3"/>
    </row>
    <row r="3940" spans="12:38" x14ac:dyDescent="0.25">
      <c r="L3940" s="2"/>
      <c r="M3940" s="2"/>
      <c r="N3940" s="2"/>
      <c r="AD3940" s="3"/>
      <c r="AH3940" s="3"/>
      <c r="AL3940" s="3"/>
    </row>
    <row r="3941" spans="12:38" x14ac:dyDescent="0.25">
      <c r="L3941" s="2"/>
      <c r="M3941" s="2"/>
      <c r="N3941" s="2"/>
      <c r="AD3941" s="3"/>
      <c r="AH3941" s="3"/>
      <c r="AL3941" s="3"/>
    </row>
    <row r="3942" spans="12:38" x14ac:dyDescent="0.25">
      <c r="L3942" s="2"/>
      <c r="M3942" s="2"/>
      <c r="N3942" s="2"/>
      <c r="AD3942" s="3"/>
      <c r="AH3942" s="3"/>
      <c r="AL3942" s="3"/>
    </row>
    <row r="3943" spans="12:38" x14ac:dyDescent="0.25">
      <c r="L3943" s="2"/>
      <c r="M3943" s="2"/>
      <c r="N3943" s="2"/>
      <c r="AD3943" s="3"/>
      <c r="AH3943" s="3"/>
      <c r="AL3943" s="3"/>
    </row>
    <row r="3944" spans="12:38" x14ac:dyDescent="0.25">
      <c r="L3944" s="2"/>
      <c r="M3944" s="2"/>
      <c r="N3944" s="2"/>
      <c r="AD3944" s="3"/>
      <c r="AH3944" s="3"/>
      <c r="AL3944" s="3"/>
    </row>
    <row r="3945" spans="12:38" x14ac:dyDescent="0.25">
      <c r="L3945" s="2"/>
      <c r="M3945" s="2"/>
      <c r="N3945" s="2"/>
      <c r="AD3945" s="3"/>
      <c r="AH3945" s="3"/>
      <c r="AL3945" s="3"/>
    </row>
    <row r="3946" spans="12:38" x14ac:dyDescent="0.25">
      <c r="L3946" s="2"/>
      <c r="M3946" s="2"/>
      <c r="N3946" s="2"/>
      <c r="AD3946" s="3"/>
      <c r="AH3946" s="3"/>
      <c r="AL3946" s="3"/>
    </row>
    <row r="3947" spans="12:38" x14ac:dyDescent="0.25">
      <c r="L3947" s="2"/>
      <c r="M3947" s="2"/>
      <c r="N3947" s="2"/>
      <c r="AD3947" s="3"/>
      <c r="AH3947" s="3"/>
      <c r="AL3947" s="3"/>
    </row>
    <row r="3948" spans="12:38" x14ac:dyDescent="0.25">
      <c r="L3948" s="2"/>
      <c r="M3948" s="2"/>
      <c r="N3948" s="2"/>
      <c r="AD3948" s="3"/>
      <c r="AH3948" s="3"/>
      <c r="AL3948" s="3"/>
    </row>
    <row r="3949" spans="12:38" x14ac:dyDescent="0.25">
      <c r="L3949" s="2"/>
      <c r="M3949" s="2"/>
      <c r="N3949" s="2"/>
      <c r="AD3949" s="3"/>
      <c r="AH3949" s="3"/>
      <c r="AL3949" s="3"/>
    </row>
    <row r="3950" spans="12:38" x14ac:dyDescent="0.25">
      <c r="L3950" s="2"/>
      <c r="M3950" s="2"/>
      <c r="N3950" s="2"/>
      <c r="AD3950" s="3"/>
      <c r="AH3950" s="3"/>
      <c r="AL3950" s="3"/>
    </row>
    <row r="3951" spans="12:38" x14ac:dyDescent="0.25">
      <c r="L3951" s="2"/>
      <c r="M3951" s="2"/>
      <c r="N3951" s="2"/>
      <c r="AD3951" s="3"/>
      <c r="AH3951" s="3"/>
      <c r="AL3951" s="3"/>
    </row>
    <row r="3952" spans="12:38" x14ac:dyDescent="0.25">
      <c r="L3952" s="2"/>
      <c r="M3952" s="2"/>
      <c r="N3952" s="2"/>
      <c r="AD3952" s="3"/>
      <c r="AH3952" s="3"/>
      <c r="AL3952" s="3"/>
    </row>
    <row r="3953" spans="12:38" x14ac:dyDescent="0.25">
      <c r="L3953" s="2"/>
      <c r="M3953" s="2"/>
      <c r="N3953" s="2"/>
      <c r="AD3953" s="3"/>
      <c r="AH3953" s="3"/>
      <c r="AL3953" s="3"/>
    </row>
    <row r="3954" spans="12:38" x14ac:dyDescent="0.25">
      <c r="L3954" s="2"/>
      <c r="M3954" s="2"/>
      <c r="N3954" s="2"/>
      <c r="AD3954" s="3"/>
      <c r="AH3954" s="3"/>
      <c r="AL3954" s="3"/>
    </row>
    <row r="3955" spans="12:38" x14ac:dyDescent="0.25">
      <c r="L3955" s="2"/>
      <c r="M3955" s="2"/>
      <c r="N3955" s="2"/>
      <c r="AD3955" s="3"/>
      <c r="AH3955" s="3"/>
      <c r="AL3955" s="3"/>
    </row>
    <row r="3956" spans="12:38" x14ac:dyDescent="0.25">
      <c r="L3956" s="2"/>
      <c r="M3956" s="2"/>
      <c r="N3956" s="2"/>
      <c r="AD3956" s="3"/>
      <c r="AH3956" s="3"/>
      <c r="AL3956" s="3"/>
    </row>
    <row r="3957" spans="12:38" x14ac:dyDescent="0.25">
      <c r="L3957" s="2"/>
      <c r="M3957" s="2"/>
      <c r="N3957" s="2"/>
      <c r="AD3957" s="3"/>
      <c r="AH3957" s="3"/>
      <c r="AL3957" s="3"/>
    </row>
    <row r="3958" spans="12:38" x14ac:dyDescent="0.25">
      <c r="L3958" s="2"/>
      <c r="M3958" s="2"/>
      <c r="N3958" s="2"/>
      <c r="AD3958" s="3"/>
      <c r="AH3958" s="3"/>
      <c r="AL3958" s="3"/>
    </row>
    <row r="3959" spans="12:38" x14ac:dyDescent="0.25">
      <c r="L3959" s="2"/>
      <c r="M3959" s="2"/>
      <c r="N3959" s="2"/>
      <c r="AD3959" s="3"/>
      <c r="AH3959" s="3"/>
      <c r="AL3959" s="3"/>
    </row>
    <row r="3960" spans="12:38" x14ac:dyDescent="0.25">
      <c r="L3960" s="2"/>
      <c r="M3960" s="2"/>
      <c r="N3960" s="2"/>
      <c r="AD3960" s="3"/>
      <c r="AH3960" s="3"/>
      <c r="AL3960" s="3"/>
    </row>
    <row r="3961" spans="12:38" x14ac:dyDescent="0.25">
      <c r="L3961" s="2"/>
      <c r="M3961" s="2"/>
      <c r="N3961" s="2"/>
      <c r="AD3961" s="3"/>
      <c r="AH3961" s="3"/>
      <c r="AL3961" s="3"/>
    </row>
    <row r="3962" spans="12:38" x14ac:dyDescent="0.25">
      <c r="L3962" s="2"/>
      <c r="M3962" s="2"/>
      <c r="N3962" s="2"/>
      <c r="AD3962" s="3"/>
      <c r="AH3962" s="3"/>
      <c r="AL3962" s="3"/>
    </row>
    <row r="3963" spans="12:38" x14ac:dyDescent="0.25">
      <c r="L3963" s="2"/>
      <c r="M3963" s="2"/>
      <c r="N3963" s="2"/>
      <c r="AD3963" s="3"/>
      <c r="AH3963" s="3"/>
      <c r="AL3963" s="3"/>
    </row>
    <row r="3964" spans="12:38" x14ac:dyDescent="0.25">
      <c r="L3964" s="2"/>
      <c r="M3964" s="2"/>
      <c r="N3964" s="2"/>
      <c r="AD3964" s="3"/>
      <c r="AH3964" s="3"/>
      <c r="AL3964" s="3"/>
    </row>
    <row r="3965" spans="12:38" x14ac:dyDescent="0.25">
      <c r="L3965" s="2"/>
      <c r="M3965" s="2"/>
      <c r="N3965" s="2"/>
      <c r="AD3965" s="3"/>
      <c r="AH3965" s="3"/>
      <c r="AL3965" s="3"/>
    </row>
    <row r="3966" spans="12:38" x14ac:dyDescent="0.25">
      <c r="L3966" s="2"/>
      <c r="M3966" s="2"/>
      <c r="N3966" s="2"/>
      <c r="AD3966" s="3"/>
      <c r="AH3966" s="3"/>
      <c r="AL3966" s="3"/>
    </row>
    <row r="3967" spans="12:38" x14ac:dyDescent="0.25">
      <c r="L3967" s="2"/>
      <c r="M3967" s="2"/>
      <c r="N3967" s="2"/>
      <c r="AD3967" s="3"/>
      <c r="AH3967" s="3"/>
      <c r="AL3967" s="3"/>
    </row>
    <row r="3968" spans="12:38" x14ac:dyDescent="0.25">
      <c r="L3968" s="2"/>
      <c r="M3968" s="2"/>
      <c r="N3968" s="2"/>
      <c r="AD3968" s="3"/>
      <c r="AH3968" s="3"/>
      <c r="AL3968" s="3"/>
    </row>
    <row r="3969" spans="12:38" x14ac:dyDescent="0.25">
      <c r="L3969" s="2"/>
      <c r="M3969" s="2"/>
      <c r="N3969" s="2"/>
      <c r="AD3969" s="3"/>
      <c r="AH3969" s="3"/>
      <c r="AL3969" s="3"/>
    </row>
    <row r="3970" spans="12:38" x14ac:dyDescent="0.25">
      <c r="L3970" s="2"/>
      <c r="M3970" s="2"/>
      <c r="N3970" s="2"/>
      <c r="AD3970" s="3"/>
      <c r="AH3970" s="3"/>
      <c r="AL3970" s="3"/>
    </row>
    <row r="3971" spans="12:38" x14ac:dyDescent="0.25">
      <c r="L3971" s="2"/>
      <c r="M3971" s="2"/>
      <c r="N3971" s="2"/>
      <c r="AD3971" s="3"/>
      <c r="AH3971" s="3"/>
      <c r="AL3971" s="3"/>
    </row>
    <row r="3972" spans="12:38" x14ac:dyDescent="0.25">
      <c r="L3972" s="2"/>
      <c r="M3972" s="2"/>
      <c r="N3972" s="2"/>
      <c r="AD3972" s="3"/>
      <c r="AH3972" s="3"/>
      <c r="AL3972" s="3"/>
    </row>
    <row r="3973" spans="12:38" x14ac:dyDescent="0.25">
      <c r="L3973" s="2"/>
      <c r="M3973" s="2"/>
      <c r="N3973" s="2"/>
      <c r="AD3973" s="3"/>
      <c r="AH3973" s="3"/>
      <c r="AL3973" s="3"/>
    </row>
    <row r="3974" spans="12:38" x14ac:dyDescent="0.25">
      <c r="L3974" s="2"/>
      <c r="M3974" s="2"/>
      <c r="N3974" s="2"/>
      <c r="AD3974" s="3"/>
      <c r="AH3974" s="3"/>
      <c r="AL3974" s="3"/>
    </row>
    <row r="3975" spans="12:38" x14ac:dyDescent="0.25">
      <c r="L3975" s="2"/>
      <c r="M3975" s="2"/>
      <c r="N3975" s="2"/>
      <c r="AD3975" s="3"/>
      <c r="AH3975" s="3"/>
      <c r="AL3975" s="3"/>
    </row>
    <row r="3976" spans="12:38" x14ac:dyDescent="0.25">
      <c r="L3976" s="2"/>
      <c r="M3976" s="2"/>
      <c r="N3976" s="2"/>
      <c r="AD3976" s="3"/>
      <c r="AH3976" s="3"/>
      <c r="AL3976" s="3"/>
    </row>
    <row r="3977" spans="12:38" x14ac:dyDescent="0.25">
      <c r="L3977" s="2"/>
      <c r="M3977" s="2"/>
      <c r="N3977" s="2"/>
      <c r="AD3977" s="3"/>
      <c r="AH3977" s="3"/>
      <c r="AL3977" s="3"/>
    </row>
    <row r="3978" spans="12:38" x14ac:dyDescent="0.25">
      <c r="L3978" s="2"/>
      <c r="M3978" s="2"/>
      <c r="N3978" s="2"/>
      <c r="AD3978" s="3"/>
      <c r="AH3978" s="3"/>
      <c r="AL3978" s="3"/>
    </row>
    <row r="3979" spans="12:38" x14ac:dyDescent="0.25">
      <c r="L3979" s="2"/>
      <c r="M3979" s="2"/>
      <c r="N3979" s="2"/>
      <c r="AD3979" s="3"/>
      <c r="AH3979" s="3"/>
      <c r="AL3979" s="3"/>
    </row>
    <row r="3980" spans="12:38" x14ac:dyDescent="0.25">
      <c r="L3980" s="2"/>
      <c r="M3980" s="2"/>
      <c r="N3980" s="2"/>
      <c r="AD3980" s="3"/>
      <c r="AH3980" s="3"/>
      <c r="AL3980" s="3"/>
    </row>
    <row r="3981" spans="12:38" x14ac:dyDescent="0.25">
      <c r="L3981" s="2"/>
      <c r="M3981" s="2"/>
      <c r="N3981" s="2"/>
      <c r="AD3981" s="3"/>
      <c r="AH3981" s="3"/>
      <c r="AL3981" s="3"/>
    </row>
    <row r="3982" spans="12:38" x14ac:dyDescent="0.25">
      <c r="L3982" s="2"/>
      <c r="M3982" s="2"/>
      <c r="N3982" s="2"/>
      <c r="AD3982" s="3"/>
      <c r="AH3982" s="3"/>
      <c r="AL3982" s="3"/>
    </row>
    <row r="3983" spans="12:38" x14ac:dyDescent="0.25">
      <c r="L3983" s="2"/>
      <c r="M3983" s="2"/>
      <c r="N3983" s="2"/>
      <c r="AD3983" s="3"/>
      <c r="AH3983" s="3"/>
      <c r="AL3983" s="3"/>
    </row>
    <row r="3984" spans="12:38" x14ac:dyDescent="0.25">
      <c r="L3984" s="2"/>
      <c r="M3984" s="2"/>
      <c r="N3984" s="2"/>
      <c r="AD3984" s="3"/>
      <c r="AH3984" s="3"/>
      <c r="AL3984" s="3"/>
    </row>
    <row r="3985" spans="12:38" x14ac:dyDescent="0.25">
      <c r="L3985" s="2"/>
      <c r="M3985" s="2"/>
      <c r="N3985" s="2"/>
      <c r="AD3985" s="3"/>
      <c r="AH3985" s="3"/>
      <c r="AL3985" s="3"/>
    </row>
    <row r="3986" spans="12:38" x14ac:dyDescent="0.25">
      <c r="L3986" s="2"/>
      <c r="M3986" s="2"/>
      <c r="N3986" s="2"/>
      <c r="AD3986" s="3"/>
      <c r="AH3986" s="3"/>
      <c r="AL3986" s="3"/>
    </row>
    <row r="3987" spans="12:38" x14ac:dyDescent="0.25">
      <c r="L3987" s="2"/>
      <c r="M3987" s="2"/>
      <c r="N3987" s="2"/>
      <c r="AD3987" s="3"/>
      <c r="AH3987" s="3"/>
      <c r="AL3987" s="3"/>
    </row>
    <row r="3988" spans="12:38" x14ac:dyDescent="0.25">
      <c r="L3988" s="2"/>
      <c r="M3988" s="2"/>
      <c r="N3988" s="2"/>
      <c r="AD3988" s="3"/>
      <c r="AH3988" s="3"/>
      <c r="AL3988" s="3"/>
    </row>
    <row r="3989" spans="12:38" x14ac:dyDescent="0.25">
      <c r="L3989" s="2"/>
      <c r="M3989" s="2"/>
      <c r="N3989" s="2"/>
      <c r="AD3989" s="3"/>
      <c r="AH3989" s="3"/>
      <c r="AL3989" s="3"/>
    </row>
    <row r="3990" spans="12:38" x14ac:dyDescent="0.25">
      <c r="L3990" s="2"/>
      <c r="M3990" s="2"/>
      <c r="N3990" s="2"/>
      <c r="AD3990" s="3"/>
      <c r="AH3990" s="3"/>
      <c r="AL3990" s="3"/>
    </row>
    <row r="3991" spans="12:38" x14ac:dyDescent="0.25">
      <c r="L3991" s="2"/>
      <c r="M3991" s="2"/>
      <c r="N3991" s="2"/>
      <c r="AD3991" s="3"/>
      <c r="AH3991" s="3"/>
      <c r="AL3991" s="3"/>
    </row>
    <row r="3992" spans="12:38" x14ac:dyDescent="0.25">
      <c r="L3992" s="2"/>
      <c r="M3992" s="2"/>
      <c r="N3992" s="2"/>
      <c r="AD3992" s="3"/>
      <c r="AH3992" s="3"/>
      <c r="AL3992" s="3"/>
    </row>
    <row r="3993" spans="12:38" x14ac:dyDescent="0.25">
      <c r="L3993" s="2"/>
      <c r="M3993" s="2"/>
      <c r="N3993" s="2"/>
      <c r="AD3993" s="3"/>
      <c r="AH3993" s="3"/>
      <c r="AL3993" s="3"/>
    </row>
    <row r="3994" spans="12:38" x14ac:dyDescent="0.25">
      <c r="L3994" s="2"/>
      <c r="M3994" s="2"/>
      <c r="N3994" s="2"/>
      <c r="AD3994" s="3"/>
      <c r="AH3994" s="3"/>
      <c r="AL3994" s="3"/>
    </row>
    <row r="3995" spans="12:38" x14ac:dyDescent="0.25">
      <c r="L3995" s="2"/>
      <c r="M3995" s="2"/>
      <c r="N3995" s="2"/>
      <c r="AD3995" s="3"/>
      <c r="AH3995" s="3"/>
      <c r="AL3995" s="3"/>
    </row>
    <row r="3996" spans="12:38" x14ac:dyDescent="0.25">
      <c r="L3996" s="2"/>
      <c r="M3996" s="2"/>
      <c r="N3996" s="2"/>
      <c r="AD3996" s="3"/>
      <c r="AH3996" s="3"/>
      <c r="AL3996" s="3"/>
    </row>
    <row r="3997" spans="12:38" x14ac:dyDescent="0.25">
      <c r="L3997" s="2"/>
      <c r="M3997" s="2"/>
      <c r="N3997" s="2"/>
      <c r="AD3997" s="3"/>
      <c r="AH3997" s="3"/>
      <c r="AL3997" s="3"/>
    </row>
    <row r="3998" spans="12:38" x14ac:dyDescent="0.25">
      <c r="L3998" s="2"/>
      <c r="M3998" s="2"/>
      <c r="N3998" s="2"/>
      <c r="AD3998" s="3"/>
      <c r="AH3998" s="3"/>
      <c r="AL3998" s="3"/>
    </row>
    <row r="3999" spans="12:38" x14ac:dyDescent="0.25">
      <c r="L3999" s="2"/>
      <c r="M3999" s="2"/>
      <c r="N3999" s="2"/>
      <c r="AD3999" s="3"/>
      <c r="AH3999" s="3"/>
      <c r="AL3999" s="3"/>
    </row>
    <row r="4000" spans="12:38" x14ac:dyDescent="0.25">
      <c r="L4000" s="2"/>
      <c r="M4000" s="2"/>
      <c r="N4000" s="2"/>
      <c r="AD4000" s="3"/>
      <c r="AH4000" s="3"/>
      <c r="AL4000" s="3"/>
    </row>
    <row r="4001" spans="12:38" x14ac:dyDescent="0.25">
      <c r="L4001" s="2"/>
      <c r="M4001" s="2"/>
      <c r="N4001" s="2"/>
      <c r="AD4001" s="3"/>
      <c r="AH4001" s="3"/>
      <c r="AL4001" s="3"/>
    </row>
    <row r="4002" spans="12:38" x14ac:dyDescent="0.25">
      <c r="L4002" s="2"/>
      <c r="M4002" s="2"/>
      <c r="N4002" s="2"/>
      <c r="AD4002" s="3"/>
      <c r="AH4002" s="3"/>
      <c r="AL4002" s="3"/>
    </row>
    <row r="4003" spans="12:38" x14ac:dyDescent="0.25">
      <c r="L4003" s="2"/>
      <c r="M4003" s="2"/>
      <c r="N4003" s="2"/>
      <c r="AD4003" s="3"/>
      <c r="AH4003" s="3"/>
      <c r="AL4003" s="3"/>
    </row>
    <row r="4004" spans="12:38" x14ac:dyDescent="0.25">
      <c r="L4004" s="2"/>
      <c r="M4004" s="2"/>
      <c r="N4004" s="2"/>
      <c r="AD4004" s="3"/>
      <c r="AH4004" s="3"/>
      <c r="AL4004" s="3"/>
    </row>
    <row r="4005" spans="12:38" x14ac:dyDescent="0.25">
      <c r="L4005" s="2"/>
      <c r="M4005" s="2"/>
      <c r="N4005" s="2"/>
      <c r="AD4005" s="3"/>
      <c r="AH4005" s="3"/>
      <c r="AL4005" s="3"/>
    </row>
    <row r="4006" spans="12:38" x14ac:dyDescent="0.25">
      <c r="L4006" s="2"/>
      <c r="M4006" s="2"/>
      <c r="N4006" s="2"/>
      <c r="AD4006" s="3"/>
      <c r="AH4006" s="3"/>
      <c r="AL4006" s="3"/>
    </row>
    <row r="4007" spans="12:38" x14ac:dyDescent="0.25">
      <c r="L4007" s="2"/>
      <c r="M4007" s="2"/>
      <c r="N4007" s="2"/>
      <c r="AD4007" s="3"/>
      <c r="AH4007" s="3"/>
      <c r="AL4007" s="3"/>
    </row>
    <row r="4008" spans="12:38" x14ac:dyDescent="0.25">
      <c r="L4008" s="2"/>
      <c r="M4008" s="2"/>
      <c r="N4008" s="2"/>
      <c r="AD4008" s="3"/>
      <c r="AH4008" s="3"/>
      <c r="AL4008" s="3"/>
    </row>
    <row r="4009" spans="12:38" x14ac:dyDescent="0.25">
      <c r="L4009" s="2"/>
      <c r="M4009" s="2"/>
      <c r="N4009" s="2"/>
      <c r="AD4009" s="3"/>
      <c r="AH4009" s="3"/>
      <c r="AL4009" s="3"/>
    </row>
    <row r="4010" spans="12:38" x14ac:dyDescent="0.25">
      <c r="L4010" s="2"/>
      <c r="M4010" s="2"/>
      <c r="N4010" s="2"/>
      <c r="AD4010" s="3"/>
      <c r="AH4010" s="3"/>
      <c r="AL4010" s="3"/>
    </row>
    <row r="4011" spans="12:38" x14ac:dyDescent="0.25">
      <c r="L4011" s="2"/>
      <c r="M4011" s="2"/>
      <c r="N4011" s="2"/>
      <c r="AD4011" s="3"/>
      <c r="AH4011" s="3"/>
      <c r="AL4011" s="3"/>
    </row>
    <row r="4012" spans="12:38" x14ac:dyDescent="0.25">
      <c r="L4012" s="2"/>
      <c r="M4012" s="2"/>
      <c r="N4012" s="2"/>
      <c r="AD4012" s="3"/>
      <c r="AH4012" s="3"/>
      <c r="AL4012" s="3"/>
    </row>
    <row r="4013" spans="12:38" x14ac:dyDescent="0.25">
      <c r="L4013" s="2"/>
      <c r="M4013" s="2"/>
      <c r="N4013" s="2"/>
      <c r="AD4013" s="3"/>
      <c r="AH4013" s="3"/>
      <c r="AL4013" s="3"/>
    </row>
    <row r="4014" spans="12:38" x14ac:dyDescent="0.25">
      <c r="L4014" s="2"/>
      <c r="M4014" s="2"/>
      <c r="N4014" s="2"/>
      <c r="AD4014" s="3"/>
      <c r="AH4014" s="3"/>
      <c r="AL4014" s="3"/>
    </row>
    <row r="4015" spans="12:38" x14ac:dyDescent="0.25">
      <c r="L4015" s="2"/>
      <c r="M4015" s="2"/>
      <c r="N4015" s="2"/>
      <c r="AD4015" s="3"/>
      <c r="AH4015" s="3"/>
      <c r="AL4015" s="3"/>
    </row>
    <row r="4016" spans="12:38" x14ac:dyDescent="0.25">
      <c r="L4016" s="2"/>
      <c r="M4016" s="2"/>
      <c r="N4016" s="2"/>
      <c r="AD4016" s="3"/>
      <c r="AH4016" s="3"/>
      <c r="AL4016" s="3"/>
    </row>
    <row r="4017" spans="12:38" x14ac:dyDescent="0.25">
      <c r="L4017" s="2"/>
      <c r="M4017" s="2"/>
      <c r="N4017" s="2"/>
      <c r="AD4017" s="3"/>
      <c r="AH4017" s="3"/>
      <c r="AL4017" s="3"/>
    </row>
    <row r="4018" spans="12:38" x14ac:dyDescent="0.25">
      <c r="L4018" s="2"/>
      <c r="M4018" s="2"/>
      <c r="N4018" s="2"/>
      <c r="AD4018" s="3"/>
      <c r="AH4018" s="3"/>
      <c r="AL4018" s="3"/>
    </row>
    <row r="4019" spans="12:38" x14ac:dyDescent="0.25">
      <c r="L4019" s="2"/>
      <c r="M4019" s="2"/>
      <c r="N4019" s="2"/>
      <c r="AD4019" s="3"/>
      <c r="AH4019" s="3"/>
      <c r="AL4019" s="3"/>
    </row>
    <row r="4020" spans="12:38" x14ac:dyDescent="0.25">
      <c r="L4020" s="2"/>
      <c r="M4020" s="2"/>
      <c r="N4020" s="2"/>
      <c r="AD4020" s="3"/>
      <c r="AH4020" s="3"/>
      <c r="AL4020" s="3"/>
    </row>
    <row r="4021" spans="12:38" x14ac:dyDescent="0.25">
      <c r="L4021" s="2"/>
      <c r="M4021" s="2"/>
      <c r="N4021" s="2"/>
      <c r="AD4021" s="3"/>
      <c r="AH4021" s="3"/>
      <c r="AL4021" s="3"/>
    </row>
    <row r="4022" spans="12:38" x14ac:dyDescent="0.25">
      <c r="L4022" s="2"/>
      <c r="M4022" s="2"/>
      <c r="N4022" s="2"/>
      <c r="AD4022" s="3"/>
      <c r="AH4022" s="3"/>
      <c r="AL4022" s="3"/>
    </row>
    <row r="4023" spans="12:38" x14ac:dyDescent="0.25">
      <c r="L4023" s="2"/>
      <c r="M4023" s="2"/>
      <c r="N4023" s="2"/>
      <c r="AD4023" s="3"/>
      <c r="AH4023" s="3"/>
      <c r="AL4023" s="3"/>
    </row>
    <row r="4024" spans="12:38" x14ac:dyDescent="0.25">
      <c r="L4024" s="2"/>
      <c r="M4024" s="2"/>
      <c r="N4024" s="2"/>
      <c r="AD4024" s="3"/>
      <c r="AH4024" s="3"/>
      <c r="AL4024" s="3"/>
    </row>
    <row r="4025" spans="12:38" x14ac:dyDescent="0.25">
      <c r="L4025" s="2"/>
      <c r="M4025" s="2"/>
      <c r="N4025" s="2"/>
      <c r="AD4025" s="3"/>
      <c r="AH4025" s="3"/>
      <c r="AL4025" s="3"/>
    </row>
    <row r="4026" spans="12:38" x14ac:dyDescent="0.25">
      <c r="L4026" s="2"/>
      <c r="M4026" s="2"/>
      <c r="N4026" s="2"/>
      <c r="AD4026" s="3"/>
      <c r="AH4026" s="3"/>
      <c r="AL4026" s="3"/>
    </row>
    <row r="4027" spans="12:38" x14ac:dyDescent="0.25">
      <c r="L4027" s="2"/>
      <c r="M4027" s="2"/>
      <c r="N4027" s="2"/>
      <c r="AD4027" s="3"/>
      <c r="AH4027" s="3"/>
      <c r="AL4027" s="3"/>
    </row>
    <row r="4028" spans="12:38" x14ac:dyDescent="0.25">
      <c r="L4028" s="2"/>
      <c r="M4028" s="2"/>
      <c r="N4028" s="2"/>
      <c r="AD4028" s="3"/>
      <c r="AH4028" s="3"/>
      <c r="AL4028" s="3"/>
    </row>
    <row r="4029" spans="12:38" x14ac:dyDescent="0.25">
      <c r="L4029" s="2"/>
      <c r="M4029" s="2"/>
      <c r="N4029" s="2"/>
      <c r="AD4029" s="3"/>
      <c r="AH4029" s="3"/>
      <c r="AL4029" s="3"/>
    </row>
    <row r="4030" spans="12:38" x14ac:dyDescent="0.25">
      <c r="L4030" s="2"/>
      <c r="M4030" s="2"/>
      <c r="N4030" s="2"/>
      <c r="AD4030" s="3"/>
      <c r="AH4030" s="3"/>
      <c r="AL4030" s="3"/>
    </row>
    <row r="4031" spans="12:38" x14ac:dyDescent="0.25">
      <c r="L4031" s="2"/>
      <c r="M4031" s="2"/>
      <c r="N4031" s="2"/>
      <c r="AD4031" s="3"/>
      <c r="AH4031" s="3"/>
      <c r="AL4031" s="3"/>
    </row>
    <row r="4032" spans="12:38" x14ac:dyDescent="0.25">
      <c r="L4032" s="2"/>
      <c r="M4032" s="2"/>
      <c r="N4032" s="2"/>
      <c r="AD4032" s="3"/>
      <c r="AH4032" s="3"/>
      <c r="AL4032" s="3"/>
    </row>
    <row r="4033" spans="12:38" x14ac:dyDescent="0.25">
      <c r="L4033" s="2"/>
      <c r="M4033" s="2"/>
      <c r="N4033" s="2"/>
      <c r="AD4033" s="3"/>
      <c r="AH4033" s="3"/>
      <c r="AL4033" s="3"/>
    </row>
    <row r="4034" spans="12:38" x14ac:dyDescent="0.25">
      <c r="L4034" s="2"/>
      <c r="M4034" s="2"/>
      <c r="N4034" s="2"/>
      <c r="AD4034" s="3"/>
      <c r="AH4034" s="3"/>
      <c r="AL4034" s="3"/>
    </row>
    <row r="4035" spans="12:38" x14ac:dyDescent="0.25">
      <c r="L4035" s="2"/>
      <c r="M4035" s="2"/>
      <c r="N4035" s="2"/>
      <c r="AD4035" s="3"/>
      <c r="AH4035" s="3"/>
      <c r="AL4035" s="3"/>
    </row>
    <row r="4036" spans="12:38" x14ac:dyDescent="0.25">
      <c r="L4036" s="2"/>
      <c r="M4036" s="2"/>
      <c r="N4036" s="2"/>
      <c r="AD4036" s="3"/>
      <c r="AH4036" s="3"/>
      <c r="AL4036" s="3"/>
    </row>
    <row r="4037" spans="12:38" x14ac:dyDescent="0.25">
      <c r="L4037" s="2"/>
      <c r="M4037" s="2"/>
      <c r="N4037" s="2"/>
      <c r="AD4037" s="3"/>
      <c r="AH4037" s="3"/>
      <c r="AL4037" s="3"/>
    </row>
    <row r="4038" spans="12:38" x14ac:dyDescent="0.25">
      <c r="L4038" s="2"/>
      <c r="M4038" s="2"/>
      <c r="N4038" s="2"/>
      <c r="AD4038" s="3"/>
      <c r="AH4038" s="3"/>
      <c r="AL4038" s="3"/>
    </row>
    <row r="4039" spans="12:38" x14ac:dyDescent="0.25">
      <c r="L4039" s="2"/>
      <c r="M4039" s="2"/>
      <c r="N4039" s="2"/>
      <c r="AD4039" s="3"/>
      <c r="AH4039" s="3"/>
      <c r="AL4039" s="3"/>
    </row>
    <row r="4040" spans="12:38" x14ac:dyDescent="0.25">
      <c r="L4040" s="2"/>
      <c r="M4040" s="2"/>
      <c r="N4040" s="2"/>
      <c r="AD4040" s="3"/>
      <c r="AH4040" s="3"/>
      <c r="AL4040" s="3"/>
    </row>
    <row r="4041" spans="12:38" x14ac:dyDescent="0.25">
      <c r="L4041" s="2"/>
      <c r="M4041" s="2"/>
      <c r="N4041" s="2"/>
      <c r="AD4041" s="3"/>
      <c r="AH4041" s="3"/>
      <c r="AL4041" s="3"/>
    </row>
    <row r="4042" spans="12:38" x14ac:dyDescent="0.25">
      <c r="L4042" s="2"/>
      <c r="M4042" s="2"/>
      <c r="N4042" s="2"/>
      <c r="AD4042" s="3"/>
      <c r="AH4042" s="3"/>
      <c r="AL4042" s="3"/>
    </row>
    <row r="4043" spans="12:38" x14ac:dyDescent="0.25">
      <c r="L4043" s="2"/>
      <c r="M4043" s="2"/>
      <c r="N4043" s="2"/>
      <c r="AD4043" s="3"/>
      <c r="AH4043" s="3"/>
      <c r="AL4043" s="3"/>
    </row>
    <row r="4044" spans="12:38" x14ac:dyDescent="0.25">
      <c r="L4044" s="2"/>
      <c r="M4044" s="2"/>
      <c r="N4044" s="2"/>
      <c r="AD4044" s="3"/>
      <c r="AH4044" s="3"/>
      <c r="AL4044" s="3"/>
    </row>
    <row r="4045" spans="12:38" x14ac:dyDescent="0.25">
      <c r="L4045" s="2"/>
      <c r="M4045" s="2"/>
      <c r="N4045" s="2"/>
      <c r="AD4045" s="3"/>
      <c r="AH4045" s="3"/>
      <c r="AL4045" s="3"/>
    </row>
    <row r="4046" spans="12:38" x14ac:dyDescent="0.25">
      <c r="L4046" s="2"/>
      <c r="M4046" s="2"/>
      <c r="N4046" s="2"/>
      <c r="AD4046" s="3"/>
      <c r="AH4046" s="3"/>
      <c r="AL4046" s="3"/>
    </row>
    <row r="4047" spans="12:38" x14ac:dyDescent="0.25">
      <c r="L4047" s="2"/>
      <c r="M4047" s="2"/>
      <c r="N4047" s="2"/>
      <c r="AD4047" s="3"/>
      <c r="AH4047" s="3"/>
      <c r="AL4047" s="3"/>
    </row>
    <row r="4048" spans="12:38" x14ac:dyDescent="0.25">
      <c r="L4048" s="2"/>
      <c r="M4048" s="2"/>
      <c r="N4048" s="2"/>
      <c r="AD4048" s="3"/>
      <c r="AH4048" s="3"/>
      <c r="AL4048" s="3"/>
    </row>
    <row r="4049" spans="12:38" x14ac:dyDescent="0.25">
      <c r="L4049" s="2"/>
      <c r="M4049" s="2"/>
      <c r="N4049" s="2"/>
      <c r="AD4049" s="3"/>
      <c r="AH4049" s="3"/>
      <c r="AL4049" s="3"/>
    </row>
    <row r="4050" spans="12:38" x14ac:dyDescent="0.25">
      <c r="L4050" s="2"/>
      <c r="M4050" s="2"/>
      <c r="N4050" s="2"/>
      <c r="AD4050" s="3"/>
      <c r="AH4050" s="3"/>
      <c r="AL4050" s="3"/>
    </row>
    <row r="4051" spans="12:38" x14ac:dyDescent="0.25">
      <c r="L4051" s="2"/>
      <c r="M4051" s="2"/>
      <c r="N4051" s="2"/>
      <c r="AD4051" s="3"/>
      <c r="AH4051" s="3"/>
      <c r="AL4051" s="3"/>
    </row>
    <row r="4052" spans="12:38" x14ac:dyDescent="0.25">
      <c r="L4052" s="2"/>
      <c r="M4052" s="2"/>
      <c r="N4052" s="2"/>
      <c r="AD4052" s="3"/>
      <c r="AH4052" s="3"/>
      <c r="AL4052" s="3"/>
    </row>
    <row r="4053" spans="12:38" x14ac:dyDescent="0.25">
      <c r="L4053" s="2"/>
      <c r="M4053" s="2"/>
      <c r="N4053" s="2"/>
      <c r="AD4053" s="3"/>
      <c r="AH4053" s="3"/>
      <c r="AL4053" s="3"/>
    </row>
    <row r="4054" spans="12:38" x14ac:dyDescent="0.25">
      <c r="L4054" s="2"/>
      <c r="M4054" s="2"/>
      <c r="N4054" s="2"/>
      <c r="AD4054" s="3"/>
      <c r="AH4054" s="3"/>
      <c r="AL4054" s="3"/>
    </row>
    <row r="4055" spans="12:38" x14ac:dyDescent="0.25">
      <c r="L4055" s="2"/>
      <c r="M4055" s="2"/>
      <c r="N4055" s="2"/>
      <c r="AD4055" s="3"/>
      <c r="AH4055" s="3"/>
      <c r="AL4055" s="3"/>
    </row>
    <row r="4056" spans="12:38" x14ac:dyDescent="0.25">
      <c r="L4056" s="2"/>
      <c r="M4056" s="2"/>
      <c r="N4056" s="2"/>
      <c r="AD4056" s="3"/>
      <c r="AH4056" s="3"/>
      <c r="AL4056" s="3"/>
    </row>
    <row r="4057" spans="12:38" x14ac:dyDescent="0.25">
      <c r="L4057" s="2"/>
      <c r="M4057" s="2"/>
      <c r="N4057" s="2"/>
      <c r="AD4057" s="3"/>
      <c r="AH4057" s="3"/>
      <c r="AL4057" s="3"/>
    </row>
    <row r="4058" spans="12:38" x14ac:dyDescent="0.25">
      <c r="L4058" s="2"/>
      <c r="M4058" s="2"/>
      <c r="N4058" s="2"/>
      <c r="AD4058" s="3"/>
      <c r="AH4058" s="3"/>
      <c r="AL4058" s="3"/>
    </row>
    <row r="4059" spans="12:38" x14ac:dyDescent="0.25">
      <c r="L4059" s="2"/>
      <c r="M4059" s="2"/>
      <c r="N4059" s="2"/>
      <c r="AD4059" s="3"/>
      <c r="AH4059" s="3"/>
      <c r="AL4059" s="3"/>
    </row>
    <row r="4060" spans="12:38" x14ac:dyDescent="0.25">
      <c r="L4060" s="2"/>
      <c r="M4060" s="2"/>
      <c r="N4060" s="2"/>
      <c r="AD4060" s="3"/>
      <c r="AH4060" s="3"/>
      <c r="AL4060" s="3"/>
    </row>
    <row r="4061" spans="12:38" x14ac:dyDescent="0.25">
      <c r="L4061" s="2"/>
      <c r="M4061" s="2"/>
      <c r="N4061" s="2"/>
      <c r="AD4061" s="3"/>
      <c r="AH4061" s="3"/>
      <c r="AL4061" s="3"/>
    </row>
    <row r="4062" spans="12:38" x14ac:dyDescent="0.25">
      <c r="L4062" s="2"/>
      <c r="M4062" s="2"/>
      <c r="N4062" s="2"/>
      <c r="AD4062" s="3"/>
      <c r="AH4062" s="3"/>
      <c r="AL4062" s="3"/>
    </row>
    <row r="4063" spans="12:38" x14ac:dyDescent="0.25">
      <c r="L4063" s="2"/>
      <c r="M4063" s="2"/>
      <c r="N4063" s="2"/>
      <c r="AD4063" s="3"/>
      <c r="AH4063" s="3"/>
      <c r="AL4063" s="3"/>
    </row>
    <row r="4064" spans="12:38" x14ac:dyDescent="0.25">
      <c r="L4064" s="2"/>
      <c r="M4064" s="2"/>
      <c r="N4064" s="2"/>
      <c r="AD4064" s="3"/>
      <c r="AH4064" s="3"/>
      <c r="AL4064" s="3"/>
    </row>
    <row r="4065" spans="12:38" x14ac:dyDescent="0.25">
      <c r="L4065" s="2"/>
      <c r="M4065" s="2"/>
      <c r="N4065" s="2"/>
      <c r="AD4065" s="3"/>
      <c r="AH4065" s="3"/>
      <c r="AL4065" s="3"/>
    </row>
    <row r="4066" spans="12:38" x14ac:dyDescent="0.25">
      <c r="L4066" s="2"/>
      <c r="M4066" s="2"/>
      <c r="N4066" s="2"/>
      <c r="AD4066" s="3"/>
      <c r="AH4066" s="3"/>
      <c r="AL4066" s="3"/>
    </row>
    <row r="4067" spans="12:38" x14ac:dyDescent="0.25">
      <c r="L4067" s="2"/>
      <c r="M4067" s="2"/>
      <c r="N4067" s="2"/>
      <c r="AD4067" s="3"/>
      <c r="AH4067" s="3"/>
      <c r="AL4067" s="3"/>
    </row>
    <row r="4068" spans="12:38" x14ac:dyDescent="0.25">
      <c r="L4068" s="2"/>
      <c r="M4068" s="2"/>
      <c r="N4068" s="2"/>
      <c r="AD4068" s="3"/>
      <c r="AH4068" s="3"/>
      <c r="AL4068" s="3"/>
    </row>
    <row r="4069" spans="12:38" x14ac:dyDescent="0.25">
      <c r="L4069" s="2"/>
      <c r="M4069" s="2"/>
      <c r="N4069" s="2"/>
      <c r="AD4069" s="3"/>
      <c r="AH4069" s="3"/>
      <c r="AL4069" s="3"/>
    </row>
    <row r="4070" spans="12:38" x14ac:dyDescent="0.25">
      <c r="L4070" s="2"/>
      <c r="M4070" s="2"/>
      <c r="N4070" s="2"/>
      <c r="AD4070" s="3"/>
      <c r="AH4070" s="3"/>
      <c r="AL4070" s="3"/>
    </row>
    <row r="4071" spans="12:38" x14ac:dyDescent="0.25">
      <c r="L4071" s="2"/>
      <c r="M4071" s="2"/>
      <c r="N4071" s="2"/>
      <c r="AD4071" s="3"/>
      <c r="AH4071" s="3"/>
      <c r="AL4071" s="3"/>
    </row>
    <row r="4072" spans="12:38" x14ac:dyDescent="0.25">
      <c r="L4072" s="2"/>
      <c r="M4072" s="2"/>
      <c r="N4072" s="2"/>
      <c r="AD4072" s="3"/>
      <c r="AH4072" s="3"/>
      <c r="AL4072" s="3"/>
    </row>
    <row r="4073" spans="12:38" x14ac:dyDescent="0.25">
      <c r="L4073" s="2"/>
      <c r="M4073" s="2"/>
      <c r="N4073" s="2"/>
      <c r="AD4073" s="3"/>
      <c r="AH4073" s="3"/>
      <c r="AL4073" s="3"/>
    </row>
    <row r="4074" spans="12:38" x14ac:dyDescent="0.25">
      <c r="L4074" s="2"/>
      <c r="M4074" s="2"/>
      <c r="N4074" s="2"/>
      <c r="AD4074" s="3"/>
      <c r="AH4074" s="3"/>
      <c r="AL4074" s="3"/>
    </row>
    <row r="4075" spans="12:38" x14ac:dyDescent="0.25">
      <c r="L4075" s="2"/>
      <c r="M4075" s="2"/>
      <c r="N4075" s="2"/>
      <c r="AD4075" s="3"/>
      <c r="AH4075" s="3"/>
      <c r="AL4075" s="3"/>
    </row>
    <row r="4076" spans="12:38" x14ac:dyDescent="0.25">
      <c r="L4076" s="2"/>
      <c r="M4076" s="2"/>
      <c r="N4076" s="2"/>
      <c r="AD4076" s="3"/>
      <c r="AH4076" s="3"/>
      <c r="AL4076" s="3"/>
    </row>
    <row r="4077" spans="12:38" x14ac:dyDescent="0.25">
      <c r="L4077" s="2"/>
      <c r="M4077" s="2"/>
      <c r="N4077" s="2"/>
      <c r="AD4077" s="3"/>
      <c r="AH4077" s="3"/>
      <c r="AL4077" s="3"/>
    </row>
    <row r="4078" spans="12:38" x14ac:dyDescent="0.25">
      <c r="L4078" s="2"/>
      <c r="M4078" s="2"/>
      <c r="N4078" s="2"/>
      <c r="AD4078" s="3"/>
      <c r="AH4078" s="3"/>
      <c r="AL4078" s="3"/>
    </row>
    <row r="4079" spans="12:38" x14ac:dyDescent="0.25">
      <c r="L4079" s="2"/>
      <c r="M4079" s="2"/>
      <c r="N4079" s="2"/>
      <c r="AD4079" s="3"/>
      <c r="AH4079" s="3"/>
      <c r="AL4079" s="3"/>
    </row>
    <row r="4080" spans="12:38" x14ac:dyDescent="0.25">
      <c r="L4080" s="2"/>
      <c r="M4080" s="2"/>
      <c r="N4080" s="2"/>
      <c r="AD4080" s="3"/>
      <c r="AH4080" s="3"/>
      <c r="AL4080" s="3"/>
    </row>
    <row r="4081" spans="12:38" x14ac:dyDescent="0.25">
      <c r="L4081" s="2"/>
      <c r="M4081" s="2"/>
      <c r="N4081" s="2"/>
      <c r="AD4081" s="3"/>
      <c r="AH4081" s="3"/>
      <c r="AL4081" s="3"/>
    </row>
    <row r="4082" spans="12:38" x14ac:dyDescent="0.25">
      <c r="L4082" s="2"/>
      <c r="M4082" s="2"/>
      <c r="N4082" s="2"/>
      <c r="AD4082" s="3"/>
      <c r="AH4082" s="3"/>
      <c r="AL4082" s="3"/>
    </row>
    <row r="4083" spans="12:38" x14ac:dyDescent="0.25">
      <c r="L4083" s="2"/>
      <c r="M4083" s="2"/>
      <c r="N4083" s="2"/>
      <c r="AD4083" s="3"/>
      <c r="AH4083" s="3"/>
      <c r="AL4083" s="3"/>
    </row>
    <row r="4084" spans="12:38" x14ac:dyDescent="0.25">
      <c r="L4084" s="2"/>
      <c r="M4084" s="2"/>
      <c r="N4084" s="2"/>
      <c r="AD4084" s="3"/>
      <c r="AH4084" s="3"/>
      <c r="AL4084" s="3"/>
    </row>
    <row r="4085" spans="12:38" x14ac:dyDescent="0.25">
      <c r="L4085" s="2"/>
      <c r="M4085" s="2"/>
      <c r="N4085" s="2"/>
      <c r="AD4085" s="3"/>
      <c r="AH4085" s="3"/>
      <c r="AL4085" s="3"/>
    </row>
    <row r="4086" spans="12:38" x14ac:dyDescent="0.25">
      <c r="L4086" s="2"/>
      <c r="M4086" s="2"/>
      <c r="N4086" s="2"/>
      <c r="AD4086" s="3"/>
      <c r="AH4086" s="3"/>
      <c r="AL4086" s="3"/>
    </row>
    <row r="4087" spans="12:38" x14ac:dyDescent="0.25">
      <c r="L4087" s="2"/>
      <c r="M4087" s="2"/>
      <c r="N4087" s="2"/>
      <c r="AD4087" s="3"/>
      <c r="AH4087" s="3"/>
      <c r="AL4087" s="3"/>
    </row>
    <row r="4088" spans="12:38" x14ac:dyDescent="0.25">
      <c r="L4088" s="2"/>
      <c r="M4088" s="2"/>
      <c r="N4088" s="2"/>
      <c r="AD4088" s="3"/>
      <c r="AH4088" s="3"/>
      <c r="AL4088" s="3"/>
    </row>
    <row r="4089" spans="12:38" x14ac:dyDescent="0.25">
      <c r="L4089" s="2"/>
      <c r="M4089" s="2"/>
      <c r="N4089" s="2"/>
      <c r="AD4089" s="3"/>
      <c r="AH4089" s="3"/>
      <c r="AL4089" s="3"/>
    </row>
    <row r="4090" spans="12:38" x14ac:dyDescent="0.25">
      <c r="L4090" s="2"/>
      <c r="M4090" s="2"/>
      <c r="N4090" s="2"/>
      <c r="AD4090" s="3"/>
      <c r="AH4090" s="3"/>
      <c r="AL4090" s="3"/>
    </row>
    <row r="4091" spans="12:38" x14ac:dyDescent="0.25">
      <c r="L4091" s="2"/>
      <c r="M4091" s="2"/>
      <c r="N4091" s="2"/>
      <c r="AD4091" s="3"/>
      <c r="AH4091" s="3"/>
      <c r="AL4091" s="3"/>
    </row>
    <row r="4092" spans="12:38" x14ac:dyDescent="0.25">
      <c r="L4092" s="2"/>
      <c r="M4092" s="2"/>
      <c r="N4092" s="2"/>
      <c r="AD4092" s="3"/>
      <c r="AH4092" s="3"/>
      <c r="AL4092" s="3"/>
    </row>
    <row r="4093" spans="12:38" x14ac:dyDescent="0.25">
      <c r="L4093" s="2"/>
      <c r="M4093" s="2"/>
      <c r="N4093" s="2"/>
      <c r="AD4093" s="3"/>
      <c r="AH4093" s="3"/>
      <c r="AL4093" s="3"/>
    </row>
    <row r="4094" spans="12:38" x14ac:dyDescent="0.25">
      <c r="L4094" s="2"/>
      <c r="M4094" s="2"/>
      <c r="N4094" s="2"/>
      <c r="AD4094" s="3"/>
      <c r="AH4094" s="3"/>
      <c r="AL4094" s="3"/>
    </row>
    <row r="4095" spans="12:38" x14ac:dyDescent="0.25">
      <c r="L4095" s="2"/>
      <c r="M4095" s="2"/>
      <c r="N4095" s="2"/>
      <c r="AD4095" s="3"/>
      <c r="AH4095" s="3"/>
      <c r="AL4095" s="3"/>
    </row>
    <row r="4096" spans="12:38" x14ac:dyDescent="0.25">
      <c r="L4096" s="2"/>
      <c r="M4096" s="2"/>
      <c r="N4096" s="2"/>
      <c r="AD4096" s="3"/>
      <c r="AH4096" s="3"/>
      <c r="AL4096" s="3"/>
    </row>
    <row r="4097" spans="12:38" x14ac:dyDescent="0.25">
      <c r="L4097" s="2"/>
      <c r="M4097" s="2"/>
      <c r="N4097" s="2"/>
      <c r="AD4097" s="3"/>
      <c r="AH4097" s="3"/>
      <c r="AL4097" s="3"/>
    </row>
    <row r="4098" spans="12:38" x14ac:dyDescent="0.25">
      <c r="L4098" s="2"/>
      <c r="M4098" s="2"/>
      <c r="N4098" s="2"/>
      <c r="AD4098" s="3"/>
      <c r="AH4098" s="3"/>
      <c r="AL4098" s="3"/>
    </row>
    <row r="4099" spans="12:38" x14ac:dyDescent="0.25">
      <c r="L4099" s="2"/>
      <c r="M4099" s="2"/>
      <c r="N4099" s="2"/>
      <c r="AD4099" s="3"/>
      <c r="AH4099" s="3"/>
      <c r="AL4099" s="3"/>
    </row>
    <row r="4100" spans="12:38" x14ac:dyDescent="0.25">
      <c r="L4100" s="2"/>
      <c r="M4100" s="2"/>
      <c r="N4100" s="2"/>
      <c r="AD4100" s="3"/>
      <c r="AH4100" s="3"/>
      <c r="AL4100" s="3"/>
    </row>
    <row r="4101" spans="12:38" x14ac:dyDescent="0.25">
      <c r="L4101" s="2"/>
      <c r="M4101" s="2"/>
      <c r="N4101" s="2"/>
      <c r="AD4101" s="3"/>
      <c r="AH4101" s="3"/>
      <c r="AL4101" s="3"/>
    </row>
    <row r="4102" spans="12:38" x14ac:dyDescent="0.25">
      <c r="L4102" s="2"/>
      <c r="M4102" s="2"/>
      <c r="N4102" s="2"/>
      <c r="AD4102" s="3"/>
      <c r="AH4102" s="3"/>
      <c r="AL4102" s="3"/>
    </row>
    <row r="4103" spans="12:38" x14ac:dyDescent="0.25">
      <c r="L4103" s="2"/>
      <c r="M4103" s="2"/>
      <c r="N4103" s="2"/>
      <c r="AD4103" s="3"/>
      <c r="AH4103" s="3"/>
      <c r="AL4103" s="3"/>
    </row>
    <row r="4104" spans="12:38" x14ac:dyDescent="0.25">
      <c r="L4104" s="2"/>
      <c r="M4104" s="2"/>
      <c r="N4104" s="2"/>
      <c r="AD4104" s="3"/>
      <c r="AH4104" s="3"/>
      <c r="AL4104" s="3"/>
    </row>
    <row r="4105" spans="12:38" x14ac:dyDescent="0.25">
      <c r="L4105" s="2"/>
      <c r="M4105" s="2"/>
      <c r="N4105" s="2"/>
      <c r="AD4105" s="3"/>
      <c r="AH4105" s="3"/>
      <c r="AL4105" s="3"/>
    </row>
    <row r="4106" spans="12:38" x14ac:dyDescent="0.25">
      <c r="L4106" s="2"/>
      <c r="M4106" s="2"/>
      <c r="N4106" s="2"/>
      <c r="AD4106" s="3"/>
      <c r="AH4106" s="3"/>
      <c r="AL4106" s="3"/>
    </row>
    <row r="4107" spans="12:38" x14ac:dyDescent="0.25">
      <c r="L4107" s="2"/>
      <c r="M4107" s="2"/>
      <c r="N4107" s="2"/>
      <c r="AD4107" s="3"/>
      <c r="AH4107" s="3"/>
      <c r="AL4107" s="3"/>
    </row>
    <row r="4108" spans="12:38" x14ac:dyDescent="0.25">
      <c r="L4108" s="2"/>
      <c r="M4108" s="2"/>
      <c r="N4108" s="2"/>
      <c r="AD4108" s="3"/>
      <c r="AH4108" s="3"/>
      <c r="AL4108" s="3"/>
    </row>
    <row r="4109" spans="12:38" x14ac:dyDescent="0.25">
      <c r="L4109" s="2"/>
      <c r="M4109" s="2"/>
      <c r="N4109" s="2"/>
      <c r="AD4109" s="3"/>
      <c r="AH4109" s="3"/>
      <c r="AL4109" s="3"/>
    </row>
    <row r="4110" spans="12:38" x14ac:dyDescent="0.25">
      <c r="L4110" s="2"/>
      <c r="M4110" s="2"/>
      <c r="N4110" s="2"/>
      <c r="AD4110" s="3"/>
      <c r="AH4110" s="3"/>
      <c r="AL4110" s="3"/>
    </row>
    <row r="4111" spans="12:38" x14ac:dyDescent="0.25">
      <c r="L4111" s="2"/>
      <c r="M4111" s="2"/>
      <c r="N4111" s="2"/>
      <c r="AD4111" s="3"/>
      <c r="AH4111" s="3"/>
      <c r="AL4111" s="3"/>
    </row>
    <row r="4112" spans="12:38" x14ac:dyDescent="0.25">
      <c r="L4112" s="2"/>
      <c r="M4112" s="2"/>
      <c r="N4112" s="2"/>
      <c r="AD4112" s="3"/>
      <c r="AH4112" s="3"/>
      <c r="AL4112" s="3"/>
    </row>
    <row r="4113" spans="12:38" x14ac:dyDescent="0.25">
      <c r="L4113" s="2"/>
      <c r="M4113" s="2"/>
      <c r="N4113" s="2"/>
      <c r="AD4113" s="3"/>
      <c r="AH4113" s="3"/>
      <c r="AL4113" s="3"/>
    </row>
    <row r="4114" spans="12:38" x14ac:dyDescent="0.25">
      <c r="L4114" s="2"/>
      <c r="M4114" s="2"/>
      <c r="N4114" s="2"/>
      <c r="AD4114" s="3"/>
      <c r="AH4114" s="3"/>
      <c r="AL4114" s="3"/>
    </row>
    <row r="4115" spans="12:38" x14ac:dyDescent="0.25">
      <c r="L4115" s="2"/>
      <c r="M4115" s="2"/>
      <c r="N4115" s="2"/>
      <c r="AD4115" s="3"/>
      <c r="AH4115" s="3"/>
      <c r="AL4115" s="3"/>
    </row>
    <row r="4116" spans="12:38" x14ac:dyDescent="0.25">
      <c r="L4116" s="2"/>
      <c r="M4116" s="2"/>
      <c r="N4116" s="2"/>
      <c r="AD4116" s="3"/>
      <c r="AH4116" s="3"/>
      <c r="AL4116" s="3"/>
    </row>
    <row r="4117" spans="12:38" x14ac:dyDescent="0.25">
      <c r="L4117" s="2"/>
      <c r="M4117" s="2"/>
      <c r="N4117" s="2"/>
      <c r="AD4117" s="3"/>
      <c r="AH4117" s="3"/>
      <c r="AL4117" s="3"/>
    </row>
    <row r="4118" spans="12:38" x14ac:dyDescent="0.25">
      <c r="L4118" s="2"/>
      <c r="M4118" s="2"/>
      <c r="N4118" s="2"/>
      <c r="AD4118" s="3"/>
      <c r="AH4118" s="3"/>
      <c r="AL4118" s="3"/>
    </row>
    <row r="4119" spans="12:38" x14ac:dyDescent="0.25">
      <c r="L4119" s="2"/>
      <c r="M4119" s="2"/>
      <c r="N4119" s="2"/>
      <c r="AD4119" s="3"/>
      <c r="AH4119" s="3"/>
      <c r="AL4119" s="3"/>
    </row>
    <row r="4120" spans="12:38" x14ac:dyDescent="0.25">
      <c r="L4120" s="2"/>
      <c r="M4120" s="2"/>
      <c r="N4120" s="2"/>
      <c r="AD4120" s="3"/>
      <c r="AH4120" s="3"/>
      <c r="AL4120" s="3"/>
    </row>
    <row r="4121" spans="12:38" x14ac:dyDescent="0.25">
      <c r="L4121" s="2"/>
      <c r="M4121" s="2"/>
      <c r="N4121" s="2"/>
      <c r="AD4121" s="3"/>
      <c r="AH4121" s="3"/>
      <c r="AL4121" s="3"/>
    </row>
    <row r="4122" spans="12:38" x14ac:dyDescent="0.25">
      <c r="L4122" s="2"/>
      <c r="M4122" s="2"/>
      <c r="N4122" s="2"/>
      <c r="AD4122" s="3"/>
      <c r="AH4122" s="3"/>
      <c r="AL4122" s="3"/>
    </row>
    <row r="4123" spans="12:38" x14ac:dyDescent="0.25">
      <c r="L4123" s="2"/>
      <c r="M4123" s="2"/>
      <c r="N4123" s="2"/>
      <c r="AD4123" s="3"/>
      <c r="AH4123" s="3"/>
      <c r="AL4123" s="3"/>
    </row>
    <row r="4124" spans="12:38" x14ac:dyDescent="0.25">
      <c r="L4124" s="2"/>
      <c r="M4124" s="2"/>
      <c r="N4124" s="2"/>
      <c r="AD4124" s="3"/>
      <c r="AH4124" s="3"/>
      <c r="AL4124" s="3"/>
    </row>
    <row r="4125" spans="12:38" x14ac:dyDescent="0.25">
      <c r="L4125" s="2"/>
      <c r="M4125" s="2"/>
      <c r="N4125" s="2"/>
      <c r="AD4125" s="3"/>
      <c r="AH4125" s="3"/>
      <c r="AL4125" s="3"/>
    </row>
    <row r="4126" spans="12:38" x14ac:dyDescent="0.25">
      <c r="L4126" s="2"/>
      <c r="M4126" s="2"/>
      <c r="N4126" s="2"/>
      <c r="AD4126" s="3"/>
      <c r="AH4126" s="3"/>
      <c r="AL4126" s="3"/>
    </row>
    <row r="4127" spans="12:38" x14ac:dyDescent="0.25">
      <c r="L4127" s="2"/>
      <c r="M4127" s="2"/>
      <c r="N4127" s="2"/>
      <c r="AD4127" s="3"/>
      <c r="AH4127" s="3"/>
      <c r="AL4127" s="3"/>
    </row>
    <row r="4128" spans="12:38" x14ac:dyDescent="0.25">
      <c r="L4128" s="2"/>
      <c r="M4128" s="2"/>
      <c r="N4128" s="2"/>
      <c r="AD4128" s="3"/>
      <c r="AH4128" s="3"/>
      <c r="AL4128" s="3"/>
    </row>
    <row r="4129" spans="12:38" x14ac:dyDescent="0.25">
      <c r="L4129" s="2"/>
      <c r="M4129" s="2"/>
      <c r="N4129" s="2"/>
      <c r="AD4129" s="3"/>
      <c r="AH4129" s="3"/>
      <c r="AL4129" s="3"/>
    </row>
    <row r="4130" spans="12:38" x14ac:dyDescent="0.25">
      <c r="L4130" s="2"/>
      <c r="M4130" s="2"/>
      <c r="N4130" s="2"/>
      <c r="AD4130" s="3"/>
      <c r="AH4130" s="3"/>
      <c r="AL4130" s="3"/>
    </row>
    <row r="4131" spans="12:38" x14ac:dyDescent="0.25">
      <c r="L4131" s="2"/>
      <c r="M4131" s="2"/>
      <c r="N4131" s="2"/>
      <c r="AD4131" s="3"/>
      <c r="AH4131" s="3"/>
      <c r="AL4131" s="3"/>
    </row>
    <row r="4132" spans="12:38" x14ac:dyDescent="0.25">
      <c r="L4132" s="2"/>
      <c r="M4132" s="2"/>
      <c r="N4132" s="2"/>
      <c r="AD4132" s="3"/>
      <c r="AH4132" s="3"/>
      <c r="AL4132" s="3"/>
    </row>
    <row r="4133" spans="12:38" x14ac:dyDescent="0.25">
      <c r="L4133" s="2"/>
      <c r="M4133" s="2"/>
      <c r="N4133" s="2"/>
      <c r="AD4133" s="3"/>
      <c r="AH4133" s="3"/>
      <c r="AL4133" s="3"/>
    </row>
    <row r="4134" spans="12:38" x14ac:dyDescent="0.25">
      <c r="L4134" s="2"/>
      <c r="M4134" s="2"/>
      <c r="N4134" s="2"/>
      <c r="AD4134" s="3"/>
      <c r="AH4134" s="3"/>
      <c r="AL4134" s="3"/>
    </row>
    <row r="4135" spans="12:38" x14ac:dyDescent="0.25">
      <c r="L4135" s="2"/>
      <c r="M4135" s="2"/>
      <c r="N4135" s="2"/>
      <c r="AD4135" s="3"/>
      <c r="AH4135" s="3"/>
      <c r="AL4135" s="3"/>
    </row>
    <row r="4136" spans="12:38" x14ac:dyDescent="0.25">
      <c r="L4136" s="2"/>
      <c r="M4136" s="2"/>
      <c r="N4136" s="2"/>
      <c r="AD4136" s="3"/>
      <c r="AH4136" s="3"/>
      <c r="AL4136" s="3"/>
    </row>
    <row r="4137" spans="12:38" x14ac:dyDescent="0.25">
      <c r="L4137" s="2"/>
      <c r="M4137" s="2"/>
      <c r="N4137" s="2"/>
      <c r="AD4137" s="3"/>
      <c r="AH4137" s="3"/>
      <c r="AL4137" s="3"/>
    </row>
    <row r="4138" spans="12:38" x14ac:dyDescent="0.25">
      <c r="L4138" s="2"/>
      <c r="M4138" s="2"/>
      <c r="N4138" s="2"/>
      <c r="AD4138" s="3"/>
      <c r="AH4138" s="3"/>
      <c r="AL4138" s="3"/>
    </row>
    <row r="4139" spans="12:38" x14ac:dyDescent="0.25">
      <c r="L4139" s="2"/>
      <c r="M4139" s="2"/>
      <c r="N4139" s="2"/>
      <c r="AD4139" s="3"/>
      <c r="AH4139" s="3"/>
      <c r="AL4139" s="3"/>
    </row>
    <row r="4140" spans="12:38" x14ac:dyDescent="0.25">
      <c r="L4140" s="2"/>
      <c r="M4140" s="2"/>
      <c r="N4140" s="2"/>
      <c r="AD4140" s="3"/>
      <c r="AH4140" s="3"/>
      <c r="AL4140" s="3"/>
    </row>
    <row r="4141" spans="12:38" x14ac:dyDescent="0.25">
      <c r="L4141" s="2"/>
      <c r="M4141" s="2"/>
      <c r="N4141" s="2"/>
      <c r="AD4141" s="3"/>
      <c r="AH4141" s="3"/>
      <c r="AL4141" s="3"/>
    </row>
    <row r="4142" spans="12:38" x14ac:dyDescent="0.25">
      <c r="L4142" s="2"/>
      <c r="M4142" s="2"/>
      <c r="N4142" s="2"/>
      <c r="AD4142" s="3"/>
      <c r="AH4142" s="3"/>
      <c r="AL4142" s="3"/>
    </row>
    <row r="4143" spans="12:38" x14ac:dyDescent="0.25">
      <c r="L4143" s="2"/>
      <c r="M4143" s="2"/>
      <c r="N4143" s="2"/>
      <c r="AD4143" s="3"/>
      <c r="AH4143" s="3"/>
      <c r="AL4143" s="3"/>
    </row>
    <row r="4144" spans="12:38" x14ac:dyDescent="0.25">
      <c r="L4144" s="2"/>
      <c r="M4144" s="2"/>
      <c r="N4144" s="2"/>
      <c r="AD4144" s="3"/>
      <c r="AH4144" s="3"/>
      <c r="AL4144" s="3"/>
    </row>
    <row r="4145" spans="12:38" x14ac:dyDescent="0.25">
      <c r="L4145" s="2"/>
      <c r="M4145" s="2"/>
      <c r="N4145" s="2"/>
      <c r="AD4145" s="3"/>
      <c r="AH4145" s="3"/>
      <c r="AL4145" s="3"/>
    </row>
    <row r="4146" spans="12:38" x14ac:dyDescent="0.25">
      <c r="L4146" s="2"/>
      <c r="M4146" s="2"/>
      <c r="N4146" s="2"/>
      <c r="AD4146" s="3"/>
      <c r="AH4146" s="3"/>
      <c r="AL4146" s="3"/>
    </row>
    <row r="4147" spans="12:38" x14ac:dyDescent="0.25">
      <c r="L4147" s="2"/>
      <c r="M4147" s="2"/>
      <c r="N4147" s="2"/>
      <c r="AD4147" s="3"/>
      <c r="AH4147" s="3"/>
      <c r="AL4147" s="3"/>
    </row>
    <row r="4148" spans="12:38" x14ac:dyDescent="0.25">
      <c r="L4148" s="2"/>
      <c r="M4148" s="2"/>
      <c r="N4148" s="2"/>
      <c r="AD4148" s="3"/>
      <c r="AH4148" s="3"/>
      <c r="AL4148" s="3"/>
    </row>
    <row r="4149" spans="12:38" x14ac:dyDescent="0.25">
      <c r="L4149" s="2"/>
      <c r="M4149" s="2"/>
      <c r="N4149" s="2"/>
      <c r="AD4149" s="3"/>
      <c r="AH4149" s="3"/>
      <c r="AL4149" s="3"/>
    </row>
    <row r="4150" spans="12:38" x14ac:dyDescent="0.25">
      <c r="L4150" s="2"/>
      <c r="M4150" s="2"/>
      <c r="N4150" s="2"/>
      <c r="AD4150" s="3"/>
      <c r="AH4150" s="3"/>
      <c r="AL4150" s="3"/>
    </row>
    <row r="4151" spans="12:38" x14ac:dyDescent="0.25">
      <c r="L4151" s="2"/>
      <c r="M4151" s="2"/>
      <c r="N4151" s="2"/>
      <c r="AD4151" s="3"/>
      <c r="AH4151" s="3"/>
      <c r="AL4151" s="3"/>
    </row>
    <row r="4152" spans="12:38" x14ac:dyDescent="0.25">
      <c r="L4152" s="2"/>
      <c r="M4152" s="2"/>
      <c r="N4152" s="2"/>
      <c r="AD4152" s="3"/>
      <c r="AH4152" s="3"/>
      <c r="AL4152" s="3"/>
    </row>
    <row r="4153" spans="12:38" x14ac:dyDescent="0.25">
      <c r="L4153" s="2"/>
      <c r="M4153" s="2"/>
      <c r="N4153" s="2"/>
      <c r="AD4153" s="3"/>
      <c r="AH4153" s="3"/>
      <c r="AL4153" s="3"/>
    </row>
    <row r="4154" spans="12:38" x14ac:dyDescent="0.25">
      <c r="L4154" s="2"/>
      <c r="M4154" s="2"/>
      <c r="N4154" s="2"/>
      <c r="AD4154" s="3"/>
      <c r="AH4154" s="3"/>
      <c r="AL4154" s="3"/>
    </row>
    <row r="4155" spans="12:38" x14ac:dyDescent="0.25">
      <c r="L4155" s="2"/>
      <c r="M4155" s="2"/>
      <c r="N4155" s="2"/>
      <c r="AD4155" s="3"/>
      <c r="AH4155" s="3"/>
      <c r="AL4155" s="3"/>
    </row>
    <row r="4156" spans="12:38" x14ac:dyDescent="0.25">
      <c r="L4156" s="2"/>
      <c r="M4156" s="2"/>
      <c r="N4156" s="2"/>
      <c r="AD4156" s="3"/>
      <c r="AH4156" s="3"/>
      <c r="AL4156" s="3"/>
    </row>
    <row r="4157" spans="12:38" x14ac:dyDescent="0.25">
      <c r="L4157" s="2"/>
      <c r="M4157" s="2"/>
      <c r="N4157" s="2"/>
      <c r="AD4157" s="3"/>
      <c r="AH4157" s="3"/>
      <c r="AL4157" s="3"/>
    </row>
    <row r="4158" spans="12:38" x14ac:dyDescent="0.25">
      <c r="L4158" s="2"/>
      <c r="M4158" s="2"/>
      <c r="N4158" s="2"/>
      <c r="AD4158" s="3"/>
      <c r="AH4158" s="3"/>
      <c r="AL4158" s="3"/>
    </row>
    <row r="4159" spans="12:38" x14ac:dyDescent="0.25">
      <c r="L4159" s="2"/>
      <c r="M4159" s="2"/>
      <c r="N4159" s="2"/>
      <c r="AD4159" s="3"/>
      <c r="AH4159" s="3"/>
      <c r="AL4159" s="3"/>
    </row>
    <row r="4160" spans="12:38" x14ac:dyDescent="0.25">
      <c r="L4160" s="2"/>
      <c r="M4160" s="2"/>
      <c r="N4160" s="2"/>
      <c r="AD4160" s="3"/>
      <c r="AH4160" s="3"/>
      <c r="AL4160" s="3"/>
    </row>
    <row r="4161" spans="12:38" x14ac:dyDescent="0.25">
      <c r="L4161" s="2"/>
      <c r="M4161" s="2"/>
      <c r="N4161" s="2"/>
      <c r="AD4161" s="3"/>
      <c r="AH4161" s="3"/>
      <c r="AL4161" s="3"/>
    </row>
    <row r="4162" spans="12:38" x14ac:dyDescent="0.25">
      <c r="L4162" s="2"/>
      <c r="M4162" s="2"/>
      <c r="N4162" s="2"/>
      <c r="AD4162" s="3"/>
      <c r="AH4162" s="3"/>
      <c r="AL4162" s="3"/>
    </row>
    <row r="4163" spans="12:38" x14ac:dyDescent="0.25">
      <c r="L4163" s="2"/>
      <c r="M4163" s="2"/>
      <c r="N4163" s="2"/>
      <c r="AD4163" s="3"/>
      <c r="AH4163" s="3"/>
      <c r="AL4163" s="3"/>
    </row>
    <row r="4164" spans="12:38" x14ac:dyDescent="0.25">
      <c r="L4164" s="2"/>
      <c r="M4164" s="2"/>
      <c r="N4164" s="2"/>
      <c r="AD4164" s="3"/>
      <c r="AH4164" s="3"/>
      <c r="AL4164" s="3"/>
    </row>
    <row r="4165" spans="12:38" x14ac:dyDescent="0.25">
      <c r="L4165" s="2"/>
      <c r="M4165" s="2"/>
      <c r="N4165" s="2"/>
      <c r="AD4165" s="3"/>
      <c r="AH4165" s="3"/>
      <c r="AL4165" s="3"/>
    </row>
    <row r="4166" spans="12:38" x14ac:dyDescent="0.25">
      <c r="L4166" s="2"/>
      <c r="M4166" s="2"/>
      <c r="N4166" s="2"/>
      <c r="AD4166" s="3"/>
      <c r="AH4166" s="3"/>
      <c r="AL4166" s="3"/>
    </row>
    <row r="4167" spans="12:38" x14ac:dyDescent="0.25">
      <c r="L4167" s="2"/>
      <c r="M4167" s="2"/>
      <c r="N4167" s="2"/>
      <c r="AD4167" s="3"/>
      <c r="AH4167" s="3"/>
      <c r="AL4167" s="3"/>
    </row>
    <row r="4168" spans="12:38" x14ac:dyDescent="0.25">
      <c r="L4168" s="2"/>
      <c r="M4168" s="2"/>
      <c r="N4168" s="2"/>
      <c r="AD4168" s="3"/>
      <c r="AH4168" s="3"/>
      <c r="AL4168" s="3"/>
    </row>
    <row r="4169" spans="12:38" x14ac:dyDescent="0.25">
      <c r="L4169" s="2"/>
      <c r="M4169" s="2"/>
      <c r="N4169" s="2"/>
      <c r="AD4169" s="3"/>
      <c r="AH4169" s="3"/>
      <c r="AL4169" s="3"/>
    </row>
    <row r="4170" spans="12:38" x14ac:dyDescent="0.25">
      <c r="L4170" s="2"/>
      <c r="M4170" s="2"/>
      <c r="N4170" s="2"/>
      <c r="AD4170" s="3"/>
      <c r="AH4170" s="3"/>
      <c r="AL4170" s="3"/>
    </row>
    <row r="4171" spans="12:38" x14ac:dyDescent="0.25">
      <c r="L4171" s="2"/>
      <c r="M4171" s="2"/>
      <c r="N4171" s="2"/>
      <c r="AD4171" s="3"/>
      <c r="AH4171" s="3"/>
      <c r="AL4171" s="3"/>
    </row>
    <row r="4172" spans="12:38" x14ac:dyDescent="0.25">
      <c r="L4172" s="2"/>
      <c r="M4172" s="2"/>
      <c r="N4172" s="2"/>
      <c r="AD4172" s="3"/>
      <c r="AH4172" s="3"/>
      <c r="AL4172" s="3"/>
    </row>
    <row r="4173" spans="12:38" x14ac:dyDescent="0.25">
      <c r="L4173" s="2"/>
      <c r="M4173" s="2"/>
      <c r="N4173" s="2"/>
      <c r="AD4173" s="3"/>
      <c r="AH4173" s="3"/>
      <c r="AL4173" s="3"/>
    </row>
    <row r="4174" spans="12:38" x14ac:dyDescent="0.25">
      <c r="L4174" s="2"/>
      <c r="M4174" s="2"/>
      <c r="N4174" s="2"/>
      <c r="AD4174" s="3"/>
      <c r="AH4174" s="3"/>
      <c r="AL4174" s="3"/>
    </row>
    <row r="4175" spans="12:38" x14ac:dyDescent="0.25">
      <c r="L4175" s="2"/>
      <c r="M4175" s="2"/>
      <c r="N4175" s="2"/>
      <c r="AD4175" s="3"/>
      <c r="AH4175" s="3"/>
      <c r="AL4175" s="3"/>
    </row>
    <row r="4176" spans="12:38" x14ac:dyDescent="0.25">
      <c r="L4176" s="2"/>
      <c r="M4176" s="2"/>
      <c r="N4176" s="2"/>
      <c r="AD4176" s="3"/>
      <c r="AH4176" s="3"/>
      <c r="AL4176" s="3"/>
    </row>
    <row r="4177" spans="12:38" x14ac:dyDescent="0.25">
      <c r="L4177" s="2"/>
      <c r="M4177" s="2"/>
      <c r="N4177" s="2"/>
      <c r="AD4177" s="3"/>
      <c r="AH4177" s="3"/>
      <c r="AL4177" s="3"/>
    </row>
    <row r="4178" spans="12:38" x14ac:dyDescent="0.25">
      <c r="L4178" s="2"/>
      <c r="M4178" s="2"/>
      <c r="N4178" s="2"/>
      <c r="AD4178" s="3"/>
      <c r="AH4178" s="3"/>
      <c r="AL4178" s="3"/>
    </row>
    <row r="4179" spans="12:38" x14ac:dyDescent="0.25">
      <c r="L4179" s="2"/>
      <c r="M4179" s="2"/>
      <c r="N4179" s="2"/>
      <c r="AD4179" s="3"/>
      <c r="AH4179" s="3"/>
      <c r="AL4179" s="3"/>
    </row>
    <row r="4180" spans="12:38" x14ac:dyDescent="0.25">
      <c r="L4180" s="2"/>
      <c r="M4180" s="2"/>
      <c r="N4180" s="2"/>
      <c r="AD4180" s="3"/>
      <c r="AH4180" s="3"/>
      <c r="AL4180" s="3"/>
    </row>
    <row r="4181" spans="12:38" x14ac:dyDescent="0.25">
      <c r="L4181" s="2"/>
      <c r="M4181" s="2"/>
      <c r="N4181" s="2"/>
      <c r="AD4181" s="3"/>
      <c r="AH4181" s="3"/>
      <c r="AL4181" s="3"/>
    </row>
    <row r="4182" spans="12:38" x14ac:dyDescent="0.25">
      <c r="L4182" s="2"/>
      <c r="M4182" s="2"/>
      <c r="N4182" s="2"/>
      <c r="AD4182" s="3"/>
      <c r="AH4182" s="3"/>
      <c r="AL4182" s="3"/>
    </row>
    <row r="4183" spans="12:38" x14ac:dyDescent="0.25">
      <c r="L4183" s="2"/>
      <c r="M4183" s="2"/>
      <c r="N4183" s="2"/>
      <c r="AD4183" s="3"/>
      <c r="AH4183" s="3"/>
      <c r="AL4183" s="3"/>
    </row>
    <row r="4184" spans="12:38" x14ac:dyDescent="0.25">
      <c r="L4184" s="2"/>
      <c r="M4184" s="2"/>
      <c r="N4184" s="2"/>
      <c r="AD4184" s="3"/>
      <c r="AH4184" s="3"/>
      <c r="AL4184" s="3"/>
    </row>
    <row r="4185" spans="12:38" x14ac:dyDescent="0.25">
      <c r="L4185" s="2"/>
      <c r="M4185" s="2"/>
      <c r="N4185" s="2"/>
      <c r="AD4185" s="3"/>
      <c r="AH4185" s="3"/>
      <c r="AL4185" s="3"/>
    </row>
    <row r="4186" spans="12:38" x14ac:dyDescent="0.25">
      <c r="L4186" s="2"/>
      <c r="M4186" s="2"/>
      <c r="N4186" s="2"/>
      <c r="AD4186" s="3"/>
      <c r="AH4186" s="3"/>
      <c r="AL4186" s="3"/>
    </row>
    <row r="4187" spans="12:38" x14ac:dyDescent="0.25">
      <c r="L4187" s="2"/>
      <c r="M4187" s="2"/>
      <c r="N4187" s="2"/>
      <c r="AD4187" s="3"/>
      <c r="AH4187" s="3"/>
      <c r="AL4187" s="3"/>
    </row>
    <row r="4188" spans="12:38" x14ac:dyDescent="0.25">
      <c r="L4188" s="2"/>
      <c r="M4188" s="2"/>
      <c r="N4188" s="2"/>
      <c r="AD4188" s="3"/>
      <c r="AH4188" s="3"/>
      <c r="AL4188" s="3"/>
    </row>
    <row r="4189" spans="12:38" x14ac:dyDescent="0.25">
      <c r="L4189" s="2"/>
      <c r="M4189" s="2"/>
      <c r="N4189" s="2"/>
      <c r="AD4189" s="3"/>
      <c r="AH4189" s="3"/>
      <c r="AL4189" s="3"/>
    </row>
    <row r="4190" spans="12:38" x14ac:dyDescent="0.25">
      <c r="L4190" s="2"/>
      <c r="M4190" s="2"/>
      <c r="N4190" s="2"/>
      <c r="AD4190" s="3"/>
      <c r="AH4190" s="3"/>
      <c r="AL4190" s="3"/>
    </row>
    <row r="4191" spans="12:38" x14ac:dyDescent="0.25">
      <c r="L4191" s="2"/>
      <c r="M4191" s="2"/>
      <c r="N4191" s="2"/>
      <c r="AD4191" s="3"/>
      <c r="AH4191" s="3"/>
      <c r="AL4191" s="3"/>
    </row>
    <row r="4192" spans="12:38" x14ac:dyDescent="0.25">
      <c r="L4192" s="2"/>
      <c r="M4192" s="2"/>
      <c r="N4192" s="2"/>
      <c r="AD4192" s="3"/>
      <c r="AH4192" s="3"/>
      <c r="AL4192" s="3"/>
    </row>
    <row r="4193" spans="12:38" x14ac:dyDescent="0.25">
      <c r="L4193" s="2"/>
      <c r="M4193" s="2"/>
      <c r="N4193" s="2"/>
      <c r="AD4193" s="3"/>
      <c r="AH4193" s="3"/>
      <c r="AL4193" s="3"/>
    </row>
    <row r="4194" spans="12:38" x14ac:dyDescent="0.25">
      <c r="L4194" s="2"/>
      <c r="M4194" s="2"/>
      <c r="N4194" s="2"/>
      <c r="AD4194" s="3"/>
      <c r="AH4194" s="3"/>
      <c r="AL4194" s="3"/>
    </row>
    <row r="4195" spans="12:38" x14ac:dyDescent="0.25">
      <c r="L4195" s="2"/>
      <c r="M4195" s="2"/>
      <c r="N4195" s="2"/>
      <c r="AD4195" s="3"/>
      <c r="AH4195" s="3"/>
      <c r="AL4195" s="3"/>
    </row>
    <row r="4196" spans="12:38" x14ac:dyDescent="0.25">
      <c r="L4196" s="2"/>
      <c r="M4196" s="2"/>
      <c r="N4196" s="2"/>
      <c r="AD4196" s="3"/>
      <c r="AH4196" s="3"/>
      <c r="AL4196" s="3"/>
    </row>
    <row r="4197" spans="12:38" x14ac:dyDescent="0.25">
      <c r="L4197" s="2"/>
      <c r="M4197" s="2"/>
      <c r="N4197" s="2"/>
      <c r="AD4197" s="3"/>
      <c r="AH4197" s="3"/>
      <c r="AL4197" s="3"/>
    </row>
    <row r="4198" spans="12:38" x14ac:dyDescent="0.25">
      <c r="L4198" s="2"/>
      <c r="M4198" s="2"/>
      <c r="N4198" s="2"/>
      <c r="AD4198" s="3"/>
      <c r="AH4198" s="3"/>
      <c r="AL4198" s="3"/>
    </row>
    <row r="4199" spans="12:38" x14ac:dyDescent="0.25">
      <c r="L4199" s="2"/>
      <c r="M4199" s="2"/>
      <c r="N4199" s="2"/>
      <c r="AD4199" s="3"/>
      <c r="AH4199" s="3"/>
      <c r="AL4199" s="3"/>
    </row>
    <row r="4200" spans="12:38" x14ac:dyDescent="0.25">
      <c r="L4200" s="2"/>
      <c r="M4200" s="2"/>
      <c r="N4200" s="2"/>
      <c r="AD4200" s="3"/>
      <c r="AH4200" s="3"/>
      <c r="AL4200" s="3"/>
    </row>
    <row r="4201" spans="12:38" x14ac:dyDescent="0.25">
      <c r="L4201" s="2"/>
      <c r="M4201" s="2"/>
      <c r="N4201" s="2"/>
      <c r="AD4201" s="3"/>
      <c r="AH4201" s="3"/>
      <c r="AL4201" s="3"/>
    </row>
    <row r="4202" spans="12:38" x14ac:dyDescent="0.25">
      <c r="L4202" s="2"/>
      <c r="M4202" s="2"/>
      <c r="N4202" s="2"/>
      <c r="AD4202" s="3"/>
      <c r="AH4202" s="3"/>
      <c r="AL4202" s="3"/>
    </row>
    <row r="4203" spans="12:38" x14ac:dyDescent="0.25">
      <c r="L4203" s="2"/>
      <c r="M4203" s="2"/>
      <c r="N4203" s="2"/>
      <c r="AD4203" s="3"/>
      <c r="AH4203" s="3"/>
      <c r="AL4203" s="3"/>
    </row>
    <row r="4204" spans="12:38" x14ac:dyDescent="0.25">
      <c r="L4204" s="2"/>
      <c r="M4204" s="2"/>
      <c r="N4204" s="2"/>
      <c r="AD4204" s="3"/>
      <c r="AH4204" s="3"/>
      <c r="AL4204" s="3"/>
    </row>
    <row r="4205" spans="12:38" x14ac:dyDescent="0.25">
      <c r="L4205" s="2"/>
      <c r="M4205" s="2"/>
      <c r="N4205" s="2"/>
      <c r="AD4205" s="3"/>
      <c r="AH4205" s="3"/>
      <c r="AL4205" s="3"/>
    </row>
    <row r="4206" spans="12:38" x14ac:dyDescent="0.25">
      <c r="L4206" s="2"/>
      <c r="M4206" s="2"/>
      <c r="N4206" s="2"/>
      <c r="AD4206" s="3"/>
      <c r="AH4206" s="3"/>
      <c r="AL4206" s="3"/>
    </row>
    <row r="4207" spans="12:38" x14ac:dyDescent="0.25">
      <c r="L4207" s="2"/>
      <c r="M4207" s="2"/>
      <c r="N4207" s="2"/>
      <c r="AD4207" s="3"/>
      <c r="AH4207" s="3"/>
      <c r="AL4207" s="3"/>
    </row>
    <row r="4208" spans="12:38" x14ac:dyDescent="0.25">
      <c r="L4208" s="2"/>
      <c r="M4208" s="2"/>
      <c r="N4208" s="2"/>
      <c r="AD4208" s="3"/>
      <c r="AH4208" s="3"/>
      <c r="AL4208" s="3"/>
    </row>
    <row r="4209" spans="12:38" x14ac:dyDescent="0.25">
      <c r="L4209" s="2"/>
      <c r="M4209" s="2"/>
      <c r="N4209" s="2"/>
      <c r="AD4209" s="3"/>
      <c r="AH4209" s="3"/>
      <c r="AL4209" s="3"/>
    </row>
    <row r="4210" spans="12:38" x14ac:dyDescent="0.25">
      <c r="L4210" s="2"/>
      <c r="M4210" s="2"/>
      <c r="N4210" s="2"/>
      <c r="AD4210" s="3"/>
      <c r="AH4210" s="3"/>
      <c r="AL4210" s="3"/>
    </row>
    <row r="4211" spans="12:38" x14ac:dyDescent="0.25">
      <c r="L4211" s="2"/>
      <c r="M4211" s="2"/>
      <c r="N4211" s="2"/>
      <c r="AD4211" s="3"/>
      <c r="AH4211" s="3"/>
      <c r="AL4211" s="3"/>
    </row>
    <row r="4212" spans="12:38" x14ac:dyDescent="0.25">
      <c r="L4212" s="2"/>
      <c r="M4212" s="2"/>
      <c r="N4212" s="2"/>
      <c r="AD4212" s="3"/>
      <c r="AH4212" s="3"/>
      <c r="AL4212" s="3"/>
    </row>
    <row r="4213" spans="12:38" x14ac:dyDescent="0.25">
      <c r="L4213" s="2"/>
      <c r="M4213" s="2"/>
      <c r="N4213" s="2"/>
      <c r="AD4213" s="3"/>
      <c r="AH4213" s="3"/>
      <c r="AL4213" s="3"/>
    </row>
    <row r="4214" spans="12:38" x14ac:dyDescent="0.25">
      <c r="L4214" s="2"/>
      <c r="M4214" s="2"/>
      <c r="N4214" s="2"/>
      <c r="AD4214" s="3"/>
      <c r="AH4214" s="3"/>
      <c r="AL4214" s="3"/>
    </row>
    <row r="4215" spans="12:38" x14ac:dyDescent="0.25">
      <c r="L4215" s="2"/>
      <c r="M4215" s="2"/>
      <c r="N4215" s="2"/>
      <c r="AD4215" s="3"/>
      <c r="AH4215" s="3"/>
      <c r="AL4215" s="3"/>
    </row>
    <row r="4216" spans="12:38" x14ac:dyDescent="0.25">
      <c r="L4216" s="2"/>
      <c r="M4216" s="2"/>
      <c r="N4216" s="2"/>
      <c r="AD4216" s="3"/>
      <c r="AH4216" s="3"/>
      <c r="AL4216" s="3"/>
    </row>
    <row r="4217" spans="12:38" x14ac:dyDescent="0.25">
      <c r="L4217" s="2"/>
      <c r="M4217" s="2"/>
      <c r="N4217" s="2"/>
      <c r="AD4217" s="3"/>
      <c r="AH4217" s="3"/>
      <c r="AL4217" s="3"/>
    </row>
    <row r="4218" spans="12:38" x14ac:dyDescent="0.25">
      <c r="L4218" s="2"/>
      <c r="M4218" s="2"/>
      <c r="N4218" s="2"/>
      <c r="AD4218" s="3"/>
      <c r="AH4218" s="3"/>
      <c r="AL4218" s="3"/>
    </row>
    <row r="4219" spans="12:38" x14ac:dyDescent="0.25">
      <c r="L4219" s="2"/>
      <c r="M4219" s="2"/>
      <c r="N4219" s="2"/>
      <c r="AD4219" s="3"/>
      <c r="AH4219" s="3"/>
      <c r="AL4219" s="3"/>
    </row>
    <row r="4220" spans="12:38" x14ac:dyDescent="0.25">
      <c r="L4220" s="2"/>
      <c r="M4220" s="2"/>
      <c r="N4220" s="2"/>
      <c r="AD4220" s="3"/>
      <c r="AH4220" s="3"/>
      <c r="AL4220" s="3"/>
    </row>
    <row r="4221" spans="12:38" x14ac:dyDescent="0.25">
      <c r="L4221" s="2"/>
      <c r="M4221" s="2"/>
      <c r="N4221" s="2"/>
      <c r="AD4221" s="3"/>
      <c r="AH4221" s="3"/>
      <c r="AL4221" s="3"/>
    </row>
    <row r="4222" spans="12:38" x14ac:dyDescent="0.25">
      <c r="L4222" s="2"/>
      <c r="M4222" s="2"/>
      <c r="N4222" s="2"/>
      <c r="AD4222" s="3"/>
      <c r="AH4222" s="3"/>
      <c r="AL4222" s="3"/>
    </row>
    <row r="4223" spans="12:38" x14ac:dyDescent="0.25">
      <c r="L4223" s="2"/>
      <c r="M4223" s="2"/>
      <c r="N4223" s="2"/>
      <c r="AD4223" s="3"/>
      <c r="AH4223" s="3"/>
      <c r="AL4223" s="3"/>
    </row>
    <row r="4224" spans="12:38" x14ac:dyDescent="0.25">
      <c r="L4224" s="2"/>
      <c r="M4224" s="2"/>
      <c r="N4224" s="2"/>
      <c r="AD4224" s="3"/>
      <c r="AH4224" s="3"/>
      <c r="AL4224" s="3"/>
    </row>
    <row r="4225" spans="12:38" x14ac:dyDescent="0.25">
      <c r="L4225" s="2"/>
      <c r="M4225" s="2"/>
      <c r="N4225" s="2"/>
      <c r="AD4225" s="3"/>
      <c r="AH4225" s="3"/>
      <c r="AL4225" s="3"/>
    </row>
    <row r="4226" spans="12:38" x14ac:dyDescent="0.25">
      <c r="L4226" s="2"/>
      <c r="M4226" s="2"/>
      <c r="N4226" s="2"/>
      <c r="AD4226" s="3"/>
      <c r="AH4226" s="3"/>
      <c r="AL4226" s="3"/>
    </row>
    <row r="4227" spans="12:38" x14ac:dyDescent="0.25">
      <c r="L4227" s="2"/>
      <c r="M4227" s="2"/>
      <c r="N4227" s="2"/>
      <c r="AD4227" s="3"/>
      <c r="AH4227" s="3"/>
      <c r="AL4227" s="3"/>
    </row>
    <row r="4228" spans="12:38" x14ac:dyDescent="0.25">
      <c r="L4228" s="2"/>
      <c r="M4228" s="2"/>
      <c r="N4228" s="2"/>
      <c r="AD4228" s="3"/>
      <c r="AH4228" s="3"/>
      <c r="AL4228" s="3"/>
    </row>
    <row r="4229" spans="12:38" x14ac:dyDescent="0.25">
      <c r="L4229" s="2"/>
      <c r="M4229" s="2"/>
      <c r="N4229" s="2"/>
      <c r="AD4229" s="3"/>
      <c r="AH4229" s="3"/>
      <c r="AL4229" s="3"/>
    </row>
    <row r="4230" spans="12:38" x14ac:dyDescent="0.25">
      <c r="L4230" s="2"/>
      <c r="M4230" s="2"/>
      <c r="N4230" s="2"/>
      <c r="AD4230" s="3"/>
      <c r="AH4230" s="3"/>
      <c r="AL4230" s="3"/>
    </row>
    <row r="4231" spans="12:38" x14ac:dyDescent="0.25">
      <c r="L4231" s="2"/>
      <c r="M4231" s="2"/>
      <c r="N4231" s="2"/>
      <c r="AD4231" s="3"/>
      <c r="AH4231" s="3"/>
      <c r="AL4231" s="3"/>
    </row>
    <row r="4232" spans="12:38" x14ac:dyDescent="0.25">
      <c r="L4232" s="2"/>
      <c r="M4232" s="2"/>
      <c r="N4232" s="2"/>
      <c r="AD4232" s="3"/>
      <c r="AH4232" s="3"/>
      <c r="AL4232" s="3"/>
    </row>
    <row r="4233" spans="12:38" x14ac:dyDescent="0.25">
      <c r="L4233" s="2"/>
      <c r="M4233" s="2"/>
      <c r="N4233" s="2"/>
      <c r="AD4233" s="3"/>
      <c r="AH4233" s="3"/>
      <c r="AL4233" s="3"/>
    </row>
    <row r="4234" spans="12:38" x14ac:dyDescent="0.25">
      <c r="L4234" s="2"/>
      <c r="M4234" s="2"/>
      <c r="N4234" s="2"/>
      <c r="AD4234" s="3"/>
      <c r="AH4234" s="3"/>
      <c r="AL4234" s="3"/>
    </row>
    <row r="4235" spans="12:38" x14ac:dyDescent="0.25">
      <c r="L4235" s="2"/>
      <c r="M4235" s="2"/>
      <c r="N4235" s="2"/>
      <c r="AD4235" s="3"/>
      <c r="AH4235" s="3"/>
      <c r="AL4235" s="3"/>
    </row>
    <row r="4236" spans="12:38" x14ac:dyDescent="0.25">
      <c r="L4236" s="2"/>
      <c r="M4236" s="2"/>
      <c r="N4236" s="2"/>
      <c r="AD4236" s="3"/>
      <c r="AH4236" s="3"/>
      <c r="AL4236" s="3"/>
    </row>
    <row r="4237" spans="12:38" x14ac:dyDescent="0.25">
      <c r="L4237" s="2"/>
      <c r="M4237" s="2"/>
      <c r="N4237" s="2"/>
      <c r="AD4237" s="3"/>
      <c r="AH4237" s="3"/>
      <c r="AL4237" s="3"/>
    </row>
    <row r="4238" spans="12:38" x14ac:dyDescent="0.25">
      <c r="L4238" s="2"/>
      <c r="M4238" s="2"/>
      <c r="N4238" s="2"/>
      <c r="AD4238" s="3"/>
      <c r="AH4238" s="3"/>
      <c r="AL4238" s="3"/>
    </row>
    <row r="4239" spans="12:38" x14ac:dyDescent="0.25">
      <c r="L4239" s="2"/>
      <c r="M4239" s="2"/>
      <c r="N4239" s="2"/>
      <c r="AD4239" s="3"/>
      <c r="AH4239" s="3"/>
      <c r="AL4239" s="3"/>
    </row>
    <row r="4240" spans="12:38" x14ac:dyDescent="0.25">
      <c r="L4240" s="2"/>
      <c r="M4240" s="2"/>
      <c r="N4240" s="2"/>
      <c r="AD4240" s="3"/>
      <c r="AH4240" s="3"/>
      <c r="AL4240" s="3"/>
    </row>
    <row r="4241" spans="12:38" x14ac:dyDescent="0.25">
      <c r="L4241" s="2"/>
      <c r="M4241" s="2"/>
      <c r="N4241" s="2"/>
      <c r="AD4241" s="3"/>
      <c r="AH4241" s="3"/>
      <c r="AL4241" s="3"/>
    </row>
    <row r="4242" spans="12:38" x14ac:dyDescent="0.25">
      <c r="L4242" s="2"/>
      <c r="M4242" s="2"/>
      <c r="N4242" s="2"/>
      <c r="AD4242" s="3"/>
      <c r="AH4242" s="3"/>
      <c r="AL4242" s="3"/>
    </row>
    <row r="4243" spans="12:38" x14ac:dyDescent="0.25">
      <c r="L4243" s="2"/>
      <c r="M4243" s="2"/>
      <c r="N4243" s="2"/>
      <c r="AD4243" s="3"/>
      <c r="AH4243" s="3"/>
      <c r="AL4243" s="3"/>
    </row>
    <row r="4244" spans="12:38" x14ac:dyDescent="0.25">
      <c r="L4244" s="2"/>
      <c r="M4244" s="2"/>
      <c r="N4244" s="2"/>
      <c r="AD4244" s="3"/>
      <c r="AH4244" s="3"/>
      <c r="AL4244" s="3"/>
    </row>
    <row r="4245" spans="12:38" x14ac:dyDescent="0.25">
      <c r="L4245" s="2"/>
      <c r="M4245" s="2"/>
      <c r="N4245" s="2"/>
      <c r="AD4245" s="3"/>
      <c r="AH4245" s="3"/>
      <c r="AL4245" s="3"/>
    </row>
    <row r="4246" spans="12:38" x14ac:dyDescent="0.25">
      <c r="L4246" s="2"/>
      <c r="M4246" s="2"/>
      <c r="N4246" s="2"/>
      <c r="AD4246" s="3"/>
      <c r="AH4246" s="3"/>
      <c r="AL4246" s="3"/>
    </row>
    <row r="4247" spans="12:38" x14ac:dyDescent="0.25">
      <c r="L4247" s="2"/>
      <c r="M4247" s="2"/>
      <c r="N4247" s="2"/>
      <c r="AD4247" s="3"/>
      <c r="AH4247" s="3"/>
      <c r="AL4247" s="3"/>
    </row>
    <row r="4248" spans="12:38" x14ac:dyDescent="0.25">
      <c r="L4248" s="2"/>
      <c r="M4248" s="2"/>
      <c r="N4248" s="2"/>
      <c r="AD4248" s="3"/>
      <c r="AH4248" s="3"/>
      <c r="AL4248" s="3"/>
    </row>
    <row r="4249" spans="12:38" x14ac:dyDescent="0.25">
      <c r="L4249" s="2"/>
      <c r="M4249" s="2"/>
      <c r="N4249" s="2"/>
      <c r="AD4249" s="3"/>
      <c r="AH4249" s="3"/>
      <c r="AL4249" s="3"/>
    </row>
    <row r="4250" spans="12:38" x14ac:dyDescent="0.25">
      <c r="L4250" s="2"/>
      <c r="M4250" s="2"/>
      <c r="N4250" s="2"/>
      <c r="AD4250" s="3"/>
      <c r="AH4250" s="3"/>
      <c r="AL4250" s="3"/>
    </row>
    <row r="4251" spans="12:38" x14ac:dyDescent="0.25">
      <c r="L4251" s="2"/>
      <c r="M4251" s="2"/>
      <c r="N4251" s="2"/>
      <c r="AD4251" s="3"/>
      <c r="AH4251" s="3"/>
      <c r="AL4251" s="3"/>
    </row>
    <row r="4252" spans="12:38" x14ac:dyDescent="0.25">
      <c r="L4252" s="2"/>
      <c r="M4252" s="2"/>
      <c r="N4252" s="2"/>
      <c r="AD4252" s="3"/>
      <c r="AH4252" s="3"/>
      <c r="AL4252" s="3"/>
    </row>
    <row r="4253" spans="12:38" x14ac:dyDescent="0.25">
      <c r="L4253" s="2"/>
      <c r="M4253" s="2"/>
      <c r="N4253" s="2"/>
      <c r="AD4253" s="3"/>
      <c r="AH4253" s="3"/>
      <c r="AL4253" s="3"/>
    </row>
    <row r="4254" spans="12:38" x14ac:dyDescent="0.25">
      <c r="L4254" s="2"/>
      <c r="M4254" s="2"/>
      <c r="N4254" s="2"/>
      <c r="AD4254" s="3"/>
      <c r="AH4254" s="3"/>
      <c r="AL4254" s="3"/>
    </row>
    <row r="4255" spans="12:38" x14ac:dyDescent="0.25">
      <c r="L4255" s="2"/>
      <c r="M4255" s="2"/>
      <c r="N4255" s="2"/>
      <c r="AD4255" s="3"/>
      <c r="AH4255" s="3"/>
      <c r="AL4255" s="3"/>
    </row>
    <row r="4256" spans="12:38" x14ac:dyDescent="0.25">
      <c r="L4256" s="2"/>
      <c r="M4256" s="2"/>
      <c r="N4256" s="2"/>
      <c r="AD4256" s="3"/>
      <c r="AH4256" s="3"/>
      <c r="AL4256" s="3"/>
    </row>
    <row r="4257" spans="12:38" x14ac:dyDescent="0.25">
      <c r="L4257" s="2"/>
      <c r="M4257" s="2"/>
      <c r="N4257" s="2"/>
      <c r="AD4257" s="3"/>
      <c r="AH4257" s="3"/>
      <c r="AL4257" s="3"/>
    </row>
    <row r="4258" spans="12:38" x14ac:dyDescent="0.25">
      <c r="L4258" s="2"/>
      <c r="M4258" s="2"/>
      <c r="N4258" s="2"/>
      <c r="AD4258" s="3"/>
      <c r="AH4258" s="3"/>
      <c r="AL4258" s="3"/>
    </row>
    <row r="4259" spans="12:38" x14ac:dyDescent="0.25">
      <c r="L4259" s="2"/>
      <c r="M4259" s="2"/>
      <c r="N4259" s="2"/>
      <c r="AD4259" s="3"/>
      <c r="AH4259" s="3"/>
      <c r="AL4259" s="3"/>
    </row>
    <row r="4260" spans="12:38" x14ac:dyDescent="0.25">
      <c r="L4260" s="2"/>
      <c r="M4260" s="2"/>
      <c r="N4260" s="2"/>
      <c r="AD4260" s="3"/>
      <c r="AH4260" s="3"/>
      <c r="AL4260" s="3"/>
    </row>
    <row r="4261" spans="12:38" x14ac:dyDescent="0.25">
      <c r="L4261" s="2"/>
      <c r="M4261" s="2"/>
      <c r="N4261" s="2"/>
      <c r="AD4261" s="3"/>
      <c r="AH4261" s="3"/>
      <c r="AL4261" s="3"/>
    </row>
    <row r="4262" spans="12:38" x14ac:dyDescent="0.25">
      <c r="L4262" s="2"/>
      <c r="M4262" s="2"/>
      <c r="N4262" s="2"/>
      <c r="AD4262" s="3"/>
      <c r="AH4262" s="3"/>
      <c r="AL4262" s="3"/>
    </row>
    <row r="4263" spans="12:38" x14ac:dyDescent="0.25">
      <c r="L4263" s="2"/>
      <c r="M4263" s="2"/>
      <c r="N4263" s="2"/>
      <c r="AD4263" s="3"/>
      <c r="AH4263" s="3"/>
      <c r="AL4263" s="3"/>
    </row>
    <row r="4264" spans="12:38" x14ac:dyDescent="0.25">
      <c r="L4264" s="2"/>
      <c r="M4264" s="2"/>
      <c r="N4264" s="2"/>
      <c r="AD4264" s="3"/>
      <c r="AH4264" s="3"/>
      <c r="AL4264" s="3"/>
    </row>
    <row r="4265" spans="12:38" x14ac:dyDescent="0.25">
      <c r="L4265" s="2"/>
      <c r="M4265" s="2"/>
      <c r="N4265" s="2"/>
      <c r="AD4265" s="3"/>
      <c r="AH4265" s="3"/>
      <c r="AL4265" s="3"/>
    </row>
    <row r="4266" spans="12:38" x14ac:dyDescent="0.25">
      <c r="L4266" s="2"/>
      <c r="M4266" s="2"/>
      <c r="N4266" s="2"/>
      <c r="AD4266" s="3"/>
      <c r="AH4266" s="3"/>
      <c r="AL4266" s="3"/>
    </row>
    <row r="4267" spans="12:38" x14ac:dyDescent="0.25">
      <c r="L4267" s="2"/>
      <c r="M4267" s="2"/>
      <c r="N4267" s="2"/>
      <c r="AD4267" s="3"/>
      <c r="AH4267" s="3"/>
      <c r="AL4267" s="3"/>
    </row>
    <row r="4268" spans="12:38" x14ac:dyDescent="0.25">
      <c r="L4268" s="2"/>
      <c r="M4268" s="2"/>
      <c r="N4268" s="2"/>
      <c r="AD4268" s="3"/>
      <c r="AH4268" s="3"/>
      <c r="AL4268" s="3"/>
    </row>
    <row r="4269" spans="12:38" x14ac:dyDescent="0.25">
      <c r="L4269" s="2"/>
      <c r="M4269" s="2"/>
      <c r="N4269" s="2"/>
      <c r="AD4269" s="3"/>
      <c r="AH4269" s="3"/>
      <c r="AL4269" s="3"/>
    </row>
    <row r="4270" spans="12:38" x14ac:dyDescent="0.25">
      <c r="L4270" s="2"/>
      <c r="M4270" s="2"/>
      <c r="N4270" s="2"/>
      <c r="AD4270" s="3"/>
      <c r="AH4270" s="3"/>
      <c r="AL4270" s="3"/>
    </row>
    <row r="4271" spans="12:38" x14ac:dyDescent="0.25">
      <c r="L4271" s="2"/>
      <c r="M4271" s="2"/>
      <c r="N4271" s="2"/>
      <c r="AD4271" s="3"/>
      <c r="AH4271" s="3"/>
      <c r="AL4271" s="3"/>
    </row>
    <row r="4272" spans="12:38" x14ac:dyDescent="0.25">
      <c r="L4272" s="2"/>
      <c r="M4272" s="2"/>
      <c r="N4272" s="2"/>
      <c r="AD4272" s="3"/>
      <c r="AH4272" s="3"/>
      <c r="AL4272" s="3"/>
    </row>
    <row r="4273" spans="12:38" x14ac:dyDescent="0.25">
      <c r="L4273" s="2"/>
      <c r="M4273" s="2"/>
      <c r="N4273" s="2"/>
      <c r="AD4273" s="3"/>
      <c r="AH4273" s="3"/>
      <c r="AL4273" s="3"/>
    </row>
    <row r="4274" spans="12:38" x14ac:dyDescent="0.25">
      <c r="L4274" s="2"/>
      <c r="M4274" s="2"/>
      <c r="N4274" s="2"/>
      <c r="AD4274" s="3"/>
      <c r="AH4274" s="3"/>
      <c r="AL4274" s="3"/>
    </row>
    <row r="4275" spans="12:38" x14ac:dyDescent="0.25">
      <c r="L4275" s="2"/>
      <c r="M4275" s="2"/>
      <c r="N4275" s="2"/>
      <c r="AD4275" s="3"/>
      <c r="AH4275" s="3"/>
      <c r="AL4275" s="3"/>
    </row>
    <row r="4276" spans="12:38" x14ac:dyDescent="0.25">
      <c r="L4276" s="2"/>
      <c r="M4276" s="2"/>
      <c r="N4276" s="2"/>
      <c r="AD4276" s="3"/>
      <c r="AH4276" s="3"/>
      <c r="AL4276" s="3"/>
    </row>
    <row r="4277" spans="12:38" x14ac:dyDescent="0.25">
      <c r="L4277" s="2"/>
      <c r="M4277" s="2"/>
      <c r="N4277" s="2"/>
      <c r="AD4277" s="3"/>
      <c r="AH4277" s="3"/>
      <c r="AL4277" s="3"/>
    </row>
    <row r="4278" spans="12:38" x14ac:dyDescent="0.25">
      <c r="L4278" s="2"/>
      <c r="M4278" s="2"/>
      <c r="N4278" s="2"/>
      <c r="AD4278" s="3"/>
      <c r="AH4278" s="3"/>
      <c r="AL4278" s="3"/>
    </row>
    <row r="4279" spans="12:38" x14ac:dyDescent="0.25">
      <c r="L4279" s="2"/>
      <c r="M4279" s="2"/>
      <c r="N4279" s="2"/>
      <c r="AD4279" s="3"/>
      <c r="AH4279" s="3"/>
      <c r="AL4279" s="3"/>
    </row>
    <row r="4280" spans="12:38" x14ac:dyDescent="0.25">
      <c r="L4280" s="2"/>
      <c r="M4280" s="2"/>
      <c r="N4280" s="2"/>
      <c r="AD4280" s="3"/>
      <c r="AH4280" s="3"/>
      <c r="AL4280" s="3"/>
    </row>
    <row r="4281" spans="12:38" x14ac:dyDescent="0.25">
      <c r="L4281" s="2"/>
      <c r="M4281" s="2"/>
      <c r="N4281" s="2"/>
      <c r="AD4281" s="3"/>
      <c r="AH4281" s="3"/>
      <c r="AL4281" s="3"/>
    </row>
    <row r="4282" spans="12:38" x14ac:dyDescent="0.25">
      <c r="L4282" s="2"/>
      <c r="M4282" s="2"/>
      <c r="N4282" s="2"/>
      <c r="AD4282" s="3"/>
      <c r="AH4282" s="3"/>
      <c r="AL4282" s="3"/>
    </row>
    <row r="4283" spans="12:38" x14ac:dyDescent="0.25">
      <c r="L4283" s="2"/>
      <c r="M4283" s="2"/>
      <c r="N4283" s="2"/>
      <c r="AD4283" s="3"/>
      <c r="AH4283" s="3"/>
      <c r="AL4283" s="3"/>
    </row>
    <row r="4284" spans="12:38" x14ac:dyDescent="0.25">
      <c r="L4284" s="2"/>
      <c r="M4284" s="2"/>
      <c r="N4284" s="2"/>
      <c r="AD4284" s="3"/>
      <c r="AH4284" s="3"/>
      <c r="AL4284" s="3"/>
    </row>
    <row r="4285" spans="12:38" x14ac:dyDescent="0.25">
      <c r="L4285" s="2"/>
      <c r="M4285" s="2"/>
      <c r="N4285" s="2"/>
      <c r="AD4285" s="3"/>
      <c r="AH4285" s="3"/>
      <c r="AL4285" s="3"/>
    </row>
    <row r="4286" spans="12:38" x14ac:dyDescent="0.25">
      <c r="L4286" s="2"/>
      <c r="M4286" s="2"/>
      <c r="N4286" s="2"/>
      <c r="AD4286" s="3"/>
      <c r="AH4286" s="3"/>
      <c r="AL4286" s="3"/>
    </row>
    <row r="4287" spans="12:38" x14ac:dyDescent="0.25">
      <c r="L4287" s="2"/>
      <c r="M4287" s="2"/>
      <c r="N4287" s="2"/>
      <c r="AD4287" s="3"/>
      <c r="AH4287" s="3"/>
      <c r="AL4287" s="3"/>
    </row>
    <row r="4288" spans="12:38" x14ac:dyDescent="0.25">
      <c r="L4288" s="2"/>
      <c r="M4288" s="2"/>
      <c r="N4288" s="2"/>
      <c r="AD4288" s="3"/>
      <c r="AH4288" s="3"/>
      <c r="AL4288" s="3"/>
    </row>
    <row r="4289" spans="12:38" x14ac:dyDescent="0.25">
      <c r="L4289" s="2"/>
      <c r="M4289" s="2"/>
      <c r="N4289" s="2"/>
      <c r="AD4289" s="3"/>
      <c r="AH4289" s="3"/>
      <c r="AL4289" s="3"/>
    </row>
    <row r="4290" spans="12:38" x14ac:dyDescent="0.25">
      <c r="L4290" s="2"/>
      <c r="M4290" s="2"/>
      <c r="N4290" s="2"/>
      <c r="AD4290" s="3"/>
      <c r="AH4290" s="3"/>
      <c r="AL4290" s="3"/>
    </row>
    <row r="4291" spans="12:38" x14ac:dyDescent="0.25">
      <c r="L4291" s="2"/>
      <c r="M4291" s="2"/>
      <c r="N4291" s="2"/>
      <c r="AD4291" s="3"/>
      <c r="AH4291" s="3"/>
      <c r="AL4291" s="3"/>
    </row>
    <row r="4292" spans="12:38" x14ac:dyDescent="0.25">
      <c r="L4292" s="2"/>
      <c r="M4292" s="2"/>
      <c r="N4292" s="2"/>
      <c r="AD4292" s="3"/>
      <c r="AH4292" s="3"/>
      <c r="AL4292" s="3"/>
    </row>
    <row r="4293" spans="12:38" x14ac:dyDescent="0.25">
      <c r="L4293" s="2"/>
      <c r="M4293" s="2"/>
      <c r="N4293" s="2"/>
      <c r="AD4293" s="3"/>
      <c r="AH4293" s="3"/>
      <c r="AL4293" s="3"/>
    </row>
    <row r="4294" spans="12:38" x14ac:dyDescent="0.25">
      <c r="L4294" s="2"/>
      <c r="M4294" s="2"/>
      <c r="N4294" s="2"/>
      <c r="AD4294" s="3"/>
      <c r="AH4294" s="3"/>
      <c r="AL4294" s="3"/>
    </row>
    <row r="4295" spans="12:38" x14ac:dyDescent="0.25">
      <c r="L4295" s="2"/>
      <c r="M4295" s="2"/>
      <c r="N4295" s="2"/>
      <c r="AD4295" s="3"/>
      <c r="AH4295" s="3"/>
      <c r="AL4295" s="3"/>
    </row>
    <row r="4296" spans="12:38" x14ac:dyDescent="0.25">
      <c r="L4296" s="2"/>
      <c r="M4296" s="2"/>
      <c r="N4296" s="2"/>
      <c r="AD4296" s="3"/>
      <c r="AH4296" s="3"/>
      <c r="AL4296" s="3"/>
    </row>
    <row r="4297" spans="12:38" x14ac:dyDescent="0.25">
      <c r="L4297" s="2"/>
      <c r="M4297" s="2"/>
      <c r="N4297" s="2"/>
      <c r="AD4297" s="3"/>
      <c r="AH4297" s="3"/>
      <c r="AL4297" s="3"/>
    </row>
    <row r="4298" spans="12:38" x14ac:dyDescent="0.25">
      <c r="L4298" s="2"/>
      <c r="M4298" s="2"/>
      <c r="N4298" s="2"/>
      <c r="AD4298" s="3"/>
      <c r="AH4298" s="3"/>
      <c r="AL4298" s="3"/>
    </row>
    <row r="4299" spans="12:38" x14ac:dyDescent="0.25">
      <c r="L4299" s="2"/>
      <c r="M4299" s="2"/>
      <c r="N4299" s="2"/>
      <c r="AD4299" s="3"/>
      <c r="AH4299" s="3"/>
      <c r="AL4299" s="3"/>
    </row>
    <row r="4300" spans="12:38" x14ac:dyDescent="0.25">
      <c r="L4300" s="2"/>
      <c r="M4300" s="2"/>
      <c r="N4300" s="2"/>
      <c r="AD4300" s="3"/>
      <c r="AH4300" s="3"/>
      <c r="AL4300" s="3"/>
    </row>
    <row r="4301" spans="12:38" x14ac:dyDescent="0.25">
      <c r="L4301" s="2"/>
      <c r="M4301" s="2"/>
      <c r="N4301" s="2"/>
      <c r="AD4301" s="3"/>
      <c r="AH4301" s="3"/>
      <c r="AL4301" s="3"/>
    </row>
    <row r="4302" spans="12:38" x14ac:dyDescent="0.25">
      <c r="L4302" s="2"/>
      <c r="M4302" s="2"/>
      <c r="N4302" s="2"/>
      <c r="AD4302" s="3"/>
      <c r="AH4302" s="3"/>
      <c r="AL4302" s="3"/>
    </row>
    <row r="4303" spans="12:38" x14ac:dyDescent="0.25">
      <c r="L4303" s="2"/>
      <c r="M4303" s="2"/>
      <c r="N4303" s="2"/>
      <c r="AD4303" s="3"/>
      <c r="AH4303" s="3"/>
      <c r="AL4303" s="3"/>
    </row>
    <row r="4304" spans="12:38" x14ac:dyDescent="0.25">
      <c r="L4304" s="2"/>
      <c r="M4304" s="2"/>
      <c r="N4304" s="2"/>
      <c r="AD4304" s="3"/>
      <c r="AH4304" s="3"/>
      <c r="AL4304" s="3"/>
    </row>
    <row r="4305" spans="12:38" x14ac:dyDescent="0.25">
      <c r="L4305" s="2"/>
      <c r="M4305" s="2"/>
      <c r="N4305" s="2"/>
      <c r="AD4305" s="3"/>
      <c r="AH4305" s="3"/>
      <c r="AL4305" s="3"/>
    </row>
    <row r="4306" spans="12:38" x14ac:dyDescent="0.25">
      <c r="L4306" s="2"/>
      <c r="M4306" s="2"/>
      <c r="N4306" s="2"/>
      <c r="AD4306" s="3"/>
      <c r="AH4306" s="3"/>
      <c r="AL4306" s="3"/>
    </row>
    <row r="4307" spans="12:38" x14ac:dyDescent="0.25">
      <c r="L4307" s="2"/>
      <c r="M4307" s="2"/>
      <c r="N4307" s="2"/>
      <c r="AD4307" s="3"/>
      <c r="AH4307" s="3"/>
      <c r="AL4307" s="3"/>
    </row>
    <row r="4308" spans="12:38" x14ac:dyDescent="0.25">
      <c r="L4308" s="2"/>
      <c r="M4308" s="2"/>
      <c r="N4308" s="2"/>
      <c r="AD4308" s="3"/>
      <c r="AH4308" s="3"/>
      <c r="AL4308" s="3"/>
    </row>
    <row r="4309" spans="12:38" x14ac:dyDescent="0.25">
      <c r="L4309" s="2"/>
      <c r="M4309" s="2"/>
      <c r="N4309" s="2"/>
      <c r="AD4309" s="3"/>
      <c r="AH4309" s="3"/>
      <c r="AL4309" s="3"/>
    </row>
    <row r="4310" spans="12:38" x14ac:dyDescent="0.25">
      <c r="L4310" s="2"/>
      <c r="M4310" s="2"/>
      <c r="N4310" s="2"/>
      <c r="AD4310" s="3"/>
      <c r="AH4310" s="3"/>
      <c r="AL4310" s="3"/>
    </row>
    <row r="4311" spans="12:38" x14ac:dyDescent="0.25">
      <c r="L4311" s="2"/>
      <c r="M4311" s="2"/>
      <c r="N4311" s="2"/>
      <c r="AD4311" s="3"/>
      <c r="AH4311" s="3"/>
      <c r="AL4311" s="3"/>
    </row>
    <row r="4312" spans="12:38" x14ac:dyDescent="0.25">
      <c r="L4312" s="2"/>
      <c r="M4312" s="2"/>
      <c r="N4312" s="2"/>
      <c r="AD4312" s="3"/>
      <c r="AH4312" s="3"/>
      <c r="AL4312" s="3"/>
    </row>
    <row r="4313" spans="12:38" x14ac:dyDescent="0.25">
      <c r="L4313" s="2"/>
      <c r="M4313" s="2"/>
      <c r="N4313" s="2"/>
      <c r="AD4313" s="3"/>
      <c r="AH4313" s="3"/>
      <c r="AL4313" s="3"/>
    </row>
    <row r="4314" spans="12:38" x14ac:dyDescent="0.25">
      <c r="L4314" s="2"/>
      <c r="M4314" s="2"/>
      <c r="N4314" s="2"/>
      <c r="AD4314" s="3"/>
      <c r="AH4314" s="3"/>
      <c r="AL4314" s="3"/>
    </row>
    <row r="4315" spans="12:38" x14ac:dyDescent="0.25">
      <c r="L4315" s="2"/>
      <c r="M4315" s="2"/>
      <c r="N4315" s="2"/>
      <c r="AD4315" s="3"/>
      <c r="AH4315" s="3"/>
      <c r="AL4315" s="3"/>
    </row>
    <row r="4316" spans="12:38" x14ac:dyDescent="0.25">
      <c r="L4316" s="2"/>
      <c r="M4316" s="2"/>
      <c r="N4316" s="2"/>
      <c r="AD4316" s="3"/>
      <c r="AH4316" s="3"/>
      <c r="AL4316" s="3"/>
    </row>
    <row r="4317" spans="12:38" x14ac:dyDescent="0.25">
      <c r="L4317" s="2"/>
      <c r="M4317" s="2"/>
      <c r="N4317" s="2"/>
      <c r="AD4317" s="3"/>
      <c r="AH4317" s="3"/>
      <c r="AL4317" s="3"/>
    </row>
    <row r="4318" spans="12:38" x14ac:dyDescent="0.25">
      <c r="L4318" s="2"/>
      <c r="M4318" s="2"/>
      <c r="N4318" s="2"/>
      <c r="AD4318" s="3"/>
      <c r="AH4318" s="3"/>
      <c r="AL4318" s="3"/>
    </row>
    <row r="4319" spans="12:38" x14ac:dyDescent="0.25">
      <c r="L4319" s="2"/>
      <c r="M4319" s="2"/>
      <c r="N4319" s="2"/>
      <c r="AD4319" s="3"/>
      <c r="AH4319" s="3"/>
      <c r="AL4319" s="3"/>
    </row>
    <row r="4320" spans="12:38" x14ac:dyDescent="0.25">
      <c r="L4320" s="2"/>
      <c r="M4320" s="2"/>
      <c r="N4320" s="2"/>
      <c r="AD4320" s="3"/>
      <c r="AH4320" s="3"/>
      <c r="AL4320" s="3"/>
    </row>
    <row r="4321" spans="12:38" x14ac:dyDescent="0.25">
      <c r="L4321" s="2"/>
      <c r="M4321" s="2"/>
      <c r="N4321" s="2"/>
      <c r="AD4321" s="3"/>
      <c r="AH4321" s="3"/>
      <c r="AL4321" s="3"/>
    </row>
    <row r="4322" spans="12:38" x14ac:dyDescent="0.25">
      <c r="L4322" s="2"/>
      <c r="M4322" s="2"/>
      <c r="N4322" s="2"/>
      <c r="AD4322" s="3"/>
      <c r="AH4322" s="3"/>
      <c r="AL4322" s="3"/>
    </row>
    <row r="4323" spans="12:38" x14ac:dyDescent="0.25">
      <c r="L4323" s="2"/>
      <c r="M4323" s="2"/>
      <c r="N4323" s="2"/>
      <c r="AD4323" s="3"/>
      <c r="AH4323" s="3"/>
      <c r="AL4323" s="3"/>
    </row>
    <row r="4324" spans="12:38" x14ac:dyDescent="0.25">
      <c r="L4324" s="2"/>
      <c r="M4324" s="2"/>
      <c r="N4324" s="2"/>
      <c r="AD4324" s="3"/>
      <c r="AH4324" s="3"/>
      <c r="AL4324" s="3"/>
    </row>
    <row r="4325" spans="12:38" x14ac:dyDescent="0.25">
      <c r="L4325" s="2"/>
      <c r="M4325" s="2"/>
      <c r="N4325" s="2"/>
      <c r="AD4325" s="3"/>
      <c r="AH4325" s="3"/>
      <c r="AL4325" s="3"/>
    </row>
    <row r="4326" spans="12:38" x14ac:dyDescent="0.25">
      <c r="L4326" s="2"/>
      <c r="M4326" s="2"/>
      <c r="N4326" s="2"/>
      <c r="AD4326" s="3"/>
      <c r="AH4326" s="3"/>
      <c r="AL4326" s="3"/>
    </row>
    <row r="4327" spans="12:38" x14ac:dyDescent="0.25">
      <c r="L4327" s="2"/>
      <c r="M4327" s="2"/>
      <c r="N4327" s="2"/>
      <c r="AD4327" s="3"/>
      <c r="AH4327" s="3"/>
      <c r="AL4327" s="3"/>
    </row>
    <row r="4328" spans="12:38" x14ac:dyDescent="0.25">
      <c r="L4328" s="2"/>
      <c r="M4328" s="2"/>
      <c r="N4328" s="2"/>
      <c r="AD4328" s="3"/>
      <c r="AH4328" s="3"/>
      <c r="AL4328" s="3"/>
    </row>
    <row r="4329" spans="12:38" x14ac:dyDescent="0.25">
      <c r="L4329" s="2"/>
      <c r="M4329" s="2"/>
      <c r="N4329" s="2"/>
      <c r="AD4329" s="3"/>
      <c r="AH4329" s="3"/>
      <c r="AL4329" s="3"/>
    </row>
    <row r="4330" spans="12:38" x14ac:dyDescent="0.25">
      <c r="L4330" s="2"/>
      <c r="M4330" s="2"/>
      <c r="N4330" s="2"/>
      <c r="AD4330" s="3"/>
      <c r="AH4330" s="3"/>
      <c r="AL4330" s="3"/>
    </row>
    <row r="4331" spans="12:38" x14ac:dyDescent="0.25">
      <c r="L4331" s="2"/>
      <c r="M4331" s="2"/>
      <c r="N4331" s="2"/>
      <c r="AD4331" s="3"/>
      <c r="AH4331" s="3"/>
      <c r="AL4331" s="3"/>
    </row>
    <row r="4332" spans="12:38" x14ac:dyDescent="0.25">
      <c r="L4332" s="2"/>
      <c r="M4332" s="2"/>
      <c r="N4332" s="2"/>
      <c r="AD4332" s="3"/>
      <c r="AH4332" s="3"/>
      <c r="AL4332" s="3"/>
    </row>
    <row r="4333" spans="12:38" x14ac:dyDescent="0.25">
      <c r="L4333" s="2"/>
      <c r="M4333" s="2"/>
      <c r="N4333" s="2"/>
      <c r="AD4333" s="3"/>
      <c r="AH4333" s="3"/>
      <c r="AL4333" s="3"/>
    </row>
    <row r="4334" spans="12:38" x14ac:dyDescent="0.25">
      <c r="L4334" s="2"/>
      <c r="M4334" s="2"/>
      <c r="N4334" s="2"/>
      <c r="AD4334" s="3"/>
      <c r="AH4334" s="3"/>
      <c r="AL4334" s="3"/>
    </row>
    <row r="4335" spans="12:38" x14ac:dyDescent="0.25">
      <c r="L4335" s="2"/>
      <c r="M4335" s="2"/>
      <c r="N4335" s="2"/>
      <c r="AD4335" s="3"/>
      <c r="AH4335" s="3"/>
      <c r="AL4335" s="3"/>
    </row>
    <row r="4336" spans="12:38" x14ac:dyDescent="0.25">
      <c r="L4336" s="2"/>
      <c r="M4336" s="2"/>
      <c r="N4336" s="2"/>
      <c r="AD4336" s="3"/>
      <c r="AH4336" s="3"/>
      <c r="AL4336" s="3"/>
    </row>
    <row r="4337" spans="12:38" x14ac:dyDescent="0.25">
      <c r="L4337" s="2"/>
      <c r="M4337" s="2"/>
      <c r="N4337" s="2"/>
      <c r="AD4337" s="3"/>
      <c r="AH4337" s="3"/>
      <c r="AL4337" s="3"/>
    </row>
    <row r="4338" spans="12:38" x14ac:dyDescent="0.25">
      <c r="L4338" s="2"/>
      <c r="M4338" s="2"/>
      <c r="N4338" s="2"/>
      <c r="AD4338" s="3"/>
      <c r="AH4338" s="3"/>
      <c r="AL4338" s="3"/>
    </row>
    <row r="4339" spans="12:38" x14ac:dyDescent="0.25">
      <c r="L4339" s="2"/>
      <c r="M4339" s="2"/>
      <c r="N4339" s="2"/>
      <c r="AD4339" s="3"/>
      <c r="AH4339" s="3"/>
      <c r="AL4339" s="3"/>
    </row>
    <row r="4340" spans="12:38" x14ac:dyDescent="0.25">
      <c r="L4340" s="2"/>
      <c r="M4340" s="2"/>
      <c r="N4340" s="2"/>
      <c r="AD4340" s="3"/>
      <c r="AH4340" s="3"/>
      <c r="AL4340" s="3"/>
    </row>
    <row r="4341" spans="12:38" x14ac:dyDescent="0.25">
      <c r="L4341" s="2"/>
      <c r="M4341" s="2"/>
      <c r="N4341" s="2"/>
      <c r="AD4341" s="3"/>
      <c r="AH4341" s="3"/>
      <c r="AL4341" s="3"/>
    </row>
    <row r="4342" spans="12:38" x14ac:dyDescent="0.25">
      <c r="L4342" s="2"/>
      <c r="M4342" s="2"/>
      <c r="N4342" s="2"/>
      <c r="AD4342" s="3"/>
      <c r="AH4342" s="3"/>
      <c r="AL4342" s="3"/>
    </row>
    <row r="4343" spans="12:38" x14ac:dyDescent="0.25">
      <c r="L4343" s="2"/>
      <c r="M4343" s="2"/>
      <c r="N4343" s="2"/>
      <c r="AD4343" s="3"/>
      <c r="AH4343" s="3"/>
      <c r="AL4343" s="3"/>
    </row>
    <row r="4344" spans="12:38" x14ac:dyDescent="0.25">
      <c r="L4344" s="2"/>
      <c r="M4344" s="2"/>
      <c r="N4344" s="2"/>
      <c r="AD4344" s="3"/>
      <c r="AH4344" s="3"/>
      <c r="AL4344" s="3"/>
    </row>
    <row r="4345" spans="12:38" x14ac:dyDescent="0.25">
      <c r="L4345" s="2"/>
      <c r="M4345" s="2"/>
      <c r="N4345" s="2"/>
      <c r="AD4345" s="3"/>
      <c r="AH4345" s="3"/>
      <c r="AL4345" s="3"/>
    </row>
    <row r="4346" spans="12:38" x14ac:dyDescent="0.25">
      <c r="L4346" s="2"/>
      <c r="M4346" s="2"/>
      <c r="N4346" s="2"/>
      <c r="AD4346" s="3"/>
      <c r="AH4346" s="3"/>
      <c r="AL4346" s="3"/>
    </row>
    <row r="4347" spans="12:38" x14ac:dyDescent="0.25">
      <c r="L4347" s="2"/>
      <c r="M4347" s="2"/>
      <c r="N4347" s="2"/>
      <c r="AD4347" s="3"/>
      <c r="AH4347" s="3"/>
      <c r="AL4347" s="3"/>
    </row>
    <row r="4348" spans="12:38" x14ac:dyDescent="0.25">
      <c r="L4348" s="2"/>
      <c r="M4348" s="2"/>
      <c r="N4348" s="2"/>
      <c r="AD4348" s="3"/>
      <c r="AH4348" s="3"/>
      <c r="AL4348" s="3"/>
    </row>
    <row r="4349" spans="12:38" x14ac:dyDescent="0.25">
      <c r="L4349" s="2"/>
      <c r="M4349" s="2"/>
      <c r="N4349" s="2"/>
      <c r="AD4349" s="3"/>
      <c r="AH4349" s="3"/>
      <c r="AL4349" s="3"/>
    </row>
    <row r="4350" spans="12:38" x14ac:dyDescent="0.25">
      <c r="L4350" s="2"/>
      <c r="M4350" s="2"/>
      <c r="N4350" s="2"/>
      <c r="AD4350" s="3"/>
      <c r="AH4350" s="3"/>
      <c r="AL4350" s="3"/>
    </row>
    <row r="4351" spans="12:38" x14ac:dyDescent="0.25">
      <c r="L4351" s="2"/>
      <c r="M4351" s="2"/>
      <c r="N4351" s="2"/>
      <c r="AD4351" s="3"/>
      <c r="AH4351" s="3"/>
      <c r="AL4351" s="3"/>
    </row>
    <row r="4352" spans="12:38" x14ac:dyDescent="0.25">
      <c r="L4352" s="2"/>
      <c r="M4352" s="2"/>
      <c r="N4352" s="2"/>
      <c r="AD4352" s="3"/>
      <c r="AH4352" s="3"/>
      <c r="AL4352" s="3"/>
    </row>
    <row r="4353" spans="12:38" x14ac:dyDescent="0.25">
      <c r="L4353" s="2"/>
      <c r="M4353" s="2"/>
      <c r="N4353" s="2"/>
      <c r="AD4353" s="3"/>
      <c r="AH4353" s="3"/>
      <c r="AL4353" s="3"/>
    </row>
    <row r="4354" spans="12:38" x14ac:dyDescent="0.25">
      <c r="L4354" s="2"/>
      <c r="M4354" s="2"/>
      <c r="N4354" s="2"/>
      <c r="AD4354" s="3"/>
      <c r="AH4354" s="3"/>
      <c r="AL4354" s="3"/>
    </row>
    <row r="4355" spans="12:38" x14ac:dyDescent="0.25">
      <c r="L4355" s="2"/>
      <c r="M4355" s="2"/>
      <c r="N4355" s="2"/>
      <c r="AD4355" s="3"/>
      <c r="AH4355" s="3"/>
      <c r="AL4355" s="3"/>
    </row>
    <row r="4356" spans="12:38" x14ac:dyDescent="0.25">
      <c r="L4356" s="2"/>
      <c r="M4356" s="2"/>
      <c r="N4356" s="2"/>
      <c r="AD4356" s="3"/>
      <c r="AH4356" s="3"/>
      <c r="AL4356" s="3"/>
    </row>
    <row r="4357" spans="12:38" x14ac:dyDescent="0.25">
      <c r="L4357" s="2"/>
      <c r="M4357" s="2"/>
      <c r="N4357" s="2"/>
      <c r="AD4357" s="3"/>
      <c r="AH4357" s="3"/>
      <c r="AL4357" s="3"/>
    </row>
    <row r="4358" spans="12:38" x14ac:dyDescent="0.25">
      <c r="L4358" s="2"/>
      <c r="M4358" s="2"/>
      <c r="N4358" s="2"/>
      <c r="AD4358" s="3"/>
      <c r="AH4358" s="3"/>
      <c r="AL4358" s="3"/>
    </row>
    <row r="4359" spans="12:38" x14ac:dyDescent="0.25">
      <c r="L4359" s="2"/>
      <c r="M4359" s="2"/>
      <c r="N4359" s="2"/>
      <c r="AD4359" s="3"/>
      <c r="AH4359" s="3"/>
      <c r="AL4359" s="3"/>
    </row>
    <row r="4360" spans="12:38" x14ac:dyDescent="0.25">
      <c r="L4360" s="2"/>
      <c r="M4360" s="2"/>
      <c r="N4360" s="2"/>
      <c r="AD4360" s="3"/>
      <c r="AH4360" s="3"/>
      <c r="AL4360" s="3"/>
    </row>
    <row r="4361" spans="12:38" x14ac:dyDescent="0.25">
      <c r="L4361" s="2"/>
      <c r="M4361" s="2"/>
      <c r="N4361" s="2"/>
      <c r="AD4361" s="3"/>
      <c r="AH4361" s="3"/>
      <c r="AL4361" s="3"/>
    </row>
    <row r="4362" spans="12:38" x14ac:dyDescent="0.25">
      <c r="L4362" s="2"/>
      <c r="M4362" s="2"/>
      <c r="N4362" s="2"/>
      <c r="AD4362" s="3"/>
      <c r="AH4362" s="3"/>
      <c r="AL4362" s="3"/>
    </row>
    <row r="4363" spans="12:38" x14ac:dyDescent="0.25">
      <c r="L4363" s="2"/>
      <c r="M4363" s="2"/>
      <c r="N4363" s="2"/>
      <c r="AD4363" s="3"/>
      <c r="AH4363" s="3"/>
      <c r="AL4363" s="3"/>
    </row>
    <row r="4364" spans="12:38" x14ac:dyDescent="0.25">
      <c r="L4364" s="2"/>
      <c r="M4364" s="2"/>
      <c r="N4364" s="2"/>
      <c r="AD4364" s="3"/>
      <c r="AH4364" s="3"/>
      <c r="AL4364" s="3"/>
    </row>
    <row r="4365" spans="12:38" x14ac:dyDescent="0.25">
      <c r="L4365" s="2"/>
      <c r="M4365" s="2"/>
      <c r="N4365" s="2"/>
      <c r="AD4365" s="3"/>
      <c r="AH4365" s="3"/>
      <c r="AL4365" s="3"/>
    </row>
    <row r="4366" spans="12:38" x14ac:dyDescent="0.25">
      <c r="L4366" s="2"/>
      <c r="M4366" s="2"/>
      <c r="N4366" s="2"/>
      <c r="AD4366" s="3"/>
      <c r="AH4366" s="3"/>
      <c r="AL4366" s="3"/>
    </row>
    <row r="4367" spans="12:38" x14ac:dyDescent="0.25">
      <c r="L4367" s="2"/>
      <c r="M4367" s="2"/>
      <c r="N4367" s="2"/>
      <c r="AD4367" s="3"/>
      <c r="AH4367" s="3"/>
      <c r="AL4367" s="3"/>
    </row>
    <row r="4368" spans="12:38" x14ac:dyDescent="0.25">
      <c r="L4368" s="2"/>
      <c r="M4368" s="2"/>
      <c r="N4368" s="2"/>
      <c r="AD4368" s="3"/>
      <c r="AH4368" s="3"/>
      <c r="AL4368" s="3"/>
    </row>
    <row r="4369" spans="12:38" x14ac:dyDescent="0.25">
      <c r="L4369" s="2"/>
      <c r="M4369" s="2"/>
      <c r="N4369" s="2"/>
      <c r="AD4369" s="3"/>
      <c r="AH4369" s="3"/>
      <c r="AL4369" s="3"/>
    </row>
    <row r="4370" spans="12:38" x14ac:dyDescent="0.25">
      <c r="L4370" s="2"/>
      <c r="M4370" s="2"/>
      <c r="N4370" s="2"/>
      <c r="AD4370" s="3"/>
      <c r="AH4370" s="3"/>
      <c r="AL4370" s="3"/>
    </row>
    <row r="4371" spans="12:38" x14ac:dyDescent="0.25">
      <c r="L4371" s="2"/>
      <c r="M4371" s="2"/>
      <c r="N4371" s="2"/>
      <c r="AD4371" s="3"/>
      <c r="AH4371" s="3"/>
      <c r="AL4371" s="3"/>
    </row>
    <row r="4372" spans="12:38" x14ac:dyDescent="0.25">
      <c r="L4372" s="2"/>
      <c r="M4372" s="2"/>
      <c r="N4372" s="2"/>
      <c r="AD4372" s="3"/>
      <c r="AH4372" s="3"/>
      <c r="AL4372" s="3"/>
    </row>
    <row r="4373" spans="12:38" x14ac:dyDescent="0.25">
      <c r="L4373" s="2"/>
      <c r="M4373" s="2"/>
      <c r="N4373" s="2"/>
      <c r="AD4373" s="3"/>
      <c r="AH4373" s="3"/>
      <c r="AL4373" s="3"/>
    </row>
    <row r="4374" spans="12:38" x14ac:dyDescent="0.25">
      <c r="L4374" s="2"/>
      <c r="M4374" s="2"/>
      <c r="N4374" s="2"/>
      <c r="AD4374" s="3"/>
      <c r="AH4374" s="3"/>
      <c r="AL4374" s="3"/>
    </row>
    <row r="4375" spans="12:38" x14ac:dyDescent="0.25">
      <c r="L4375" s="2"/>
      <c r="M4375" s="2"/>
      <c r="N4375" s="2"/>
      <c r="AD4375" s="3"/>
      <c r="AH4375" s="3"/>
      <c r="AL4375" s="3"/>
    </row>
    <row r="4376" spans="12:38" x14ac:dyDescent="0.25">
      <c r="L4376" s="2"/>
      <c r="M4376" s="2"/>
      <c r="N4376" s="2"/>
      <c r="AD4376" s="3"/>
      <c r="AH4376" s="3"/>
      <c r="AL4376" s="3"/>
    </row>
    <row r="4377" spans="12:38" x14ac:dyDescent="0.25">
      <c r="L4377" s="2"/>
      <c r="M4377" s="2"/>
      <c r="N4377" s="2"/>
      <c r="AD4377" s="3"/>
      <c r="AH4377" s="3"/>
      <c r="AL4377" s="3"/>
    </row>
    <row r="4378" spans="12:38" x14ac:dyDescent="0.25">
      <c r="L4378" s="2"/>
      <c r="M4378" s="2"/>
      <c r="N4378" s="2"/>
      <c r="AD4378" s="3"/>
      <c r="AH4378" s="3"/>
      <c r="AL4378" s="3"/>
    </row>
    <row r="4379" spans="12:38" x14ac:dyDescent="0.25">
      <c r="L4379" s="2"/>
      <c r="M4379" s="2"/>
      <c r="N4379" s="2"/>
      <c r="AD4379" s="3"/>
      <c r="AH4379" s="3"/>
      <c r="AL4379" s="3"/>
    </row>
    <row r="4380" spans="12:38" x14ac:dyDescent="0.25">
      <c r="L4380" s="2"/>
      <c r="M4380" s="2"/>
      <c r="N4380" s="2"/>
      <c r="AD4380" s="3"/>
      <c r="AH4380" s="3"/>
      <c r="AL4380" s="3"/>
    </row>
    <row r="4381" spans="12:38" x14ac:dyDescent="0.25">
      <c r="L4381" s="2"/>
      <c r="M4381" s="2"/>
      <c r="N4381" s="2"/>
      <c r="AD4381" s="3"/>
      <c r="AH4381" s="3"/>
      <c r="AL4381" s="3"/>
    </row>
    <row r="4382" spans="12:38" x14ac:dyDescent="0.25">
      <c r="L4382" s="2"/>
      <c r="M4382" s="2"/>
      <c r="N4382" s="2"/>
      <c r="AD4382" s="3"/>
      <c r="AH4382" s="3"/>
      <c r="AL4382" s="3"/>
    </row>
    <row r="4383" spans="12:38" x14ac:dyDescent="0.25">
      <c r="L4383" s="2"/>
      <c r="M4383" s="2"/>
      <c r="N4383" s="2"/>
      <c r="AD4383" s="3"/>
      <c r="AH4383" s="3"/>
      <c r="AL4383" s="3"/>
    </row>
    <row r="4384" spans="12:38" x14ac:dyDescent="0.25">
      <c r="L4384" s="2"/>
      <c r="M4384" s="2"/>
      <c r="N4384" s="2"/>
      <c r="AD4384" s="3"/>
      <c r="AH4384" s="3"/>
      <c r="AL4384" s="3"/>
    </row>
    <row r="4385" spans="12:38" x14ac:dyDescent="0.25">
      <c r="L4385" s="2"/>
      <c r="M4385" s="2"/>
      <c r="N4385" s="2"/>
      <c r="AD4385" s="3"/>
      <c r="AH4385" s="3"/>
      <c r="AL4385" s="3"/>
    </row>
    <row r="4386" spans="12:38" x14ac:dyDescent="0.25">
      <c r="L4386" s="2"/>
      <c r="M4386" s="2"/>
      <c r="N4386" s="2"/>
      <c r="AD4386" s="3"/>
      <c r="AH4386" s="3"/>
      <c r="AL4386" s="3"/>
    </row>
    <row r="4387" spans="12:38" x14ac:dyDescent="0.25">
      <c r="L4387" s="2"/>
      <c r="M4387" s="2"/>
      <c r="N4387" s="2"/>
      <c r="AD4387" s="3"/>
      <c r="AH4387" s="3"/>
      <c r="AL4387" s="3"/>
    </row>
    <row r="4388" spans="12:38" x14ac:dyDescent="0.25">
      <c r="L4388" s="2"/>
      <c r="M4388" s="2"/>
      <c r="N4388" s="2"/>
      <c r="AD4388" s="3"/>
      <c r="AH4388" s="3"/>
      <c r="AL4388" s="3"/>
    </row>
    <row r="4389" spans="12:38" x14ac:dyDescent="0.25">
      <c r="L4389" s="2"/>
      <c r="M4389" s="2"/>
      <c r="N4389" s="2"/>
      <c r="AD4389" s="3"/>
      <c r="AH4389" s="3"/>
      <c r="AL4389" s="3"/>
    </row>
    <row r="4390" spans="12:38" x14ac:dyDescent="0.25">
      <c r="L4390" s="2"/>
      <c r="M4390" s="2"/>
      <c r="N4390" s="2"/>
      <c r="AD4390" s="3"/>
      <c r="AH4390" s="3"/>
      <c r="AL4390" s="3"/>
    </row>
    <row r="4391" spans="12:38" x14ac:dyDescent="0.25">
      <c r="L4391" s="2"/>
      <c r="M4391" s="2"/>
      <c r="N4391" s="2"/>
      <c r="AD4391" s="3"/>
      <c r="AH4391" s="3"/>
      <c r="AL4391" s="3"/>
    </row>
    <row r="4392" spans="12:38" x14ac:dyDescent="0.25">
      <c r="L4392" s="2"/>
      <c r="M4392" s="2"/>
      <c r="N4392" s="2"/>
      <c r="AD4392" s="3"/>
      <c r="AH4392" s="3"/>
      <c r="AL4392" s="3"/>
    </row>
    <row r="4393" spans="12:38" x14ac:dyDescent="0.25">
      <c r="L4393" s="2"/>
      <c r="M4393" s="2"/>
      <c r="N4393" s="2"/>
      <c r="AD4393" s="3"/>
      <c r="AH4393" s="3"/>
      <c r="AL4393" s="3"/>
    </row>
    <row r="4394" spans="12:38" x14ac:dyDescent="0.25">
      <c r="L4394" s="2"/>
      <c r="M4394" s="2"/>
      <c r="N4394" s="2"/>
      <c r="AD4394" s="3"/>
      <c r="AH4394" s="3"/>
      <c r="AL4394" s="3"/>
    </row>
    <row r="4395" spans="12:38" x14ac:dyDescent="0.25">
      <c r="L4395" s="2"/>
      <c r="M4395" s="2"/>
      <c r="N4395" s="2"/>
      <c r="AD4395" s="3"/>
      <c r="AH4395" s="3"/>
      <c r="AL4395" s="3"/>
    </row>
    <row r="4396" spans="12:38" x14ac:dyDescent="0.25">
      <c r="L4396" s="2"/>
      <c r="M4396" s="2"/>
      <c r="N4396" s="2"/>
      <c r="AD4396" s="3"/>
      <c r="AH4396" s="3"/>
      <c r="AL4396" s="3"/>
    </row>
    <row r="4397" spans="12:38" x14ac:dyDescent="0.25">
      <c r="L4397" s="2"/>
      <c r="M4397" s="2"/>
      <c r="N4397" s="2"/>
      <c r="AD4397" s="3"/>
      <c r="AH4397" s="3"/>
      <c r="AL4397" s="3"/>
    </row>
    <row r="4398" spans="12:38" x14ac:dyDescent="0.25">
      <c r="L4398" s="2"/>
      <c r="M4398" s="2"/>
      <c r="N4398" s="2"/>
      <c r="AD4398" s="3"/>
      <c r="AH4398" s="3"/>
      <c r="AL4398" s="3"/>
    </row>
    <row r="4399" spans="12:38" x14ac:dyDescent="0.25">
      <c r="L4399" s="2"/>
      <c r="M4399" s="2"/>
      <c r="N4399" s="2"/>
      <c r="AD4399" s="3"/>
      <c r="AH4399" s="3"/>
      <c r="AL4399" s="3"/>
    </row>
    <row r="4400" spans="12:38" x14ac:dyDescent="0.25">
      <c r="L4400" s="2"/>
      <c r="M4400" s="2"/>
      <c r="N4400" s="2"/>
      <c r="AD4400" s="3"/>
      <c r="AH4400" s="3"/>
      <c r="AL4400" s="3"/>
    </row>
    <row r="4401" spans="12:38" x14ac:dyDescent="0.25">
      <c r="L4401" s="2"/>
      <c r="M4401" s="2"/>
      <c r="N4401" s="2"/>
      <c r="AD4401" s="3"/>
      <c r="AH4401" s="3"/>
      <c r="AL4401" s="3"/>
    </row>
    <row r="4402" spans="12:38" x14ac:dyDescent="0.25">
      <c r="L4402" s="2"/>
      <c r="M4402" s="2"/>
      <c r="N4402" s="2"/>
      <c r="AD4402" s="3"/>
      <c r="AH4402" s="3"/>
      <c r="AL4402" s="3"/>
    </row>
    <row r="4403" spans="12:38" x14ac:dyDescent="0.25">
      <c r="L4403" s="2"/>
      <c r="M4403" s="2"/>
      <c r="N4403" s="2"/>
      <c r="AD4403" s="3"/>
      <c r="AH4403" s="3"/>
      <c r="AL4403" s="3"/>
    </row>
    <row r="4404" spans="12:38" x14ac:dyDescent="0.25">
      <c r="L4404" s="2"/>
      <c r="M4404" s="2"/>
      <c r="N4404" s="2"/>
      <c r="AD4404" s="3"/>
      <c r="AH4404" s="3"/>
      <c r="AL4404" s="3"/>
    </row>
    <row r="4405" spans="12:38" x14ac:dyDescent="0.25">
      <c r="L4405" s="2"/>
      <c r="M4405" s="2"/>
      <c r="N4405" s="2"/>
      <c r="AD4405" s="3"/>
      <c r="AH4405" s="3"/>
      <c r="AL4405" s="3"/>
    </row>
    <row r="4406" spans="12:38" x14ac:dyDescent="0.25">
      <c r="L4406" s="2"/>
      <c r="M4406" s="2"/>
      <c r="N4406" s="2"/>
      <c r="AD4406" s="3"/>
      <c r="AH4406" s="3"/>
      <c r="AL4406" s="3"/>
    </row>
    <row r="4407" spans="12:38" x14ac:dyDescent="0.25">
      <c r="L4407" s="2"/>
      <c r="M4407" s="2"/>
      <c r="N4407" s="2"/>
      <c r="AD4407" s="3"/>
      <c r="AH4407" s="3"/>
      <c r="AL4407" s="3"/>
    </row>
    <row r="4408" spans="12:38" x14ac:dyDescent="0.25">
      <c r="L4408" s="2"/>
      <c r="M4408" s="2"/>
      <c r="N4408" s="2"/>
      <c r="AD4408" s="3"/>
      <c r="AH4408" s="3"/>
      <c r="AL4408" s="3"/>
    </row>
    <row r="4409" spans="12:38" x14ac:dyDescent="0.25">
      <c r="L4409" s="2"/>
      <c r="M4409" s="2"/>
      <c r="N4409" s="2"/>
      <c r="AD4409" s="3"/>
      <c r="AH4409" s="3"/>
      <c r="AL4409" s="3"/>
    </row>
    <row r="4410" spans="12:38" x14ac:dyDescent="0.25">
      <c r="L4410" s="2"/>
      <c r="M4410" s="2"/>
      <c r="N4410" s="2"/>
      <c r="AD4410" s="3"/>
      <c r="AH4410" s="3"/>
      <c r="AL4410" s="3"/>
    </row>
    <row r="4411" spans="12:38" x14ac:dyDescent="0.25">
      <c r="L4411" s="2"/>
      <c r="M4411" s="2"/>
      <c r="N4411" s="2"/>
      <c r="AD4411" s="3"/>
      <c r="AH4411" s="3"/>
      <c r="AL4411" s="3"/>
    </row>
    <row r="4412" spans="12:38" x14ac:dyDescent="0.25">
      <c r="L4412" s="2"/>
      <c r="M4412" s="2"/>
      <c r="N4412" s="2"/>
      <c r="AD4412" s="3"/>
      <c r="AH4412" s="3"/>
      <c r="AL4412" s="3"/>
    </row>
    <row r="4413" spans="12:38" x14ac:dyDescent="0.25">
      <c r="L4413" s="2"/>
      <c r="M4413" s="2"/>
      <c r="N4413" s="2"/>
      <c r="AD4413" s="3"/>
      <c r="AH4413" s="3"/>
      <c r="AL4413" s="3"/>
    </row>
    <row r="4414" spans="12:38" x14ac:dyDescent="0.25">
      <c r="L4414" s="2"/>
      <c r="M4414" s="2"/>
      <c r="N4414" s="2"/>
      <c r="AD4414" s="3"/>
      <c r="AH4414" s="3"/>
      <c r="AL4414" s="3"/>
    </row>
    <row r="4415" spans="12:38" x14ac:dyDescent="0.25">
      <c r="L4415" s="2"/>
      <c r="M4415" s="2"/>
      <c r="N4415" s="2"/>
      <c r="AD4415" s="3"/>
      <c r="AH4415" s="3"/>
      <c r="AL4415" s="3"/>
    </row>
    <row r="4416" spans="12:38" x14ac:dyDescent="0.25">
      <c r="L4416" s="2"/>
      <c r="M4416" s="2"/>
      <c r="N4416" s="2"/>
      <c r="AD4416" s="3"/>
      <c r="AH4416" s="3"/>
      <c r="AL4416" s="3"/>
    </row>
    <row r="4417" spans="12:38" x14ac:dyDescent="0.25">
      <c r="L4417" s="2"/>
      <c r="M4417" s="2"/>
      <c r="N4417" s="2"/>
      <c r="AD4417" s="3"/>
      <c r="AH4417" s="3"/>
      <c r="AL4417" s="3"/>
    </row>
    <row r="4418" spans="12:38" x14ac:dyDescent="0.25">
      <c r="L4418" s="2"/>
      <c r="M4418" s="2"/>
      <c r="N4418" s="2"/>
      <c r="AD4418" s="3"/>
      <c r="AH4418" s="3"/>
      <c r="AL4418" s="3"/>
    </row>
    <row r="4419" spans="12:38" x14ac:dyDescent="0.25">
      <c r="L4419" s="2"/>
      <c r="M4419" s="2"/>
      <c r="N4419" s="2"/>
      <c r="AD4419" s="3"/>
      <c r="AH4419" s="3"/>
      <c r="AL4419" s="3"/>
    </row>
    <row r="4420" spans="12:38" x14ac:dyDescent="0.25">
      <c r="L4420" s="2"/>
      <c r="M4420" s="2"/>
      <c r="N4420" s="2"/>
      <c r="AD4420" s="3"/>
      <c r="AH4420" s="3"/>
      <c r="AL4420" s="3"/>
    </row>
    <row r="4421" spans="12:38" x14ac:dyDescent="0.25">
      <c r="L4421" s="2"/>
      <c r="M4421" s="2"/>
      <c r="N4421" s="2"/>
      <c r="AD4421" s="3"/>
      <c r="AH4421" s="3"/>
      <c r="AL4421" s="3"/>
    </row>
    <row r="4422" spans="12:38" x14ac:dyDescent="0.25">
      <c r="L4422" s="2"/>
      <c r="M4422" s="2"/>
      <c r="N4422" s="2"/>
      <c r="AD4422" s="3"/>
      <c r="AH4422" s="3"/>
      <c r="AL4422" s="3"/>
    </row>
    <row r="4423" spans="12:38" x14ac:dyDescent="0.25">
      <c r="L4423" s="2"/>
      <c r="M4423" s="2"/>
      <c r="N4423" s="2"/>
      <c r="AD4423" s="3"/>
      <c r="AH4423" s="3"/>
      <c r="AL4423" s="3"/>
    </row>
    <row r="4424" spans="12:38" x14ac:dyDescent="0.25">
      <c r="L4424" s="2"/>
      <c r="M4424" s="2"/>
      <c r="N4424" s="2"/>
      <c r="AD4424" s="3"/>
      <c r="AH4424" s="3"/>
      <c r="AL4424" s="3"/>
    </row>
    <row r="4425" spans="12:38" x14ac:dyDescent="0.25">
      <c r="L4425" s="2"/>
      <c r="M4425" s="2"/>
      <c r="N4425" s="2"/>
      <c r="AD4425" s="3"/>
      <c r="AH4425" s="3"/>
      <c r="AL4425" s="3"/>
    </row>
    <row r="4426" spans="12:38" x14ac:dyDescent="0.25">
      <c r="L4426" s="2"/>
      <c r="M4426" s="2"/>
      <c r="N4426" s="2"/>
      <c r="AD4426" s="3"/>
      <c r="AH4426" s="3"/>
      <c r="AL4426" s="3"/>
    </row>
    <row r="4427" spans="12:38" x14ac:dyDescent="0.25">
      <c r="L4427" s="2"/>
      <c r="M4427" s="2"/>
      <c r="N4427" s="2"/>
      <c r="AD4427" s="3"/>
      <c r="AH4427" s="3"/>
      <c r="AL4427" s="3"/>
    </row>
    <row r="4428" spans="12:38" x14ac:dyDescent="0.25">
      <c r="L4428" s="2"/>
      <c r="M4428" s="2"/>
      <c r="N4428" s="2"/>
      <c r="AD4428" s="3"/>
      <c r="AH4428" s="3"/>
      <c r="AL4428" s="3"/>
    </row>
    <row r="4429" spans="12:38" x14ac:dyDescent="0.25">
      <c r="L4429" s="2"/>
      <c r="M4429" s="2"/>
      <c r="N4429" s="2"/>
      <c r="AD4429" s="3"/>
      <c r="AH4429" s="3"/>
      <c r="AL4429" s="3"/>
    </row>
    <row r="4430" spans="12:38" x14ac:dyDescent="0.25">
      <c r="L4430" s="2"/>
      <c r="M4430" s="2"/>
      <c r="N4430" s="2"/>
      <c r="AD4430" s="3"/>
      <c r="AH4430" s="3"/>
      <c r="AL4430" s="3"/>
    </row>
    <row r="4431" spans="12:38" x14ac:dyDescent="0.25">
      <c r="L4431" s="2"/>
      <c r="M4431" s="2"/>
      <c r="N4431" s="2"/>
      <c r="AD4431" s="3"/>
      <c r="AH4431" s="3"/>
      <c r="AL4431" s="3"/>
    </row>
    <row r="4432" spans="12:38" x14ac:dyDescent="0.25">
      <c r="L4432" s="2"/>
      <c r="M4432" s="2"/>
      <c r="N4432" s="2"/>
      <c r="AD4432" s="3"/>
      <c r="AH4432" s="3"/>
      <c r="AL4432" s="3"/>
    </row>
    <row r="4433" spans="12:38" x14ac:dyDescent="0.25">
      <c r="L4433" s="2"/>
      <c r="M4433" s="2"/>
      <c r="N4433" s="2"/>
      <c r="AD4433" s="3"/>
      <c r="AH4433" s="3"/>
      <c r="AL4433" s="3"/>
    </row>
    <row r="4434" spans="12:38" x14ac:dyDescent="0.25">
      <c r="L4434" s="2"/>
      <c r="M4434" s="2"/>
      <c r="N4434" s="2"/>
      <c r="AD4434" s="3"/>
      <c r="AH4434" s="3"/>
      <c r="AL4434" s="3"/>
    </row>
    <row r="4435" spans="12:38" x14ac:dyDescent="0.25">
      <c r="L4435" s="2"/>
      <c r="M4435" s="2"/>
      <c r="N4435" s="2"/>
      <c r="AD4435" s="3"/>
      <c r="AH4435" s="3"/>
      <c r="AL4435" s="3"/>
    </row>
    <row r="4436" spans="12:38" x14ac:dyDescent="0.25">
      <c r="L4436" s="2"/>
      <c r="M4436" s="2"/>
      <c r="N4436" s="2"/>
      <c r="AD4436" s="3"/>
      <c r="AH4436" s="3"/>
      <c r="AL4436" s="3"/>
    </row>
    <row r="4437" spans="12:38" x14ac:dyDescent="0.25">
      <c r="L4437" s="2"/>
      <c r="M4437" s="2"/>
      <c r="N4437" s="2"/>
      <c r="AD4437" s="3"/>
      <c r="AH4437" s="3"/>
      <c r="AL4437" s="3"/>
    </row>
    <row r="4438" spans="12:38" x14ac:dyDescent="0.25">
      <c r="L4438" s="2"/>
      <c r="M4438" s="2"/>
      <c r="N4438" s="2"/>
      <c r="AD4438" s="3"/>
      <c r="AH4438" s="3"/>
      <c r="AL4438" s="3"/>
    </row>
    <row r="4439" spans="12:38" x14ac:dyDescent="0.25">
      <c r="L4439" s="2"/>
      <c r="M4439" s="2"/>
      <c r="N4439" s="2"/>
      <c r="AD4439" s="3"/>
      <c r="AH4439" s="3"/>
      <c r="AL4439" s="3"/>
    </row>
    <row r="4440" spans="12:38" x14ac:dyDescent="0.25">
      <c r="L4440" s="2"/>
      <c r="M4440" s="2"/>
      <c r="N4440" s="2"/>
      <c r="AD4440" s="3"/>
      <c r="AH4440" s="3"/>
      <c r="AL4440" s="3"/>
    </row>
    <row r="4441" spans="12:38" x14ac:dyDescent="0.25">
      <c r="L4441" s="2"/>
      <c r="M4441" s="2"/>
      <c r="N4441" s="2"/>
      <c r="AD4441" s="3"/>
      <c r="AH4441" s="3"/>
      <c r="AL4441" s="3"/>
    </row>
    <row r="4442" spans="12:38" x14ac:dyDescent="0.25">
      <c r="L4442" s="2"/>
      <c r="M4442" s="2"/>
      <c r="N4442" s="2"/>
      <c r="AD4442" s="3"/>
      <c r="AH4442" s="3"/>
      <c r="AL4442" s="3"/>
    </row>
    <row r="4443" spans="12:38" x14ac:dyDescent="0.25">
      <c r="L4443" s="2"/>
      <c r="M4443" s="2"/>
      <c r="N4443" s="2"/>
      <c r="AD4443" s="3"/>
      <c r="AH4443" s="3"/>
      <c r="AL4443" s="3"/>
    </row>
    <row r="4444" spans="12:38" x14ac:dyDescent="0.25">
      <c r="L4444" s="2"/>
      <c r="M4444" s="2"/>
      <c r="N4444" s="2"/>
      <c r="AD4444" s="3"/>
      <c r="AH4444" s="3"/>
      <c r="AL4444" s="3"/>
    </row>
    <row r="4445" spans="12:38" x14ac:dyDescent="0.25">
      <c r="L4445" s="2"/>
      <c r="M4445" s="2"/>
      <c r="N4445" s="2"/>
      <c r="AD4445" s="3"/>
      <c r="AH4445" s="3"/>
      <c r="AL4445" s="3"/>
    </row>
    <row r="4446" spans="12:38" x14ac:dyDescent="0.25">
      <c r="L4446" s="2"/>
      <c r="M4446" s="2"/>
      <c r="N4446" s="2"/>
      <c r="AD4446" s="3"/>
      <c r="AH4446" s="3"/>
      <c r="AL4446" s="3"/>
    </row>
    <row r="4447" spans="12:38" x14ac:dyDescent="0.25">
      <c r="L4447" s="2"/>
      <c r="M4447" s="2"/>
      <c r="N4447" s="2"/>
      <c r="AD4447" s="3"/>
      <c r="AH4447" s="3"/>
      <c r="AL4447" s="3"/>
    </row>
    <row r="4448" spans="12:38" x14ac:dyDescent="0.25">
      <c r="L4448" s="2"/>
      <c r="M4448" s="2"/>
      <c r="N4448" s="2"/>
      <c r="AD4448" s="3"/>
      <c r="AH4448" s="3"/>
      <c r="AL4448" s="3"/>
    </row>
    <row r="4449" spans="12:38" x14ac:dyDescent="0.25">
      <c r="L4449" s="2"/>
      <c r="M4449" s="2"/>
      <c r="N4449" s="2"/>
      <c r="AD4449" s="3"/>
      <c r="AH4449" s="3"/>
      <c r="AL4449" s="3"/>
    </row>
    <row r="4450" spans="12:38" x14ac:dyDescent="0.25">
      <c r="L4450" s="2"/>
      <c r="M4450" s="2"/>
      <c r="N4450" s="2"/>
      <c r="AD4450" s="3"/>
      <c r="AH4450" s="3"/>
      <c r="AL4450" s="3"/>
    </row>
    <row r="4451" spans="12:38" x14ac:dyDescent="0.25">
      <c r="L4451" s="2"/>
      <c r="M4451" s="2"/>
      <c r="N4451" s="2"/>
      <c r="AD4451" s="3"/>
      <c r="AH4451" s="3"/>
      <c r="AL4451" s="3"/>
    </row>
    <row r="4452" spans="12:38" x14ac:dyDescent="0.25">
      <c r="L4452" s="2"/>
      <c r="M4452" s="2"/>
      <c r="N4452" s="2"/>
      <c r="AD4452" s="3"/>
      <c r="AH4452" s="3"/>
      <c r="AL4452" s="3"/>
    </row>
    <row r="4453" spans="12:38" x14ac:dyDescent="0.25">
      <c r="L4453" s="2"/>
      <c r="M4453" s="2"/>
      <c r="N4453" s="2"/>
      <c r="AD4453" s="3"/>
      <c r="AH4453" s="3"/>
      <c r="AL4453" s="3"/>
    </row>
    <row r="4454" spans="12:38" x14ac:dyDescent="0.25">
      <c r="L4454" s="2"/>
      <c r="M4454" s="2"/>
      <c r="N4454" s="2"/>
      <c r="AD4454" s="3"/>
      <c r="AH4454" s="3"/>
      <c r="AL4454" s="3"/>
    </row>
    <row r="4455" spans="12:38" x14ac:dyDescent="0.25">
      <c r="L4455" s="2"/>
      <c r="M4455" s="2"/>
      <c r="N4455" s="2"/>
      <c r="AD4455" s="3"/>
      <c r="AH4455" s="3"/>
      <c r="AL4455" s="3"/>
    </row>
    <row r="4456" spans="12:38" x14ac:dyDescent="0.25">
      <c r="L4456" s="2"/>
      <c r="M4456" s="2"/>
      <c r="N4456" s="2"/>
      <c r="AD4456" s="3"/>
      <c r="AH4456" s="3"/>
      <c r="AL4456" s="3"/>
    </row>
    <row r="4457" spans="12:38" x14ac:dyDescent="0.25">
      <c r="L4457" s="2"/>
      <c r="M4457" s="2"/>
      <c r="N4457" s="2"/>
      <c r="AD4457" s="3"/>
      <c r="AH4457" s="3"/>
      <c r="AL4457" s="3"/>
    </row>
    <row r="4458" spans="12:38" x14ac:dyDescent="0.25">
      <c r="L4458" s="2"/>
      <c r="M4458" s="2"/>
      <c r="N4458" s="2"/>
      <c r="AD4458" s="3"/>
      <c r="AH4458" s="3"/>
      <c r="AL4458" s="3"/>
    </row>
    <row r="4459" spans="12:38" x14ac:dyDescent="0.25">
      <c r="L4459" s="2"/>
      <c r="M4459" s="2"/>
      <c r="N4459" s="2"/>
      <c r="AD4459" s="3"/>
      <c r="AH4459" s="3"/>
      <c r="AL4459" s="3"/>
    </row>
    <row r="4460" spans="12:38" x14ac:dyDescent="0.25">
      <c r="L4460" s="2"/>
      <c r="M4460" s="2"/>
      <c r="N4460" s="2"/>
      <c r="AD4460" s="3"/>
      <c r="AH4460" s="3"/>
      <c r="AL4460" s="3"/>
    </row>
    <row r="4461" spans="12:38" x14ac:dyDescent="0.25">
      <c r="L4461" s="2"/>
      <c r="M4461" s="2"/>
      <c r="N4461" s="2"/>
      <c r="AD4461" s="3"/>
      <c r="AH4461" s="3"/>
      <c r="AL4461" s="3"/>
    </row>
    <row r="4462" spans="12:38" x14ac:dyDescent="0.25">
      <c r="L4462" s="2"/>
      <c r="M4462" s="2"/>
      <c r="N4462" s="2"/>
      <c r="AD4462" s="3"/>
      <c r="AH4462" s="3"/>
      <c r="AL4462" s="3"/>
    </row>
    <row r="4463" spans="12:38" x14ac:dyDescent="0.25">
      <c r="L4463" s="2"/>
      <c r="M4463" s="2"/>
      <c r="N4463" s="2"/>
      <c r="AD4463" s="3"/>
      <c r="AH4463" s="3"/>
      <c r="AL4463" s="3"/>
    </row>
    <row r="4464" spans="12:38" x14ac:dyDescent="0.25">
      <c r="L4464" s="2"/>
      <c r="M4464" s="2"/>
      <c r="N4464" s="2"/>
      <c r="AD4464" s="3"/>
      <c r="AH4464" s="3"/>
      <c r="AL4464" s="3"/>
    </row>
    <row r="4465" spans="12:38" x14ac:dyDescent="0.25">
      <c r="L4465" s="2"/>
      <c r="M4465" s="2"/>
      <c r="N4465" s="2"/>
      <c r="AD4465" s="3"/>
      <c r="AH4465" s="3"/>
      <c r="AL4465" s="3"/>
    </row>
    <row r="4466" spans="12:38" x14ac:dyDescent="0.25">
      <c r="L4466" s="2"/>
      <c r="M4466" s="2"/>
      <c r="N4466" s="2"/>
      <c r="AD4466" s="3"/>
      <c r="AH4466" s="3"/>
      <c r="AL4466" s="3"/>
    </row>
    <row r="4467" spans="12:38" x14ac:dyDescent="0.25">
      <c r="L4467" s="2"/>
      <c r="M4467" s="2"/>
      <c r="N4467" s="2"/>
      <c r="AD4467" s="3"/>
      <c r="AH4467" s="3"/>
      <c r="AL4467" s="3"/>
    </row>
    <row r="4468" spans="12:38" x14ac:dyDescent="0.25">
      <c r="L4468" s="2"/>
      <c r="M4468" s="2"/>
      <c r="N4468" s="2"/>
      <c r="AD4468" s="3"/>
      <c r="AH4468" s="3"/>
      <c r="AL4468" s="3"/>
    </row>
    <row r="4469" spans="12:38" x14ac:dyDescent="0.25">
      <c r="L4469" s="2"/>
      <c r="M4469" s="2"/>
      <c r="N4469" s="2"/>
      <c r="AD4469" s="3"/>
      <c r="AH4469" s="3"/>
      <c r="AL4469" s="3"/>
    </row>
    <row r="4470" spans="12:38" x14ac:dyDescent="0.25">
      <c r="L4470" s="2"/>
      <c r="M4470" s="2"/>
      <c r="N4470" s="2"/>
      <c r="AD4470" s="3"/>
      <c r="AH4470" s="3"/>
      <c r="AL4470" s="3"/>
    </row>
    <row r="4471" spans="12:38" x14ac:dyDescent="0.25">
      <c r="L4471" s="2"/>
      <c r="M4471" s="2"/>
      <c r="N4471" s="2"/>
      <c r="AD4471" s="3"/>
      <c r="AH4471" s="3"/>
      <c r="AL4471" s="3"/>
    </row>
    <row r="4472" spans="12:38" x14ac:dyDescent="0.25">
      <c r="L4472" s="2"/>
      <c r="M4472" s="2"/>
      <c r="N4472" s="2"/>
      <c r="AD4472" s="3"/>
      <c r="AH4472" s="3"/>
      <c r="AL4472" s="3"/>
    </row>
    <row r="4473" spans="12:38" x14ac:dyDescent="0.25">
      <c r="L4473" s="2"/>
      <c r="M4473" s="2"/>
      <c r="N4473" s="2"/>
      <c r="AD4473" s="3"/>
      <c r="AH4473" s="3"/>
      <c r="AL4473" s="3"/>
    </row>
    <row r="4474" spans="12:38" x14ac:dyDescent="0.25">
      <c r="L4474" s="2"/>
      <c r="M4474" s="2"/>
      <c r="N4474" s="2"/>
      <c r="AD4474" s="3"/>
      <c r="AH4474" s="3"/>
      <c r="AL4474" s="3"/>
    </row>
    <row r="4475" spans="12:38" x14ac:dyDescent="0.25">
      <c r="L4475" s="2"/>
      <c r="M4475" s="2"/>
      <c r="N4475" s="2"/>
      <c r="AD4475" s="3"/>
      <c r="AH4475" s="3"/>
      <c r="AL4475" s="3"/>
    </row>
    <row r="4476" spans="12:38" x14ac:dyDescent="0.25">
      <c r="L4476" s="2"/>
      <c r="M4476" s="2"/>
      <c r="N4476" s="2"/>
      <c r="AD4476" s="3"/>
      <c r="AH4476" s="3"/>
      <c r="AL4476" s="3"/>
    </row>
    <row r="4477" spans="12:38" x14ac:dyDescent="0.25">
      <c r="L4477" s="2"/>
      <c r="M4477" s="2"/>
      <c r="N4477" s="2"/>
      <c r="AD4477" s="3"/>
      <c r="AH4477" s="3"/>
      <c r="AL4477" s="3"/>
    </row>
    <row r="4478" spans="12:38" x14ac:dyDescent="0.25">
      <c r="L4478" s="2"/>
      <c r="M4478" s="2"/>
      <c r="N4478" s="2"/>
      <c r="AD4478" s="3"/>
      <c r="AH4478" s="3"/>
      <c r="AL4478" s="3"/>
    </row>
    <row r="4479" spans="12:38" x14ac:dyDescent="0.25">
      <c r="L4479" s="2"/>
      <c r="M4479" s="2"/>
      <c r="N4479" s="2"/>
      <c r="AD4479" s="3"/>
      <c r="AH4479" s="3"/>
      <c r="AL4479" s="3"/>
    </row>
    <row r="4480" spans="12:38" x14ac:dyDescent="0.25">
      <c r="L4480" s="2"/>
      <c r="M4480" s="2"/>
      <c r="N4480" s="2"/>
      <c r="AD4480" s="3"/>
      <c r="AH4480" s="3"/>
      <c r="AL4480" s="3"/>
    </row>
    <row r="4481" spans="12:38" x14ac:dyDescent="0.25">
      <c r="L4481" s="2"/>
      <c r="M4481" s="2"/>
      <c r="N4481" s="2"/>
      <c r="AD4481" s="3"/>
      <c r="AH4481" s="3"/>
      <c r="AL4481" s="3"/>
    </row>
    <row r="4482" spans="12:38" x14ac:dyDescent="0.25">
      <c r="L4482" s="2"/>
      <c r="M4482" s="2"/>
      <c r="N4482" s="2"/>
      <c r="AD4482" s="3"/>
      <c r="AH4482" s="3"/>
      <c r="AL4482" s="3"/>
    </row>
    <row r="4483" spans="12:38" x14ac:dyDescent="0.25">
      <c r="L4483" s="2"/>
      <c r="M4483" s="2"/>
      <c r="N4483" s="2"/>
      <c r="AD4483" s="3"/>
      <c r="AH4483" s="3"/>
      <c r="AL4483" s="3"/>
    </row>
    <row r="4484" spans="12:38" x14ac:dyDescent="0.25">
      <c r="L4484" s="2"/>
      <c r="M4484" s="2"/>
      <c r="N4484" s="2"/>
      <c r="AD4484" s="3"/>
      <c r="AH4484" s="3"/>
      <c r="AL4484" s="3"/>
    </row>
    <row r="4485" spans="12:38" x14ac:dyDescent="0.25">
      <c r="L4485" s="2"/>
      <c r="M4485" s="2"/>
      <c r="N4485" s="2"/>
      <c r="AD4485" s="3"/>
      <c r="AH4485" s="3"/>
      <c r="AL4485" s="3"/>
    </row>
    <row r="4486" spans="12:38" x14ac:dyDescent="0.25">
      <c r="L4486" s="2"/>
      <c r="M4486" s="2"/>
      <c r="N4486" s="2"/>
      <c r="AD4486" s="3"/>
      <c r="AH4486" s="3"/>
      <c r="AL4486" s="3"/>
    </row>
    <row r="4487" spans="12:38" x14ac:dyDescent="0.25">
      <c r="L4487" s="2"/>
      <c r="M4487" s="2"/>
      <c r="N4487" s="2"/>
      <c r="AD4487" s="3"/>
      <c r="AH4487" s="3"/>
      <c r="AL4487" s="3"/>
    </row>
    <row r="4488" spans="12:38" x14ac:dyDescent="0.25">
      <c r="L4488" s="2"/>
      <c r="M4488" s="2"/>
      <c r="N4488" s="2"/>
      <c r="AD4488" s="3"/>
      <c r="AH4488" s="3"/>
      <c r="AL4488" s="3"/>
    </row>
    <row r="4489" spans="12:38" x14ac:dyDescent="0.25">
      <c r="L4489" s="2"/>
      <c r="M4489" s="2"/>
      <c r="N4489" s="2"/>
      <c r="AD4489" s="3"/>
      <c r="AH4489" s="3"/>
      <c r="AL4489" s="3"/>
    </row>
    <row r="4490" spans="12:38" x14ac:dyDescent="0.25">
      <c r="L4490" s="2"/>
      <c r="M4490" s="2"/>
      <c r="N4490" s="2"/>
      <c r="AD4490" s="3"/>
      <c r="AH4490" s="3"/>
      <c r="AL4490" s="3"/>
    </row>
    <row r="4491" spans="12:38" x14ac:dyDescent="0.25">
      <c r="L4491" s="2"/>
      <c r="M4491" s="2"/>
      <c r="N4491" s="2"/>
      <c r="AD4491" s="3"/>
      <c r="AH4491" s="3"/>
      <c r="AL4491" s="3"/>
    </row>
    <row r="4492" spans="12:38" x14ac:dyDescent="0.25">
      <c r="L4492" s="2"/>
      <c r="M4492" s="2"/>
      <c r="N4492" s="2"/>
      <c r="AD4492" s="3"/>
      <c r="AH4492" s="3"/>
      <c r="AL4492" s="3"/>
    </row>
    <row r="4493" spans="12:38" x14ac:dyDescent="0.25">
      <c r="L4493" s="2"/>
      <c r="M4493" s="2"/>
      <c r="N4493" s="2"/>
      <c r="AD4493" s="3"/>
      <c r="AH4493" s="3"/>
      <c r="AL4493" s="3"/>
    </row>
    <row r="4494" spans="12:38" x14ac:dyDescent="0.25">
      <c r="L4494" s="2"/>
      <c r="M4494" s="2"/>
      <c r="N4494" s="2"/>
      <c r="AD4494" s="3"/>
      <c r="AH4494" s="3"/>
      <c r="AL4494" s="3"/>
    </row>
    <row r="4495" spans="12:38" x14ac:dyDescent="0.25">
      <c r="L4495" s="2"/>
      <c r="M4495" s="2"/>
      <c r="N4495" s="2"/>
      <c r="AD4495" s="3"/>
      <c r="AH4495" s="3"/>
      <c r="AL4495" s="3"/>
    </row>
    <row r="4496" spans="12:38" x14ac:dyDescent="0.25">
      <c r="L4496" s="2"/>
      <c r="M4496" s="2"/>
      <c r="N4496" s="2"/>
      <c r="AD4496" s="3"/>
      <c r="AH4496" s="3"/>
      <c r="AL4496" s="3"/>
    </row>
    <row r="4497" spans="12:38" x14ac:dyDescent="0.25">
      <c r="L4497" s="2"/>
      <c r="M4497" s="2"/>
      <c r="N4497" s="2"/>
      <c r="AD4497" s="3"/>
      <c r="AH4497" s="3"/>
      <c r="AL4497" s="3"/>
    </row>
    <row r="4498" spans="12:38" x14ac:dyDescent="0.25">
      <c r="L4498" s="2"/>
      <c r="M4498" s="2"/>
      <c r="N4498" s="2"/>
      <c r="AD4498" s="3"/>
      <c r="AH4498" s="3"/>
      <c r="AL4498" s="3"/>
    </row>
    <row r="4499" spans="12:38" x14ac:dyDescent="0.25">
      <c r="L4499" s="2"/>
      <c r="M4499" s="2"/>
      <c r="N4499" s="2"/>
      <c r="AD4499" s="3"/>
      <c r="AH4499" s="3"/>
      <c r="AL4499" s="3"/>
    </row>
    <row r="4500" spans="12:38" x14ac:dyDescent="0.25">
      <c r="L4500" s="2"/>
      <c r="M4500" s="2"/>
      <c r="N4500" s="2"/>
      <c r="AD4500" s="3"/>
      <c r="AH4500" s="3"/>
      <c r="AL4500" s="3"/>
    </row>
    <row r="4501" spans="12:38" x14ac:dyDescent="0.25">
      <c r="L4501" s="2"/>
      <c r="M4501" s="2"/>
      <c r="N4501" s="2"/>
      <c r="AD4501" s="3"/>
      <c r="AH4501" s="3"/>
      <c r="AL4501" s="3"/>
    </row>
    <row r="4502" spans="12:38" x14ac:dyDescent="0.25">
      <c r="L4502" s="2"/>
      <c r="M4502" s="2"/>
      <c r="N4502" s="2"/>
      <c r="AD4502" s="3"/>
      <c r="AH4502" s="3"/>
      <c r="AL4502" s="3"/>
    </row>
    <row r="4503" spans="12:38" x14ac:dyDescent="0.25">
      <c r="L4503" s="2"/>
      <c r="M4503" s="2"/>
      <c r="N4503" s="2"/>
      <c r="AD4503" s="3"/>
      <c r="AH4503" s="3"/>
      <c r="AL4503" s="3"/>
    </row>
    <row r="4504" spans="12:38" x14ac:dyDescent="0.25">
      <c r="L4504" s="2"/>
      <c r="M4504" s="2"/>
      <c r="N4504" s="2"/>
      <c r="AD4504" s="3"/>
      <c r="AH4504" s="3"/>
      <c r="AL4504" s="3"/>
    </row>
    <row r="4505" spans="12:38" x14ac:dyDescent="0.25">
      <c r="L4505" s="2"/>
      <c r="M4505" s="2"/>
      <c r="N4505" s="2"/>
      <c r="AD4505" s="3"/>
      <c r="AH4505" s="3"/>
      <c r="AL4505" s="3"/>
    </row>
    <row r="4506" spans="12:38" x14ac:dyDescent="0.25">
      <c r="L4506" s="2"/>
      <c r="M4506" s="2"/>
      <c r="N4506" s="2"/>
      <c r="AD4506" s="3"/>
      <c r="AH4506" s="3"/>
      <c r="AL4506" s="3"/>
    </row>
    <row r="4507" spans="12:38" x14ac:dyDescent="0.25">
      <c r="L4507" s="2"/>
      <c r="M4507" s="2"/>
      <c r="N4507" s="2"/>
      <c r="AD4507" s="3"/>
      <c r="AH4507" s="3"/>
      <c r="AL4507" s="3"/>
    </row>
    <row r="4508" spans="12:38" x14ac:dyDescent="0.25">
      <c r="L4508" s="2"/>
      <c r="M4508" s="2"/>
      <c r="N4508" s="2"/>
      <c r="AD4508" s="3"/>
      <c r="AH4508" s="3"/>
      <c r="AL4508" s="3"/>
    </row>
    <row r="4509" spans="12:38" x14ac:dyDescent="0.25">
      <c r="L4509" s="2"/>
      <c r="M4509" s="2"/>
      <c r="N4509" s="2"/>
      <c r="AD4509" s="3"/>
      <c r="AH4509" s="3"/>
      <c r="AL4509" s="3"/>
    </row>
    <row r="4510" spans="12:38" x14ac:dyDescent="0.25">
      <c r="L4510" s="2"/>
      <c r="M4510" s="2"/>
      <c r="N4510" s="2"/>
      <c r="AD4510" s="3"/>
      <c r="AH4510" s="3"/>
      <c r="AL4510" s="3"/>
    </row>
    <row r="4511" spans="12:38" x14ac:dyDescent="0.25">
      <c r="L4511" s="2"/>
      <c r="M4511" s="2"/>
      <c r="N4511" s="2"/>
      <c r="AD4511" s="3"/>
      <c r="AH4511" s="3"/>
      <c r="AL4511" s="3"/>
    </row>
    <row r="4512" spans="12:38" x14ac:dyDescent="0.25">
      <c r="L4512" s="2"/>
      <c r="M4512" s="2"/>
      <c r="N4512" s="2"/>
      <c r="AD4512" s="3"/>
      <c r="AH4512" s="3"/>
      <c r="AL4512" s="3"/>
    </row>
    <row r="4513" spans="12:38" x14ac:dyDescent="0.25">
      <c r="L4513" s="2"/>
      <c r="M4513" s="2"/>
      <c r="N4513" s="2"/>
      <c r="AD4513" s="3"/>
      <c r="AH4513" s="3"/>
      <c r="AL4513" s="3"/>
    </row>
    <row r="4514" spans="12:38" x14ac:dyDescent="0.25">
      <c r="L4514" s="2"/>
      <c r="M4514" s="2"/>
      <c r="N4514" s="2"/>
      <c r="AD4514" s="3"/>
      <c r="AH4514" s="3"/>
      <c r="AL4514" s="3"/>
    </row>
    <row r="4515" spans="12:38" x14ac:dyDescent="0.25">
      <c r="L4515" s="2"/>
      <c r="M4515" s="2"/>
      <c r="N4515" s="2"/>
      <c r="AD4515" s="3"/>
      <c r="AH4515" s="3"/>
      <c r="AL4515" s="3"/>
    </row>
    <row r="4516" spans="12:38" x14ac:dyDescent="0.25">
      <c r="L4516" s="2"/>
      <c r="M4516" s="2"/>
      <c r="N4516" s="2"/>
      <c r="AD4516" s="3"/>
      <c r="AH4516" s="3"/>
      <c r="AL4516" s="3"/>
    </row>
    <row r="4517" spans="12:38" x14ac:dyDescent="0.25">
      <c r="L4517" s="2"/>
      <c r="M4517" s="2"/>
      <c r="N4517" s="2"/>
      <c r="AD4517" s="3"/>
      <c r="AH4517" s="3"/>
      <c r="AL4517" s="3"/>
    </row>
    <row r="4518" spans="12:38" x14ac:dyDescent="0.25">
      <c r="L4518" s="2"/>
      <c r="M4518" s="2"/>
      <c r="N4518" s="2"/>
      <c r="AD4518" s="3"/>
      <c r="AH4518" s="3"/>
      <c r="AL4518" s="3"/>
    </row>
    <row r="4519" spans="12:38" x14ac:dyDescent="0.25">
      <c r="L4519" s="2"/>
      <c r="M4519" s="2"/>
      <c r="N4519" s="2"/>
      <c r="AD4519" s="3"/>
      <c r="AH4519" s="3"/>
      <c r="AL4519" s="3"/>
    </row>
    <row r="4520" spans="12:38" x14ac:dyDescent="0.25">
      <c r="L4520" s="2"/>
      <c r="M4520" s="2"/>
      <c r="N4520" s="2"/>
      <c r="AD4520" s="3"/>
      <c r="AH4520" s="3"/>
      <c r="AL4520" s="3"/>
    </row>
    <row r="4521" spans="12:38" x14ac:dyDescent="0.25">
      <c r="L4521" s="2"/>
      <c r="M4521" s="2"/>
      <c r="N4521" s="2"/>
      <c r="AD4521" s="3"/>
      <c r="AH4521" s="3"/>
      <c r="AL4521" s="3"/>
    </row>
    <row r="4522" spans="12:38" x14ac:dyDescent="0.25">
      <c r="L4522" s="2"/>
      <c r="M4522" s="2"/>
      <c r="N4522" s="2"/>
      <c r="AD4522" s="3"/>
      <c r="AH4522" s="3"/>
      <c r="AL4522" s="3"/>
    </row>
    <row r="4523" spans="12:38" x14ac:dyDescent="0.25">
      <c r="L4523" s="2"/>
      <c r="M4523" s="2"/>
      <c r="N4523" s="2"/>
      <c r="AD4523" s="3"/>
      <c r="AH4523" s="3"/>
      <c r="AL4523" s="3"/>
    </row>
    <row r="4524" spans="12:38" x14ac:dyDescent="0.25">
      <c r="L4524" s="2"/>
      <c r="M4524" s="2"/>
      <c r="N4524" s="2"/>
      <c r="AD4524" s="3"/>
      <c r="AH4524" s="3"/>
      <c r="AL4524" s="3"/>
    </row>
    <row r="4525" spans="12:38" x14ac:dyDescent="0.25">
      <c r="L4525" s="2"/>
      <c r="M4525" s="2"/>
      <c r="N4525" s="2"/>
      <c r="AD4525" s="3"/>
      <c r="AH4525" s="3"/>
      <c r="AL4525" s="3"/>
    </row>
    <row r="4526" spans="12:38" x14ac:dyDescent="0.25">
      <c r="L4526" s="2"/>
      <c r="M4526" s="2"/>
      <c r="N4526" s="2"/>
      <c r="AD4526" s="3"/>
      <c r="AH4526" s="3"/>
      <c r="AL4526" s="3"/>
    </row>
    <row r="4527" spans="12:38" x14ac:dyDescent="0.25">
      <c r="L4527" s="2"/>
      <c r="M4527" s="2"/>
      <c r="N4527" s="2"/>
      <c r="AD4527" s="3"/>
      <c r="AH4527" s="3"/>
      <c r="AL4527" s="3"/>
    </row>
    <row r="4528" spans="12:38" x14ac:dyDescent="0.25">
      <c r="L4528" s="2"/>
      <c r="M4528" s="2"/>
      <c r="N4528" s="2"/>
      <c r="AD4528" s="3"/>
      <c r="AH4528" s="3"/>
      <c r="AL4528" s="3"/>
    </row>
    <row r="4529" spans="12:38" x14ac:dyDescent="0.25">
      <c r="L4529" s="2"/>
      <c r="M4529" s="2"/>
      <c r="N4529" s="2"/>
      <c r="AD4529" s="3"/>
      <c r="AH4529" s="3"/>
      <c r="AL4529" s="3"/>
    </row>
    <row r="4530" spans="12:38" x14ac:dyDescent="0.25">
      <c r="L4530" s="2"/>
      <c r="M4530" s="2"/>
      <c r="N4530" s="2"/>
      <c r="AD4530" s="3"/>
      <c r="AH4530" s="3"/>
      <c r="AL4530" s="3"/>
    </row>
    <row r="4531" spans="12:38" x14ac:dyDescent="0.25">
      <c r="L4531" s="2"/>
      <c r="M4531" s="2"/>
      <c r="N4531" s="2"/>
      <c r="AD4531" s="3"/>
      <c r="AH4531" s="3"/>
      <c r="AL4531" s="3"/>
    </row>
    <row r="4532" spans="12:38" x14ac:dyDescent="0.25">
      <c r="L4532" s="2"/>
      <c r="M4532" s="2"/>
      <c r="N4532" s="2"/>
      <c r="AD4532" s="3"/>
      <c r="AH4532" s="3"/>
      <c r="AL4532" s="3"/>
    </row>
    <row r="4533" spans="12:38" x14ac:dyDescent="0.25">
      <c r="L4533" s="2"/>
      <c r="M4533" s="2"/>
      <c r="N4533" s="2"/>
      <c r="AD4533" s="3"/>
      <c r="AH4533" s="3"/>
      <c r="AL4533" s="3"/>
    </row>
    <row r="4534" spans="12:38" x14ac:dyDescent="0.25">
      <c r="L4534" s="2"/>
      <c r="M4534" s="2"/>
      <c r="N4534" s="2"/>
      <c r="AD4534" s="3"/>
      <c r="AH4534" s="3"/>
      <c r="AL4534" s="3"/>
    </row>
    <row r="4535" spans="12:38" x14ac:dyDescent="0.25">
      <c r="L4535" s="2"/>
      <c r="M4535" s="2"/>
      <c r="N4535" s="2"/>
      <c r="AD4535" s="3"/>
      <c r="AH4535" s="3"/>
      <c r="AL4535" s="3"/>
    </row>
    <row r="4536" spans="12:38" x14ac:dyDescent="0.25">
      <c r="L4536" s="2"/>
      <c r="M4536" s="2"/>
      <c r="N4536" s="2"/>
      <c r="AD4536" s="3"/>
      <c r="AH4536" s="3"/>
      <c r="AL4536" s="3"/>
    </row>
    <row r="4537" spans="12:38" x14ac:dyDescent="0.25">
      <c r="L4537" s="2"/>
      <c r="M4537" s="2"/>
      <c r="N4537" s="2"/>
      <c r="AD4537" s="3"/>
      <c r="AH4537" s="3"/>
      <c r="AL4537" s="3"/>
    </row>
    <row r="4538" spans="12:38" x14ac:dyDescent="0.25">
      <c r="L4538" s="2"/>
      <c r="M4538" s="2"/>
      <c r="N4538" s="2"/>
      <c r="AD4538" s="3"/>
      <c r="AH4538" s="3"/>
      <c r="AL4538" s="3"/>
    </row>
    <row r="4539" spans="12:38" x14ac:dyDescent="0.25">
      <c r="L4539" s="2"/>
      <c r="M4539" s="2"/>
      <c r="N4539" s="2"/>
      <c r="AD4539" s="3"/>
      <c r="AH4539" s="3"/>
      <c r="AL4539" s="3"/>
    </row>
    <row r="4540" spans="12:38" x14ac:dyDescent="0.25">
      <c r="L4540" s="2"/>
      <c r="M4540" s="2"/>
      <c r="N4540" s="2"/>
      <c r="AD4540" s="3"/>
      <c r="AH4540" s="3"/>
      <c r="AL4540" s="3"/>
    </row>
    <row r="4541" spans="12:38" x14ac:dyDescent="0.25">
      <c r="L4541" s="2"/>
      <c r="M4541" s="2"/>
      <c r="N4541" s="2"/>
      <c r="AD4541" s="3"/>
      <c r="AH4541" s="3"/>
      <c r="AL4541" s="3"/>
    </row>
    <row r="4542" spans="12:38" x14ac:dyDescent="0.25">
      <c r="L4542" s="2"/>
      <c r="M4542" s="2"/>
      <c r="N4542" s="2"/>
      <c r="AD4542" s="3"/>
      <c r="AH4542" s="3"/>
      <c r="AL4542" s="3"/>
    </row>
    <row r="4543" spans="12:38" x14ac:dyDescent="0.25">
      <c r="L4543" s="2"/>
      <c r="M4543" s="2"/>
      <c r="N4543" s="2"/>
      <c r="AD4543" s="3"/>
      <c r="AH4543" s="3"/>
      <c r="AL4543" s="3"/>
    </row>
    <row r="4544" spans="12:38" x14ac:dyDescent="0.25">
      <c r="L4544" s="2"/>
      <c r="M4544" s="2"/>
      <c r="N4544" s="2"/>
      <c r="AD4544" s="3"/>
      <c r="AH4544" s="3"/>
      <c r="AL4544" s="3"/>
    </row>
    <row r="4545" spans="12:38" x14ac:dyDescent="0.25">
      <c r="L4545" s="2"/>
      <c r="M4545" s="2"/>
      <c r="N4545" s="2"/>
      <c r="AD4545" s="3"/>
      <c r="AH4545" s="3"/>
      <c r="AL4545" s="3"/>
    </row>
    <row r="4546" spans="12:38" x14ac:dyDescent="0.25">
      <c r="L4546" s="2"/>
      <c r="M4546" s="2"/>
      <c r="N4546" s="2"/>
      <c r="AD4546" s="3"/>
      <c r="AH4546" s="3"/>
      <c r="AL4546" s="3"/>
    </row>
    <row r="4547" spans="12:38" x14ac:dyDescent="0.25">
      <c r="L4547" s="2"/>
      <c r="M4547" s="2"/>
      <c r="N4547" s="2"/>
      <c r="AD4547" s="3"/>
      <c r="AH4547" s="3"/>
      <c r="AL4547" s="3"/>
    </row>
    <row r="4548" spans="12:38" x14ac:dyDescent="0.25">
      <c r="L4548" s="2"/>
      <c r="M4548" s="2"/>
      <c r="N4548" s="2"/>
      <c r="AD4548" s="3"/>
      <c r="AH4548" s="3"/>
      <c r="AL4548" s="3"/>
    </row>
    <row r="4549" spans="12:38" x14ac:dyDescent="0.25">
      <c r="L4549" s="2"/>
      <c r="M4549" s="2"/>
      <c r="N4549" s="2"/>
      <c r="AD4549" s="3"/>
      <c r="AH4549" s="3"/>
      <c r="AL4549" s="3"/>
    </row>
    <row r="4550" spans="12:38" x14ac:dyDescent="0.25">
      <c r="L4550" s="2"/>
      <c r="M4550" s="2"/>
      <c r="N4550" s="2"/>
      <c r="AD4550" s="3"/>
      <c r="AH4550" s="3"/>
      <c r="AL4550" s="3"/>
    </row>
    <row r="4551" spans="12:38" x14ac:dyDescent="0.25">
      <c r="L4551" s="2"/>
      <c r="M4551" s="2"/>
      <c r="N4551" s="2"/>
      <c r="AD4551" s="3"/>
      <c r="AH4551" s="3"/>
      <c r="AL4551" s="3"/>
    </row>
    <row r="4552" spans="12:38" x14ac:dyDescent="0.25">
      <c r="L4552" s="2"/>
      <c r="M4552" s="2"/>
      <c r="N4552" s="2"/>
      <c r="AD4552" s="3"/>
      <c r="AH4552" s="3"/>
      <c r="AL4552" s="3"/>
    </row>
    <row r="4553" spans="12:38" x14ac:dyDescent="0.25">
      <c r="L4553" s="2"/>
      <c r="M4553" s="2"/>
      <c r="N4553" s="2"/>
      <c r="AD4553" s="3"/>
      <c r="AH4553" s="3"/>
      <c r="AL4553" s="3"/>
    </row>
    <row r="4554" spans="12:38" x14ac:dyDescent="0.25">
      <c r="L4554" s="2"/>
      <c r="M4554" s="2"/>
      <c r="N4554" s="2"/>
      <c r="AD4554" s="3"/>
      <c r="AH4554" s="3"/>
      <c r="AL4554" s="3"/>
    </row>
    <row r="4555" spans="12:38" x14ac:dyDescent="0.25">
      <c r="L4555" s="2"/>
      <c r="M4555" s="2"/>
      <c r="N4555" s="2"/>
      <c r="AD4555" s="3"/>
      <c r="AH4555" s="3"/>
      <c r="AL4555" s="3"/>
    </row>
    <row r="4556" spans="12:38" x14ac:dyDescent="0.25">
      <c r="L4556" s="2"/>
      <c r="M4556" s="2"/>
      <c r="N4556" s="2"/>
      <c r="AD4556" s="3"/>
      <c r="AH4556" s="3"/>
      <c r="AL4556" s="3"/>
    </row>
    <row r="4557" spans="12:38" x14ac:dyDescent="0.25">
      <c r="L4557" s="2"/>
      <c r="M4557" s="2"/>
      <c r="N4557" s="2"/>
      <c r="AD4557" s="3"/>
      <c r="AH4557" s="3"/>
      <c r="AL4557" s="3"/>
    </row>
    <row r="4558" spans="12:38" x14ac:dyDescent="0.25">
      <c r="L4558" s="2"/>
      <c r="M4558" s="2"/>
      <c r="N4558" s="2"/>
      <c r="AD4558" s="3"/>
      <c r="AH4558" s="3"/>
      <c r="AL4558" s="3"/>
    </row>
    <row r="4559" spans="12:38" x14ac:dyDescent="0.25">
      <c r="L4559" s="2"/>
      <c r="M4559" s="2"/>
      <c r="N4559" s="2"/>
      <c r="AD4559" s="3"/>
      <c r="AH4559" s="3"/>
      <c r="AL4559" s="3"/>
    </row>
    <row r="4560" spans="12:38" x14ac:dyDescent="0.25">
      <c r="L4560" s="2"/>
      <c r="M4560" s="2"/>
      <c r="N4560" s="2"/>
      <c r="AD4560" s="3"/>
      <c r="AH4560" s="3"/>
      <c r="AL4560" s="3"/>
    </row>
    <row r="4561" spans="12:38" x14ac:dyDescent="0.25">
      <c r="L4561" s="2"/>
      <c r="M4561" s="2"/>
      <c r="N4561" s="2"/>
      <c r="AD4561" s="3"/>
      <c r="AH4561" s="3"/>
      <c r="AL4561" s="3"/>
    </row>
    <row r="4562" spans="12:38" x14ac:dyDescent="0.25">
      <c r="L4562" s="2"/>
      <c r="M4562" s="2"/>
      <c r="N4562" s="2"/>
      <c r="AD4562" s="3"/>
      <c r="AH4562" s="3"/>
      <c r="AL4562" s="3"/>
    </row>
    <row r="4563" spans="12:38" x14ac:dyDescent="0.25">
      <c r="L4563" s="2"/>
      <c r="M4563" s="2"/>
      <c r="N4563" s="2"/>
      <c r="AD4563" s="3"/>
      <c r="AH4563" s="3"/>
      <c r="AL4563" s="3"/>
    </row>
    <row r="4564" spans="12:38" x14ac:dyDescent="0.25">
      <c r="L4564" s="2"/>
      <c r="M4564" s="2"/>
      <c r="N4564" s="2"/>
      <c r="AD4564" s="3"/>
      <c r="AH4564" s="3"/>
      <c r="AL4564" s="3"/>
    </row>
    <row r="4565" spans="12:38" x14ac:dyDescent="0.25">
      <c r="L4565" s="2"/>
      <c r="M4565" s="2"/>
      <c r="N4565" s="2"/>
      <c r="AD4565" s="3"/>
      <c r="AH4565" s="3"/>
      <c r="AL4565" s="3"/>
    </row>
    <row r="4566" spans="12:38" x14ac:dyDescent="0.25">
      <c r="L4566" s="2"/>
      <c r="M4566" s="2"/>
      <c r="N4566" s="2"/>
      <c r="AD4566" s="3"/>
      <c r="AH4566" s="3"/>
      <c r="AL4566" s="3"/>
    </row>
    <row r="4567" spans="12:38" x14ac:dyDescent="0.25">
      <c r="L4567" s="2"/>
      <c r="M4567" s="2"/>
      <c r="N4567" s="2"/>
      <c r="AD4567" s="3"/>
      <c r="AH4567" s="3"/>
      <c r="AL4567" s="3"/>
    </row>
    <row r="4568" spans="12:38" x14ac:dyDescent="0.25">
      <c r="L4568" s="2"/>
      <c r="M4568" s="2"/>
      <c r="N4568" s="2"/>
      <c r="AD4568" s="3"/>
      <c r="AH4568" s="3"/>
      <c r="AL4568" s="3"/>
    </row>
    <row r="4569" spans="12:38" x14ac:dyDescent="0.25">
      <c r="L4569" s="2"/>
      <c r="M4569" s="2"/>
      <c r="N4569" s="2"/>
      <c r="AD4569" s="3"/>
      <c r="AH4569" s="3"/>
      <c r="AL4569" s="3"/>
    </row>
    <row r="4570" spans="12:38" x14ac:dyDescent="0.25">
      <c r="L4570" s="2"/>
      <c r="M4570" s="2"/>
      <c r="N4570" s="2"/>
      <c r="AD4570" s="3"/>
      <c r="AH4570" s="3"/>
      <c r="AL4570" s="3"/>
    </row>
    <row r="4571" spans="12:38" x14ac:dyDescent="0.25">
      <c r="L4571" s="2"/>
      <c r="M4571" s="2"/>
      <c r="N4571" s="2"/>
      <c r="AD4571" s="3"/>
      <c r="AH4571" s="3"/>
      <c r="AL4571" s="3"/>
    </row>
    <row r="4572" spans="12:38" x14ac:dyDescent="0.25">
      <c r="L4572" s="2"/>
      <c r="M4572" s="2"/>
      <c r="N4572" s="2"/>
      <c r="AD4572" s="3"/>
      <c r="AH4572" s="3"/>
      <c r="AL4572" s="3"/>
    </row>
    <row r="4573" spans="12:38" x14ac:dyDescent="0.25">
      <c r="L4573" s="2"/>
      <c r="M4573" s="2"/>
      <c r="N4573" s="2"/>
      <c r="AD4573" s="3"/>
      <c r="AH4573" s="3"/>
      <c r="AL4573" s="3"/>
    </row>
    <row r="4574" spans="12:38" x14ac:dyDescent="0.25">
      <c r="L4574" s="2"/>
      <c r="M4574" s="2"/>
      <c r="N4574" s="2"/>
      <c r="AD4574" s="3"/>
      <c r="AH4574" s="3"/>
      <c r="AL4574" s="3"/>
    </row>
    <row r="4575" spans="12:38" x14ac:dyDescent="0.25">
      <c r="L4575" s="2"/>
      <c r="M4575" s="2"/>
      <c r="N4575" s="2"/>
      <c r="AD4575" s="3"/>
      <c r="AH4575" s="3"/>
      <c r="AL4575" s="3"/>
    </row>
    <row r="4576" spans="12:38" x14ac:dyDescent="0.25">
      <c r="L4576" s="2"/>
      <c r="M4576" s="2"/>
      <c r="N4576" s="2"/>
      <c r="AD4576" s="3"/>
      <c r="AH4576" s="3"/>
      <c r="AL4576" s="3"/>
    </row>
    <row r="4577" spans="12:38" x14ac:dyDescent="0.25">
      <c r="L4577" s="2"/>
      <c r="M4577" s="2"/>
      <c r="N4577" s="2"/>
      <c r="AD4577" s="3"/>
      <c r="AH4577" s="3"/>
      <c r="AL4577" s="3"/>
    </row>
    <row r="4578" spans="12:38" x14ac:dyDescent="0.25">
      <c r="L4578" s="2"/>
      <c r="M4578" s="2"/>
      <c r="N4578" s="2"/>
      <c r="AD4578" s="3"/>
      <c r="AH4578" s="3"/>
      <c r="AL4578" s="3"/>
    </row>
    <row r="4579" spans="12:38" x14ac:dyDescent="0.25">
      <c r="L4579" s="2"/>
      <c r="M4579" s="2"/>
      <c r="N4579" s="2"/>
      <c r="AD4579" s="3"/>
      <c r="AH4579" s="3"/>
      <c r="AL4579" s="3"/>
    </row>
    <row r="4580" spans="12:38" x14ac:dyDescent="0.25">
      <c r="L4580" s="2"/>
      <c r="M4580" s="2"/>
      <c r="N4580" s="2"/>
      <c r="AD4580" s="3"/>
      <c r="AH4580" s="3"/>
      <c r="AL4580" s="3"/>
    </row>
    <row r="4581" spans="12:38" x14ac:dyDescent="0.25">
      <c r="L4581" s="2"/>
      <c r="M4581" s="2"/>
      <c r="N4581" s="2"/>
      <c r="AD4581" s="3"/>
      <c r="AH4581" s="3"/>
      <c r="AL4581" s="3"/>
    </row>
    <row r="4582" spans="12:38" x14ac:dyDescent="0.25">
      <c r="L4582" s="2"/>
      <c r="M4582" s="2"/>
      <c r="N4582" s="2"/>
      <c r="AD4582" s="3"/>
      <c r="AH4582" s="3"/>
      <c r="AL4582" s="3"/>
    </row>
    <row r="4583" spans="12:38" x14ac:dyDescent="0.25">
      <c r="L4583" s="2"/>
      <c r="M4583" s="2"/>
      <c r="N4583" s="2"/>
      <c r="AD4583" s="3"/>
      <c r="AH4583" s="3"/>
      <c r="AL4583" s="3"/>
    </row>
    <row r="4584" spans="12:38" x14ac:dyDescent="0.25">
      <c r="L4584" s="2"/>
      <c r="M4584" s="2"/>
      <c r="N4584" s="2"/>
      <c r="AD4584" s="3"/>
      <c r="AH4584" s="3"/>
      <c r="AL4584" s="3"/>
    </row>
    <row r="4585" spans="12:38" x14ac:dyDescent="0.25">
      <c r="L4585" s="2"/>
      <c r="M4585" s="2"/>
      <c r="N4585" s="2"/>
      <c r="AD4585" s="3"/>
      <c r="AH4585" s="3"/>
      <c r="AL4585" s="3"/>
    </row>
    <row r="4586" spans="12:38" x14ac:dyDescent="0.25">
      <c r="L4586" s="2"/>
      <c r="M4586" s="2"/>
      <c r="N4586" s="2"/>
      <c r="AD4586" s="3"/>
      <c r="AH4586" s="3"/>
      <c r="AL4586" s="3"/>
    </row>
    <row r="4587" spans="12:38" x14ac:dyDescent="0.25">
      <c r="L4587" s="2"/>
      <c r="M4587" s="2"/>
      <c r="N4587" s="2"/>
      <c r="AD4587" s="3"/>
      <c r="AH4587" s="3"/>
      <c r="AL4587" s="3"/>
    </row>
    <row r="4588" spans="12:38" x14ac:dyDescent="0.25">
      <c r="L4588" s="2"/>
      <c r="M4588" s="2"/>
      <c r="N4588" s="2"/>
      <c r="AD4588" s="3"/>
      <c r="AH4588" s="3"/>
      <c r="AL4588" s="3"/>
    </row>
    <row r="4589" spans="12:38" x14ac:dyDescent="0.25">
      <c r="L4589" s="2"/>
      <c r="M4589" s="2"/>
      <c r="N4589" s="2"/>
      <c r="AD4589" s="3"/>
      <c r="AH4589" s="3"/>
      <c r="AL4589" s="3"/>
    </row>
    <row r="4590" spans="12:38" x14ac:dyDescent="0.25">
      <c r="L4590" s="2"/>
      <c r="M4590" s="2"/>
      <c r="N4590" s="2"/>
      <c r="AD4590" s="3"/>
      <c r="AH4590" s="3"/>
      <c r="AL4590" s="3"/>
    </row>
    <row r="4591" spans="12:38" x14ac:dyDescent="0.25">
      <c r="L4591" s="2"/>
      <c r="M4591" s="2"/>
      <c r="N4591" s="2"/>
      <c r="AD4591" s="3"/>
      <c r="AH4591" s="3"/>
      <c r="AL4591" s="3"/>
    </row>
    <row r="4592" spans="12:38" x14ac:dyDescent="0.25">
      <c r="L4592" s="2"/>
      <c r="M4592" s="2"/>
      <c r="N4592" s="2"/>
      <c r="AD4592" s="3"/>
      <c r="AH4592" s="3"/>
      <c r="AL4592" s="3"/>
    </row>
    <row r="4593" spans="12:38" x14ac:dyDescent="0.25">
      <c r="L4593" s="2"/>
      <c r="M4593" s="2"/>
      <c r="N4593" s="2"/>
      <c r="AD4593" s="3"/>
      <c r="AH4593" s="3"/>
      <c r="AL4593" s="3"/>
    </row>
    <row r="4594" spans="12:38" x14ac:dyDescent="0.25">
      <c r="L4594" s="2"/>
      <c r="M4594" s="2"/>
      <c r="N4594" s="2"/>
      <c r="AD4594" s="3"/>
      <c r="AH4594" s="3"/>
      <c r="AL4594" s="3"/>
    </row>
    <row r="4595" spans="12:38" x14ac:dyDescent="0.25">
      <c r="L4595" s="2"/>
      <c r="M4595" s="2"/>
      <c r="N4595" s="2"/>
      <c r="AD4595" s="3"/>
      <c r="AH4595" s="3"/>
      <c r="AL4595" s="3"/>
    </row>
    <row r="4596" spans="12:38" x14ac:dyDescent="0.25">
      <c r="L4596" s="2"/>
      <c r="M4596" s="2"/>
      <c r="N4596" s="2"/>
      <c r="AD4596" s="3"/>
      <c r="AH4596" s="3"/>
      <c r="AL4596" s="3"/>
    </row>
    <row r="4597" spans="12:38" x14ac:dyDescent="0.25">
      <c r="L4597" s="2"/>
      <c r="M4597" s="2"/>
      <c r="N4597" s="2"/>
      <c r="AD4597" s="3"/>
      <c r="AH4597" s="3"/>
      <c r="AL4597" s="3"/>
    </row>
    <row r="4598" spans="12:38" x14ac:dyDescent="0.25">
      <c r="L4598" s="2"/>
      <c r="M4598" s="2"/>
      <c r="N4598" s="2"/>
      <c r="AD4598" s="3"/>
      <c r="AH4598" s="3"/>
      <c r="AL4598" s="3"/>
    </row>
    <row r="4599" spans="12:38" x14ac:dyDescent="0.25">
      <c r="L4599" s="2"/>
      <c r="M4599" s="2"/>
      <c r="N4599" s="2"/>
      <c r="AD4599" s="3"/>
      <c r="AH4599" s="3"/>
      <c r="AL4599" s="3"/>
    </row>
    <row r="4600" spans="12:38" x14ac:dyDescent="0.25">
      <c r="L4600" s="2"/>
      <c r="M4600" s="2"/>
      <c r="N4600" s="2"/>
      <c r="AD4600" s="3"/>
      <c r="AH4600" s="3"/>
      <c r="AL4600" s="3"/>
    </row>
    <row r="4601" spans="12:38" x14ac:dyDescent="0.25">
      <c r="L4601" s="2"/>
      <c r="M4601" s="2"/>
      <c r="N4601" s="2"/>
      <c r="AD4601" s="3"/>
      <c r="AH4601" s="3"/>
      <c r="AL4601" s="3"/>
    </row>
    <row r="4602" spans="12:38" x14ac:dyDescent="0.25">
      <c r="L4602" s="2"/>
      <c r="M4602" s="2"/>
      <c r="N4602" s="2"/>
      <c r="AD4602" s="3"/>
      <c r="AH4602" s="3"/>
      <c r="AL4602" s="3"/>
    </row>
    <row r="4603" spans="12:38" x14ac:dyDescent="0.25">
      <c r="L4603" s="2"/>
      <c r="M4603" s="2"/>
      <c r="N4603" s="2"/>
      <c r="AD4603" s="3"/>
      <c r="AH4603" s="3"/>
      <c r="AL4603" s="3"/>
    </row>
    <row r="4604" spans="12:38" x14ac:dyDescent="0.25">
      <c r="L4604" s="2"/>
      <c r="M4604" s="2"/>
      <c r="N4604" s="2"/>
      <c r="AD4604" s="3"/>
      <c r="AH4604" s="3"/>
      <c r="AL4604" s="3"/>
    </row>
    <row r="4605" spans="12:38" x14ac:dyDescent="0.25">
      <c r="L4605" s="2"/>
      <c r="M4605" s="2"/>
      <c r="N4605" s="2"/>
      <c r="AD4605" s="3"/>
      <c r="AH4605" s="3"/>
      <c r="AL4605" s="3"/>
    </row>
    <row r="4606" spans="12:38" x14ac:dyDescent="0.25">
      <c r="L4606" s="2"/>
      <c r="M4606" s="2"/>
      <c r="N4606" s="2"/>
      <c r="AD4606" s="3"/>
      <c r="AH4606" s="3"/>
      <c r="AL4606" s="3"/>
    </row>
    <row r="4607" spans="12:38" x14ac:dyDescent="0.25">
      <c r="L4607" s="2"/>
      <c r="M4607" s="2"/>
      <c r="N4607" s="2"/>
      <c r="AD4607" s="3"/>
      <c r="AH4607" s="3"/>
      <c r="AL4607" s="3"/>
    </row>
    <row r="4608" spans="12:38" x14ac:dyDescent="0.25">
      <c r="L4608" s="2"/>
      <c r="M4608" s="2"/>
      <c r="N4608" s="2"/>
      <c r="AD4608" s="3"/>
      <c r="AH4608" s="3"/>
      <c r="AL4608" s="3"/>
    </row>
    <row r="4609" spans="12:38" x14ac:dyDescent="0.25">
      <c r="L4609" s="2"/>
      <c r="M4609" s="2"/>
      <c r="N4609" s="2"/>
      <c r="AD4609" s="3"/>
      <c r="AH4609" s="3"/>
      <c r="AL4609" s="3"/>
    </row>
    <row r="4610" spans="12:38" x14ac:dyDescent="0.25">
      <c r="L4610" s="2"/>
      <c r="M4610" s="2"/>
      <c r="N4610" s="2"/>
      <c r="AD4610" s="3"/>
      <c r="AH4610" s="3"/>
      <c r="AL4610" s="3"/>
    </row>
    <row r="4611" spans="12:38" x14ac:dyDescent="0.25">
      <c r="L4611" s="2"/>
      <c r="M4611" s="2"/>
      <c r="N4611" s="2"/>
      <c r="AD4611" s="3"/>
      <c r="AH4611" s="3"/>
      <c r="AL4611" s="3"/>
    </row>
    <row r="4612" spans="12:38" x14ac:dyDescent="0.25">
      <c r="L4612" s="2"/>
      <c r="M4612" s="2"/>
      <c r="N4612" s="2"/>
      <c r="AD4612" s="3"/>
      <c r="AH4612" s="3"/>
      <c r="AL4612" s="3"/>
    </row>
    <row r="4613" spans="12:38" x14ac:dyDescent="0.25">
      <c r="L4613" s="2"/>
      <c r="M4613" s="2"/>
      <c r="N4613" s="2"/>
      <c r="AD4613" s="3"/>
      <c r="AH4613" s="3"/>
      <c r="AL4613" s="3"/>
    </row>
    <row r="4614" spans="12:38" x14ac:dyDescent="0.25">
      <c r="L4614" s="2"/>
      <c r="M4614" s="2"/>
      <c r="N4614" s="2"/>
      <c r="AD4614" s="3"/>
      <c r="AH4614" s="3"/>
      <c r="AL4614" s="3"/>
    </row>
    <row r="4615" spans="12:38" x14ac:dyDescent="0.25">
      <c r="L4615" s="2"/>
      <c r="M4615" s="2"/>
      <c r="N4615" s="2"/>
      <c r="AD4615" s="3"/>
      <c r="AH4615" s="3"/>
      <c r="AL4615" s="3"/>
    </row>
    <row r="4616" spans="12:38" x14ac:dyDescent="0.25">
      <c r="L4616" s="2"/>
      <c r="M4616" s="2"/>
      <c r="N4616" s="2"/>
      <c r="AD4616" s="3"/>
      <c r="AH4616" s="3"/>
      <c r="AL4616" s="3"/>
    </row>
    <row r="4617" spans="12:38" x14ac:dyDescent="0.25">
      <c r="L4617" s="2"/>
      <c r="M4617" s="2"/>
      <c r="N4617" s="2"/>
      <c r="AD4617" s="3"/>
      <c r="AH4617" s="3"/>
      <c r="AL4617" s="3"/>
    </row>
    <row r="4618" spans="12:38" x14ac:dyDescent="0.25">
      <c r="L4618" s="2"/>
      <c r="M4618" s="2"/>
      <c r="N4618" s="2"/>
      <c r="AD4618" s="3"/>
      <c r="AH4618" s="3"/>
      <c r="AL4618" s="3"/>
    </row>
    <row r="4619" spans="12:38" x14ac:dyDescent="0.25">
      <c r="L4619" s="2"/>
      <c r="M4619" s="2"/>
      <c r="N4619" s="2"/>
      <c r="AD4619" s="3"/>
      <c r="AH4619" s="3"/>
      <c r="AL4619" s="3"/>
    </row>
    <row r="4620" spans="12:38" x14ac:dyDescent="0.25">
      <c r="L4620" s="2"/>
      <c r="M4620" s="2"/>
      <c r="N4620" s="2"/>
      <c r="AD4620" s="3"/>
      <c r="AH4620" s="3"/>
      <c r="AL4620" s="3"/>
    </row>
    <row r="4621" spans="12:38" x14ac:dyDescent="0.25">
      <c r="L4621" s="2"/>
      <c r="M4621" s="2"/>
      <c r="N4621" s="2"/>
      <c r="AD4621" s="3"/>
      <c r="AH4621" s="3"/>
      <c r="AL4621" s="3"/>
    </row>
    <row r="4622" spans="12:38" x14ac:dyDescent="0.25">
      <c r="L4622" s="2"/>
      <c r="M4622" s="2"/>
      <c r="N4622" s="2"/>
      <c r="AD4622" s="3"/>
      <c r="AH4622" s="3"/>
      <c r="AL4622" s="3"/>
    </row>
    <row r="4623" spans="12:38" x14ac:dyDescent="0.25">
      <c r="L4623" s="2"/>
      <c r="M4623" s="2"/>
      <c r="N4623" s="2"/>
      <c r="AD4623" s="3"/>
      <c r="AH4623" s="3"/>
      <c r="AL4623" s="3"/>
    </row>
    <row r="4624" spans="12:38" x14ac:dyDescent="0.25">
      <c r="L4624" s="2"/>
      <c r="M4624" s="2"/>
      <c r="N4624" s="2"/>
      <c r="AD4624" s="3"/>
      <c r="AH4624" s="3"/>
      <c r="AL4624" s="3"/>
    </row>
    <row r="4625" spans="12:38" x14ac:dyDescent="0.25">
      <c r="L4625" s="2"/>
      <c r="M4625" s="2"/>
      <c r="N4625" s="2"/>
      <c r="AD4625" s="3"/>
      <c r="AH4625" s="3"/>
      <c r="AL4625" s="3"/>
    </row>
    <row r="4626" spans="12:38" x14ac:dyDescent="0.25">
      <c r="L4626" s="2"/>
      <c r="M4626" s="2"/>
      <c r="N4626" s="2"/>
      <c r="AD4626" s="3"/>
      <c r="AH4626" s="3"/>
      <c r="AL4626" s="3"/>
    </row>
    <row r="4627" spans="12:38" x14ac:dyDescent="0.25">
      <c r="L4627" s="2"/>
      <c r="M4627" s="2"/>
      <c r="N4627" s="2"/>
      <c r="AD4627" s="3"/>
      <c r="AH4627" s="3"/>
      <c r="AL4627" s="3"/>
    </row>
    <row r="4628" spans="12:38" x14ac:dyDescent="0.25">
      <c r="L4628" s="2"/>
      <c r="M4628" s="2"/>
      <c r="N4628" s="2"/>
      <c r="AD4628" s="3"/>
      <c r="AH4628" s="3"/>
      <c r="AL4628" s="3"/>
    </row>
    <row r="4629" spans="12:38" x14ac:dyDescent="0.25">
      <c r="L4629" s="2"/>
      <c r="M4629" s="2"/>
      <c r="N4629" s="2"/>
      <c r="AD4629" s="3"/>
      <c r="AH4629" s="3"/>
      <c r="AL4629" s="3"/>
    </row>
    <row r="4630" spans="12:38" x14ac:dyDescent="0.25">
      <c r="L4630" s="2"/>
      <c r="M4630" s="2"/>
      <c r="N4630" s="2"/>
      <c r="AD4630" s="3"/>
      <c r="AH4630" s="3"/>
      <c r="AL4630" s="3"/>
    </row>
    <row r="4631" spans="12:38" x14ac:dyDescent="0.25">
      <c r="L4631" s="2"/>
      <c r="M4631" s="2"/>
      <c r="N4631" s="2"/>
      <c r="AD4631" s="3"/>
      <c r="AH4631" s="3"/>
      <c r="AL4631" s="3"/>
    </row>
    <row r="4632" spans="12:38" x14ac:dyDescent="0.25">
      <c r="L4632" s="2"/>
      <c r="M4632" s="2"/>
      <c r="N4632" s="2"/>
      <c r="AD4632" s="3"/>
      <c r="AH4632" s="3"/>
      <c r="AL4632" s="3"/>
    </row>
    <row r="4633" spans="12:38" x14ac:dyDescent="0.25">
      <c r="L4633" s="2"/>
      <c r="M4633" s="2"/>
      <c r="N4633" s="2"/>
      <c r="AD4633" s="3"/>
      <c r="AH4633" s="3"/>
      <c r="AL4633" s="3"/>
    </row>
    <row r="4634" spans="12:38" x14ac:dyDescent="0.25">
      <c r="L4634" s="2"/>
      <c r="M4634" s="2"/>
      <c r="N4634" s="2"/>
      <c r="AD4634" s="3"/>
      <c r="AH4634" s="3"/>
      <c r="AL4634" s="3"/>
    </row>
    <row r="4635" spans="12:38" x14ac:dyDescent="0.25">
      <c r="L4635" s="2"/>
      <c r="M4635" s="2"/>
      <c r="N4635" s="2"/>
      <c r="AD4635" s="3"/>
      <c r="AH4635" s="3"/>
      <c r="AL4635" s="3"/>
    </row>
    <row r="4636" spans="12:38" x14ac:dyDescent="0.25">
      <c r="L4636" s="2"/>
      <c r="M4636" s="2"/>
      <c r="N4636" s="2"/>
      <c r="AD4636" s="3"/>
      <c r="AH4636" s="3"/>
      <c r="AL4636" s="3"/>
    </row>
    <row r="4637" spans="12:38" x14ac:dyDescent="0.25">
      <c r="L4637" s="2"/>
      <c r="M4637" s="2"/>
      <c r="N4637" s="2"/>
      <c r="AD4637" s="3"/>
      <c r="AH4637" s="3"/>
      <c r="AL4637" s="3"/>
    </row>
    <row r="4638" spans="12:38" x14ac:dyDescent="0.25">
      <c r="L4638" s="2"/>
      <c r="M4638" s="2"/>
      <c r="N4638" s="2"/>
      <c r="AD4638" s="3"/>
      <c r="AH4638" s="3"/>
      <c r="AL4638" s="3"/>
    </row>
    <row r="4639" spans="12:38" x14ac:dyDescent="0.25">
      <c r="L4639" s="2"/>
      <c r="M4639" s="2"/>
      <c r="N4639" s="2"/>
      <c r="AD4639" s="3"/>
      <c r="AH4639" s="3"/>
      <c r="AL4639" s="3"/>
    </row>
    <row r="4640" spans="12:38" x14ac:dyDescent="0.25">
      <c r="L4640" s="2"/>
      <c r="M4640" s="2"/>
      <c r="N4640" s="2"/>
      <c r="AD4640" s="3"/>
      <c r="AH4640" s="3"/>
      <c r="AL4640" s="3"/>
    </row>
    <row r="4641" spans="12:38" x14ac:dyDescent="0.25">
      <c r="L4641" s="2"/>
      <c r="M4641" s="2"/>
      <c r="N4641" s="2"/>
      <c r="AD4641" s="3"/>
      <c r="AH4641" s="3"/>
      <c r="AL4641" s="3"/>
    </row>
    <row r="4642" spans="12:38" x14ac:dyDescent="0.25">
      <c r="L4642" s="2"/>
      <c r="M4642" s="2"/>
      <c r="N4642" s="2"/>
      <c r="AD4642" s="3"/>
      <c r="AH4642" s="3"/>
      <c r="AL4642" s="3"/>
    </row>
    <row r="4643" spans="12:38" x14ac:dyDescent="0.25">
      <c r="L4643" s="2"/>
      <c r="M4643" s="2"/>
      <c r="N4643" s="2"/>
      <c r="AD4643" s="3"/>
      <c r="AH4643" s="3"/>
      <c r="AL4643" s="3"/>
    </row>
    <row r="4644" spans="12:38" x14ac:dyDescent="0.25">
      <c r="L4644" s="2"/>
      <c r="M4644" s="2"/>
      <c r="N4644" s="2"/>
      <c r="AD4644" s="3"/>
      <c r="AH4644" s="3"/>
      <c r="AL4644" s="3"/>
    </row>
    <row r="4645" spans="12:38" x14ac:dyDescent="0.25">
      <c r="L4645" s="2"/>
      <c r="M4645" s="2"/>
      <c r="N4645" s="2"/>
      <c r="AD4645" s="3"/>
      <c r="AH4645" s="3"/>
      <c r="AL4645" s="3"/>
    </row>
    <row r="4646" spans="12:38" x14ac:dyDescent="0.25">
      <c r="L4646" s="2"/>
      <c r="M4646" s="2"/>
      <c r="N4646" s="2"/>
      <c r="AD4646" s="3"/>
      <c r="AH4646" s="3"/>
      <c r="AL4646" s="3"/>
    </row>
    <row r="4647" spans="12:38" x14ac:dyDescent="0.25">
      <c r="L4647" s="2"/>
      <c r="M4647" s="2"/>
      <c r="N4647" s="2"/>
      <c r="AD4647" s="3"/>
      <c r="AH4647" s="3"/>
      <c r="AL4647" s="3"/>
    </row>
    <row r="4648" spans="12:38" x14ac:dyDescent="0.25">
      <c r="L4648" s="2"/>
      <c r="M4648" s="2"/>
      <c r="N4648" s="2"/>
      <c r="AD4648" s="3"/>
      <c r="AH4648" s="3"/>
      <c r="AL4648" s="3"/>
    </row>
    <row r="4649" spans="12:38" x14ac:dyDescent="0.25">
      <c r="L4649" s="2"/>
      <c r="M4649" s="2"/>
      <c r="N4649" s="2"/>
      <c r="AD4649" s="3"/>
      <c r="AH4649" s="3"/>
      <c r="AL4649" s="3"/>
    </row>
    <row r="4650" spans="12:38" x14ac:dyDescent="0.25">
      <c r="L4650" s="2"/>
      <c r="M4650" s="2"/>
      <c r="N4650" s="2"/>
      <c r="AD4650" s="3"/>
      <c r="AH4650" s="3"/>
      <c r="AL4650" s="3"/>
    </row>
    <row r="4651" spans="12:38" x14ac:dyDescent="0.25">
      <c r="L4651" s="2"/>
      <c r="M4651" s="2"/>
      <c r="N4651" s="2"/>
      <c r="AD4651" s="3"/>
      <c r="AH4651" s="3"/>
      <c r="AL4651" s="3"/>
    </row>
    <row r="4652" spans="12:38" x14ac:dyDescent="0.25">
      <c r="L4652" s="2"/>
      <c r="M4652" s="2"/>
      <c r="N4652" s="2"/>
      <c r="AD4652" s="3"/>
      <c r="AH4652" s="3"/>
      <c r="AL4652" s="3"/>
    </row>
    <row r="4653" spans="12:38" x14ac:dyDescent="0.25">
      <c r="L4653" s="2"/>
      <c r="M4653" s="2"/>
      <c r="N4653" s="2"/>
      <c r="AD4653" s="3"/>
      <c r="AH4653" s="3"/>
      <c r="AL4653" s="3"/>
    </row>
    <row r="4654" spans="12:38" x14ac:dyDescent="0.25">
      <c r="L4654" s="2"/>
      <c r="M4654" s="2"/>
      <c r="N4654" s="2"/>
      <c r="AD4654" s="3"/>
      <c r="AH4654" s="3"/>
      <c r="AL4654" s="3"/>
    </row>
    <row r="4655" spans="12:38" x14ac:dyDescent="0.25">
      <c r="L4655" s="2"/>
      <c r="M4655" s="2"/>
      <c r="N4655" s="2"/>
      <c r="AD4655" s="3"/>
      <c r="AH4655" s="3"/>
      <c r="AL4655" s="3"/>
    </row>
    <row r="4656" spans="12:38" x14ac:dyDescent="0.25">
      <c r="L4656" s="2"/>
      <c r="M4656" s="2"/>
      <c r="N4656" s="2"/>
      <c r="AD4656" s="3"/>
      <c r="AH4656" s="3"/>
      <c r="AL4656" s="3"/>
    </row>
    <row r="4657" spans="12:38" x14ac:dyDescent="0.25">
      <c r="L4657" s="2"/>
      <c r="M4657" s="2"/>
      <c r="N4657" s="2"/>
      <c r="AD4657" s="3"/>
      <c r="AH4657" s="3"/>
      <c r="AL4657" s="3"/>
    </row>
    <row r="4658" spans="12:38" x14ac:dyDescent="0.25">
      <c r="L4658" s="2"/>
      <c r="M4658" s="2"/>
      <c r="N4658" s="2"/>
      <c r="AD4658" s="3"/>
      <c r="AH4658" s="3"/>
      <c r="AL4658" s="3"/>
    </row>
    <row r="4659" spans="12:38" x14ac:dyDescent="0.25">
      <c r="L4659" s="2"/>
      <c r="M4659" s="2"/>
      <c r="N4659" s="2"/>
      <c r="AD4659" s="3"/>
      <c r="AH4659" s="3"/>
      <c r="AL4659" s="3"/>
    </row>
    <row r="4660" spans="12:38" x14ac:dyDescent="0.25">
      <c r="L4660" s="2"/>
      <c r="M4660" s="2"/>
      <c r="N4660" s="2"/>
      <c r="AD4660" s="3"/>
      <c r="AH4660" s="3"/>
      <c r="AL4660" s="3"/>
    </row>
    <row r="4661" spans="12:38" x14ac:dyDescent="0.25">
      <c r="L4661" s="2"/>
      <c r="M4661" s="2"/>
      <c r="N4661" s="2"/>
      <c r="AD4661" s="3"/>
      <c r="AH4661" s="3"/>
      <c r="AL4661" s="3"/>
    </row>
    <row r="4662" spans="12:38" x14ac:dyDescent="0.25">
      <c r="L4662" s="2"/>
      <c r="M4662" s="2"/>
      <c r="N4662" s="2"/>
      <c r="AD4662" s="3"/>
      <c r="AH4662" s="3"/>
      <c r="AL4662" s="3"/>
    </row>
    <row r="4663" spans="12:38" x14ac:dyDescent="0.25">
      <c r="L4663" s="2"/>
      <c r="M4663" s="2"/>
      <c r="N4663" s="2"/>
      <c r="AD4663" s="3"/>
      <c r="AH4663" s="3"/>
      <c r="AL4663" s="3"/>
    </row>
    <row r="4664" spans="12:38" x14ac:dyDescent="0.25">
      <c r="L4664" s="2"/>
      <c r="M4664" s="2"/>
      <c r="N4664" s="2"/>
      <c r="AD4664" s="3"/>
      <c r="AH4664" s="3"/>
      <c r="AL4664" s="3"/>
    </row>
    <row r="4665" spans="12:38" x14ac:dyDescent="0.25">
      <c r="L4665" s="2"/>
      <c r="M4665" s="2"/>
      <c r="N4665" s="2"/>
      <c r="AD4665" s="3"/>
      <c r="AH4665" s="3"/>
      <c r="AL4665" s="3"/>
    </row>
    <row r="4666" spans="12:38" x14ac:dyDescent="0.25">
      <c r="L4666" s="2"/>
      <c r="M4666" s="2"/>
      <c r="N4666" s="2"/>
      <c r="AD4666" s="3"/>
      <c r="AH4666" s="3"/>
      <c r="AL4666" s="3"/>
    </row>
    <row r="4667" spans="12:38" x14ac:dyDescent="0.25">
      <c r="L4667" s="2"/>
      <c r="M4667" s="2"/>
      <c r="N4667" s="2"/>
      <c r="AD4667" s="3"/>
      <c r="AH4667" s="3"/>
      <c r="AL4667" s="3"/>
    </row>
    <row r="4668" spans="12:38" x14ac:dyDescent="0.25">
      <c r="L4668" s="2"/>
      <c r="M4668" s="2"/>
      <c r="N4668" s="2"/>
      <c r="AD4668" s="3"/>
      <c r="AH4668" s="3"/>
      <c r="AL4668" s="3"/>
    </row>
    <row r="4669" spans="12:38" x14ac:dyDescent="0.25">
      <c r="L4669" s="2"/>
      <c r="M4669" s="2"/>
      <c r="N4669" s="2"/>
      <c r="AD4669" s="3"/>
      <c r="AH4669" s="3"/>
      <c r="AL4669" s="3"/>
    </row>
    <row r="4670" spans="12:38" x14ac:dyDescent="0.25">
      <c r="L4670" s="2"/>
      <c r="M4670" s="2"/>
      <c r="N4670" s="2"/>
      <c r="AD4670" s="3"/>
      <c r="AH4670" s="3"/>
      <c r="AL4670" s="3"/>
    </row>
    <row r="4671" spans="12:38" x14ac:dyDescent="0.25">
      <c r="L4671" s="2"/>
      <c r="M4671" s="2"/>
      <c r="N4671" s="2"/>
      <c r="AD4671" s="3"/>
      <c r="AH4671" s="3"/>
      <c r="AL4671" s="3"/>
    </row>
    <row r="4672" spans="12:38" x14ac:dyDescent="0.25">
      <c r="L4672" s="2"/>
      <c r="M4672" s="2"/>
      <c r="N4672" s="2"/>
      <c r="AD4672" s="3"/>
      <c r="AH4672" s="3"/>
      <c r="AL4672" s="3"/>
    </row>
    <row r="4673" spans="12:38" x14ac:dyDescent="0.25">
      <c r="L4673" s="2"/>
      <c r="M4673" s="2"/>
      <c r="N4673" s="2"/>
      <c r="AD4673" s="3"/>
      <c r="AH4673" s="3"/>
      <c r="AL4673" s="3"/>
    </row>
    <row r="4674" spans="12:38" x14ac:dyDescent="0.25">
      <c r="L4674" s="2"/>
      <c r="M4674" s="2"/>
      <c r="N4674" s="2"/>
      <c r="AD4674" s="3"/>
      <c r="AH4674" s="3"/>
      <c r="AL4674" s="3"/>
    </row>
    <row r="4675" spans="12:38" x14ac:dyDescent="0.25">
      <c r="L4675" s="2"/>
      <c r="M4675" s="2"/>
      <c r="N4675" s="2"/>
      <c r="AD4675" s="3"/>
      <c r="AH4675" s="3"/>
      <c r="AL4675" s="3"/>
    </row>
    <row r="4676" spans="12:38" x14ac:dyDescent="0.25">
      <c r="L4676" s="2"/>
      <c r="M4676" s="2"/>
      <c r="N4676" s="2"/>
      <c r="AD4676" s="3"/>
      <c r="AH4676" s="3"/>
      <c r="AL4676" s="3"/>
    </row>
    <row r="4677" spans="12:38" x14ac:dyDescent="0.25">
      <c r="L4677" s="2"/>
      <c r="M4677" s="2"/>
      <c r="N4677" s="2"/>
      <c r="AD4677" s="3"/>
      <c r="AH4677" s="3"/>
      <c r="AL4677" s="3"/>
    </row>
    <row r="4678" spans="12:38" x14ac:dyDescent="0.25">
      <c r="L4678" s="2"/>
      <c r="M4678" s="2"/>
      <c r="N4678" s="2"/>
      <c r="AD4678" s="3"/>
      <c r="AH4678" s="3"/>
      <c r="AL4678" s="3"/>
    </row>
    <row r="4679" spans="12:38" x14ac:dyDescent="0.25">
      <c r="L4679" s="2"/>
      <c r="M4679" s="2"/>
      <c r="N4679" s="2"/>
      <c r="AD4679" s="3"/>
      <c r="AH4679" s="3"/>
      <c r="AL4679" s="3"/>
    </row>
    <row r="4680" spans="12:38" x14ac:dyDescent="0.25">
      <c r="L4680" s="2"/>
      <c r="M4680" s="2"/>
      <c r="N4680" s="2"/>
      <c r="AD4680" s="3"/>
      <c r="AH4680" s="3"/>
      <c r="AL4680" s="3"/>
    </row>
    <row r="4681" spans="12:38" x14ac:dyDescent="0.25">
      <c r="L4681" s="2"/>
      <c r="M4681" s="2"/>
      <c r="N4681" s="2"/>
      <c r="AD4681" s="3"/>
      <c r="AH4681" s="3"/>
      <c r="AL4681" s="3"/>
    </row>
    <row r="4682" spans="12:38" x14ac:dyDescent="0.25">
      <c r="L4682" s="2"/>
      <c r="M4682" s="2"/>
      <c r="N4682" s="2"/>
      <c r="AD4682" s="3"/>
      <c r="AH4682" s="3"/>
      <c r="AL4682" s="3"/>
    </row>
    <row r="4683" spans="12:38" x14ac:dyDescent="0.25">
      <c r="L4683" s="2"/>
      <c r="M4683" s="2"/>
      <c r="N4683" s="2"/>
      <c r="AD4683" s="3"/>
      <c r="AH4683" s="3"/>
      <c r="AL4683" s="3"/>
    </row>
    <row r="4684" spans="12:38" x14ac:dyDescent="0.25">
      <c r="L4684" s="2"/>
      <c r="M4684" s="2"/>
      <c r="N4684" s="2"/>
      <c r="AD4684" s="3"/>
      <c r="AH4684" s="3"/>
      <c r="AL4684" s="3"/>
    </row>
    <row r="4685" spans="12:38" x14ac:dyDescent="0.25">
      <c r="L4685" s="2"/>
      <c r="M4685" s="2"/>
      <c r="N4685" s="2"/>
      <c r="AD4685" s="3"/>
      <c r="AH4685" s="3"/>
      <c r="AL4685" s="3"/>
    </row>
    <row r="4686" spans="12:38" x14ac:dyDescent="0.25">
      <c r="L4686" s="2"/>
      <c r="M4686" s="2"/>
      <c r="N4686" s="2"/>
      <c r="AD4686" s="3"/>
      <c r="AH4686" s="3"/>
      <c r="AL4686" s="3"/>
    </row>
    <row r="4687" spans="12:38" x14ac:dyDescent="0.25">
      <c r="L4687" s="2"/>
      <c r="M4687" s="2"/>
      <c r="N4687" s="2"/>
      <c r="AD4687" s="3"/>
      <c r="AH4687" s="3"/>
      <c r="AL4687" s="3"/>
    </row>
    <row r="4688" spans="12:38" x14ac:dyDescent="0.25">
      <c r="L4688" s="2"/>
      <c r="M4688" s="2"/>
      <c r="N4688" s="2"/>
      <c r="AD4688" s="3"/>
      <c r="AH4688" s="3"/>
      <c r="AL4688" s="3"/>
    </row>
    <row r="4689" spans="12:38" x14ac:dyDescent="0.25">
      <c r="L4689" s="2"/>
      <c r="M4689" s="2"/>
      <c r="N4689" s="2"/>
      <c r="AD4689" s="3"/>
      <c r="AH4689" s="3"/>
      <c r="AL4689" s="3"/>
    </row>
    <row r="4690" spans="12:38" x14ac:dyDescent="0.25">
      <c r="L4690" s="2"/>
      <c r="M4690" s="2"/>
      <c r="N4690" s="2"/>
      <c r="AD4690" s="3"/>
      <c r="AH4690" s="3"/>
      <c r="AL4690" s="3"/>
    </row>
    <row r="4691" spans="12:38" x14ac:dyDescent="0.25">
      <c r="L4691" s="2"/>
      <c r="M4691" s="2"/>
      <c r="N4691" s="2"/>
      <c r="AD4691" s="3"/>
      <c r="AH4691" s="3"/>
      <c r="AL4691" s="3"/>
    </row>
    <row r="4692" spans="12:38" x14ac:dyDescent="0.25">
      <c r="L4692" s="2"/>
      <c r="M4692" s="2"/>
      <c r="N4692" s="2"/>
      <c r="AD4692" s="3"/>
      <c r="AH4692" s="3"/>
      <c r="AL4692" s="3"/>
    </row>
    <row r="4693" spans="12:38" x14ac:dyDescent="0.25">
      <c r="L4693" s="2"/>
      <c r="M4693" s="2"/>
      <c r="N4693" s="2"/>
      <c r="AD4693" s="3"/>
      <c r="AH4693" s="3"/>
      <c r="AL4693" s="3"/>
    </row>
    <row r="4694" spans="12:38" x14ac:dyDescent="0.25">
      <c r="L4694" s="2"/>
      <c r="M4694" s="2"/>
      <c r="N4694" s="2"/>
      <c r="AD4694" s="3"/>
      <c r="AH4694" s="3"/>
      <c r="AL4694" s="3"/>
    </row>
    <row r="4695" spans="12:38" x14ac:dyDescent="0.25">
      <c r="L4695" s="2"/>
      <c r="M4695" s="2"/>
      <c r="N4695" s="2"/>
      <c r="AD4695" s="3"/>
      <c r="AH4695" s="3"/>
      <c r="AL4695" s="3"/>
    </row>
    <row r="4696" spans="12:38" x14ac:dyDescent="0.25">
      <c r="L4696" s="2"/>
      <c r="M4696" s="2"/>
      <c r="N4696" s="2"/>
      <c r="AD4696" s="3"/>
      <c r="AH4696" s="3"/>
      <c r="AL4696" s="3"/>
    </row>
    <row r="4697" spans="12:38" x14ac:dyDescent="0.25">
      <c r="L4697" s="2"/>
      <c r="M4697" s="2"/>
      <c r="N4697" s="2"/>
      <c r="AD4697" s="3"/>
      <c r="AH4697" s="3"/>
      <c r="AL4697" s="3"/>
    </row>
    <row r="4698" spans="12:38" x14ac:dyDescent="0.25">
      <c r="L4698" s="2"/>
      <c r="M4698" s="2"/>
      <c r="N4698" s="2"/>
      <c r="AD4698" s="3"/>
      <c r="AH4698" s="3"/>
      <c r="AL4698" s="3"/>
    </row>
    <row r="4699" spans="12:38" x14ac:dyDescent="0.25">
      <c r="L4699" s="2"/>
      <c r="M4699" s="2"/>
      <c r="N4699" s="2"/>
      <c r="AD4699" s="3"/>
      <c r="AH4699" s="3"/>
      <c r="AL4699" s="3"/>
    </row>
    <row r="4700" spans="12:38" x14ac:dyDescent="0.25">
      <c r="L4700" s="2"/>
      <c r="M4700" s="2"/>
      <c r="N4700" s="2"/>
      <c r="AD4700" s="3"/>
      <c r="AH4700" s="3"/>
      <c r="AL4700" s="3"/>
    </row>
    <row r="4701" spans="12:38" x14ac:dyDescent="0.25">
      <c r="L4701" s="2"/>
      <c r="M4701" s="2"/>
      <c r="N4701" s="2"/>
      <c r="AD4701" s="3"/>
      <c r="AH4701" s="3"/>
      <c r="AL4701" s="3"/>
    </row>
    <row r="4702" spans="12:38" x14ac:dyDescent="0.25">
      <c r="L4702" s="2"/>
      <c r="M4702" s="2"/>
      <c r="N4702" s="2"/>
      <c r="AD4702" s="3"/>
      <c r="AH4702" s="3"/>
      <c r="AL4702" s="3"/>
    </row>
    <row r="4703" spans="12:38" x14ac:dyDescent="0.25">
      <c r="L4703" s="2"/>
      <c r="M4703" s="2"/>
      <c r="N4703" s="2"/>
      <c r="AD4703" s="3"/>
      <c r="AH4703" s="3"/>
      <c r="AL4703" s="3"/>
    </row>
    <row r="4704" spans="12:38" x14ac:dyDescent="0.25">
      <c r="L4704" s="2"/>
      <c r="M4704" s="2"/>
      <c r="N4704" s="2"/>
      <c r="AD4704" s="3"/>
      <c r="AH4704" s="3"/>
      <c r="AL4704" s="3"/>
    </row>
    <row r="4705" spans="12:38" x14ac:dyDescent="0.25">
      <c r="L4705" s="2"/>
      <c r="M4705" s="2"/>
      <c r="N4705" s="2"/>
      <c r="AD4705" s="3"/>
      <c r="AH4705" s="3"/>
      <c r="AL4705" s="3"/>
    </row>
    <row r="4706" spans="12:38" x14ac:dyDescent="0.25">
      <c r="L4706" s="2"/>
      <c r="M4706" s="2"/>
      <c r="N4706" s="2"/>
      <c r="AD4706" s="3"/>
      <c r="AH4706" s="3"/>
      <c r="AL4706" s="3"/>
    </row>
    <row r="4707" spans="12:38" x14ac:dyDescent="0.25">
      <c r="L4707" s="2"/>
      <c r="M4707" s="2"/>
      <c r="N4707" s="2"/>
      <c r="AD4707" s="3"/>
      <c r="AH4707" s="3"/>
      <c r="AL4707" s="3"/>
    </row>
    <row r="4708" spans="12:38" x14ac:dyDescent="0.25">
      <c r="L4708" s="2"/>
      <c r="M4708" s="2"/>
      <c r="N4708" s="2"/>
      <c r="AD4708" s="3"/>
      <c r="AH4708" s="3"/>
      <c r="AL4708" s="3"/>
    </row>
    <row r="4709" spans="12:38" x14ac:dyDescent="0.25">
      <c r="L4709" s="2"/>
      <c r="M4709" s="2"/>
      <c r="N4709" s="2"/>
      <c r="AD4709" s="3"/>
      <c r="AH4709" s="3"/>
      <c r="AL4709" s="3"/>
    </row>
    <row r="4710" spans="12:38" x14ac:dyDescent="0.25">
      <c r="L4710" s="2"/>
      <c r="M4710" s="2"/>
      <c r="N4710" s="2"/>
      <c r="AD4710" s="3"/>
      <c r="AH4710" s="3"/>
      <c r="AL4710" s="3"/>
    </row>
    <row r="4711" spans="12:38" x14ac:dyDescent="0.25">
      <c r="L4711" s="2"/>
      <c r="M4711" s="2"/>
      <c r="N4711" s="2"/>
      <c r="AD4711" s="3"/>
      <c r="AH4711" s="3"/>
      <c r="AL4711" s="3"/>
    </row>
    <row r="4712" spans="12:38" x14ac:dyDescent="0.25">
      <c r="L4712" s="2"/>
      <c r="M4712" s="2"/>
      <c r="N4712" s="2"/>
      <c r="AD4712" s="3"/>
      <c r="AH4712" s="3"/>
      <c r="AL4712" s="3"/>
    </row>
    <row r="4713" spans="12:38" x14ac:dyDescent="0.25">
      <c r="L4713" s="2"/>
      <c r="M4713" s="2"/>
      <c r="N4713" s="2"/>
      <c r="AD4713" s="3"/>
      <c r="AH4713" s="3"/>
      <c r="AL4713" s="3"/>
    </row>
    <row r="4714" spans="12:38" x14ac:dyDescent="0.25">
      <c r="L4714" s="2"/>
      <c r="M4714" s="2"/>
      <c r="N4714" s="2"/>
      <c r="AD4714" s="3"/>
      <c r="AH4714" s="3"/>
      <c r="AL4714" s="3"/>
    </row>
    <row r="4715" spans="12:38" x14ac:dyDescent="0.25">
      <c r="L4715" s="2"/>
      <c r="M4715" s="2"/>
      <c r="N4715" s="2"/>
      <c r="AD4715" s="3"/>
      <c r="AH4715" s="3"/>
      <c r="AL4715" s="3"/>
    </row>
    <row r="4716" spans="12:38" x14ac:dyDescent="0.25">
      <c r="L4716" s="2"/>
      <c r="M4716" s="2"/>
      <c r="N4716" s="2"/>
      <c r="AD4716" s="3"/>
      <c r="AH4716" s="3"/>
      <c r="AL4716" s="3"/>
    </row>
    <row r="4717" spans="12:38" x14ac:dyDescent="0.25">
      <c r="L4717" s="2"/>
      <c r="M4717" s="2"/>
      <c r="N4717" s="2"/>
      <c r="AD4717" s="3"/>
      <c r="AH4717" s="3"/>
      <c r="AL4717" s="3"/>
    </row>
    <row r="4718" spans="12:38" x14ac:dyDescent="0.25">
      <c r="L4718" s="2"/>
      <c r="M4718" s="2"/>
      <c r="N4718" s="2"/>
      <c r="AD4718" s="3"/>
      <c r="AH4718" s="3"/>
      <c r="AL4718" s="3"/>
    </row>
    <row r="4719" spans="12:38" x14ac:dyDescent="0.25">
      <c r="L4719" s="2"/>
      <c r="M4719" s="2"/>
      <c r="N4719" s="2"/>
      <c r="AD4719" s="3"/>
      <c r="AH4719" s="3"/>
      <c r="AL4719" s="3"/>
    </row>
    <row r="4720" spans="12:38" x14ac:dyDescent="0.25">
      <c r="L4720" s="2"/>
      <c r="M4720" s="2"/>
      <c r="N4720" s="2"/>
      <c r="AD4720" s="3"/>
      <c r="AH4720" s="3"/>
      <c r="AL4720" s="3"/>
    </row>
    <row r="4721" spans="12:38" x14ac:dyDescent="0.25">
      <c r="L4721" s="2"/>
      <c r="M4721" s="2"/>
      <c r="N4721" s="2"/>
      <c r="AD4721" s="3"/>
      <c r="AH4721" s="3"/>
      <c r="AL4721" s="3"/>
    </row>
    <row r="4722" spans="12:38" x14ac:dyDescent="0.25">
      <c r="L4722" s="2"/>
      <c r="M4722" s="2"/>
      <c r="N4722" s="2"/>
      <c r="AD4722" s="3"/>
      <c r="AH4722" s="3"/>
      <c r="AL4722" s="3"/>
    </row>
    <row r="4723" spans="12:38" x14ac:dyDescent="0.25">
      <c r="L4723" s="2"/>
      <c r="M4723" s="2"/>
      <c r="N4723" s="2"/>
      <c r="AD4723" s="3"/>
      <c r="AH4723" s="3"/>
      <c r="AL4723" s="3"/>
    </row>
    <row r="4724" spans="12:38" x14ac:dyDescent="0.25">
      <c r="L4724" s="2"/>
      <c r="M4724" s="2"/>
      <c r="N4724" s="2"/>
      <c r="AD4724" s="3"/>
      <c r="AH4724" s="3"/>
      <c r="AL4724" s="3"/>
    </row>
    <row r="4725" spans="12:38" x14ac:dyDescent="0.25">
      <c r="L4725" s="2"/>
      <c r="M4725" s="2"/>
      <c r="N4725" s="2"/>
      <c r="AD4725" s="3"/>
      <c r="AH4725" s="3"/>
      <c r="AL4725" s="3"/>
    </row>
    <row r="4726" spans="12:38" x14ac:dyDescent="0.25">
      <c r="L4726" s="2"/>
      <c r="M4726" s="2"/>
      <c r="N4726" s="2"/>
      <c r="AD4726" s="3"/>
      <c r="AH4726" s="3"/>
      <c r="AL4726" s="3"/>
    </row>
    <row r="4727" spans="12:38" x14ac:dyDescent="0.25">
      <c r="L4727" s="2"/>
      <c r="M4727" s="2"/>
      <c r="N4727" s="2"/>
      <c r="AD4727" s="3"/>
      <c r="AH4727" s="3"/>
      <c r="AL4727" s="3"/>
    </row>
    <row r="4728" spans="12:38" x14ac:dyDescent="0.25">
      <c r="L4728" s="2"/>
      <c r="M4728" s="2"/>
      <c r="N4728" s="2"/>
      <c r="AD4728" s="3"/>
      <c r="AH4728" s="3"/>
      <c r="AL4728" s="3"/>
    </row>
    <row r="4729" spans="12:38" x14ac:dyDescent="0.25">
      <c r="L4729" s="2"/>
      <c r="M4729" s="2"/>
      <c r="N4729" s="2"/>
      <c r="AD4729" s="3"/>
      <c r="AH4729" s="3"/>
      <c r="AL4729" s="3"/>
    </row>
    <row r="4730" spans="12:38" x14ac:dyDescent="0.25">
      <c r="L4730" s="2"/>
      <c r="M4730" s="2"/>
      <c r="N4730" s="2"/>
      <c r="AD4730" s="3"/>
      <c r="AH4730" s="3"/>
      <c r="AL4730" s="3"/>
    </row>
    <row r="4731" spans="12:38" x14ac:dyDescent="0.25">
      <c r="L4731" s="2"/>
      <c r="M4731" s="2"/>
      <c r="N4731" s="2"/>
      <c r="AD4731" s="3"/>
      <c r="AH4731" s="3"/>
      <c r="AL4731" s="3"/>
    </row>
    <row r="4732" spans="12:38" x14ac:dyDescent="0.25">
      <c r="L4732" s="2"/>
      <c r="M4732" s="2"/>
      <c r="N4732" s="2"/>
      <c r="AD4732" s="3"/>
      <c r="AH4732" s="3"/>
      <c r="AL4732" s="3"/>
    </row>
    <row r="4733" spans="12:38" x14ac:dyDescent="0.25">
      <c r="L4733" s="2"/>
      <c r="M4733" s="2"/>
      <c r="N4733" s="2"/>
      <c r="AD4733" s="3"/>
      <c r="AH4733" s="3"/>
      <c r="AL4733" s="3"/>
    </row>
    <row r="4734" spans="12:38" x14ac:dyDescent="0.25">
      <c r="L4734" s="2"/>
      <c r="M4734" s="2"/>
      <c r="N4734" s="2"/>
      <c r="AD4734" s="3"/>
      <c r="AH4734" s="3"/>
      <c r="AL4734" s="3"/>
    </row>
    <row r="4735" spans="12:38" x14ac:dyDescent="0.25">
      <c r="L4735" s="2"/>
      <c r="M4735" s="2"/>
      <c r="N4735" s="2"/>
      <c r="AD4735" s="3"/>
      <c r="AH4735" s="3"/>
      <c r="AL4735" s="3"/>
    </row>
    <row r="4736" spans="12:38" x14ac:dyDescent="0.25">
      <c r="L4736" s="2"/>
      <c r="M4736" s="2"/>
      <c r="N4736" s="2"/>
      <c r="AD4736" s="3"/>
      <c r="AH4736" s="3"/>
      <c r="AL4736" s="3"/>
    </row>
    <row r="4737" spans="12:38" x14ac:dyDescent="0.25">
      <c r="L4737" s="2"/>
      <c r="M4737" s="2"/>
      <c r="N4737" s="2"/>
      <c r="AD4737" s="3"/>
      <c r="AH4737" s="3"/>
      <c r="AL4737" s="3"/>
    </row>
    <row r="4738" spans="12:38" x14ac:dyDescent="0.25">
      <c r="L4738" s="2"/>
      <c r="M4738" s="2"/>
      <c r="N4738" s="2"/>
      <c r="AD4738" s="3"/>
      <c r="AH4738" s="3"/>
      <c r="AL4738" s="3"/>
    </row>
    <row r="4739" spans="12:38" x14ac:dyDescent="0.25">
      <c r="L4739" s="2"/>
      <c r="M4739" s="2"/>
      <c r="N4739" s="2"/>
      <c r="AD4739" s="3"/>
      <c r="AH4739" s="3"/>
      <c r="AL4739" s="3"/>
    </row>
    <row r="4740" spans="12:38" x14ac:dyDescent="0.25">
      <c r="L4740" s="2"/>
      <c r="M4740" s="2"/>
      <c r="N4740" s="2"/>
      <c r="AD4740" s="3"/>
      <c r="AH4740" s="3"/>
      <c r="AL4740" s="3"/>
    </row>
    <row r="4741" spans="12:38" x14ac:dyDescent="0.25">
      <c r="L4741" s="2"/>
      <c r="M4741" s="2"/>
      <c r="N4741" s="2"/>
      <c r="AD4741" s="3"/>
      <c r="AH4741" s="3"/>
      <c r="AL4741" s="3"/>
    </row>
    <row r="4742" spans="12:38" x14ac:dyDescent="0.25">
      <c r="L4742" s="2"/>
      <c r="M4742" s="2"/>
      <c r="N4742" s="2"/>
      <c r="AD4742" s="3"/>
      <c r="AH4742" s="3"/>
      <c r="AL4742" s="3"/>
    </row>
    <row r="4743" spans="12:38" x14ac:dyDescent="0.25">
      <c r="L4743" s="2"/>
      <c r="M4743" s="2"/>
      <c r="N4743" s="2"/>
      <c r="AD4743" s="3"/>
      <c r="AH4743" s="3"/>
      <c r="AL4743" s="3"/>
    </row>
    <row r="4744" spans="12:38" x14ac:dyDescent="0.25">
      <c r="L4744" s="2"/>
      <c r="M4744" s="2"/>
      <c r="N4744" s="2"/>
      <c r="AD4744" s="3"/>
      <c r="AH4744" s="3"/>
      <c r="AL4744" s="3"/>
    </row>
    <row r="4745" spans="12:38" x14ac:dyDescent="0.25">
      <c r="L4745" s="2"/>
      <c r="M4745" s="2"/>
      <c r="N4745" s="2"/>
      <c r="AD4745" s="3"/>
      <c r="AH4745" s="3"/>
      <c r="AL4745" s="3"/>
    </row>
    <row r="4746" spans="12:38" x14ac:dyDescent="0.25">
      <c r="L4746" s="2"/>
      <c r="M4746" s="2"/>
      <c r="N4746" s="2"/>
      <c r="AD4746" s="3"/>
      <c r="AH4746" s="3"/>
      <c r="AL4746" s="3"/>
    </row>
    <row r="4747" spans="12:38" x14ac:dyDescent="0.25">
      <c r="L4747" s="2"/>
      <c r="M4747" s="2"/>
      <c r="N4747" s="2"/>
      <c r="AD4747" s="3"/>
      <c r="AH4747" s="3"/>
      <c r="AL4747" s="3"/>
    </row>
    <row r="4748" spans="12:38" x14ac:dyDescent="0.25">
      <c r="L4748" s="2"/>
      <c r="M4748" s="2"/>
      <c r="N4748" s="2"/>
      <c r="AD4748" s="3"/>
      <c r="AH4748" s="3"/>
      <c r="AL4748" s="3"/>
    </row>
    <row r="4749" spans="12:38" x14ac:dyDescent="0.25">
      <c r="L4749" s="2"/>
      <c r="M4749" s="2"/>
      <c r="N4749" s="2"/>
      <c r="AD4749" s="3"/>
      <c r="AH4749" s="3"/>
      <c r="AL4749" s="3"/>
    </row>
    <row r="4750" spans="12:38" x14ac:dyDescent="0.25">
      <c r="L4750" s="2"/>
      <c r="M4750" s="2"/>
      <c r="N4750" s="2"/>
      <c r="AD4750" s="3"/>
      <c r="AH4750" s="3"/>
      <c r="AL4750" s="3"/>
    </row>
    <row r="4751" spans="12:38" x14ac:dyDescent="0.25">
      <c r="L4751" s="2"/>
      <c r="M4751" s="2"/>
      <c r="N4751" s="2"/>
      <c r="AD4751" s="3"/>
      <c r="AH4751" s="3"/>
      <c r="AL4751" s="3"/>
    </row>
    <row r="4752" spans="12:38" x14ac:dyDescent="0.25">
      <c r="L4752" s="2"/>
      <c r="M4752" s="2"/>
      <c r="N4752" s="2"/>
      <c r="AD4752" s="3"/>
      <c r="AH4752" s="3"/>
      <c r="AL4752" s="3"/>
    </row>
    <row r="4753" spans="12:38" x14ac:dyDescent="0.25">
      <c r="L4753" s="2"/>
      <c r="M4753" s="2"/>
      <c r="N4753" s="2"/>
      <c r="AD4753" s="3"/>
      <c r="AH4753" s="3"/>
      <c r="AL4753" s="3"/>
    </row>
    <row r="4754" spans="12:38" x14ac:dyDescent="0.25">
      <c r="L4754" s="2"/>
      <c r="M4754" s="2"/>
      <c r="N4754" s="2"/>
      <c r="AD4754" s="3"/>
      <c r="AH4754" s="3"/>
      <c r="AL4754" s="3"/>
    </row>
    <row r="4755" spans="12:38" x14ac:dyDescent="0.25">
      <c r="L4755" s="2"/>
      <c r="M4755" s="2"/>
      <c r="N4755" s="2"/>
      <c r="AD4755" s="3"/>
      <c r="AH4755" s="3"/>
      <c r="AL4755" s="3"/>
    </row>
    <row r="4756" spans="12:38" x14ac:dyDescent="0.25">
      <c r="L4756" s="2"/>
      <c r="M4756" s="2"/>
      <c r="N4756" s="2"/>
      <c r="AD4756" s="3"/>
      <c r="AH4756" s="3"/>
      <c r="AL4756" s="3"/>
    </row>
    <row r="4757" spans="12:38" x14ac:dyDescent="0.25">
      <c r="L4757" s="2"/>
      <c r="M4757" s="2"/>
      <c r="N4757" s="2"/>
      <c r="AD4757" s="3"/>
      <c r="AH4757" s="3"/>
      <c r="AL4757" s="3"/>
    </row>
    <row r="4758" spans="12:38" x14ac:dyDescent="0.25">
      <c r="L4758" s="2"/>
      <c r="M4758" s="2"/>
      <c r="N4758" s="2"/>
      <c r="AD4758" s="3"/>
      <c r="AH4758" s="3"/>
      <c r="AL4758" s="3"/>
    </row>
    <row r="4759" spans="12:38" x14ac:dyDescent="0.25">
      <c r="L4759" s="2"/>
      <c r="M4759" s="2"/>
      <c r="N4759" s="2"/>
      <c r="AD4759" s="3"/>
      <c r="AH4759" s="3"/>
      <c r="AL4759" s="3"/>
    </row>
    <row r="4760" spans="12:38" x14ac:dyDescent="0.25">
      <c r="L4760" s="2"/>
      <c r="M4760" s="2"/>
      <c r="N4760" s="2"/>
      <c r="AD4760" s="3"/>
      <c r="AH4760" s="3"/>
      <c r="AL4760" s="3"/>
    </row>
    <row r="4761" spans="12:38" x14ac:dyDescent="0.25">
      <c r="L4761" s="2"/>
      <c r="M4761" s="2"/>
      <c r="N4761" s="2"/>
      <c r="AD4761" s="3"/>
      <c r="AH4761" s="3"/>
      <c r="AL4761" s="3"/>
    </row>
    <row r="4762" spans="12:38" x14ac:dyDescent="0.25">
      <c r="L4762" s="2"/>
      <c r="M4762" s="2"/>
      <c r="N4762" s="2"/>
      <c r="AD4762" s="3"/>
      <c r="AH4762" s="3"/>
      <c r="AL4762" s="3"/>
    </row>
    <row r="4763" spans="12:38" x14ac:dyDescent="0.25">
      <c r="L4763" s="2"/>
      <c r="M4763" s="2"/>
      <c r="N4763" s="2"/>
      <c r="AD4763" s="3"/>
      <c r="AH4763" s="3"/>
      <c r="AL4763" s="3"/>
    </row>
    <row r="4764" spans="12:38" x14ac:dyDescent="0.25">
      <c r="L4764" s="2"/>
      <c r="M4764" s="2"/>
      <c r="N4764" s="2"/>
      <c r="AD4764" s="3"/>
      <c r="AH4764" s="3"/>
      <c r="AL4764" s="3"/>
    </row>
    <row r="4765" spans="12:38" x14ac:dyDescent="0.25">
      <c r="L4765" s="2"/>
      <c r="M4765" s="2"/>
      <c r="N4765" s="2"/>
      <c r="AD4765" s="3"/>
      <c r="AH4765" s="3"/>
      <c r="AL4765" s="3"/>
    </row>
    <row r="4766" spans="12:38" x14ac:dyDescent="0.25">
      <c r="L4766" s="2"/>
      <c r="M4766" s="2"/>
      <c r="N4766" s="2"/>
      <c r="AD4766" s="3"/>
      <c r="AH4766" s="3"/>
      <c r="AL4766" s="3"/>
    </row>
    <row r="4767" spans="12:38" x14ac:dyDescent="0.25">
      <c r="L4767" s="2"/>
      <c r="M4767" s="2"/>
      <c r="N4767" s="2"/>
      <c r="AD4767" s="3"/>
      <c r="AH4767" s="3"/>
      <c r="AL4767" s="3"/>
    </row>
    <row r="4768" spans="12:38" x14ac:dyDescent="0.25">
      <c r="L4768" s="2"/>
      <c r="M4768" s="2"/>
      <c r="N4768" s="2"/>
      <c r="AD4768" s="3"/>
      <c r="AH4768" s="3"/>
      <c r="AL4768" s="3"/>
    </row>
    <row r="4769" spans="12:38" x14ac:dyDescent="0.25">
      <c r="L4769" s="2"/>
      <c r="M4769" s="2"/>
      <c r="N4769" s="2"/>
      <c r="AD4769" s="3"/>
      <c r="AH4769" s="3"/>
      <c r="AL4769" s="3"/>
    </row>
    <row r="4770" spans="12:38" x14ac:dyDescent="0.25">
      <c r="L4770" s="2"/>
      <c r="M4770" s="2"/>
      <c r="N4770" s="2"/>
      <c r="AD4770" s="3"/>
      <c r="AH4770" s="3"/>
      <c r="AL4770" s="3"/>
    </row>
    <row r="4771" spans="12:38" x14ac:dyDescent="0.25">
      <c r="L4771" s="2"/>
      <c r="M4771" s="2"/>
      <c r="N4771" s="2"/>
      <c r="AD4771" s="3"/>
      <c r="AH4771" s="3"/>
      <c r="AL4771" s="3"/>
    </row>
    <row r="4772" spans="12:38" x14ac:dyDescent="0.25">
      <c r="L4772" s="2"/>
      <c r="M4772" s="2"/>
      <c r="N4772" s="2"/>
      <c r="AD4772" s="3"/>
      <c r="AH4772" s="3"/>
      <c r="AL4772" s="3"/>
    </row>
    <row r="4773" spans="12:38" x14ac:dyDescent="0.25">
      <c r="L4773" s="2"/>
      <c r="M4773" s="2"/>
      <c r="N4773" s="2"/>
      <c r="AD4773" s="3"/>
      <c r="AH4773" s="3"/>
      <c r="AL4773" s="3"/>
    </row>
    <row r="4774" spans="12:38" x14ac:dyDescent="0.25">
      <c r="L4774" s="2"/>
      <c r="M4774" s="2"/>
      <c r="N4774" s="2"/>
      <c r="AD4774" s="3"/>
      <c r="AH4774" s="3"/>
      <c r="AL4774" s="3"/>
    </row>
    <row r="4775" spans="12:38" x14ac:dyDescent="0.25">
      <c r="L4775" s="2"/>
      <c r="M4775" s="2"/>
      <c r="N4775" s="2"/>
      <c r="AD4775" s="3"/>
      <c r="AH4775" s="3"/>
      <c r="AL4775" s="3"/>
    </row>
    <row r="4776" spans="12:38" x14ac:dyDescent="0.25">
      <c r="L4776" s="2"/>
      <c r="M4776" s="2"/>
      <c r="N4776" s="2"/>
      <c r="AD4776" s="3"/>
      <c r="AH4776" s="3"/>
      <c r="AL4776" s="3"/>
    </row>
    <row r="4777" spans="12:38" x14ac:dyDescent="0.25">
      <c r="L4777" s="2"/>
      <c r="M4777" s="2"/>
      <c r="N4777" s="2"/>
      <c r="AD4777" s="3"/>
      <c r="AH4777" s="3"/>
      <c r="AL4777" s="3"/>
    </row>
    <row r="4778" spans="12:38" x14ac:dyDescent="0.25">
      <c r="L4778" s="2"/>
      <c r="M4778" s="2"/>
      <c r="N4778" s="2"/>
      <c r="AD4778" s="3"/>
      <c r="AH4778" s="3"/>
      <c r="AL4778" s="3"/>
    </row>
    <row r="4779" spans="12:38" x14ac:dyDescent="0.25">
      <c r="L4779" s="2"/>
      <c r="M4779" s="2"/>
      <c r="N4779" s="2"/>
      <c r="AD4779" s="3"/>
      <c r="AH4779" s="3"/>
      <c r="AL4779" s="3"/>
    </row>
    <row r="4780" spans="12:38" x14ac:dyDescent="0.25">
      <c r="L4780" s="2"/>
      <c r="M4780" s="2"/>
      <c r="N4780" s="2"/>
      <c r="AD4780" s="3"/>
      <c r="AH4780" s="3"/>
      <c r="AL4780" s="3"/>
    </row>
    <row r="4781" spans="12:38" x14ac:dyDescent="0.25">
      <c r="L4781" s="2"/>
      <c r="M4781" s="2"/>
      <c r="N4781" s="2"/>
      <c r="AD4781" s="3"/>
      <c r="AH4781" s="3"/>
      <c r="AL4781" s="3"/>
    </row>
    <row r="4782" spans="12:38" x14ac:dyDescent="0.25">
      <c r="L4782" s="2"/>
      <c r="M4782" s="2"/>
      <c r="N4782" s="2"/>
      <c r="AD4782" s="3"/>
      <c r="AH4782" s="3"/>
      <c r="AL4782" s="3"/>
    </row>
    <row r="4783" spans="12:38" x14ac:dyDescent="0.25">
      <c r="L4783" s="2"/>
      <c r="M4783" s="2"/>
      <c r="N4783" s="2"/>
      <c r="AD4783" s="3"/>
      <c r="AH4783" s="3"/>
      <c r="AL4783" s="3"/>
    </row>
    <row r="4784" spans="12:38" x14ac:dyDescent="0.25">
      <c r="L4784" s="2"/>
      <c r="M4784" s="2"/>
      <c r="N4784" s="2"/>
      <c r="AD4784" s="3"/>
      <c r="AH4784" s="3"/>
      <c r="AL4784" s="3"/>
    </row>
    <row r="4785" spans="12:38" x14ac:dyDescent="0.25">
      <c r="L4785" s="2"/>
      <c r="M4785" s="2"/>
      <c r="N4785" s="2"/>
      <c r="AD4785" s="3"/>
      <c r="AH4785" s="3"/>
      <c r="AL4785" s="3"/>
    </row>
    <row r="4786" spans="12:38" x14ac:dyDescent="0.25">
      <c r="L4786" s="2"/>
      <c r="M4786" s="2"/>
      <c r="N4786" s="2"/>
      <c r="AD4786" s="3"/>
      <c r="AH4786" s="3"/>
      <c r="AL4786" s="3"/>
    </row>
    <row r="4787" spans="12:38" x14ac:dyDescent="0.25">
      <c r="L4787" s="2"/>
      <c r="M4787" s="2"/>
      <c r="N4787" s="2"/>
      <c r="AD4787" s="3"/>
      <c r="AH4787" s="3"/>
      <c r="AL4787" s="3"/>
    </row>
    <row r="4788" spans="12:38" x14ac:dyDescent="0.25">
      <c r="L4788" s="2"/>
      <c r="M4788" s="2"/>
      <c r="N4788" s="2"/>
      <c r="AD4788" s="3"/>
      <c r="AH4788" s="3"/>
      <c r="AL4788" s="3"/>
    </row>
    <row r="4789" spans="12:38" x14ac:dyDescent="0.25">
      <c r="L4789" s="2"/>
      <c r="M4789" s="2"/>
      <c r="N4789" s="2"/>
      <c r="AD4789" s="3"/>
      <c r="AH4789" s="3"/>
      <c r="AL4789" s="3"/>
    </row>
    <row r="4790" spans="12:38" x14ac:dyDescent="0.25">
      <c r="L4790" s="2"/>
      <c r="M4790" s="2"/>
      <c r="N4790" s="2"/>
      <c r="AD4790" s="3"/>
      <c r="AH4790" s="3"/>
      <c r="AL4790" s="3"/>
    </row>
    <row r="4791" spans="12:38" x14ac:dyDescent="0.25">
      <c r="L4791" s="2"/>
      <c r="M4791" s="2"/>
      <c r="N4791" s="2"/>
      <c r="AD4791" s="3"/>
      <c r="AH4791" s="3"/>
      <c r="AL4791" s="3"/>
    </row>
    <row r="4792" spans="12:38" x14ac:dyDescent="0.25">
      <c r="L4792" s="2"/>
      <c r="M4792" s="2"/>
      <c r="N4792" s="2"/>
      <c r="AD4792" s="3"/>
      <c r="AH4792" s="3"/>
      <c r="AL4792" s="3"/>
    </row>
    <row r="4793" spans="12:38" x14ac:dyDescent="0.25">
      <c r="L4793" s="2"/>
      <c r="M4793" s="2"/>
      <c r="N4793" s="2"/>
      <c r="AD4793" s="3"/>
      <c r="AH4793" s="3"/>
      <c r="AL4793" s="3"/>
    </row>
    <row r="4794" spans="12:38" x14ac:dyDescent="0.25">
      <c r="L4794" s="2"/>
      <c r="M4794" s="2"/>
      <c r="N4794" s="2"/>
      <c r="AD4794" s="3"/>
      <c r="AH4794" s="3"/>
      <c r="AL4794" s="3"/>
    </row>
    <row r="4795" spans="12:38" x14ac:dyDescent="0.25">
      <c r="L4795" s="2"/>
      <c r="M4795" s="2"/>
      <c r="N4795" s="2"/>
      <c r="AD4795" s="3"/>
      <c r="AH4795" s="3"/>
      <c r="AL4795" s="3"/>
    </row>
    <row r="4796" spans="12:38" x14ac:dyDescent="0.25">
      <c r="L4796" s="2"/>
      <c r="M4796" s="2"/>
      <c r="N4796" s="2"/>
      <c r="AD4796" s="3"/>
      <c r="AH4796" s="3"/>
      <c r="AL4796" s="3"/>
    </row>
    <row r="4797" spans="12:38" x14ac:dyDescent="0.25">
      <c r="L4797" s="2"/>
      <c r="M4797" s="2"/>
      <c r="N4797" s="2"/>
      <c r="AD4797" s="3"/>
      <c r="AH4797" s="3"/>
      <c r="AL4797" s="3"/>
    </row>
    <row r="4798" spans="12:38" x14ac:dyDescent="0.25">
      <c r="L4798" s="2"/>
      <c r="M4798" s="2"/>
      <c r="N4798" s="2"/>
      <c r="AD4798" s="3"/>
      <c r="AH4798" s="3"/>
      <c r="AL4798" s="3"/>
    </row>
    <row r="4799" spans="12:38" x14ac:dyDescent="0.25">
      <c r="L4799" s="2"/>
      <c r="M4799" s="2"/>
      <c r="N4799" s="2"/>
      <c r="AD4799" s="3"/>
      <c r="AH4799" s="3"/>
      <c r="AL4799" s="3"/>
    </row>
    <row r="4800" spans="12:38" x14ac:dyDescent="0.25">
      <c r="L4800" s="2"/>
      <c r="M4800" s="2"/>
      <c r="N4800" s="2"/>
      <c r="AD4800" s="3"/>
      <c r="AH4800" s="3"/>
      <c r="AL4800" s="3"/>
    </row>
    <row r="4801" spans="12:38" x14ac:dyDescent="0.25">
      <c r="L4801" s="2"/>
      <c r="M4801" s="2"/>
      <c r="N4801" s="2"/>
      <c r="AD4801" s="3"/>
      <c r="AH4801" s="3"/>
      <c r="AL4801" s="3"/>
    </row>
    <row r="4802" spans="12:38" x14ac:dyDescent="0.25">
      <c r="L4802" s="2"/>
      <c r="M4802" s="2"/>
      <c r="N4802" s="2"/>
      <c r="AD4802" s="3"/>
      <c r="AH4802" s="3"/>
      <c r="AL4802" s="3"/>
    </row>
    <row r="4803" spans="12:38" x14ac:dyDescent="0.25">
      <c r="L4803" s="2"/>
      <c r="M4803" s="2"/>
      <c r="N4803" s="2"/>
      <c r="AD4803" s="3"/>
      <c r="AH4803" s="3"/>
      <c r="AL4803" s="3"/>
    </row>
    <row r="4804" spans="12:38" x14ac:dyDescent="0.25">
      <c r="L4804" s="2"/>
      <c r="M4804" s="2"/>
      <c r="N4804" s="2"/>
      <c r="AD4804" s="3"/>
      <c r="AH4804" s="3"/>
      <c r="AL4804" s="3"/>
    </row>
    <row r="4805" spans="12:38" x14ac:dyDescent="0.25">
      <c r="L4805" s="2"/>
      <c r="M4805" s="2"/>
      <c r="N4805" s="2"/>
      <c r="AD4805" s="3"/>
      <c r="AH4805" s="3"/>
      <c r="AL4805" s="3"/>
    </row>
    <row r="4806" spans="12:38" x14ac:dyDescent="0.25">
      <c r="L4806" s="2"/>
      <c r="M4806" s="2"/>
      <c r="N4806" s="2"/>
      <c r="AD4806" s="3"/>
      <c r="AH4806" s="3"/>
      <c r="AL4806" s="3"/>
    </row>
    <row r="4807" spans="12:38" x14ac:dyDescent="0.25">
      <c r="L4807" s="2"/>
      <c r="M4807" s="2"/>
      <c r="N4807" s="2"/>
      <c r="AD4807" s="3"/>
      <c r="AH4807" s="3"/>
      <c r="AL4807" s="3"/>
    </row>
    <row r="4808" spans="12:38" x14ac:dyDescent="0.25">
      <c r="L4808" s="2"/>
      <c r="M4808" s="2"/>
      <c r="N4808" s="2"/>
      <c r="AD4808" s="3"/>
      <c r="AH4808" s="3"/>
      <c r="AL4808" s="3"/>
    </row>
    <row r="4809" spans="12:38" x14ac:dyDescent="0.25">
      <c r="L4809" s="2"/>
      <c r="M4809" s="2"/>
      <c r="N4809" s="2"/>
      <c r="AD4809" s="3"/>
      <c r="AH4809" s="3"/>
      <c r="AL4809" s="3"/>
    </row>
    <row r="4810" spans="12:38" x14ac:dyDescent="0.25">
      <c r="L4810" s="2"/>
      <c r="M4810" s="2"/>
      <c r="N4810" s="2"/>
      <c r="AD4810" s="3"/>
      <c r="AH4810" s="3"/>
      <c r="AL4810" s="3"/>
    </row>
    <row r="4811" spans="12:38" x14ac:dyDescent="0.25">
      <c r="L4811" s="2"/>
      <c r="M4811" s="2"/>
      <c r="N4811" s="2"/>
      <c r="AD4811" s="3"/>
      <c r="AH4811" s="3"/>
      <c r="AL4811" s="3"/>
    </row>
    <row r="4812" spans="12:38" x14ac:dyDescent="0.25">
      <c r="L4812" s="2"/>
      <c r="M4812" s="2"/>
      <c r="N4812" s="2"/>
      <c r="AD4812" s="3"/>
      <c r="AH4812" s="3"/>
      <c r="AL4812" s="3"/>
    </row>
    <row r="4813" spans="12:38" x14ac:dyDescent="0.25">
      <c r="L4813" s="2"/>
      <c r="M4813" s="2"/>
      <c r="N4813" s="2"/>
      <c r="AD4813" s="3"/>
      <c r="AH4813" s="3"/>
      <c r="AL4813" s="3"/>
    </row>
    <row r="4814" spans="12:38" x14ac:dyDescent="0.25">
      <c r="L4814" s="2"/>
      <c r="M4814" s="2"/>
      <c r="N4814" s="2"/>
      <c r="AD4814" s="3"/>
      <c r="AH4814" s="3"/>
      <c r="AL4814" s="3"/>
    </row>
    <row r="4815" spans="12:38" x14ac:dyDescent="0.25">
      <c r="L4815" s="2"/>
      <c r="M4815" s="2"/>
      <c r="N4815" s="2"/>
      <c r="AD4815" s="3"/>
      <c r="AH4815" s="3"/>
      <c r="AL4815" s="3"/>
    </row>
    <row r="4816" spans="12:38" x14ac:dyDescent="0.25">
      <c r="L4816" s="2"/>
      <c r="M4816" s="2"/>
      <c r="N4816" s="2"/>
      <c r="AD4816" s="3"/>
      <c r="AH4816" s="3"/>
      <c r="AL4816" s="3"/>
    </row>
    <row r="4817" spans="12:38" x14ac:dyDescent="0.25">
      <c r="L4817" s="2"/>
      <c r="M4817" s="2"/>
      <c r="N4817" s="2"/>
      <c r="AD4817" s="3"/>
      <c r="AH4817" s="3"/>
      <c r="AL4817" s="3"/>
    </row>
    <row r="4818" spans="12:38" x14ac:dyDescent="0.25">
      <c r="L4818" s="2"/>
      <c r="M4818" s="2"/>
      <c r="N4818" s="2"/>
      <c r="AD4818" s="3"/>
      <c r="AH4818" s="3"/>
      <c r="AL4818" s="3"/>
    </row>
    <row r="4819" spans="12:38" x14ac:dyDescent="0.25">
      <c r="L4819" s="2"/>
      <c r="M4819" s="2"/>
      <c r="N4819" s="2"/>
      <c r="AD4819" s="3"/>
      <c r="AH4819" s="3"/>
      <c r="AL4819" s="3"/>
    </row>
    <row r="4820" spans="12:38" x14ac:dyDescent="0.25">
      <c r="L4820" s="2"/>
      <c r="M4820" s="2"/>
      <c r="N4820" s="2"/>
      <c r="AD4820" s="3"/>
      <c r="AH4820" s="3"/>
      <c r="AL4820" s="3"/>
    </row>
    <row r="4821" spans="12:38" x14ac:dyDescent="0.25">
      <c r="L4821" s="2"/>
      <c r="M4821" s="2"/>
      <c r="N4821" s="2"/>
      <c r="AD4821" s="3"/>
      <c r="AH4821" s="3"/>
      <c r="AL4821" s="3"/>
    </row>
    <row r="4822" spans="12:38" x14ac:dyDescent="0.25">
      <c r="L4822" s="2"/>
      <c r="M4822" s="2"/>
      <c r="N4822" s="2"/>
      <c r="AD4822" s="3"/>
      <c r="AH4822" s="3"/>
      <c r="AL4822" s="3"/>
    </row>
    <row r="4823" spans="12:38" x14ac:dyDescent="0.25">
      <c r="L4823" s="2"/>
      <c r="M4823" s="2"/>
      <c r="N4823" s="2"/>
      <c r="AD4823" s="3"/>
      <c r="AH4823" s="3"/>
      <c r="AL4823" s="3"/>
    </row>
    <row r="4824" spans="12:38" x14ac:dyDescent="0.25">
      <c r="L4824" s="2"/>
      <c r="M4824" s="2"/>
      <c r="N4824" s="2"/>
      <c r="AD4824" s="3"/>
      <c r="AH4824" s="3"/>
      <c r="AL4824" s="3"/>
    </row>
    <row r="4825" spans="12:38" x14ac:dyDescent="0.25">
      <c r="L4825" s="2"/>
      <c r="M4825" s="2"/>
      <c r="N4825" s="2"/>
      <c r="AD4825" s="3"/>
      <c r="AH4825" s="3"/>
      <c r="AL4825" s="3"/>
    </row>
    <row r="4826" spans="12:38" x14ac:dyDescent="0.25">
      <c r="L4826" s="2"/>
      <c r="M4826" s="2"/>
      <c r="N4826" s="2"/>
      <c r="AD4826" s="3"/>
      <c r="AH4826" s="3"/>
      <c r="AL4826" s="3"/>
    </row>
    <row r="4827" spans="12:38" x14ac:dyDescent="0.25">
      <c r="L4827" s="2"/>
      <c r="M4827" s="2"/>
      <c r="N4827" s="2"/>
      <c r="AD4827" s="3"/>
      <c r="AH4827" s="3"/>
      <c r="AL4827" s="3"/>
    </row>
    <row r="4828" spans="12:38" x14ac:dyDescent="0.25">
      <c r="L4828" s="2"/>
      <c r="M4828" s="2"/>
      <c r="N4828" s="2"/>
      <c r="AD4828" s="3"/>
      <c r="AH4828" s="3"/>
      <c r="AL4828" s="3"/>
    </row>
    <row r="4829" spans="12:38" x14ac:dyDescent="0.25">
      <c r="L4829" s="2"/>
      <c r="M4829" s="2"/>
      <c r="N4829" s="2"/>
      <c r="AD4829" s="3"/>
      <c r="AH4829" s="3"/>
      <c r="AL4829" s="3"/>
    </row>
    <row r="4830" spans="12:38" x14ac:dyDescent="0.25">
      <c r="L4830" s="2"/>
      <c r="M4830" s="2"/>
      <c r="N4830" s="2"/>
      <c r="AD4830" s="3"/>
      <c r="AH4830" s="3"/>
      <c r="AL4830" s="3"/>
    </row>
    <row r="4831" spans="12:38" x14ac:dyDescent="0.25">
      <c r="L4831" s="2"/>
      <c r="M4831" s="2"/>
      <c r="N4831" s="2"/>
      <c r="AD4831" s="3"/>
      <c r="AH4831" s="3"/>
      <c r="AL4831" s="3"/>
    </row>
    <row r="4832" spans="12:38" x14ac:dyDescent="0.25">
      <c r="L4832" s="2"/>
      <c r="M4832" s="2"/>
      <c r="N4832" s="2"/>
      <c r="AD4832" s="3"/>
      <c r="AH4832" s="3"/>
      <c r="AL4832" s="3"/>
    </row>
    <row r="4833" spans="12:38" x14ac:dyDescent="0.25">
      <c r="L4833" s="2"/>
      <c r="M4833" s="2"/>
      <c r="N4833" s="2"/>
      <c r="AD4833" s="3"/>
      <c r="AH4833" s="3"/>
      <c r="AL4833" s="3"/>
    </row>
    <row r="4834" spans="12:38" x14ac:dyDescent="0.25">
      <c r="L4834" s="2"/>
      <c r="M4834" s="2"/>
      <c r="N4834" s="2"/>
      <c r="AD4834" s="3"/>
      <c r="AH4834" s="3"/>
      <c r="AL4834" s="3"/>
    </row>
    <row r="4835" spans="12:38" x14ac:dyDescent="0.25">
      <c r="L4835" s="2"/>
      <c r="M4835" s="2"/>
      <c r="N4835" s="2"/>
      <c r="AD4835" s="3"/>
      <c r="AH4835" s="3"/>
      <c r="AL4835" s="3"/>
    </row>
    <row r="4836" spans="12:38" x14ac:dyDescent="0.25">
      <c r="L4836" s="2"/>
      <c r="M4836" s="2"/>
      <c r="N4836" s="2"/>
      <c r="AD4836" s="3"/>
      <c r="AH4836" s="3"/>
      <c r="AL4836" s="3"/>
    </row>
    <row r="4837" spans="12:38" x14ac:dyDescent="0.25">
      <c r="L4837" s="2"/>
      <c r="M4837" s="2"/>
      <c r="N4837" s="2"/>
      <c r="AD4837" s="3"/>
      <c r="AH4837" s="3"/>
      <c r="AL4837" s="3"/>
    </row>
    <row r="4838" spans="12:38" x14ac:dyDescent="0.25">
      <c r="L4838" s="2"/>
      <c r="M4838" s="2"/>
      <c r="N4838" s="2"/>
      <c r="AD4838" s="3"/>
      <c r="AH4838" s="3"/>
      <c r="AL4838" s="3"/>
    </row>
    <row r="4839" spans="12:38" x14ac:dyDescent="0.25">
      <c r="L4839" s="2"/>
      <c r="M4839" s="2"/>
      <c r="N4839" s="2"/>
      <c r="AD4839" s="3"/>
      <c r="AH4839" s="3"/>
      <c r="AL4839" s="3"/>
    </row>
    <row r="4840" spans="12:38" x14ac:dyDescent="0.25">
      <c r="L4840" s="2"/>
      <c r="M4840" s="2"/>
      <c r="N4840" s="2"/>
      <c r="AD4840" s="3"/>
      <c r="AH4840" s="3"/>
      <c r="AL4840" s="3"/>
    </row>
    <row r="4841" spans="12:38" x14ac:dyDescent="0.25">
      <c r="L4841" s="2"/>
      <c r="M4841" s="2"/>
      <c r="N4841" s="2"/>
      <c r="AD4841" s="3"/>
      <c r="AH4841" s="3"/>
      <c r="AL4841" s="3"/>
    </row>
    <row r="4842" spans="12:38" x14ac:dyDescent="0.25">
      <c r="L4842" s="2"/>
      <c r="M4842" s="2"/>
      <c r="N4842" s="2"/>
      <c r="AD4842" s="3"/>
      <c r="AH4842" s="3"/>
      <c r="AL4842" s="3"/>
    </row>
    <row r="4843" spans="12:38" x14ac:dyDescent="0.25">
      <c r="L4843" s="2"/>
      <c r="M4843" s="2"/>
      <c r="N4843" s="2"/>
      <c r="AD4843" s="3"/>
      <c r="AH4843" s="3"/>
      <c r="AL4843" s="3"/>
    </row>
    <row r="4844" spans="12:38" x14ac:dyDescent="0.25">
      <c r="L4844" s="2"/>
      <c r="M4844" s="2"/>
      <c r="N4844" s="2"/>
      <c r="AD4844" s="3"/>
      <c r="AH4844" s="3"/>
      <c r="AL4844" s="3"/>
    </row>
    <row r="4845" spans="12:38" x14ac:dyDescent="0.25">
      <c r="L4845" s="2"/>
      <c r="M4845" s="2"/>
      <c r="N4845" s="2"/>
      <c r="AD4845" s="3"/>
      <c r="AH4845" s="3"/>
      <c r="AL4845" s="3"/>
    </row>
    <row r="4846" spans="12:38" x14ac:dyDescent="0.25">
      <c r="L4846" s="2"/>
      <c r="M4846" s="2"/>
      <c r="N4846" s="2"/>
      <c r="AD4846" s="3"/>
      <c r="AH4846" s="3"/>
      <c r="AL4846" s="3"/>
    </row>
    <row r="4847" spans="12:38" x14ac:dyDescent="0.25">
      <c r="L4847" s="2"/>
      <c r="M4847" s="2"/>
      <c r="N4847" s="2"/>
      <c r="AD4847" s="3"/>
      <c r="AH4847" s="3"/>
      <c r="AL4847" s="3"/>
    </row>
    <row r="4848" spans="12:38" x14ac:dyDescent="0.25">
      <c r="L4848" s="2"/>
      <c r="M4848" s="2"/>
      <c r="N4848" s="2"/>
      <c r="AD4848" s="3"/>
      <c r="AH4848" s="3"/>
      <c r="AL4848" s="3"/>
    </row>
    <row r="4849" spans="12:38" x14ac:dyDescent="0.25">
      <c r="L4849" s="2"/>
      <c r="M4849" s="2"/>
      <c r="N4849" s="2"/>
      <c r="AD4849" s="3"/>
      <c r="AH4849" s="3"/>
      <c r="AL4849" s="3"/>
    </row>
    <row r="4850" spans="12:38" x14ac:dyDescent="0.25">
      <c r="L4850" s="2"/>
      <c r="M4850" s="2"/>
      <c r="N4850" s="2"/>
      <c r="AD4850" s="3"/>
      <c r="AH4850" s="3"/>
      <c r="AL4850" s="3"/>
    </row>
    <row r="4851" spans="12:38" x14ac:dyDescent="0.25">
      <c r="L4851" s="2"/>
      <c r="M4851" s="2"/>
      <c r="N4851" s="2"/>
      <c r="AD4851" s="3"/>
      <c r="AH4851" s="3"/>
      <c r="AL4851" s="3"/>
    </row>
    <row r="4852" spans="12:38" x14ac:dyDescent="0.25">
      <c r="L4852" s="2"/>
      <c r="M4852" s="2"/>
      <c r="N4852" s="2"/>
      <c r="AD4852" s="3"/>
      <c r="AH4852" s="3"/>
      <c r="AL4852" s="3"/>
    </row>
    <row r="4853" spans="12:38" x14ac:dyDescent="0.25">
      <c r="L4853" s="2"/>
      <c r="M4853" s="2"/>
      <c r="N4853" s="2"/>
      <c r="AD4853" s="3"/>
      <c r="AH4853" s="3"/>
      <c r="AL4853" s="3"/>
    </row>
    <row r="4854" spans="12:38" x14ac:dyDescent="0.25">
      <c r="L4854" s="2"/>
      <c r="M4854" s="2"/>
      <c r="N4854" s="2"/>
      <c r="AD4854" s="3"/>
      <c r="AH4854" s="3"/>
      <c r="AL4854" s="3"/>
    </row>
    <row r="4855" spans="12:38" x14ac:dyDescent="0.25">
      <c r="L4855" s="2"/>
      <c r="M4855" s="2"/>
      <c r="N4855" s="2"/>
      <c r="AD4855" s="3"/>
      <c r="AH4855" s="3"/>
      <c r="AL4855" s="3"/>
    </row>
    <row r="4856" spans="12:38" x14ac:dyDescent="0.25">
      <c r="L4856" s="2"/>
      <c r="M4856" s="2"/>
      <c r="N4856" s="2"/>
      <c r="AD4856" s="3"/>
      <c r="AH4856" s="3"/>
      <c r="AL4856" s="3"/>
    </row>
    <row r="4857" spans="12:38" x14ac:dyDescent="0.25">
      <c r="L4857" s="2"/>
      <c r="M4857" s="2"/>
      <c r="N4857" s="2"/>
      <c r="AD4857" s="3"/>
      <c r="AH4857" s="3"/>
      <c r="AL4857" s="3"/>
    </row>
    <row r="4858" spans="12:38" x14ac:dyDescent="0.25">
      <c r="L4858" s="2"/>
      <c r="M4858" s="2"/>
      <c r="N4858" s="2"/>
      <c r="AD4858" s="3"/>
      <c r="AH4858" s="3"/>
      <c r="AL4858" s="3"/>
    </row>
    <row r="4859" spans="12:38" x14ac:dyDescent="0.25">
      <c r="L4859" s="2"/>
      <c r="M4859" s="2"/>
      <c r="N4859" s="2"/>
      <c r="AD4859" s="3"/>
      <c r="AH4859" s="3"/>
      <c r="AL4859" s="3"/>
    </row>
    <row r="4860" spans="12:38" x14ac:dyDescent="0.25">
      <c r="L4860" s="2"/>
      <c r="M4860" s="2"/>
      <c r="N4860" s="2"/>
      <c r="AD4860" s="3"/>
      <c r="AH4860" s="3"/>
      <c r="AL4860" s="3"/>
    </row>
    <row r="4861" spans="12:38" x14ac:dyDescent="0.25">
      <c r="L4861" s="2"/>
      <c r="M4861" s="2"/>
      <c r="N4861" s="2"/>
      <c r="AD4861" s="3"/>
      <c r="AH4861" s="3"/>
      <c r="AL4861" s="3"/>
    </row>
    <row r="4862" spans="12:38" x14ac:dyDescent="0.25">
      <c r="L4862" s="2"/>
      <c r="M4862" s="2"/>
      <c r="N4862" s="2"/>
      <c r="AD4862" s="3"/>
      <c r="AH4862" s="3"/>
      <c r="AL4862" s="3"/>
    </row>
    <row r="4863" spans="12:38" x14ac:dyDescent="0.25">
      <c r="L4863" s="2"/>
      <c r="M4863" s="2"/>
      <c r="N4863" s="2"/>
      <c r="AD4863" s="3"/>
      <c r="AH4863" s="3"/>
      <c r="AL4863" s="3"/>
    </row>
    <row r="4864" spans="12:38" x14ac:dyDescent="0.25">
      <c r="L4864" s="2"/>
      <c r="M4864" s="2"/>
      <c r="N4864" s="2"/>
      <c r="AD4864" s="3"/>
      <c r="AH4864" s="3"/>
      <c r="AL4864" s="3"/>
    </row>
    <row r="4865" spans="12:38" x14ac:dyDescent="0.25">
      <c r="L4865" s="2"/>
      <c r="M4865" s="2"/>
      <c r="N4865" s="2"/>
      <c r="AD4865" s="3"/>
      <c r="AH4865" s="3"/>
      <c r="AL4865" s="3"/>
    </row>
    <row r="4866" spans="12:38" x14ac:dyDescent="0.25">
      <c r="L4866" s="2"/>
      <c r="M4866" s="2"/>
      <c r="N4866" s="2"/>
      <c r="AD4866" s="3"/>
      <c r="AH4866" s="3"/>
      <c r="AL4866" s="3"/>
    </row>
    <row r="4867" spans="12:38" x14ac:dyDescent="0.25">
      <c r="L4867" s="2"/>
      <c r="M4867" s="2"/>
      <c r="N4867" s="2"/>
      <c r="AD4867" s="3"/>
      <c r="AH4867" s="3"/>
      <c r="AL4867" s="3"/>
    </row>
    <row r="4868" spans="12:38" x14ac:dyDescent="0.25">
      <c r="L4868" s="2"/>
      <c r="M4868" s="2"/>
      <c r="N4868" s="2"/>
      <c r="AD4868" s="3"/>
      <c r="AH4868" s="3"/>
      <c r="AL4868" s="3"/>
    </row>
    <row r="4869" spans="12:38" x14ac:dyDescent="0.25">
      <c r="L4869" s="2"/>
      <c r="M4869" s="2"/>
      <c r="N4869" s="2"/>
      <c r="AD4869" s="3"/>
      <c r="AH4869" s="3"/>
      <c r="AL4869" s="3"/>
    </row>
    <row r="4870" spans="12:38" x14ac:dyDescent="0.25">
      <c r="L4870" s="2"/>
      <c r="M4870" s="2"/>
      <c r="N4870" s="2"/>
      <c r="AD4870" s="3"/>
      <c r="AH4870" s="3"/>
      <c r="AL4870" s="3"/>
    </row>
    <row r="4871" spans="12:38" x14ac:dyDescent="0.25">
      <c r="L4871" s="2"/>
      <c r="M4871" s="2"/>
      <c r="N4871" s="2"/>
      <c r="AD4871" s="3"/>
      <c r="AH4871" s="3"/>
      <c r="AL4871" s="3"/>
    </row>
    <row r="4872" spans="12:38" x14ac:dyDescent="0.25">
      <c r="L4872" s="2"/>
      <c r="M4872" s="2"/>
      <c r="N4872" s="2"/>
      <c r="AD4872" s="3"/>
      <c r="AH4872" s="3"/>
      <c r="AL4872" s="3"/>
    </row>
    <row r="4873" spans="12:38" x14ac:dyDescent="0.25">
      <c r="L4873" s="2"/>
      <c r="M4873" s="2"/>
      <c r="N4873" s="2"/>
      <c r="AD4873" s="3"/>
      <c r="AH4873" s="3"/>
      <c r="AL4873" s="3"/>
    </row>
    <row r="4874" spans="12:38" x14ac:dyDescent="0.25">
      <c r="L4874" s="2"/>
      <c r="M4874" s="2"/>
      <c r="N4874" s="2"/>
      <c r="AD4874" s="3"/>
      <c r="AH4874" s="3"/>
      <c r="AL4874" s="3"/>
    </row>
    <row r="4875" spans="12:38" x14ac:dyDescent="0.25">
      <c r="L4875" s="2"/>
      <c r="M4875" s="2"/>
      <c r="N4875" s="2"/>
      <c r="AD4875" s="3"/>
      <c r="AH4875" s="3"/>
      <c r="AL4875" s="3"/>
    </row>
    <row r="4876" spans="12:38" x14ac:dyDescent="0.25">
      <c r="L4876" s="2"/>
      <c r="M4876" s="2"/>
      <c r="N4876" s="2"/>
      <c r="AD4876" s="3"/>
      <c r="AH4876" s="3"/>
      <c r="AL4876" s="3"/>
    </row>
    <row r="4877" spans="12:38" x14ac:dyDescent="0.25">
      <c r="L4877" s="2"/>
      <c r="M4877" s="2"/>
      <c r="N4877" s="2"/>
      <c r="AD4877" s="3"/>
      <c r="AH4877" s="3"/>
      <c r="AL4877" s="3"/>
    </row>
    <row r="4878" spans="12:38" x14ac:dyDescent="0.25">
      <c r="L4878" s="2"/>
      <c r="M4878" s="2"/>
      <c r="N4878" s="2"/>
      <c r="AD4878" s="3"/>
      <c r="AH4878" s="3"/>
      <c r="AL4878" s="3"/>
    </row>
    <row r="4879" spans="12:38" x14ac:dyDescent="0.25">
      <c r="L4879" s="2"/>
      <c r="M4879" s="2"/>
      <c r="N4879" s="2"/>
      <c r="AD4879" s="3"/>
      <c r="AH4879" s="3"/>
      <c r="AL4879" s="3"/>
    </row>
    <row r="4880" spans="12:38" x14ac:dyDescent="0.25">
      <c r="L4880" s="2"/>
      <c r="M4880" s="2"/>
      <c r="N4880" s="2"/>
      <c r="AD4880" s="3"/>
      <c r="AH4880" s="3"/>
      <c r="AL4880" s="3"/>
    </row>
    <row r="4881" spans="12:38" x14ac:dyDescent="0.25">
      <c r="L4881" s="2"/>
      <c r="M4881" s="2"/>
      <c r="N4881" s="2"/>
      <c r="AD4881" s="3"/>
      <c r="AH4881" s="3"/>
      <c r="AL4881" s="3"/>
    </row>
    <row r="4882" spans="12:38" x14ac:dyDescent="0.25">
      <c r="L4882" s="2"/>
      <c r="M4882" s="2"/>
      <c r="N4882" s="2"/>
      <c r="AD4882" s="3"/>
      <c r="AH4882" s="3"/>
      <c r="AL4882" s="3"/>
    </row>
    <row r="4883" spans="12:38" x14ac:dyDescent="0.25">
      <c r="L4883" s="2"/>
      <c r="M4883" s="2"/>
      <c r="N4883" s="2"/>
      <c r="AD4883" s="3"/>
      <c r="AH4883" s="3"/>
      <c r="AL4883" s="3"/>
    </row>
    <row r="4884" spans="12:38" x14ac:dyDescent="0.25">
      <c r="L4884" s="2"/>
      <c r="M4884" s="2"/>
      <c r="N4884" s="2"/>
      <c r="AD4884" s="3"/>
      <c r="AH4884" s="3"/>
      <c r="AL4884" s="3"/>
    </row>
    <row r="4885" spans="12:38" x14ac:dyDescent="0.25">
      <c r="L4885" s="2"/>
      <c r="M4885" s="2"/>
      <c r="N4885" s="2"/>
      <c r="AD4885" s="3"/>
      <c r="AH4885" s="3"/>
      <c r="AL4885" s="3"/>
    </row>
    <row r="4886" spans="12:38" x14ac:dyDescent="0.25">
      <c r="L4886" s="2"/>
      <c r="M4886" s="2"/>
      <c r="N4886" s="2"/>
      <c r="AD4886" s="3"/>
      <c r="AH4886" s="3"/>
      <c r="AL4886" s="3"/>
    </row>
    <row r="4887" spans="12:38" x14ac:dyDescent="0.25">
      <c r="L4887" s="2"/>
      <c r="M4887" s="2"/>
      <c r="N4887" s="2"/>
      <c r="AD4887" s="3"/>
      <c r="AH4887" s="3"/>
      <c r="AL4887" s="3"/>
    </row>
    <row r="4888" spans="12:38" x14ac:dyDescent="0.25">
      <c r="L4888" s="2"/>
      <c r="M4888" s="2"/>
      <c r="N4888" s="2"/>
      <c r="AD4888" s="3"/>
      <c r="AH4888" s="3"/>
      <c r="AL4888" s="3"/>
    </row>
    <row r="4889" spans="12:38" x14ac:dyDescent="0.25">
      <c r="L4889" s="2"/>
      <c r="M4889" s="2"/>
      <c r="N4889" s="2"/>
      <c r="AD4889" s="3"/>
      <c r="AH4889" s="3"/>
      <c r="AL4889" s="3"/>
    </row>
    <row r="4890" spans="12:38" x14ac:dyDescent="0.25">
      <c r="L4890" s="2"/>
      <c r="M4890" s="2"/>
      <c r="N4890" s="2"/>
      <c r="AD4890" s="3"/>
      <c r="AH4890" s="3"/>
      <c r="AL4890" s="3"/>
    </row>
    <row r="4891" spans="12:38" x14ac:dyDescent="0.25">
      <c r="L4891" s="2"/>
      <c r="M4891" s="2"/>
      <c r="N4891" s="2"/>
      <c r="AD4891" s="3"/>
      <c r="AH4891" s="3"/>
      <c r="AL4891" s="3"/>
    </row>
    <row r="4892" spans="12:38" x14ac:dyDescent="0.25">
      <c r="L4892" s="2"/>
      <c r="M4892" s="2"/>
      <c r="N4892" s="2"/>
      <c r="AD4892" s="3"/>
      <c r="AH4892" s="3"/>
      <c r="AL4892" s="3"/>
    </row>
    <row r="4893" spans="12:38" x14ac:dyDescent="0.25">
      <c r="L4893" s="2"/>
      <c r="M4893" s="2"/>
      <c r="N4893" s="2"/>
      <c r="AD4893" s="3"/>
      <c r="AH4893" s="3"/>
      <c r="AL4893" s="3"/>
    </row>
    <row r="4894" spans="12:38" x14ac:dyDescent="0.25">
      <c r="L4894" s="2"/>
      <c r="M4894" s="2"/>
      <c r="N4894" s="2"/>
      <c r="AD4894" s="3"/>
      <c r="AH4894" s="3"/>
      <c r="AL4894" s="3"/>
    </row>
    <row r="4895" spans="12:38" x14ac:dyDescent="0.25">
      <c r="L4895" s="2"/>
      <c r="M4895" s="2"/>
      <c r="N4895" s="2"/>
      <c r="AD4895" s="3"/>
      <c r="AH4895" s="3"/>
      <c r="AL4895" s="3"/>
    </row>
    <row r="4896" spans="12:38" x14ac:dyDescent="0.25">
      <c r="L4896" s="2"/>
      <c r="M4896" s="2"/>
      <c r="N4896" s="2"/>
      <c r="AD4896" s="3"/>
      <c r="AH4896" s="3"/>
      <c r="AL4896" s="3"/>
    </row>
    <row r="4897" spans="12:38" x14ac:dyDescent="0.25">
      <c r="L4897" s="2"/>
      <c r="M4897" s="2"/>
      <c r="N4897" s="2"/>
      <c r="AD4897" s="3"/>
      <c r="AH4897" s="3"/>
      <c r="AL4897" s="3"/>
    </row>
    <row r="4898" spans="12:38" x14ac:dyDescent="0.25">
      <c r="L4898" s="2"/>
      <c r="M4898" s="2"/>
      <c r="N4898" s="2"/>
      <c r="AD4898" s="3"/>
      <c r="AH4898" s="3"/>
      <c r="AL4898" s="3"/>
    </row>
    <row r="4899" spans="12:38" x14ac:dyDescent="0.25">
      <c r="L4899" s="2"/>
      <c r="M4899" s="2"/>
      <c r="N4899" s="2"/>
      <c r="AD4899" s="3"/>
      <c r="AH4899" s="3"/>
      <c r="AL4899" s="3"/>
    </row>
    <row r="4900" spans="12:38" x14ac:dyDescent="0.25">
      <c r="L4900" s="2"/>
      <c r="M4900" s="2"/>
      <c r="N4900" s="2"/>
      <c r="AD4900" s="3"/>
      <c r="AH4900" s="3"/>
      <c r="AL4900" s="3"/>
    </row>
    <row r="4901" spans="12:38" x14ac:dyDescent="0.25">
      <c r="L4901" s="2"/>
      <c r="M4901" s="2"/>
      <c r="N4901" s="2"/>
      <c r="AD4901" s="3"/>
      <c r="AH4901" s="3"/>
      <c r="AL4901" s="3"/>
    </row>
    <row r="4902" spans="12:38" x14ac:dyDescent="0.25">
      <c r="L4902" s="2"/>
      <c r="M4902" s="2"/>
      <c r="N4902" s="2"/>
      <c r="AD4902" s="3"/>
      <c r="AH4902" s="3"/>
      <c r="AL4902" s="3"/>
    </row>
    <row r="4903" spans="12:38" x14ac:dyDescent="0.25">
      <c r="L4903" s="2"/>
      <c r="M4903" s="2"/>
      <c r="N4903" s="2"/>
      <c r="AD4903" s="3"/>
      <c r="AH4903" s="3"/>
      <c r="AL4903" s="3"/>
    </row>
    <row r="4904" spans="12:38" x14ac:dyDescent="0.25">
      <c r="L4904" s="2"/>
      <c r="M4904" s="2"/>
      <c r="N4904" s="2"/>
      <c r="AD4904" s="3"/>
      <c r="AH4904" s="3"/>
      <c r="AL4904" s="3"/>
    </row>
    <row r="4905" spans="12:38" x14ac:dyDescent="0.25">
      <c r="L4905" s="2"/>
      <c r="M4905" s="2"/>
      <c r="N4905" s="2"/>
      <c r="AD4905" s="3"/>
      <c r="AH4905" s="3"/>
      <c r="AL4905" s="3"/>
    </row>
    <row r="4906" spans="12:38" x14ac:dyDescent="0.25">
      <c r="L4906" s="2"/>
      <c r="M4906" s="2"/>
      <c r="N4906" s="2"/>
      <c r="AD4906" s="3"/>
      <c r="AH4906" s="3"/>
      <c r="AL4906" s="3"/>
    </row>
    <row r="4907" spans="12:38" x14ac:dyDescent="0.25">
      <c r="L4907" s="2"/>
      <c r="M4907" s="2"/>
      <c r="N4907" s="2"/>
      <c r="AD4907" s="3"/>
      <c r="AH4907" s="3"/>
      <c r="AL4907" s="3"/>
    </row>
    <row r="4908" spans="12:38" x14ac:dyDescent="0.25">
      <c r="L4908" s="2"/>
      <c r="M4908" s="2"/>
      <c r="N4908" s="2"/>
      <c r="AD4908" s="3"/>
      <c r="AH4908" s="3"/>
      <c r="AL4908" s="3"/>
    </row>
    <row r="4909" spans="12:38" x14ac:dyDescent="0.25">
      <c r="L4909" s="2"/>
      <c r="M4909" s="2"/>
      <c r="N4909" s="2"/>
      <c r="AD4909" s="3"/>
      <c r="AH4909" s="3"/>
      <c r="AL4909" s="3"/>
    </row>
    <row r="4910" spans="12:38" x14ac:dyDescent="0.25">
      <c r="L4910" s="2"/>
      <c r="M4910" s="2"/>
      <c r="N4910" s="2"/>
      <c r="AD4910" s="3"/>
      <c r="AH4910" s="3"/>
      <c r="AL4910" s="3"/>
    </row>
    <row r="4911" spans="12:38" x14ac:dyDescent="0.25">
      <c r="L4911" s="2"/>
      <c r="M4911" s="2"/>
      <c r="N4911" s="2"/>
      <c r="AD4911" s="3"/>
      <c r="AH4911" s="3"/>
      <c r="AL4911" s="3"/>
    </row>
    <row r="4912" spans="12:38" x14ac:dyDescent="0.25">
      <c r="L4912" s="2"/>
      <c r="M4912" s="2"/>
      <c r="N4912" s="2"/>
      <c r="AD4912" s="3"/>
      <c r="AH4912" s="3"/>
      <c r="AL4912" s="3"/>
    </row>
    <row r="4913" spans="12:38" x14ac:dyDescent="0.25">
      <c r="L4913" s="2"/>
      <c r="M4913" s="2"/>
      <c r="N4913" s="2"/>
      <c r="AD4913" s="3"/>
      <c r="AH4913" s="3"/>
      <c r="AL4913" s="3"/>
    </row>
    <row r="4914" spans="12:38" x14ac:dyDescent="0.25">
      <c r="L4914" s="2"/>
      <c r="M4914" s="2"/>
      <c r="N4914" s="2"/>
      <c r="AD4914" s="3"/>
      <c r="AH4914" s="3"/>
      <c r="AL4914" s="3"/>
    </row>
    <row r="4915" spans="12:38" x14ac:dyDescent="0.25">
      <c r="L4915" s="2"/>
      <c r="M4915" s="2"/>
      <c r="N4915" s="2"/>
      <c r="AD4915" s="3"/>
      <c r="AH4915" s="3"/>
      <c r="AL4915" s="3"/>
    </row>
    <row r="4916" spans="12:38" x14ac:dyDescent="0.25">
      <c r="L4916" s="2"/>
      <c r="M4916" s="2"/>
      <c r="N4916" s="2"/>
      <c r="AD4916" s="3"/>
      <c r="AH4916" s="3"/>
      <c r="AL4916" s="3"/>
    </row>
    <row r="4917" spans="12:38" x14ac:dyDescent="0.25">
      <c r="L4917" s="2"/>
      <c r="M4917" s="2"/>
      <c r="N4917" s="2"/>
      <c r="AD4917" s="3"/>
      <c r="AH4917" s="3"/>
      <c r="AL4917" s="3"/>
    </row>
    <row r="4918" spans="12:38" x14ac:dyDescent="0.25">
      <c r="L4918" s="2"/>
      <c r="M4918" s="2"/>
      <c r="N4918" s="2"/>
      <c r="AD4918" s="3"/>
      <c r="AH4918" s="3"/>
      <c r="AL4918" s="3"/>
    </row>
    <row r="4919" spans="12:38" x14ac:dyDescent="0.25">
      <c r="L4919" s="2"/>
      <c r="M4919" s="2"/>
      <c r="N4919" s="2"/>
      <c r="AD4919" s="3"/>
      <c r="AH4919" s="3"/>
      <c r="AL4919" s="3"/>
    </row>
    <row r="4920" spans="12:38" x14ac:dyDescent="0.25">
      <c r="L4920" s="2"/>
      <c r="M4920" s="2"/>
      <c r="N4920" s="2"/>
      <c r="AD4920" s="3"/>
      <c r="AH4920" s="3"/>
      <c r="AL4920" s="3"/>
    </row>
    <row r="4921" spans="12:38" x14ac:dyDescent="0.25">
      <c r="L4921" s="2"/>
      <c r="M4921" s="2"/>
      <c r="N4921" s="2"/>
      <c r="AD4921" s="3"/>
      <c r="AH4921" s="3"/>
      <c r="AL4921" s="3"/>
    </row>
    <row r="4922" spans="12:38" x14ac:dyDescent="0.25">
      <c r="L4922" s="2"/>
      <c r="M4922" s="2"/>
      <c r="N4922" s="2"/>
      <c r="AD4922" s="3"/>
      <c r="AH4922" s="3"/>
      <c r="AL4922" s="3"/>
    </row>
    <row r="4923" spans="12:38" x14ac:dyDescent="0.25">
      <c r="L4923" s="2"/>
      <c r="M4923" s="2"/>
      <c r="N4923" s="2"/>
      <c r="AD4923" s="3"/>
      <c r="AH4923" s="3"/>
      <c r="AL4923" s="3"/>
    </row>
    <row r="4924" spans="12:38" x14ac:dyDescent="0.25">
      <c r="L4924" s="2"/>
      <c r="M4924" s="2"/>
      <c r="N4924" s="2"/>
      <c r="AD4924" s="3"/>
      <c r="AH4924" s="3"/>
      <c r="AL4924" s="3"/>
    </row>
    <row r="4925" spans="12:38" x14ac:dyDescent="0.25">
      <c r="L4925" s="2"/>
      <c r="M4925" s="2"/>
      <c r="N4925" s="2"/>
      <c r="AD4925" s="3"/>
      <c r="AH4925" s="3"/>
      <c r="AL4925" s="3"/>
    </row>
    <row r="4926" spans="12:38" x14ac:dyDescent="0.25">
      <c r="L4926" s="2"/>
      <c r="M4926" s="2"/>
      <c r="N4926" s="2"/>
      <c r="AD4926" s="3"/>
      <c r="AH4926" s="3"/>
      <c r="AL4926" s="3"/>
    </row>
    <row r="4927" spans="12:38" x14ac:dyDescent="0.25">
      <c r="L4927" s="2"/>
      <c r="M4927" s="2"/>
      <c r="N4927" s="2"/>
      <c r="AD4927" s="3"/>
      <c r="AH4927" s="3"/>
      <c r="AL4927" s="3"/>
    </row>
    <row r="4928" spans="12:38" x14ac:dyDescent="0.25">
      <c r="L4928" s="2"/>
      <c r="M4928" s="2"/>
      <c r="N4928" s="2"/>
      <c r="AD4928" s="3"/>
      <c r="AH4928" s="3"/>
      <c r="AL4928" s="3"/>
    </row>
    <row r="4929" spans="12:38" x14ac:dyDescent="0.25">
      <c r="L4929" s="2"/>
      <c r="M4929" s="2"/>
      <c r="N4929" s="2"/>
      <c r="AD4929" s="3"/>
      <c r="AH4929" s="3"/>
      <c r="AL4929" s="3"/>
    </row>
    <row r="4930" spans="12:38" x14ac:dyDescent="0.25">
      <c r="L4930" s="2"/>
      <c r="M4930" s="2"/>
      <c r="N4930" s="2"/>
      <c r="AD4930" s="3"/>
      <c r="AH4930" s="3"/>
      <c r="AL4930" s="3"/>
    </row>
    <row r="4931" spans="12:38" x14ac:dyDescent="0.25">
      <c r="L4931" s="2"/>
      <c r="M4931" s="2"/>
      <c r="N4931" s="2"/>
      <c r="AD4931" s="3"/>
      <c r="AH4931" s="3"/>
      <c r="AL4931" s="3"/>
    </row>
    <row r="4932" spans="12:38" x14ac:dyDescent="0.25">
      <c r="L4932" s="2"/>
      <c r="M4932" s="2"/>
      <c r="N4932" s="2"/>
      <c r="AD4932" s="3"/>
      <c r="AH4932" s="3"/>
      <c r="AL4932" s="3"/>
    </row>
    <row r="4933" spans="12:38" x14ac:dyDescent="0.25">
      <c r="L4933" s="2"/>
      <c r="M4933" s="2"/>
      <c r="N4933" s="2"/>
      <c r="AD4933" s="3"/>
      <c r="AH4933" s="3"/>
      <c r="AL4933" s="3"/>
    </row>
    <row r="4934" spans="12:38" x14ac:dyDescent="0.25">
      <c r="L4934" s="2"/>
      <c r="M4934" s="2"/>
      <c r="N4934" s="2"/>
      <c r="AD4934" s="3"/>
      <c r="AH4934" s="3"/>
      <c r="AL4934" s="3"/>
    </row>
    <row r="4935" spans="12:38" x14ac:dyDescent="0.25">
      <c r="L4935" s="2"/>
      <c r="M4935" s="2"/>
      <c r="N4935" s="2"/>
      <c r="AD4935" s="3"/>
      <c r="AH4935" s="3"/>
      <c r="AL4935" s="3"/>
    </row>
    <row r="4936" spans="12:38" x14ac:dyDescent="0.25">
      <c r="L4936" s="2"/>
      <c r="M4936" s="2"/>
      <c r="N4936" s="2"/>
      <c r="AD4936" s="3"/>
      <c r="AH4936" s="3"/>
      <c r="AL4936" s="3"/>
    </row>
    <row r="4937" spans="12:38" x14ac:dyDescent="0.25">
      <c r="L4937" s="2"/>
      <c r="M4937" s="2"/>
      <c r="N4937" s="2"/>
      <c r="AD4937" s="3"/>
      <c r="AH4937" s="3"/>
      <c r="AL4937" s="3"/>
    </row>
    <row r="4938" spans="12:38" x14ac:dyDescent="0.25">
      <c r="L4938" s="2"/>
      <c r="M4938" s="2"/>
      <c r="N4938" s="2"/>
      <c r="AD4938" s="3"/>
      <c r="AH4938" s="3"/>
      <c r="AL4938" s="3"/>
    </row>
    <row r="4939" spans="12:38" x14ac:dyDescent="0.25">
      <c r="L4939" s="2"/>
      <c r="M4939" s="2"/>
      <c r="N4939" s="2"/>
      <c r="AD4939" s="3"/>
      <c r="AH4939" s="3"/>
      <c r="AL4939" s="3"/>
    </row>
    <row r="4940" spans="12:38" x14ac:dyDescent="0.25">
      <c r="L4940" s="2"/>
      <c r="M4940" s="2"/>
      <c r="N4940" s="2"/>
      <c r="AD4940" s="3"/>
      <c r="AH4940" s="3"/>
      <c r="AL4940" s="3"/>
    </row>
    <row r="4941" spans="12:38" x14ac:dyDescent="0.25">
      <c r="L4941" s="2"/>
      <c r="M4941" s="2"/>
      <c r="N4941" s="2"/>
      <c r="AD4941" s="3"/>
      <c r="AH4941" s="3"/>
      <c r="AL4941" s="3"/>
    </row>
    <row r="4942" spans="12:38" x14ac:dyDescent="0.25">
      <c r="L4942" s="2"/>
      <c r="M4942" s="2"/>
      <c r="N4942" s="2"/>
      <c r="AD4942" s="3"/>
      <c r="AH4942" s="3"/>
      <c r="AL4942" s="3"/>
    </row>
    <row r="4943" spans="12:38" x14ac:dyDescent="0.25">
      <c r="L4943" s="2"/>
      <c r="M4943" s="2"/>
      <c r="N4943" s="2"/>
      <c r="AD4943" s="3"/>
      <c r="AH4943" s="3"/>
      <c r="AL4943" s="3"/>
    </row>
    <row r="4944" spans="12:38" x14ac:dyDescent="0.25">
      <c r="L4944" s="2"/>
      <c r="M4944" s="2"/>
      <c r="N4944" s="2"/>
      <c r="AD4944" s="3"/>
      <c r="AH4944" s="3"/>
      <c r="AL4944" s="3"/>
    </row>
    <row r="4945" spans="12:38" x14ac:dyDescent="0.25">
      <c r="L4945" s="2"/>
      <c r="M4945" s="2"/>
      <c r="N4945" s="2"/>
      <c r="AD4945" s="3"/>
      <c r="AH4945" s="3"/>
      <c r="AL4945" s="3"/>
    </row>
    <row r="4946" spans="12:38" x14ac:dyDescent="0.25">
      <c r="L4946" s="2"/>
      <c r="M4946" s="2"/>
      <c r="N4946" s="2"/>
      <c r="AD4946" s="3"/>
      <c r="AH4946" s="3"/>
      <c r="AL4946" s="3"/>
    </row>
    <row r="4947" spans="12:38" x14ac:dyDescent="0.25">
      <c r="L4947" s="2"/>
      <c r="M4947" s="2"/>
      <c r="N4947" s="2"/>
      <c r="AD4947" s="3"/>
      <c r="AH4947" s="3"/>
      <c r="AL4947" s="3"/>
    </row>
    <row r="4948" spans="12:38" x14ac:dyDescent="0.25">
      <c r="L4948" s="2"/>
      <c r="M4948" s="2"/>
      <c r="N4948" s="2"/>
      <c r="AD4948" s="3"/>
      <c r="AH4948" s="3"/>
      <c r="AL4948" s="3"/>
    </row>
    <row r="4949" spans="12:38" x14ac:dyDescent="0.25">
      <c r="L4949" s="2"/>
      <c r="M4949" s="2"/>
      <c r="N4949" s="2"/>
      <c r="AD4949" s="3"/>
      <c r="AH4949" s="3"/>
      <c r="AL4949" s="3"/>
    </row>
    <row r="4950" spans="12:38" x14ac:dyDescent="0.25">
      <c r="L4950" s="2"/>
      <c r="M4950" s="2"/>
      <c r="N4950" s="2"/>
      <c r="AD4950" s="3"/>
      <c r="AH4950" s="3"/>
      <c r="AL4950" s="3"/>
    </row>
    <row r="4951" spans="12:38" x14ac:dyDescent="0.25">
      <c r="L4951" s="2"/>
      <c r="M4951" s="2"/>
      <c r="N4951" s="2"/>
      <c r="AD4951" s="3"/>
      <c r="AH4951" s="3"/>
      <c r="AL4951" s="3"/>
    </row>
    <row r="4952" spans="12:38" x14ac:dyDescent="0.25">
      <c r="L4952" s="2"/>
      <c r="M4952" s="2"/>
      <c r="N4952" s="2"/>
      <c r="AD4952" s="3"/>
      <c r="AH4952" s="3"/>
      <c r="AL4952" s="3"/>
    </row>
    <row r="4953" spans="12:38" x14ac:dyDescent="0.25">
      <c r="L4953" s="2"/>
      <c r="M4953" s="2"/>
      <c r="N4953" s="2"/>
      <c r="AD4953" s="3"/>
      <c r="AH4953" s="3"/>
      <c r="AL4953" s="3"/>
    </row>
    <row r="4954" spans="12:38" x14ac:dyDescent="0.25">
      <c r="L4954" s="2"/>
      <c r="M4954" s="2"/>
      <c r="N4954" s="2"/>
      <c r="AD4954" s="3"/>
      <c r="AH4954" s="3"/>
      <c r="AL4954" s="3"/>
    </row>
    <row r="4955" spans="12:38" x14ac:dyDescent="0.25">
      <c r="L4955" s="2"/>
      <c r="M4955" s="2"/>
      <c r="N4955" s="2"/>
      <c r="AD4955" s="3"/>
      <c r="AH4955" s="3"/>
      <c r="AL4955" s="3"/>
    </row>
    <row r="4956" spans="12:38" x14ac:dyDescent="0.25">
      <c r="L4956" s="2"/>
      <c r="M4956" s="2"/>
      <c r="N4956" s="2"/>
      <c r="AD4956" s="3"/>
      <c r="AH4956" s="3"/>
      <c r="AL4956" s="3"/>
    </row>
    <row r="4957" spans="12:38" x14ac:dyDescent="0.25">
      <c r="L4957" s="2"/>
      <c r="M4957" s="2"/>
      <c r="N4957" s="2"/>
      <c r="AD4957" s="3"/>
      <c r="AH4957" s="3"/>
      <c r="AL4957" s="3"/>
    </row>
    <row r="4958" spans="12:38" x14ac:dyDescent="0.25">
      <c r="L4958" s="2"/>
      <c r="M4958" s="2"/>
      <c r="N4958" s="2"/>
      <c r="AD4958" s="3"/>
      <c r="AH4958" s="3"/>
      <c r="AL4958" s="3"/>
    </row>
    <row r="4959" spans="12:38" x14ac:dyDescent="0.25">
      <c r="L4959" s="2"/>
      <c r="M4959" s="2"/>
      <c r="N4959" s="2"/>
      <c r="AD4959" s="3"/>
      <c r="AH4959" s="3"/>
      <c r="AL4959" s="3"/>
    </row>
    <row r="4960" spans="12:38" x14ac:dyDescent="0.25">
      <c r="L4960" s="2"/>
      <c r="M4960" s="2"/>
      <c r="N4960" s="2"/>
      <c r="AD4960" s="3"/>
      <c r="AH4960" s="3"/>
      <c r="AL4960" s="3"/>
    </row>
    <row r="4961" spans="12:38" x14ac:dyDescent="0.25">
      <c r="L4961" s="2"/>
      <c r="M4961" s="2"/>
      <c r="N4961" s="2"/>
      <c r="AD4961" s="3"/>
      <c r="AH4961" s="3"/>
      <c r="AL4961" s="3"/>
    </row>
    <row r="4962" spans="12:38" x14ac:dyDescent="0.25">
      <c r="L4962" s="2"/>
      <c r="M4962" s="2"/>
      <c r="N4962" s="2"/>
      <c r="AD4962" s="3"/>
      <c r="AH4962" s="3"/>
      <c r="AL4962" s="3"/>
    </row>
    <row r="4963" spans="12:38" x14ac:dyDescent="0.25">
      <c r="L4963" s="2"/>
      <c r="M4963" s="2"/>
      <c r="N4963" s="2"/>
      <c r="AD4963" s="3"/>
      <c r="AH4963" s="3"/>
      <c r="AL4963" s="3"/>
    </row>
    <row r="4964" spans="12:38" x14ac:dyDescent="0.25">
      <c r="L4964" s="2"/>
      <c r="M4964" s="2"/>
      <c r="N4964" s="2"/>
      <c r="AD4964" s="3"/>
      <c r="AH4964" s="3"/>
      <c r="AL4964" s="3"/>
    </row>
    <row r="4965" spans="12:38" x14ac:dyDescent="0.25">
      <c r="L4965" s="2"/>
      <c r="M4965" s="2"/>
      <c r="N4965" s="2"/>
      <c r="AD4965" s="3"/>
      <c r="AH4965" s="3"/>
      <c r="AL4965" s="3"/>
    </row>
    <row r="4966" spans="12:38" x14ac:dyDescent="0.25">
      <c r="L4966" s="2"/>
      <c r="M4966" s="2"/>
      <c r="N4966" s="2"/>
      <c r="AD4966" s="3"/>
      <c r="AH4966" s="3"/>
      <c r="AL4966" s="3"/>
    </row>
    <row r="4967" spans="12:38" x14ac:dyDescent="0.25">
      <c r="L4967" s="2"/>
      <c r="M4967" s="2"/>
      <c r="N4967" s="2"/>
      <c r="AD4967" s="3"/>
      <c r="AH4967" s="3"/>
      <c r="AL4967" s="3"/>
    </row>
    <row r="4968" spans="12:38" x14ac:dyDescent="0.25">
      <c r="L4968" s="2"/>
      <c r="M4968" s="2"/>
      <c r="N4968" s="2"/>
      <c r="AD4968" s="3"/>
      <c r="AH4968" s="3"/>
      <c r="AL4968" s="3"/>
    </row>
    <row r="4969" spans="12:38" x14ac:dyDescent="0.25">
      <c r="L4969" s="2"/>
      <c r="M4969" s="2"/>
      <c r="N4969" s="2"/>
      <c r="AD4969" s="3"/>
      <c r="AH4969" s="3"/>
      <c r="AL4969" s="3"/>
    </row>
    <row r="4970" spans="12:38" x14ac:dyDescent="0.25">
      <c r="L4970" s="2"/>
      <c r="M4970" s="2"/>
      <c r="N4970" s="2"/>
      <c r="AD4970" s="3"/>
      <c r="AH4970" s="3"/>
      <c r="AL4970" s="3"/>
    </row>
    <row r="4971" spans="12:38" x14ac:dyDescent="0.25">
      <c r="L4971" s="2"/>
      <c r="M4971" s="2"/>
      <c r="N4971" s="2"/>
      <c r="AD4971" s="3"/>
      <c r="AH4971" s="3"/>
      <c r="AL4971" s="3"/>
    </row>
    <row r="4972" spans="12:38" x14ac:dyDescent="0.25">
      <c r="L4972" s="2"/>
      <c r="M4972" s="2"/>
      <c r="N4972" s="2"/>
      <c r="AD4972" s="3"/>
      <c r="AH4972" s="3"/>
      <c r="AL4972" s="3"/>
    </row>
    <row r="4973" spans="12:38" x14ac:dyDescent="0.25">
      <c r="L4973" s="2"/>
      <c r="M4973" s="2"/>
      <c r="N4973" s="2"/>
      <c r="AD4973" s="3"/>
      <c r="AH4973" s="3"/>
      <c r="AL4973" s="3"/>
    </row>
    <row r="4974" spans="12:38" x14ac:dyDescent="0.25">
      <c r="L4974" s="2"/>
      <c r="M4974" s="2"/>
      <c r="N4974" s="2"/>
      <c r="AD4974" s="3"/>
      <c r="AH4974" s="3"/>
      <c r="AL4974" s="3"/>
    </row>
    <row r="4975" spans="12:38" x14ac:dyDescent="0.25">
      <c r="L4975" s="2"/>
      <c r="M4975" s="2"/>
      <c r="N4975" s="2"/>
      <c r="AD4975" s="3"/>
      <c r="AH4975" s="3"/>
      <c r="AL4975" s="3"/>
    </row>
    <row r="4976" spans="12:38" x14ac:dyDescent="0.25">
      <c r="L4976" s="2"/>
      <c r="M4976" s="2"/>
      <c r="N4976" s="2"/>
      <c r="AD4976" s="3"/>
      <c r="AH4976" s="3"/>
      <c r="AL4976" s="3"/>
    </row>
    <row r="4977" spans="12:38" x14ac:dyDescent="0.25">
      <c r="L4977" s="2"/>
      <c r="M4977" s="2"/>
      <c r="N4977" s="2"/>
      <c r="AD4977" s="3"/>
      <c r="AH4977" s="3"/>
      <c r="AL4977" s="3"/>
    </row>
    <row r="4978" spans="12:38" x14ac:dyDescent="0.25">
      <c r="L4978" s="2"/>
      <c r="M4978" s="2"/>
      <c r="N4978" s="2"/>
      <c r="AD4978" s="3"/>
      <c r="AH4978" s="3"/>
      <c r="AL4978" s="3"/>
    </row>
    <row r="4979" spans="12:38" x14ac:dyDescent="0.25">
      <c r="L4979" s="2"/>
      <c r="M4979" s="2"/>
      <c r="N4979" s="2"/>
      <c r="AD4979" s="3"/>
      <c r="AH4979" s="3"/>
      <c r="AL4979" s="3"/>
    </row>
    <row r="4980" spans="12:38" x14ac:dyDescent="0.25">
      <c r="L4980" s="2"/>
      <c r="M4980" s="2"/>
      <c r="N4980" s="2"/>
      <c r="AD4980" s="3"/>
      <c r="AH4980" s="3"/>
      <c r="AL4980" s="3"/>
    </row>
    <row r="4981" spans="12:38" x14ac:dyDescent="0.25">
      <c r="L4981" s="2"/>
      <c r="M4981" s="2"/>
      <c r="N4981" s="2"/>
      <c r="AD4981" s="3"/>
      <c r="AH4981" s="3"/>
      <c r="AL4981" s="3"/>
    </row>
    <row r="4982" spans="12:38" x14ac:dyDescent="0.25">
      <c r="L4982" s="2"/>
      <c r="M4982" s="2"/>
      <c r="N4982" s="2"/>
      <c r="AD4982" s="3"/>
      <c r="AH4982" s="3"/>
      <c r="AL4982" s="3"/>
    </row>
    <row r="4983" spans="12:38" x14ac:dyDescent="0.25">
      <c r="L4983" s="2"/>
      <c r="M4983" s="2"/>
      <c r="N4983" s="2"/>
      <c r="AD4983" s="3"/>
      <c r="AH4983" s="3"/>
      <c r="AL4983" s="3"/>
    </row>
    <row r="4984" spans="12:38" x14ac:dyDescent="0.25">
      <c r="L4984" s="2"/>
      <c r="M4984" s="2"/>
      <c r="N4984" s="2"/>
      <c r="AD4984" s="3"/>
      <c r="AH4984" s="3"/>
      <c r="AL4984" s="3"/>
    </row>
    <row r="4985" spans="12:38" x14ac:dyDescent="0.25">
      <c r="L4985" s="2"/>
      <c r="M4985" s="2"/>
      <c r="N4985" s="2"/>
      <c r="AD4985" s="3"/>
      <c r="AH4985" s="3"/>
      <c r="AL4985" s="3"/>
    </row>
    <row r="4986" spans="12:38" x14ac:dyDescent="0.25">
      <c r="L4986" s="2"/>
      <c r="M4986" s="2"/>
      <c r="N4986" s="2"/>
      <c r="AD4986" s="3"/>
      <c r="AH4986" s="3"/>
      <c r="AL4986" s="3"/>
    </row>
    <row r="4987" spans="12:38" x14ac:dyDescent="0.25">
      <c r="L4987" s="2"/>
      <c r="M4987" s="2"/>
      <c r="N4987" s="2"/>
      <c r="AD4987" s="3"/>
      <c r="AH4987" s="3"/>
      <c r="AL4987" s="3"/>
    </row>
    <row r="4988" spans="12:38" x14ac:dyDescent="0.25">
      <c r="L4988" s="2"/>
      <c r="M4988" s="2"/>
      <c r="N4988" s="2"/>
      <c r="AD4988" s="3"/>
      <c r="AH4988" s="3"/>
      <c r="AL4988" s="3"/>
    </row>
    <row r="4989" spans="12:38" x14ac:dyDescent="0.25">
      <c r="L4989" s="2"/>
      <c r="M4989" s="2"/>
      <c r="N4989" s="2"/>
      <c r="AD4989" s="3"/>
      <c r="AH4989" s="3"/>
      <c r="AL4989" s="3"/>
    </row>
    <row r="4990" spans="12:38" x14ac:dyDescent="0.25">
      <c r="L4990" s="2"/>
      <c r="M4990" s="2"/>
      <c r="N4990" s="2"/>
      <c r="AD4990" s="3"/>
      <c r="AH4990" s="3"/>
      <c r="AL4990" s="3"/>
    </row>
    <row r="4991" spans="12:38" x14ac:dyDescent="0.25">
      <c r="L4991" s="2"/>
      <c r="M4991" s="2"/>
      <c r="N4991" s="2"/>
      <c r="AD4991" s="3"/>
      <c r="AH4991" s="3"/>
      <c r="AL4991" s="3"/>
    </row>
    <row r="4992" spans="12:38" x14ac:dyDescent="0.25">
      <c r="L4992" s="2"/>
      <c r="M4992" s="2"/>
      <c r="N4992" s="2"/>
      <c r="AD4992" s="3"/>
      <c r="AH4992" s="3"/>
      <c r="AL4992" s="3"/>
    </row>
    <row r="4993" spans="12:38" x14ac:dyDescent="0.25">
      <c r="L4993" s="2"/>
      <c r="M4993" s="2"/>
      <c r="N4993" s="2"/>
      <c r="AD4993" s="3"/>
      <c r="AH4993" s="3"/>
      <c r="AL4993" s="3"/>
    </row>
    <row r="4994" spans="12:38" x14ac:dyDescent="0.25">
      <c r="L4994" s="2"/>
      <c r="M4994" s="2"/>
      <c r="N4994" s="2"/>
      <c r="AD4994" s="3"/>
      <c r="AH4994" s="3"/>
      <c r="AL4994" s="3"/>
    </row>
    <row r="4995" spans="12:38" x14ac:dyDescent="0.25">
      <c r="L4995" s="2"/>
      <c r="M4995" s="2"/>
      <c r="N4995" s="2"/>
      <c r="AD4995" s="3"/>
      <c r="AH4995" s="3"/>
      <c r="AL4995" s="3"/>
    </row>
    <row r="4996" spans="12:38" x14ac:dyDescent="0.25">
      <c r="L4996" s="2"/>
      <c r="M4996" s="2"/>
      <c r="N4996" s="2"/>
      <c r="AD4996" s="3"/>
      <c r="AH4996" s="3"/>
      <c r="AL4996" s="3"/>
    </row>
    <row r="4997" spans="12:38" x14ac:dyDescent="0.25">
      <c r="L4997" s="2"/>
      <c r="M4997" s="2"/>
      <c r="N4997" s="2"/>
      <c r="AD4997" s="3"/>
      <c r="AH4997" s="3"/>
      <c r="AL4997" s="3"/>
    </row>
    <row r="4998" spans="12:38" x14ac:dyDescent="0.25">
      <c r="L4998" s="2"/>
      <c r="M4998" s="2"/>
      <c r="N4998" s="2"/>
      <c r="AD4998" s="3"/>
      <c r="AH4998" s="3"/>
      <c r="AL4998" s="3"/>
    </row>
    <row r="4999" spans="12:38" x14ac:dyDescent="0.25">
      <c r="L4999" s="2"/>
      <c r="M4999" s="2"/>
      <c r="N4999" s="2"/>
      <c r="AD4999" s="3"/>
      <c r="AH4999" s="3"/>
      <c r="AL4999" s="3"/>
    </row>
    <row r="5000" spans="12:38" x14ac:dyDescent="0.25">
      <c r="L5000" s="2"/>
      <c r="M5000" s="2"/>
      <c r="N5000" s="2"/>
      <c r="AD5000" s="3"/>
      <c r="AH5000" s="3"/>
      <c r="AL5000" s="3"/>
    </row>
    <row r="5001" spans="12:38" x14ac:dyDescent="0.25">
      <c r="L5001" s="2"/>
      <c r="M5001" s="2"/>
      <c r="N5001" s="2"/>
      <c r="AD5001" s="3"/>
      <c r="AH5001" s="3"/>
      <c r="AL5001" s="3"/>
    </row>
    <row r="5002" spans="12:38" x14ac:dyDescent="0.25">
      <c r="L5002" s="2"/>
      <c r="M5002" s="2"/>
      <c r="N5002" s="2"/>
      <c r="AD5002" s="3"/>
      <c r="AH5002" s="3"/>
      <c r="AL5002" s="3"/>
    </row>
    <row r="5003" spans="12:38" x14ac:dyDescent="0.25">
      <c r="L5003" s="2"/>
      <c r="M5003" s="2"/>
      <c r="N5003" s="2"/>
      <c r="AD5003" s="3"/>
      <c r="AH5003" s="3"/>
      <c r="AL5003" s="3"/>
    </row>
    <row r="5004" spans="12:38" x14ac:dyDescent="0.25">
      <c r="L5004" s="2"/>
      <c r="M5004" s="2"/>
      <c r="N5004" s="2"/>
      <c r="AD5004" s="3"/>
      <c r="AH5004" s="3"/>
      <c r="AL5004" s="3"/>
    </row>
    <row r="5005" spans="12:38" x14ac:dyDescent="0.25">
      <c r="L5005" s="2"/>
      <c r="M5005" s="2"/>
      <c r="N5005" s="2"/>
      <c r="AD5005" s="3"/>
      <c r="AH5005" s="3"/>
      <c r="AL5005" s="3"/>
    </row>
    <row r="5006" spans="12:38" x14ac:dyDescent="0.25">
      <c r="L5006" s="2"/>
      <c r="M5006" s="2"/>
      <c r="N5006" s="2"/>
      <c r="AD5006" s="3"/>
      <c r="AH5006" s="3"/>
      <c r="AL5006" s="3"/>
    </row>
    <row r="5007" spans="12:38" x14ac:dyDescent="0.25">
      <c r="L5007" s="2"/>
      <c r="M5007" s="2"/>
      <c r="N5007" s="2"/>
      <c r="AD5007" s="3"/>
      <c r="AH5007" s="3"/>
      <c r="AL5007" s="3"/>
    </row>
    <row r="5008" spans="12:38" x14ac:dyDescent="0.25">
      <c r="L5008" s="2"/>
      <c r="M5008" s="2"/>
      <c r="N5008" s="2"/>
      <c r="AD5008" s="3"/>
      <c r="AH5008" s="3"/>
      <c r="AL5008" s="3"/>
    </row>
    <row r="5009" spans="12:38" x14ac:dyDescent="0.25">
      <c r="L5009" s="2"/>
      <c r="M5009" s="2"/>
      <c r="N5009" s="2"/>
      <c r="AD5009" s="3"/>
      <c r="AH5009" s="3"/>
      <c r="AL5009" s="3"/>
    </row>
    <row r="5010" spans="12:38" x14ac:dyDescent="0.25">
      <c r="L5010" s="2"/>
      <c r="M5010" s="2"/>
      <c r="N5010" s="2"/>
      <c r="AD5010" s="3"/>
      <c r="AH5010" s="3"/>
      <c r="AL5010" s="3"/>
    </row>
    <row r="5011" spans="12:38" x14ac:dyDescent="0.25">
      <c r="L5011" s="2"/>
      <c r="M5011" s="2"/>
      <c r="N5011" s="2"/>
      <c r="AD5011" s="3"/>
      <c r="AH5011" s="3"/>
      <c r="AL5011" s="3"/>
    </row>
    <row r="5012" spans="12:38" x14ac:dyDescent="0.25">
      <c r="L5012" s="2"/>
      <c r="M5012" s="2"/>
      <c r="N5012" s="2"/>
      <c r="AD5012" s="3"/>
      <c r="AH5012" s="3"/>
      <c r="AL5012" s="3"/>
    </row>
    <row r="5013" spans="12:38" x14ac:dyDescent="0.25">
      <c r="L5013" s="2"/>
      <c r="M5013" s="2"/>
      <c r="N5013" s="2"/>
      <c r="AD5013" s="3"/>
      <c r="AH5013" s="3"/>
      <c r="AL5013" s="3"/>
    </row>
    <row r="5014" spans="12:38" x14ac:dyDescent="0.25">
      <c r="L5014" s="2"/>
      <c r="M5014" s="2"/>
      <c r="N5014" s="2"/>
      <c r="AD5014" s="3"/>
      <c r="AH5014" s="3"/>
      <c r="AL5014" s="3"/>
    </row>
    <row r="5015" spans="12:38" x14ac:dyDescent="0.25">
      <c r="L5015" s="2"/>
      <c r="M5015" s="2"/>
      <c r="N5015" s="2"/>
      <c r="AD5015" s="3"/>
      <c r="AH5015" s="3"/>
      <c r="AL5015" s="3"/>
    </row>
    <row r="5016" spans="12:38" x14ac:dyDescent="0.25">
      <c r="L5016" s="2"/>
      <c r="M5016" s="2"/>
      <c r="N5016" s="2"/>
      <c r="AD5016" s="3"/>
      <c r="AH5016" s="3"/>
      <c r="AL5016" s="3"/>
    </row>
    <row r="5017" spans="12:38" x14ac:dyDescent="0.25">
      <c r="L5017" s="2"/>
      <c r="M5017" s="2"/>
      <c r="N5017" s="2"/>
      <c r="AD5017" s="3"/>
      <c r="AH5017" s="3"/>
      <c r="AL5017" s="3"/>
    </row>
    <row r="5018" spans="12:38" x14ac:dyDescent="0.25">
      <c r="L5018" s="2"/>
      <c r="M5018" s="2"/>
      <c r="N5018" s="2"/>
      <c r="AD5018" s="3"/>
      <c r="AH5018" s="3"/>
      <c r="AL5018" s="3"/>
    </row>
    <row r="5019" spans="12:38" x14ac:dyDescent="0.25">
      <c r="L5019" s="2"/>
      <c r="M5019" s="2"/>
      <c r="N5019" s="2"/>
      <c r="AD5019" s="3"/>
      <c r="AH5019" s="3"/>
      <c r="AL5019" s="3"/>
    </row>
    <row r="5020" spans="12:38" x14ac:dyDescent="0.25">
      <c r="L5020" s="2"/>
      <c r="M5020" s="2"/>
      <c r="N5020" s="2"/>
      <c r="AD5020" s="3"/>
      <c r="AH5020" s="3"/>
      <c r="AL5020" s="3"/>
    </row>
    <row r="5021" spans="12:38" x14ac:dyDescent="0.25">
      <c r="L5021" s="2"/>
      <c r="M5021" s="2"/>
      <c r="N5021" s="2"/>
      <c r="AD5021" s="3"/>
      <c r="AH5021" s="3"/>
      <c r="AL5021" s="3"/>
    </row>
    <row r="5022" spans="12:38" x14ac:dyDescent="0.25">
      <c r="L5022" s="2"/>
      <c r="M5022" s="2"/>
      <c r="N5022" s="2"/>
      <c r="AD5022" s="3"/>
      <c r="AH5022" s="3"/>
      <c r="AL5022" s="3"/>
    </row>
    <row r="5023" spans="12:38" x14ac:dyDescent="0.25">
      <c r="L5023" s="2"/>
      <c r="M5023" s="2"/>
      <c r="N5023" s="2"/>
      <c r="AD5023" s="3"/>
      <c r="AH5023" s="3"/>
      <c r="AL5023" s="3"/>
    </row>
    <row r="5024" spans="12:38" x14ac:dyDescent="0.25">
      <c r="L5024" s="2"/>
      <c r="M5024" s="2"/>
      <c r="N5024" s="2"/>
      <c r="AD5024" s="3"/>
      <c r="AH5024" s="3"/>
      <c r="AL5024" s="3"/>
    </row>
    <row r="5025" spans="12:38" x14ac:dyDescent="0.25">
      <c r="L5025" s="2"/>
      <c r="M5025" s="2"/>
      <c r="N5025" s="2"/>
      <c r="AD5025" s="3"/>
      <c r="AH5025" s="3"/>
      <c r="AL5025" s="3"/>
    </row>
    <row r="5026" spans="12:38" x14ac:dyDescent="0.25">
      <c r="L5026" s="2"/>
      <c r="M5026" s="2"/>
      <c r="N5026" s="2"/>
      <c r="AD5026" s="3"/>
      <c r="AH5026" s="3"/>
      <c r="AL5026" s="3"/>
    </row>
    <row r="5027" spans="12:38" x14ac:dyDescent="0.25">
      <c r="L5027" s="2"/>
      <c r="M5027" s="2"/>
      <c r="N5027" s="2"/>
      <c r="AD5027" s="3"/>
      <c r="AH5027" s="3"/>
      <c r="AL5027" s="3"/>
    </row>
    <row r="5028" spans="12:38" x14ac:dyDescent="0.25">
      <c r="L5028" s="2"/>
      <c r="M5028" s="2"/>
      <c r="N5028" s="2"/>
      <c r="AD5028" s="3"/>
      <c r="AH5028" s="3"/>
      <c r="AL5028" s="3"/>
    </row>
    <row r="5029" spans="12:38" x14ac:dyDescent="0.25">
      <c r="L5029" s="2"/>
      <c r="M5029" s="2"/>
      <c r="N5029" s="2"/>
      <c r="AD5029" s="3"/>
      <c r="AH5029" s="3"/>
      <c r="AL5029" s="3"/>
    </row>
    <row r="5030" spans="12:38" x14ac:dyDescent="0.25">
      <c r="L5030" s="2"/>
      <c r="M5030" s="2"/>
      <c r="N5030" s="2"/>
      <c r="AD5030" s="3"/>
      <c r="AH5030" s="3"/>
      <c r="AL5030" s="3"/>
    </row>
    <row r="5031" spans="12:38" x14ac:dyDescent="0.25">
      <c r="L5031" s="2"/>
      <c r="M5031" s="2"/>
      <c r="N5031" s="2"/>
      <c r="AD5031" s="3"/>
      <c r="AH5031" s="3"/>
      <c r="AL5031" s="3"/>
    </row>
    <row r="5032" spans="12:38" x14ac:dyDescent="0.25">
      <c r="L5032" s="2"/>
      <c r="M5032" s="2"/>
      <c r="N5032" s="2"/>
      <c r="AD5032" s="3"/>
      <c r="AH5032" s="3"/>
      <c r="AL5032" s="3"/>
    </row>
    <row r="5033" spans="12:38" x14ac:dyDescent="0.25">
      <c r="L5033" s="2"/>
      <c r="M5033" s="2"/>
      <c r="N5033" s="2"/>
      <c r="AD5033" s="3"/>
      <c r="AH5033" s="3"/>
      <c r="AL5033" s="3"/>
    </row>
    <row r="5034" spans="12:38" x14ac:dyDescent="0.25">
      <c r="L5034" s="2"/>
      <c r="M5034" s="2"/>
      <c r="N5034" s="2"/>
      <c r="AD5034" s="3"/>
      <c r="AH5034" s="3"/>
      <c r="AL5034" s="3"/>
    </row>
    <row r="5035" spans="12:38" x14ac:dyDescent="0.25">
      <c r="L5035" s="2"/>
      <c r="M5035" s="2"/>
      <c r="N5035" s="2"/>
      <c r="AD5035" s="3"/>
      <c r="AH5035" s="3"/>
      <c r="AL5035" s="3"/>
    </row>
    <row r="5036" spans="12:38" x14ac:dyDescent="0.25">
      <c r="L5036" s="2"/>
      <c r="M5036" s="2"/>
      <c r="N5036" s="2"/>
      <c r="AD5036" s="3"/>
      <c r="AH5036" s="3"/>
      <c r="AL5036" s="3"/>
    </row>
    <row r="5037" spans="12:38" x14ac:dyDescent="0.25">
      <c r="L5037" s="2"/>
      <c r="M5037" s="2"/>
      <c r="N5037" s="2"/>
      <c r="AD5037" s="3"/>
      <c r="AH5037" s="3"/>
      <c r="AL5037" s="3"/>
    </row>
    <row r="5038" spans="12:38" x14ac:dyDescent="0.25">
      <c r="L5038" s="2"/>
      <c r="M5038" s="2"/>
      <c r="N5038" s="2"/>
      <c r="AD5038" s="3"/>
      <c r="AH5038" s="3"/>
      <c r="AL5038" s="3"/>
    </row>
    <row r="5039" spans="12:38" x14ac:dyDescent="0.25">
      <c r="L5039" s="2"/>
      <c r="M5039" s="2"/>
      <c r="N5039" s="2"/>
      <c r="AD5039" s="3"/>
      <c r="AH5039" s="3"/>
      <c r="AL5039" s="3"/>
    </row>
    <row r="5040" spans="12:38" x14ac:dyDescent="0.25">
      <c r="L5040" s="2"/>
      <c r="M5040" s="2"/>
      <c r="N5040" s="2"/>
      <c r="AD5040" s="3"/>
      <c r="AH5040" s="3"/>
      <c r="AL5040" s="3"/>
    </row>
    <row r="5041" spans="12:38" x14ac:dyDescent="0.25">
      <c r="L5041" s="2"/>
      <c r="M5041" s="2"/>
      <c r="N5041" s="2"/>
      <c r="AD5041" s="3"/>
      <c r="AH5041" s="3"/>
      <c r="AL5041" s="3"/>
    </row>
    <row r="5042" spans="12:38" x14ac:dyDescent="0.25">
      <c r="L5042" s="2"/>
      <c r="M5042" s="2"/>
      <c r="N5042" s="2"/>
      <c r="AD5042" s="3"/>
      <c r="AH5042" s="3"/>
      <c r="AL5042" s="3"/>
    </row>
    <row r="5043" spans="12:38" x14ac:dyDescent="0.25">
      <c r="L5043" s="2"/>
      <c r="M5043" s="2"/>
      <c r="N5043" s="2"/>
      <c r="AD5043" s="3"/>
      <c r="AH5043" s="3"/>
      <c r="AL5043" s="3"/>
    </row>
    <row r="5044" spans="12:38" x14ac:dyDescent="0.25">
      <c r="L5044" s="2"/>
      <c r="M5044" s="2"/>
      <c r="N5044" s="2"/>
      <c r="AD5044" s="3"/>
      <c r="AH5044" s="3"/>
      <c r="AL5044" s="3"/>
    </row>
    <row r="5045" spans="12:38" x14ac:dyDescent="0.25">
      <c r="L5045" s="2"/>
      <c r="M5045" s="2"/>
      <c r="N5045" s="2"/>
      <c r="AD5045" s="3"/>
      <c r="AH5045" s="3"/>
      <c r="AL5045" s="3"/>
    </row>
    <row r="5046" spans="12:38" x14ac:dyDescent="0.25">
      <c r="L5046" s="2"/>
      <c r="M5046" s="2"/>
      <c r="N5046" s="2"/>
      <c r="AD5046" s="3"/>
      <c r="AH5046" s="3"/>
      <c r="AL5046" s="3"/>
    </row>
    <row r="5047" spans="12:38" x14ac:dyDescent="0.25">
      <c r="L5047" s="2"/>
      <c r="M5047" s="2"/>
      <c r="N5047" s="2"/>
      <c r="AD5047" s="3"/>
      <c r="AH5047" s="3"/>
      <c r="AL5047" s="3"/>
    </row>
    <row r="5048" spans="12:38" x14ac:dyDescent="0.25">
      <c r="L5048" s="2"/>
      <c r="M5048" s="2"/>
      <c r="N5048" s="2"/>
      <c r="AD5048" s="3"/>
      <c r="AH5048" s="3"/>
      <c r="AL5048" s="3"/>
    </row>
    <row r="5049" spans="12:38" x14ac:dyDescent="0.25">
      <c r="L5049" s="2"/>
      <c r="M5049" s="2"/>
      <c r="N5049" s="2"/>
      <c r="AD5049" s="3"/>
      <c r="AH5049" s="3"/>
      <c r="AL5049" s="3"/>
    </row>
    <row r="5050" spans="12:38" x14ac:dyDescent="0.25">
      <c r="L5050" s="2"/>
      <c r="M5050" s="2"/>
      <c r="N5050" s="2"/>
      <c r="AD5050" s="3"/>
      <c r="AH5050" s="3"/>
      <c r="AL5050" s="3"/>
    </row>
    <row r="5051" spans="12:38" x14ac:dyDescent="0.25">
      <c r="L5051" s="2"/>
      <c r="M5051" s="2"/>
      <c r="N5051" s="2"/>
      <c r="AD5051" s="3"/>
      <c r="AH5051" s="3"/>
      <c r="AL5051" s="3"/>
    </row>
    <row r="5052" spans="12:38" x14ac:dyDescent="0.25">
      <c r="L5052" s="2"/>
      <c r="M5052" s="2"/>
      <c r="N5052" s="2"/>
      <c r="AD5052" s="3"/>
      <c r="AH5052" s="3"/>
      <c r="AL5052" s="3"/>
    </row>
    <row r="5053" spans="12:38" x14ac:dyDescent="0.25">
      <c r="L5053" s="2"/>
      <c r="M5053" s="2"/>
      <c r="N5053" s="2"/>
      <c r="AD5053" s="3"/>
      <c r="AH5053" s="3"/>
      <c r="AL5053" s="3"/>
    </row>
    <row r="5054" spans="12:38" x14ac:dyDescent="0.25">
      <c r="L5054" s="2"/>
      <c r="M5054" s="2"/>
      <c r="N5054" s="2"/>
      <c r="AD5054" s="3"/>
      <c r="AH5054" s="3"/>
      <c r="AL5054" s="3"/>
    </row>
    <row r="5055" spans="12:38" x14ac:dyDescent="0.25">
      <c r="L5055" s="2"/>
      <c r="M5055" s="2"/>
      <c r="N5055" s="2"/>
      <c r="AD5055" s="3"/>
      <c r="AH5055" s="3"/>
      <c r="AL5055" s="3"/>
    </row>
    <row r="5056" spans="12:38" x14ac:dyDescent="0.25">
      <c r="L5056" s="2"/>
      <c r="M5056" s="2"/>
      <c r="N5056" s="2"/>
      <c r="AD5056" s="3"/>
      <c r="AH5056" s="3"/>
      <c r="AL5056" s="3"/>
    </row>
    <row r="5057" spans="12:38" x14ac:dyDescent="0.25">
      <c r="L5057" s="2"/>
      <c r="M5057" s="2"/>
      <c r="N5057" s="2"/>
      <c r="AD5057" s="3"/>
      <c r="AH5057" s="3"/>
      <c r="AL5057" s="3"/>
    </row>
    <row r="5058" spans="12:38" x14ac:dyDescent="0.25">
      <c r="L5058" s="2"/>
      <c r="M5058" s="2"/>
      <c r="N5058" s="2"/>
      <c r="AD5058" s="3"/>
      <c r="AH5058" s="3"/>
      <c r="AL5058" s="3"/>
    </row>
    <row r="5059" spans="12:38" x14ac:dyDescent="0.25">
      <c r="L5059" s="2"/>
      <c r="M5059" s="2"/>
      <c r="N5059" s="2"/>
      <c r="AD5059" s="3"/>
      <c r="AH5059" s="3"/>
      <c r="AL5059" s="3"/>
    </row>
    <row r="5060" spans="12:38" x14ac:dyDescent="0.25">
      <c r="L5060" s="2"/>
      <c r="M5060" s="2"/>
      <c r="N5060" s="2"/>
      <c r="AD5060" s="3"/>
      <c r="AH5060" s="3"/>
      <c r="AL5060" s="3"/>
    </row>
    <row r="5061" spans="12:38" x14ac:dyDescent="0.25">
      <c r="L5061" s="2"/>
      <c r="M5061" s="2"/>
      <c r="N5061" s="2"/>
      <c r="AD5061" s="3"/>
      <c r="AH5061" s="3"/>
      <c r="AL5061" s="3"/>
    </row>
    <row r="5062" spans="12:38" x14ac:dyDescent="0.25">
      <c r="L5062" s="2"/>
      <c r="M5062" s="2"/>
      <c r="N5062" s="2"/>
      <c r="AD5062" s="3"/>
      <c r="AH5062" s="3"/>
      <c r="AL5062" s="3"/>
    </row>
    <row r="5063" spans="12:38" x14ac:dyDescent="0.25">
      <c r="L5063" s="2"/>
      <c r="M5063" s="2"/>
      <c r="N5063" s="2"/>
      <c r="AD5063" s="3"/>
      <c r="AH5063" s="3"/>
      <c r="AL5063" s="3"/>
    </row>
    <row r="5064" spans="12:38" x14ac:dyDescent="0.25">
      <c r="L5064" s="2"/>
      <c r="M5064" s="2"/>
      <c r="N5064" s="2"/>
      <c r="AD5064" s="3"/>
      <c r="AH5064" s="3"/>
      <c r="AL5064" s="3"/>
    </row>
    <row r="5065" spans="12:38" x14ac:dyDescent="0.25">
      <c r="L5065" s="2"/>
      <c r="M5065" s="2"/>
      <c r="N5065" s="2"/>
      <c r="AD5065" s="3"/>
      <c r="AH5065" s="3"/>
      <c r="AL5065" s="3"/>
    </row>
    <row r="5066" spans="12:38" x14ac:dyDescent="0.25">
      <c r="L5066" s="2"/>
      <c r="M5066" s="2"/>
      <c r="N5066" s="2"/>
      <c r="AD5066" s="3"/>
      <c r="AH5066" s="3"/>
      <c r="AL5066" s="3"/>
    </row>
    <row r="5067" spans="12:38" x14ac:dyDescent="0.25">
      <c r="L5067" s="2"/>
      <c r="M5067" s="2"/>
      <c r="N5067" s="2"/>
      <c r="AD5067" s="3"/>
      <c r="AH5067" s="3"/>
      <c r="AL5067" s="3"/>
    </row>
    <row r="5068" spans="12:38" x14ac:dyDescent="0.25">
      <c r="L5068" s="2"/>
      <c r="M5068" s="2"/>
      <c r="N5068" s="2"/>
      <c r="AD5068" s="3"/>
      <c r="AH5068" s="3"/>
      <c r="AL5068" s="3"/>
    </row>
    <row r="5069" spans="12:38" x14ac:dyDescent="0.25">
      <c r="L5069" s="2"/>
      <c r="M5069" s="2"/>
      <c r="N5069" s="2"/>
      <c r="AD5069" s="3"/>
      <c r="AH5069" s="3"/>
      <c r="AL5069" s="3"/>
    </row>
    <row r="5070" spans="12:38" x14ac:dyDescent="0.25">
      <c r="L5070" s="2"/>
      <c r="M5070" s="2"/>
      <c r="N5070" s="2"/>
      <c r="AD5070" s="3"/>
      <c r="AH5070" s="3"/>
      <c r="AL5070" s="3"/>
    </row>
    <row r="5071" spans="12:38" x14ac:dyDescent="0.25">
      <c r="L5071" s="2"/>
      <c r="M5071" s="2"/>
      <c r="N5071" s="2"/>
      <c r="AD5071" s="3"/>
      <c r="AH5071" s="3"/>
      <c r="AL5071" s="3"/>
    </row>
    <row r="5072" spans="12:38" x14ac:dyDescent="0.25">
      <c r="L5072" s="2"/>
      <c r="M5072" s="2"/>
      <c r="N5072" s="2"/>
      <c r="AD5072" s="3"/>
      <c r="AH5072" s="3"/>
      <c r="AL5072" s="3"/>
    </row>
    <row r="5073" spans="12:38" x14ac:dyDescent="0.25">
      <c r="L5073" s="2"/>
      <c r="M5073" s="2"/>
      <c r="N5073" s="2"/>
      <c r="AD5073" s="3"/>
      <c r="AH5073" s="3"/>
      <c r="AL5073" s="3"/>
    </row>
    <row r="5074" spans="12:38" x14ac:dyDescent="0.25">
      <c r="L5074" s="2"/>
      <c r="M5074" s="2"/>
      <c r="N5074" s="2"/>
      <c r="AD5074" s="3"/>
      <c r="AH5074" s="3"/>
      <c r="AL5074" s="3"/>
    </row>
    <row r="5075" spans="12:38" x14ac:dyDescent="0.25">
      <c r="L5075" s="2"/>
      <c r="M5075" s="2"/>
      <c r="N5075" s="2"/>
      <c r="AD5075" s="3"/>
      <c r="AH5075" s="3"/>
      <c r="AL5075" s="3"/>
    </row>
    <row r="5076" spans="12:38" x14ac:dyDescent="0.25">
      <c r="L5076" s="2"/>
      <c r="M5076" s="2"/>
      <c r="N5076" s="2"/>
      <c r="AD5076" s="3"/>
      <c r="AH5076" s="3"/>
      <c r="AL5076" s="3"/>
    </row>
    <row r="5077" spans="12:38" x14ac:dyDescent="0.25">
      <c r="L5077" s="2"/>
      <c r="M5077" s="2"/>
      <c r="N5077" s="2"/>
      <c r="AD5077" s="3"/>
      <c r="AH5077" s="3"/>
      <c r="AL5077" s="3"/>
    </row>
    <row r="5078" spans="12:38" x14ac:dyDescent="0.25">
      <c r="L5078" s="2"/>
      <c r="M5078" s="2"/>
      <c r="N5078" s="2"/>
      <c r="AD5078" s="3"/>
      <c r="AH5078" s="3"/>
      <c r="AL5078" s="3"/>
    </row>
    <row r="5079" spans="12:38" x14ac:dyDescent="0.25">
      <c r="L5079" s="2"/>
      <c r="M5079" s="2"/>
      <c r="N5079" s="2"/>
      <c r="AD5079" s="3"/>
      <c r="AH5079" s="3"/>
      <c r="AL5079" s="3"/>
    </row>
    <row r="5080" spans="12:38" x14ac:dyDescent="0.25">
      <c r="L5080" s="2"/>
      <c r="M5080" s="2"/>
      <c r="N5080" s="2"/>
      <c r="AD5080" s="3"/>
      <c r="AH5080" s="3"/>
      <c r="AL5080" s="3"/>
    </row>
    <row r="5081" spans="12:38" x14ac:dyDescent="0.25">
      <c r="L5081" s="2"/>
      <c r="M5081" s="2"/>
      <c r="N5081" s="2"/>
      <c r="AD5081" s="3"/>
      <c r="AH5081" s="3"/>
      <c r="AL5081" s="3"/>
    </row>
    <row r="5082" spans="12:38" x14ac:dyDescent="0.25">
      <c r="L5082" s="2"/>
      <c r="M5082" s="2"/>
      <c r="N5082" s="2"/>
      <c r="AD5082" s="3"/>
      <c r="AH5082" s="3"/>
      <c r="AL5082" s="3"/>
    </row>
    <row r="5083" spans="12:38" x14ac:dyDescent="0.25">
      <c r="L5083" s="2"/>
      <c r="M5083" s="2"/>
      <c r="N5083" s="2"/>
      <c r="AD5083" s="3"/>
      <c r="AH5083" s="3"/>
      <c r="AL5083" s="3"/>
    </row>
    <row r="5084" spans="12:38" x14ac:dyDescent="0.25">
      <c r="L5084" s="2"/>
      <c r="M5084" s="2"/>
      <c r="N5084" s="2"/>
      <c r="AD5084" s="3"/>
      <c r="AH5084" s="3"/>
      <c r="AL5084" s="3"/>
    </row>
    <row r="5085" spans="12:38" x14ac:dyDescent="0.25">
      <c r="L5085" s="2"/>
      <c r="M5085" s="2"/>
      <c r="N5085" s="2"/>
      <c r="AD5085" s="3"/>
      <c r="AH5085" s="3"/>
      <c r="AL5085" s="3"/>
    </row>
    <row r="5086" spans="12:38" x14ac:dyDescent="0.25">
      <c r="L5086" s="2"/>
      <c r="M5086" s="2"/>
      <c r="N5086" s="2"/>
      <c r="AD5086" s="3"/>
      <c r="AH5086" s="3"/>
      <c r="AL5086" s="3"/>
    </row>
    <row r="5087" spans="12:38" x14ac:dyDescent="0.25">
      <c r="L5087" s="2"/>
      <c r="M5087" s="2"/>
      <c r="N5087" s="2"/>
      <c r="AD5087" s="3"/>
      <c r="AH5087" s="3"/>
      <c r="AL5087" s="3"/>
    </row>
    <row r="5088" spans="12:38" x14ac:dyDescent="0.25">
      <c r="L5088" s="2"/>
      <c r="M5088" s="2"/>
      <c r="N5088" s="2"/>
      <c r="AD5088" s="3"/>
      <c r="AH5088" s="3"/>
      <c r="AL5088" s="3"/>
    </row>
    <row r="5089" spans="12:38" x14ac:dyDescent="0.25">
      <c r="L5089" s="2"/>
      <c r="M5089" s="2"/>
      <c r="N5089" s="2"/>
      <c r="AD5089" s="3"/>
      <c r="AH5089" s="3"/>
      <c r="AL5089" s="3"/>
    </row>
    <row r="5090" spans="12:38" x14ac:dyDescent="0.25">
      <c r="L5090" s="2"/>
      <c r="M5090" s="2"/>
      <c r="N5090" s="2"/>
      <c r="AD5090" s="3"/>
      <c r="AH5090" s="3"/>
      <c r="AL5090" s="3"/>
    </row>
    <row r="5091" spans="12:38" x14ac:dyDescent="0.25">
      <c r="L5091" s="2"/>
      <c r="M5091" s="2"/>
      <c r="N5091" s="2"/>
      <c r="AD5091" s="3"/>
      <c r="AH5091" s="3"/>
      <c r="AL5091" s="3"/>
    </row>
    <row r="5092" spans="12:38" x14ac:dyDescent="0.25">
      <c r="L5092" s="2"/>
      <c r="M5092" s="2"/>
      <c r="N5092" s="2"/>
      <c r="AD5092" s="3"/>
      <c r="AH5092" s="3"/>
      <c r="AL5092" s="3"/>
    </row>
    <row r="5093" spans="12:38" x14ac:dyDescent="0.25">
      <c r="L5093" s="2"/>
      <c r="M5093" s="2"/>
      <c r="N5093" s="2"/>
      <c r="AD5093" s="3"/>
      <c r="AH5093" s="3"/>
      <c r="AL5093" s="3"/>
    </row>
    <row r="5094" spans="12:38" x14ac:dyDescent="0.25">
      <c r="L5094" s="2"/>
      <c r="M5094" s="2"/>
      <c r="N5094" s="2"/>
      <c r="AD5094" s="3"/>
      <c r="AH5094" s="3"/>
      <c r="AL5094" s="3"/>
    </row>
    <row r="5095" spans="12:38" x14ac:dyDescent="0.25">
      <c r="L5095" s="2"/>
      <c r="M5095" s="2"/>
      <c r="N5095" s="2"/>
      <c r="AD5095" s="3"/>
      <c r="AH5095" s="3"/>
      <c r="AL5095" s="3"/>
    </row>
    <row r="5096" spans="12:38" x14ac:dyDescent="0.25">
      <c r="L5096" s="2"/>
      <c r="M5096" s="2"/>
      <c r="N5096" s="2"/>
      <c r="AD5096" s="3"/>
      <c r="AH5096" s="3"/>
      <c r="AL5096" s="3"/>
    </row>
    <row r="5097" spans="12:38" x14ac:dyDescent="0.25">
      <c r="L5097" s="2"/>
      <c r="M5097" s="2"/>
      <c r="N5097" s="2"/>
      <c r="AD5097" s="3"/>
      <c r="AH5097" s="3"/>
      <c r="AL5097" s="3"/>
    </row>
    <row r="5098" spans="12:38" x14ac:dyDescent="0.25">
      <c r="L5098" s="2"/>
      <c r="M5098" s="2"/>
      <c r="N5098" s="2"/>
      <c r="AD5098" s="3"/>
      <c r="AH5098" s="3"/>
      <c r="AL5098" s="3"/>
    </row>
    <row r="5099" spans="12:38" x14ac:dyDescent="0.25">
      <c r="L5099" s="2"/>
      <c r="M5099" s="2"/>
      <c r="N5099" s="2"/>
      <c r="AD5099" s="3"/>
      <c r="AH5099" s="3"/>
      <c r="AL5099" s="3"/>
    </row>
    <row r="5100" spans="12:38" x14ac:dyDescent="0.25">
      <c r="L5100" s="2"/>
      <c r="M5100" s="2"/>
      <c r="N5100" s="2"/>
      <c r="AD5100" s="3"/>
      <c r="AH5100" s="3"/>
      <c r="AL5100" s="3"/>
    </row>
    <row r="5101" spans="12:38" x14ac:dyDescent="0.25">
      <c r="L5101" s="2"/>
      <c r="M5101" s="2"/>
      <c r="N5101" s="2"/>
      <c r="AD5101" s="3"/>
      <c r="AH5101" s="3"/>
      <c r="AL5101" s="3"/>
    </row>
    <row r="5102" spans="12:38" x14ac:dyDescent="0.25">
      <c r="L5102" s="2"/>
      <c r="M5102" s="2"/>
      <c r="N5102" s="2"/>
      <c r="AD5102" s="3"/>
      <c r="AH5102" s="3"/>
      <c r="AL5102" s="3"/>
    </row>
    <row r="5103" spans="12:38" x14ac:dyDescent="0.25">
      <c r="L5103" s="2"/>
      <c r="M5103" s="2"/>
      <c r="N5103" s="2"/>
      <c r="AD5103" s="3"/>
      <c r="AH5103" s="3"/>
      <c r="AL5103" s="3"/>
    </row>
    <row r="5104" spans="12:38" x14ac:dyDescent="0.25">
      <c r="L5104" s="2"/>
      <c r="M5104" s="2"/>
      <c r="N5104" s="2"/>
      <c r="AD5104" s="3"/>
      <c r="AH5104" s="3"/>
      <c r="AL5104" s="3"/>
    </row>
    <row r="5105" spans="12:38" x14ac:dyDescent="0.25">
      <c r="L5105" s="2"/>
      <c r="M5105" s="2"/>
      <c r="N5105" s="2"/>
      <c r="AD5105" s="3"/>
      <c r="AH5105" s="3"/>
      <c r="AL5105" s="3"/>
    </row>
    <row r="5106" spans="12:38" x14ac:dyDescent="0.25">
      <c r="L5106" s="2"/>
      <c r="M5106" s="2"/>
      <c r="N5106" s="2"/>
      <c r="AD5106" s="3"/>
      <c r="AH5106" s="3"/>
      <c r="AL5106" s="3"/>
    </row>
    <row r="5107" spans="12:38" x14ac:dyDescent="0.25">
      <c r="L5107" s="2"/>
      <c r="M5107" s="2"/>
      <c r="N5107" s="2"/>
      <c r="AD5107" s="3"/>
      <c r="AH5107" s="3"/>
      <c r="AL5107" s="3"/>
    </row>
    <row r="5108" spans="12:38" x14ac:dyDescent="0.25">
      <c r="L5108" s="2"/>
      <c r="M5108" s="2"/>
      <c r="N5108" s="2"/>
      <c r="AD5108" s="3"/>
      <c r="AH5108" s="3"/>
      <c r="AL5108" s="3"/>
    </row>
    <row r="5109" spans="12:38" x14ac:dyDescent="0.25">
      <c r="L5109" s="2"/>
      <c r="M5109" s="2"/>
      <c r="N5109" s="2"/>
      <c r="AD5109" s="3"/>
      <c r="AH5109" s="3"/>
      <c r="AL5109" s="3"/>
    </row>
    <row r="5110" spans="12:38" x14ac:dyDescent="0.25">
      <c r="L5110" s="2"/>
      <c r="M5110" s="2"/>
      <c r="N5110" s="2"/>
      <c r="AD5110" s="3"/>
      <c r="AH5110" s="3"/>
      <c r="AL5110" s="3"/>
    </row>
    <row r="5111" spans="12:38" x14ac:dyDescent="0.25">
      <c r="L5111" s="2"/>
      <c r="M5111" s="2"/>
      <c r="N5111" s="2"/>
      <c r="AD5111" s="3"/>
      <c r="AH5111" s="3"/>
      <c r="AL5111" s="3"/>
    </row>
    <row r="5112" spans="12:38" x14ac:dyDescent="0.25">
      <c r="L5112" s="2"/>
      <c r="M5112" s="2"/>
      <c r="N5112" s="2"/>
      <c r="AD5112" s="3"/>
      <c r="AH5112" s="3"/>
      <c r="AL5112" s="3"/>
    </row>
    <row r="5113" spans="12:38" x14ac:dyDescent="0.25">
      <c r="L5113" s="2"/>
      <c r="M5113" s="2"/>
      <c r="N5113" s="2"/>
      <c r="AD5113" s="3"/>
      <c r="AH5113" s="3"/>
      <c r="AL5113" s="3"/>
    </row>
    <row r="5114" spans="12:38" x14ac:dyDescent="0.25">
      <c r="L5114" s="2"/>
      <c r="M5114" s="2"/>
      <c r="N5114" s="2"/>
      <c r="AD5114" s="3"/>
      <c r="AH5114" s="3"/>
      <c r="AL5114" s="3"/>
    </row>
    <row r="5115" spans="12:38" x14ac:dyDescent="0.25">
      <c r="L5115" s="2"/>
      <c r="M5115" s="2"/>
      <c r="N5115" s="2"/>
      <c r="AD5115" s="3"/>
      <c r="AH5115" s="3"/>
      <c r="AL5115" s="3"/>
    </row>
    <row r="5116" spans="12:38" x14ac:dyDescent="0.25">
      <c r="L5116" s="2"/>
      <c r="M5116" s="2"/>
      <c r="N5116" s="2"/>
      <c r="AD5116" s="3"/>
      <c r="AH5116" s="3"/>
      <c r="AL5116" s="3"/>
    </row>
    <row r="5117" spans="12:38" x14ac:dyDescent="0.25">
      <c r="L5117" s="2"/>
      <c r="M5117" s="2"/>
      <c r="N5117" s="2"/>
      <c r="AD5117" s="3"/>
      <c r="AH5117" s="3"/>
      <c r="AL5117" s="3"/>
    </row>
    <row r="5118" spans="12:38" x14ac:dyDescent="0.25">
      <c r="L5118" s="2"/>
      <c r="M5118" s="2"/>
      <c r="N5118" s="2"/>
      <c r="AD5118" s="3"/>
      <c r="AH5118" s="3"/>
      <c r="AL5118" s="3"/>
    </row>
    <row r="5119" spans="12:38" x14ac:dyDescent="0.25">
      <c r="L5119" s="2"/>
      <c r="M5119" s="2"/>
      <c r="N5119" s="2"/>
      <c r="AD5119" s="3"/>
      <c r="AH5119" s="3"/>
      <c r="AL5119" s="3"/>
    </row>
    <row r="5120" spans="12:38" x14ac:dyDescent="0.25">
      <c r="L5120" s="2"/>
      <c r="M5120" s="2"/>
      <c r="N5120" s="2"/>
      <c r="AD5120" s="3"/>
      <c r="AH5120" s="3"/>
      <c r="AL5120" s="3"/>
    </row>
    <row r="5121" spans="12:38" x14ac:dyDescent="0.25">
      <c r="L5121" s="2"/>
      <c r="M5121" s="2"/>
      <c r="N5121" s="2"/>
      <c r="AD5121" s="3"/>
      <c r="AH5121" s="3"/>
      <c r="AL5121" s="3"/>
    </row>
    <row r="5122" spans="12:38" x14ac:dyDescent="0.25">
      <c r="L5122" s="2"/>
      <c r="M5122" s="2"/>
      <c r="N5122" s="2"/>
      <c r="AD5122" s="3"/>
      <c r="AH5122" s="3"/>
      <c r="AL5122" s="3"/>
    </row>
    <row r="5123" spans="12:38" x14ac:dyDescent="0.25">
      <c r="L5123" s="2"/>
      <c r="M5123" s="2"/>
      <c r="N5123" s="2"/>
      <c r="AD5123" s="3"/>
      <c r="AH5123" s="3"/>
      <c r="AL5123" s="3"/>
    </row>
    <row r="5124" spans="12:38" x14ac:dyDescent="0.25">
      <c r="L5124" s="2"/>
      <c r="M5124" s="2"/>
      <c r="N5124" s="2"/>
      <c r="AD5124" s="3"/>
      <c r="AH5124" s="3"/>
      <c r="AL5124" s="3"/>
    </row>
    <row r="5125" spans="12:38" x14ac:dyDescent="0.25">
      <c r="L5125" s="2"/>
      <c r="M5125" s="2"/>
      <c r="N5125" s="2"/>
      <c r="AD5125" s="3"/>
      <c r="AH5125" s="3"/>
      <c r="AL5125" s="3"/>
    </row>
    <row r="5126" spans="12:38" x14ac:dyDescent="0.25">
      <c r="L5126" s="2"/>
      <c r="M5126" s="2"/>
      <c r="N5126" s="2"/>
      <c r="AD5126" s="3"/>
      <c r="AH5126" s="3"/>
      <c r="AL5126" s="3"/>
    </row>
    <row r="5127" spans="12:38" x14ac:dyDescent="0.25">
      <c r="L5127" s="2"/>
      <c r="M5127" s="2"/>
      <c r="N5127" s="2"/>
      <c r="AD5127" s="3"/>
      <c r="AH5127" s="3"/>
      <c r="AL5127" s="3"/>
    </row>
    <row r="5128" spans="12:38" x14ac:dyDescent="0.25">
      <c r="L5128" s="2"/>
      <c r="M5128" s="2"/>
      <c r="N5128" s="2"/>
      <c r="AD5128" s="3"/>
      <c r="AH5128" s="3"/>
      <c r="AL5128" s="3"/>
    </row>
    <row r="5129" spans="12:38" x14ac:dyDescent="0.25">
      <c r="L5129" s="2"/>
      <c r="M5129" s="2"/>
      <c r="N5129" s="2"/>
      <c r="AD5129" s="3"/>
      <c r="AH5129" s="3"/>
      <c r="AL5129" s="3"/>
    </row>
    <row r="5130" spans="12:38" x14ac:dyDescent="0.25">
      <c r="L5130" s="2"/>
      <c r="M5130" s="2"/>
      <c r="N5130" s="2"/>
      <c r="AD5130" s="3"/>
      <c r="AH5130" s="3"/>
      <c r="AL5130" s="3"/>
    </row>
    <row r="5131" spans="12:38" x14ac:dyDescent="0.25">
      <c r="L5131" s="2"/>
      <c r="M5131" s="2"/>
      <c r="N5131" s="2"/>
      <c r="AD5131" s="3"/>
      <c r="AH5131" s="3"/>
      <c r="AL5131" s="3"/>
    </row>
    <row r="5132" spans="12:38" x14ac:dyDescent="0.25">
      <c r="L5132" s="2"/>
      <c r="M5132" s="2"/>
      <c r="N5132" s="2"/>
      <c r="AD5132" s="3"/>
      <c r="AH5132" s="3"/>
      <c r="AL5132" s="3"/>
    </row>
    <row r="5133" spans="12:38" x14ac:dyDescent="0.25">
      <c r="L5133" s="2"/>
      <c r="M5133" s="2"/>
      <c r="N5133" s="2"/>
      <c r="AD5133" s="3"/>
      <c r="AH5133" s="3"/>
      <c r="AL5133" s="3"/>
    </row>
    <row r="5134" spans="12:38" x14ac:dyDescent="0.25">
      <c r="L5134" s="2"/>
      <c r="M5134" s="2"/>
      <c r="N5134" s="2"/>
      <c r="AD5134" s="3"/>
      <c r="AH5134" s="3"/>
      <c r="AL5134" s="3"/>
    </row>
    <row r="5135" spans="12:38" x14ac:dyDescent="0.25">
      <c r="L5135" s="2"/>
      <c r="M5135" s="2"/>
      <c r="N5135" s="2"/>
      <c r="AD5135" s="3"/>
      <c r="AH5135" s="3"/>
      <c r="AL5135" s="3"/>
    </row>
    <row r="5136" spans="12:38" x14ac:dyDescent="0.25">
      <c r="L5136" s="2"/>
      <c r="M5136" s="2"/>
      <c r="N5136" s="2"/>
      <c r="AD5136" s="3"/>
      <c r="AH5136" s="3"/>
      <c r="AL5136" s="3"/>
    </row>
    <row r="5137" spans="12:38" x14ac:dyDescent="0.25">
      <c r="L5137" s="2"/>
      <c r="M5137" s="2"/>
      <c r="N5137" s="2"/>
      <c r="AD5137" s="3"/>
      <c r="AH5137" s="3"/>
      <c r="AL5137" s="3"/>
    </row>
    <row r="5138" spans="12:38" x14ac:dyDescent="0.25">
      <c r="L5138" s="2"/>
      <c r="M5138" s="2"/>
      <c r="N5138" s="2"/>
      <c r="AD5138" s="3"/>
      <c r="AH5138" s="3"/>
      <c r="AL5138" s="3"/>
    </row>
    <row r="5139" spans="12:38" x14ac:dyDescent="0.25">
      <c r="L5139" s="2"/>
      <c r="M5139" s="2"/>
      <c r="N5139" s="2"/>
      <c r="AD5139" s="3"/>
      <c r="AH5139" s="3"/>
      <c r="AL5139" s="3"/>
    </row>
    <row r="5140" spans="12:38" x14ac:dyDescent="0.25">
      <c r="L5140" s="2"/>
      <c r="M5140" s="2"/>
      <c r="N5140" s="2"/>
      <c r="AD5140" s="3"/>
      <c r="AH5140" s="3"/>
      <c r="AL5140" s="3"/>
    </row>
    <row r="5141" spans="12:38" x14ac:dyDescent="0.25">
      <c r="L5141" s="2"/>
      <c r="M5141" s="2"/>
      <c r="N5141" s="2"/>
      <c r="AD5141" s="3"/>
      <c r="AH5141" s="3"/>
      <c r="AL5141" s="3"/>
    </row>
    <row r="5142" spans="12:38" x14ac:dyDescent="0.25">
      <c r="L5142" s="2"/>
      <c r="M5142" s="2"/>
      <c r="N5142" s="2"/>
      <c r="AD5142" s="3"/>
      <c r="AH5142" s="3"/>
      <c r="AL5142" s="3"/>
    </row>
    <row r="5143" spans="12:38" x14ac:dyDescent="0.25">
      <c r="L5143" s="2"/>
      <c r="M5143" s="2"/>
      <c r="N5143" s="2"/>
      <c r="AD5143" s="3"/>
      <c r="AH5143" s="3"/>
      <c r="AL5143" s="3"/>
    </row>
    <row r="5144" spans="12:38" x14ac:dyDescent="0.25">
      <c r="L5144" s="2"/>
      <c r="M5144" s="2"/>
      <c r="N5144" s="2"/>
      <c r="AD5144" s="3"/>
      <c r="AH5144" s="3"/>
      <c r="AL5144" s="3"/>
    </row>
    <row r="5145" spans="12:38" x14ac:dyDescent="0.25">
      <c r="L5145" s="2"/>
      <c r="M5145" s="2"/>
      <c r="N5145" s="2"/>
      <c r="AD5145" s="3"/>
      <c r="AH5145" s="3"/>
      <c r="AL5145" s="3"/>
    </row>
    <row r="5146" spans="12:38" x14ac:dyDescent="0.25">
      <c r="L5146" s="2"/>
      <c r="M5146" s="2"/>
      <c r="N5146" s="2"/>
      <c r="AD5146" s="3"/>
      <c r="AH5146" s="3"/>
      <c r="AL5146" s="3"/>
    </row>
    <row r="5147" spans="12:38" x14ac:dyDescent="0.25">
      <c r="L5147" s="2"/>
      <c r="M5147" s="2"/>
      <c r="N5147" s="2"/>
      <c r="AD5147" s="3"/>
      <c r="AH5147" s="3"/>
      <c r="AL5147" s="3"/>
    </row>
    <row r="5148" spans="12:38" x14ac:dyDescent="0.25">
      <c r="L5148" s="2"/>
      <c r="M5148" s="2"/>
      <c r="N5148" s="2"/>
      <c r="AD5148" s="3"/>
      <c r="AH5148" s="3"/>
      <c r="AL5148" s="3"/>
    </row>
    <row r="5149" spans="12:38" x14ac:dyDescent="0.25">
      <c r="L5149" s="2"/>
      <c r="M5149" s="2"/>
      <c r="N5149" s="2"/>
      <c r="AD5149" s="3"/>
      <c r="AH5149" s="3"/>
      <c r="AL5149" s="3"/>
    </row>
    <row r="5150" spans="12:38" x14ac:dyDescent="0.25">
      <c r="L5150" s="2"/>
      <c r="M5150" s="2"/>
      <c r="N5150" s="2"/>
      <c r="AD5150" s="3"/>
      <c r="AH5150" s="3"/>
      <c r="AL5150" s="3"/>
    </row>
    <row r="5151" spans="12:38" x14ac:dyDescent="0.25">
      <c r="L5151" s="2"/>
      <c r="M5151" s="2"/>
      <c r="N5151" s="2"/>
      <c r="AD5151" s="3"/>
      <c r="AH5151" s="3"/>
      <c r="AL5151" s="3"/>
    </row>
    <row r="5152" spans="12:38" x14ac:dyDescent="0.25">
      <c r="L5152" s="2"/>
      <c r="M5152" s="2"/>
      <c r="N5152" s="2"/>
      <c r="AD5152" s="3"/>
      <c r="AH5152" s="3"/>
      <c r="AL5152" s="3"/>
    </row>
    <row r="5153" spans="12:38" x14ac:dyDescent="0.25">
      <c r="L5153" s="2"/>
      <c r="M5153" s="2"/>
      <c r="N5153" s="2"/>
      <c r="AD5153" s="3"/>
      <c r="AH5153" s="3"/>
      <c r="AL5153" s="3"/>
    </row>
    <row r="5154" spans="12:38" x14ac:dyDescent="0.25">
      <c r="L5154" s="2"/>
      <c r="M5154" s="2"/>
      <c r="N5154" s="2"/>
      <c r="AD5154" s="3"/>
      <c r="AH5154" s="3"/>
      <c r="AL5154" s="3"/>
    </row>
    <row r="5155" spans="12:38" x14ac:dyDescent="0.25">
      <c r="L5155" s="2"/>
      <c r="M5155" s="2"/>
      <c r="N5155" s="2"/>
      <c r="AD5155" s="3"/>
      <c r="AH5155" s="3"/>
      <c r="AL5155" s="3"/>
    </row>
    <row r="5156" spans="12:38" x14ac:dyDescent="0.25">
      <c r="L5156" s="2"/>
      <c r="M5156" s="2"/>
      <c r="N5156" s="2"/>
      <c r="AD5156" s="3"/>
      <c r="AH5156" s="3"/>
      <c r="AL5156" s="3"/>
    </row>
    <row r="5157" spans="12:38" x14ac:dyDescent="0.25">
      <c r="L5157" s="2"/>
      <c r="M5157" s="2"/>
      <c r="N5157" s="2"/>
      <c r="AD5157" s="3"/>
      <c r="AH5157" s="3"/>
      <c r="AL5157" s="3"/>
    </row>
    <row r="5158" spans="12:38" x14ac:dyDescent="0.25">
      <c r="L5158" s="2"/>
      <c r="M5158" s="2"/>
      <c r="N5158" s="2"/>
      <c r="AD5158" s="3"/>
      <c r="AH5158" s="3"/>
      <c r="AL5158" s="3"/>
    </row>
    <row r="5159" spans="12:38" x14ac:dyDescent="0.25">
      <c r="L5159" s="2"/>
      <c r="M5159" s="2"/>
      <c r="N5159" s="2"/>
      <c r="AD5159" s="3"/>
      <c r="AH5159" s="3"/>
      <c r="AL5159" s="3"/>
    </row>
    <row r="5160" spans="12:38" x14ac:dyDescent="0.25">
      <c r="L5160" s="2"/>
      <c r="M5160" s="2"/>
      <c r="N5160" s="2"/>
      <c r="AD5160" s="3"/>
      <c r="AH5160" s="3"/>
      <c r="AL5160" s="3"/>
    </row>
    <row r="5161" spans="12:38" x14ac:dyDescent="0.25">
      <c r="L5161" s="2"/>
      <c r="M5161" s="2"/>
      <c r="N5161" s="2"/>
      <c r="AD5161" s="3"/>
      <c r="AH5161" s="3"/>
      <c r="AL5161" s="3"/>
    </row>
    <row r="5162" spans="12:38" x14ac:dyDescent="0.25">
      <c r="L5162" s="2"/>
      <c r="M5162" s="2"/>
      <c r="N5162" s="2"/>
      <c r="AD5162" s="3"/>
      <c r="AH5162" s="3"/>
      <c r="AL5162" s="3"/>
    </row>
    <row r="5163" spans="12:38" x14ac:dyDescent="0.25">
      <c r="L5163" s="2"/>
      <c r="M5163" s="2"/>
      <c r="N5163" s="2"/>
      <c r="AD5163" s="3"/>
      <c r="AH5163" s="3"/>
      <c r="AL5163" s="3"/>
    </row>
    <row r="5164" spans="12:38" x14ac:dyDescent="0.25">
      <c r="L5164" s="2"/>
      <c r="M5164" s="2"/>
      <c r="N5164" s="2"/>
      <c r="AD5164" s="3"/>
      <c r="AH5164" s="3"/>
      <c r="AL5164" s="3"/>
    </row>
    <row r="5165" spans="12:38" x14ac:dyDescent="0.25">
      <c r="L5165" s="2"/>
      <c r="M5165" s="2"/>
      <c r="N5165" s="2"/>
      <c r="AD5165" s="3"/>
      <c r="AH5165" s="3"/>
      <c r="AL5165" s="3"/>
    </row>
    <row r="5166" spans="12:38" x14ac:dyDescent="0.25">
      <c r="L5166" s="2"/>
      <c r="M5166" s="2"/>
      <c r="N5166" s="2"/>
      <c r="AD5166" s="3"/>
      <c r="AH5166" s="3"/>
      <c r="AL5166" s="3"/>
    </row>
    <row r="5167" spans="12:38" x14ac:dyDescent="0.25">
      <c r="L5167" s="2"/>
      <c r="M5167" s="2"/>
      <c r="N5167" s="2"/>
      <c r="AD5167" s="3"/>
      <c r="AH5167" s="3"/>
      <c r="AL5167" s="3"/>
    </row>
    <row r="5168" spans="12:38" x14ac:dyDescent="0.25">
      <c r="L5168" s="2"/>
      <c r="M5168" s="2"/>
      <c r="N5168" s="2"/>
      <c r="AD5168" s="3"/>
      <c r="AH5168" s="3"/>
      <c r="AL5168" s="3"/>
    </row>
    <row r="5169" spans="12:38" x14ac:dyDescent="0.25">
      <c r="L5169" s="2"/>
      <c r="M5169" s="2"/>
      <c r="N5169" s="2"/>
      <c r="AD5169" s="3"/>
      <c r="AH5169" s="3"/>
      <c r="AL5169" s="3"/>
    </row>
    <row r="5170" spans="12:38" x14ac:dyDescent="0.25">
      <c r="L5170" s="2"/>
      <c r="M5170" s="2"/>
      <c r="N5170" s="2"/>
      <c r="AD5170" s="3"/>
      <c r="AH5170" s="3"/>
      <c r="AL5170" s="3"/>
    </row>
    <row r="5171" spans="12:38" x14ac:dyDescent="0.25">
      <c r="L5171" s="2"/>
      <c r="M5171" s="2"/>
      <c r="N5171" s="2"/>
      <c r="AD5171" s="3"/>
      <c r="AH5171" s="3"/>
      <c r="AL5171" s="3"/>
    </row>
    <row r="5172" spans="12:38" x14ac:dyDescent="0.25">
      <c r="L5172" s="2"/>
      <c r="M5172" s="2"/>
      <c r="N5172" s="2"/>
      <c r="AD5172" s="3"/>
      <c r="AH5172" s="3"/>
      <c r="AL5172" s="3"/>
    </row>
    <row r="5173" spans="12:38" x14ac:dyDescent="0.25">
      <c r="L5173" s="2"/>
      <c r="M5173" s="2"/>
      <c r="N5173" s="2"/>
      <c r="AD5173" s="3"/>
      <c r="AH5173" s="3"/>
      <c r="AL5173" s="3"/>
    </row>
    <row r="5174" spans="12:38" x14ac:dyDescent="0.25">
      <c r="L5174" s="2"/>
      <c r="M5174" s="2"/>
      <c r="N5174" s="2"/>
      <c r="AD5174" s="3"/>
      <c r="AH5174" s="3"/>
      <c r="AL5174" s="3"/>
    </row>
    <row r="5175" spans="12:38" x14ac:dyDescent="0.25">
      <c r="L5175" s="2"/>
      <c r="M5175" s="2"/>
      <c r="N5175" s="2"/>
      <c r="AD5175" s="3"/>
      <c r="AH5175" s="3"/>
      <c r="AL5175" s="3"/>
    </row>
    <row r="5176" spans="12:38" x14ac:dyDescent="0.25">
      <c r="L5176" s="2"/>
      <c r="M5176" s="2"/>
      <c r="N5176" s="2"/>
      <c r="AD5176" s="3"/>
      <c r="AH5176" s="3"/>
      <c r="AL5176" s="3"/>
    </row>
    <row r="5177" spans="12:38" x14ac:dyDescent="0.25">
      <c r="L5177" s="2"/>
      <c r="M5177" s="2"/>
      <c r="N5177" s="2"/>
      <c r="AD5177" s="3"/>
      <c r="AH5177" s="3"/>
      <c r="AL5177" s="3"/>
    </row>
    <row r="5178" spans="12:38" x14ac:dyDescent="0.25">
      <c r="L5178" s="2"/>
      <c r="M5178" s="2"/>
      <c r="N5178" s="2"/>
      <c r="AD5178" s="3"/>
      <c r="AH5178" s="3"/>
      <c r="AL5178" s="3"/>
    </row>
    <row r="5179" spans="12:38" x14ac:dyDescent="0.25">
      <c r="L5179" s="2"/>
      <c r="M5179" s="2"/>
      <c r="N5179" s="2"/>
      <c r="AD5179" s="3"/>
      <c r="AH5179" s="3"/>
      <c r="AL5179" s="3"/>
    </row>
    <row r="5180" spans="12:38" x14ac:dyDescent="0.25">
      <c r="L5180" s="2"/>
      <c r="M5180" s="2"/>
      <c r="N5180" s="2"/>
      <c r="AD5180" s="3"/>
      <c r="AH5180" s="3"/>
      <c r="AL5180" s="3"/>
    </row>
    <row r="5181" spans="12:38" x14ac:dyDescent="0.25">
      <c r="L5181" s="2"/>
      <c r="M5181" s="2"/>
      <c r="N5181" s="2"/>
      <c r="AD5181" s="3"/>
      <c r="AH5181" s="3"/>
      <c r="AL5181" s="3"/>
    </row>
    <row r="5182" spans="12:38" x14ac:dyDescent="0.25">
      <c r="L5182" s="2"/>
      <c r="M5182" s="2"/>
      <c r="N5182" s="2"/>
      <c r="AD5182" s="3"/>
      <c r="AH5182" s="3"/>
      <c r="AL5182" s="3"/>
    </row>
    <row r="5183" spans="12:38" x14ac:dyDescent="0.25">
      <c r="L5183" s="2"/>
      <c r="M5183" s="2"/>
      <c r="N5183" s="2"/>
      <c r="AD5183" s="3"/>
      <c r="AH5183" s="3"/>
      <c r="AL5183" s="3"/>
    </row>
    <row r="5184" spans="12:38" x14ac:dyDescent="0.25">
      <c r="L5184" s="2"/>
      <c r="M5184" s="2"/>
      <c r="N5184" s="2"/>
      <c r="AD5184" s="3"/>
      <c r="AH5184" s="3"/>
      <c r="AL5184" s="3"/>
    </row>
    <row r="5185" spans="12:38" x14ac:dyDescent="0.25">
      <c r="L5185" s="2"/>
      <c r="M5185" s="2"/>
      <c r="N5185" s="2"/>
      <c r="AD5185" s="3"/>
      <c r="AH5185" s="3"/>
      <c r="AL5185" s="3"/>
    </row>
    <row r="5186" spans="12:38" x14ac:dyDescent="0.25">
      <c r="L5186" s="2"/>
      <c r="M5186" s="2"/>
      <c r="N5186" s="2"/>
      <c r="AD5186" s="3"/>
      <c r="AH5186" s="3"/>
      <c r="AL5186" s="3"/>
    </row>
    <row r="5187" spans="12:38" x14ac:dyDescent="0.25">
      <c r="L5187" s="2"/>
      <c r="M5187" s="2"/>
      <c r="N5187" s="2"/>
      <c r="AD5187" s="3"/>
      <c r="AH5187" s="3"/>
      <c r="AL5187" s="3"/>
    </row>
    <row r="5188" spans="12:38" x14ac:dyDescent="0.25">
      <c r="L5188" s="2"/>
      <c r="M5188" s="2"/>
      <c r="N5188" s="2"/>
      <c r="AD5188" s="3"/>
      <c r="AH5188" s="3"/>
      <c r="AL5188" s="3"/>
    </row>
    <row r="5189" spans="12:38" x14ac:dyDescent="0.25">
      <c r="L5189" s="2"/>
      <c r="M5189" s="2"/>
      <c r="N5189" s="2"/>
      <c r="AD5189" s="3"/>
      <c r="AH5189" s="3"/>
      <c r="AL5189" s="3"/>
    </row>
    <row r="5190" spans="12:38" x14ac:dyDescent="0.25">
      <c r="L5190" s="2"/>
      <c r="M5190" s="2"/>
      <c r="N5190" s="2"/>
      <c r="AD5190" s="3"/>
      <c r="AH5190" s="3"/>
      <c r="AL5190" s="3"/>
    </row>
    <row r="5191" spans="12:38" x14ac:dyDescent="0.25">
      <c r="L5191" s="2"/>
      <c r="M5191" s="2"/>
      <c r="N5191" s="2"/>
      <c r="AD5191" s="3"/>
      <c r="AH5191" s="3"/>
      <c r="AL5191" s="3"/>
    </row>
    <row r="5192" spans="12:38" x14ac:dyDescent="0.25">
      <c r="L5192" s="2"/>
      <c r="M5192" s="2"/>
      <c r="N5192" s="2"/>
      <c r="AD5192" s="3"/>
      <c r="AH5192" s="3"/>
      <c r="AL5192" s="3"/>
    </row>
    <row r="5193" spans="12:38" x14ac:dyDescent="0.25">
      <c r="L5193" s="2"/>
      <c r="M5193" s="2"/>
      <c r="N5193" s="2"/>
      <c r="AD5193" s="3"/>
      <c r="AH5193" s="3"/>
      <c r="AL5193" s="3"/>
    </row>
    <row r="5194" spans="12:38" x14ac:dyDescent="0.25">
      <c r="L5194" s="2"/>
      <c r="M5194" s="2"/>
      <c r="N5194" s="2"/>
      <c r="AD5194" s="3"/>
      <c r="AH5194" s="3"/>
      <c r="AL5194" s="3"/>
    </row>
    <row r="5195" spans="12:38" x14ac:dyDescent="0.25">
      <c r="L5195" s="2"/>
      <c r="M5195" s="2"/>
      <c r="N5195" s="2"/>
      <c r="AD5195" s="3"/>
      <c r="AH5195" s="3"/>
      <c r="AL5195" s="3"/>
    </row>
    <row r="5196" spans="12:38" x14ac:dyDescent="0.25">
      <c r="L5196" s="2"/>
      <c r="M5196" s="2"/>
      <c r="N5196" s="2"/>
      <c r="AD5196" s="3"/>
      <c r="AH5196" s="3"/>
      <c r="AL5196" s="3"/>
    </row>
    <row r="5197" spans="12:38" x14ac:dyDescent="0.25">
      <c r="L5197" s="2"/>
      <c r="M5197" s="2"/>
      <c r="N5197" s="2"/>
      <c r="AD5197" s="3"/>
      <c r="AH5197" s="3"/>
      <c r="AL5197" s="3"/>
    </row>
    <row r="5198" spans="12:38" x14ac:dyDescent="0.25">
      <c r="L5198" s="2"/>
      <c r="M5198" s="2"/>
      <c r="N5198" s="2"/>
      <c r="AD5198" s="3"/>
      <c r="AH5198" s="3"/>
      <c r="AL5198" s="3"/>
    </row>
    <row r="5199" spans="12:38" x14ac:dyDescent="0.25">
      <c r="L5199" s="2"/>
      <c r="M5199" s="2"/>
      <c r="N5199" s="2"/>
      <c r="AD5199" s="3"/>
      <c r="AH5199" s="3"/>
      <c r="AL5199" s="3"/>
    </row>
    <row r="5200" spans="12:38" x14ac:dyDescent="0.25">
      <c r="L5200" s="2"/>
      <c r="M5200" s="2"/>
      <c r="N5200" s="2"/>
      <c r="AD5200" s="3"/>
      <c r="AH5200" s="3"/>
      <c r="AL5200" s="3"/>
    </row>
    <row r="5201" spans="12:38" x14ac:dyDescent="0.25">
      <c r="L5201" s="2"/>
      <c r="M5201" s="2"/>
      <c r="N5201" s="2"/>
      <c r="AD5201" s="3"/>
      <c r="AH5201" s="3"/>
      <c r="AL5201" s="3"/>
    </row>
    <row r="5202" spans="12:38" x14ac:dyDescent="0.25">
      <c r="L5202" s="2"/>
      <c r="M5202" s="2"/>
      <c r="N5202" s="2"/>
      <c r="AD5202" s="3"/>
      <c r="AH5202" s="3"/>
      <c r="AL5202" s="3"/>
    </row>
    <row r="5203" spans="12:38" x14ac:dyDescent="0.25">
      <c r="L5203" s="2"/>
      <c r="M5203" s="2"/>
      <c r="N5203" s="2"/>
      <c r="AD5203" s="3"/>
      <c r="AH5203" s="3"/>
      <c r="AL5203" s="3"/>
    </row>
    <row r="5204" spans="12:38" x14ac:dyDescent="0.25">
      <c r="L5204" s="2"/>
      <c r="M5204" s="2"/>
      <c r="N5204" s="2"/>
      <c r="AD5204" s="3"/>
      <c r="AH5204" s="3"/>
      <c r="AL5204" s="3"/>
    </row>
    <row r="5205" spans="12:38" x14ac:dyDescent="0.25">
      <c r="L5205" s="2"/>
      <c r="M5205" s="2"/>
      <c r="N5205" s="2"/>
      <c r="AD5205" s="3"/>
      <c r="AH5205" s="3"/>
      <c r="AL5205" s="3"/>
    </row>
    <row r="5206" spans="12:38" x14ac:dyDescent="0.25">
      <c r="L5206" s="2"/>
      <c r="M5206" s="2"/>
      <c r="N5206" s="2"/>
      <c r="AD5206" s="3"/>
      <c r="AH5206" s="3"/>
      <c r="AL5206" s="3"/>
    </row>
    <row r="5207" spans="12:38" x14ac:dyDescent="0.25">
      <c r="L5207" s="2"/>
      <c r="M5207" s="2"/>
      <c r="N5207" s="2"/>
      <c r="AD5207" s="3"/>
      <c r="AH5207" s="3"/>
      <c r="AL5207" s="3"/>
    </row>
    <row r="5208" spans="12:38" x14ac:dyDescent="0.25">
      <c r="L5208" s="2"/>
      <c r="M5208" s="2"/>
      <c r="N5208" s="2"/>
      <c r="AD5208" s="3"/>
      <c r="AH5208" s="3"/>
      <c r="AL5208" s="3"/>
    </row>
    <row r="5209" spans="12:38" x14ac:dyDescent="0.25">
      <c r="L5209" s="2"/>
      <c r="M5209" s="2"/>
      <c r="N5209" s="2"/>
      <c r="AD5209" s="3"/>
      <c r="AH5209" s="3"/>
      <c r="AL5209" s="3"/>
    </row>
    <row r="5210" spans="12:38" x14ac:dyDescent="0.25">
      <c r="L5210" s="2"/>
      <c r="M5210" s="2"/>
      <c r="N5210" s="2"/>
      <c r="AD5210" s="3"/>
      <c r="AH5210" s="3"/>
      <c r="AL5210" s="3"/>
    </row>
    <row r="5211" spans="12:38" x14ac:dyDescent="0.25">
      <c r="L5211" s="2"/>
      <c r="M5211" s="2"/>
      <c r="N5211" s="2"/>
      <c r="AD5211" s="3"/>
      <c r="AH5211" s="3"/>
      <c r="AL5211" s="3"/>
    </row>
    <row r="5212" spans="12:38" x14ac:dyDescent="0.25">
      <c r="L5212" s="2"/>
      <c r="M5212" s="2"/>
      <c r="N5212" s="2"/>
      <c r="AD5212" s="3"/>
      <c r="AH5212" s="3"/>
      <c r="AL5212" s="3"/>
    </row>
    <row r="5213" spans="12:38" x14ac:dyDescent="0.25">
      <c r="L5213" s="2"/>
      <c r="M5213" s="2"/>
      <c r="N5213" s="2"/>
      <c r="AD5213" s="3"/>
      <c r="AH5213" s="3"/>
      <c r="AL5213" s="3"/>
    </row>
    <row r="5214" spans="12:38" x14ac:dyDescent="0.25">
      <c r="L5214" s="2"/>
      <c r="M5214" s="2"/>
      <c r="N5214" s="2"/>
      <c r="AD5214" s="3"/>
      <c r="AH5214" s="3"/>
      <c r="AL5214" s="3"/>
    </row>
    <row r="5215" spans="12:38" x14ac:dyDescent="0.25">
      <c r="L5215" s="2"/>
      <c r="M5215" s="2"/>
      <c r="N5215" s="2"/>
      <c r="AD5215" s="3"/>
      <c r="AH5215" s="3"/>
      <c r="AL5215" s="3"/>
    </row>
    <row r="5216" spans="12:38" x14ac:dyDescent="0.25">
      <c r="L5216" s="2"/>
      <c r="M5216" s="2"/>
      <c r="N5216" s="2"/>
      <c r="AD5216" s="3"/>
      <c r="AH5216" s="3"/>
      <c r="AL5216" s="3"/>
    </row>
    <row r="5217" spans="12:38" x14ac:dyDescent="0.25">
      <c r="L5217" s="2"/>
      <c r="M5217" s="2"/>
      <c r="N5217" s="2"/>
      <c r="AD5217" s="3"/>
      <c r="AH5217" s="3"/>
      <c r="AL5217" s="3"/>
    </row>
    <row r="5218" spans="12:38" x14ac:dyDescent="0.25">
      <c r="L5218" s="2"/>
      <c r="M5218" s="2"/>
      <c r="N5218" s="2"/>
      <c r="AD5218" s="3"/>
      <c r="AH5218" s="3"/>
      <c r="AL5218" s="3"/>
    </row>
    <row r="5219" spans="12:38" x14ac:dyDescent="0.25">
      <c r="L5219" s="2"/>
      <c r="M5219" s="2"/>
      <c r="N5219" s="2"/>
      <c r="AD5219" s="3"/>
      <c r="AH5219" s="3"/>
      <c r="AL5219" s="3"/>
    </row>
    <row r="5220" spans="12:38" x14ac:dyDescent="0.25">
      <c r="L5220" s="2"/>
      <c r="M5220" s="2"/>
      <c r="N5220" s="2"/>
      <c r="AD5220" s="3"/>
      <c r="AH5220" s="3"/>
      <c r="AL5220" s="3"/>
    </row>
    <row r="5221" spans="12:38" x14ac:dyDescent="0.25">
      <c r="L5221" s="2"/>
      <c r="M5221" s="2"/>
      <c r="N5221" s="2"/>
      <c r="AD5221" s="3"/>
      <c r="AH5221" s="3"/>
      <c r="AL5221" s="3"/>
    </row>
    <row r="5222" spans="12:38" x14ac:dyDescent="0.25">
      <c r="L5222" s="2"/>
      <c r="M5222" s="2"/>
      <c r="N5222" s="2"/>
      <c r="AD5222" s="3"/>
      <c r="AH5222" s="3"/>
      <c r="AL5222" s="3"/>
    </row>
    <row r="5223" spans="12:38" x14ac:dyDescent="0.25">
      <c r="L5223" s="2"/>
      <c r="M5223" s="2"/>
      <c r="N5223" s="2"/>
      <c r="AD5223" s="3"/>
      <c r="AH5223" s="3"/>
      <c r="AL5223" s="3"/>
    </row>
    <row r="5224" spans="12:38" x14ac:dyDescent="0.25">
      <c r="L5224" s="2"/>
      <c r="M5224" s="2"/>
      <c r="N5224" s="2"/>
      <c r="AD5224" s="3"/>
      <c r="AH5224" s="3"/>
      <c r="AL5224" s="3"/>
    </row>
    <row r="5225" spans="12:38" x14ac:dyDescent="0.25">
      <c r="L5225" s="2"/>
      <c r="M5225" s="2"/>
      <c r="N5225" s="2"/>
      <c r="AD5225" s="3"/>
      <c r="AH5225" s="3"/>
      <c r="AL5225" s="3"/>
    </row>
    <row r="5226" spans="12:38" x14ac:dyDescent="0.25">
      <c r="L5226" s="2"/>
      <c r="M5226" s="2"/>
      <c r="N5226" s="2"/>
      <c r="AD5226" s="3"/>
      <c r="AH5226" s="3"/>
      <c r="AL5226" s="3"/>
    </row>
    <row r="5227" spans="12:38" x14ac:dyDescent="0.25">
      <c r="L5227" s="2"/>
      <c r="M5227" s="2"/>
      <c r="N5227" s="2"/>
      <c r="AD5227" s="3"/>
      <c r="AH5227" s="3"/>
      <c r="AL5227" s="3"/>
    </row>
    <row r="5228" spans="12:38" x14ac:dyDescent="0.25">
      <c r="L5228" s="2"/>
      <c r="M5228" s="2"/>
      <c r="N5228" s="2"/>
      <c r="AD5228" s="3"/>
      <c r="AH5228" s="3"/>
      <c r="AL5228" s="3"/>
    </row>
    <row r="5229" spans="12:38" x14ac:dyDescent="0.25">
      <c r="L5229" s="2"/>
      <c r="M5229" s="2"/>
      <c r="N5229" s="2"/>
      <c r="AD5229" s="3"/>
      <c r="AH5229" s="3"/>
      <c r="AL5229" s="3"/>
    </row>
    <row r="5230" spans="12:38" x14ac:dyDescent="0.25">
      <c r="L5230" s="2"/>
      <c r="M5230" s="2"/>
      <c r="N5230" s="2"/>
      <c r="AD5230" s="3"/>
      <c r="AH5230" s="3"/>
      <c r="AL5230" s="3"/>
    </row>
    <row r="5231" spans="12:38" x14ac:dyDescent="0.25">
      <c r="L5231" s="2"/>
      <c r="M5231" s="2"/>
      <c r="N5231" s="2"/>
      <c r="AD5231" s="3"/>
      <c r="AH5231" s="3"/>
      <c r="AL5231" s="3"/>
    </row>
    <row r="5232" spans="12:38" x14ac:dyDescent="0.25">
      <c r="L5232" s="2"/>
      <c r="M5232" s="2"/>
      <c r="N5232" s="2"/>
      <c r="AD5232" s="3"/>
      <c r="AH5232" s="3"/>
      <c r="AL5232" s="3"/>
    </row>
    <row r="5233" spans="12:38" x14ac:dyDescent="0.25">
      <c r="L5233" s="2"/>
      <c r="M5233" s="2"/>
      <c r="N5233" s="2"/>
      <c r="AD5233" s="3"/>
      <c r="AH5233" s="3"/>
      <c r="AL5233" s="3"/>
    </row>
    <row r="5234" spans="12:38" x14ac:dyDescent="0.25">
      <c r="L5234" s="2"/>
      <c r="M5234" s="2"/>
      <c r="N5234" s="2"/>
      <c r="AD5234" s="3"/>
      <c r="AH5234" s="3"/>
      <c r="AL5234" s="3"/>
    </row>
    <row r="5235" spans="12:38" x14ac:dyDescent="0.25">
      <c r="L5235" s="2"/>
      <c r="M5235" s="2"/>
      <c r="N5235" s="2"/>
      <c r="AD5235" s="3"/>
      <c r="AH5235" s="3"/>
      <c r="AL5235" s="3"/>
    </row>
    <row r="5236" spans="12:38" x14ac:dyDescent="0.25">
      <c r="L5236" s="2"/>
      <c r="M5236" s="2"/>
      <c r="N5236" s="2"/>
      <c r="AD5236" s="3"/>
      <c r="AH5236" s="3"/>
      <c r="AL5236" s="3"/>
    </row>
    <row r="5237" spans="12:38" x14ac:dyDescent="0.25">
      <c r="L5237" s="2"/>
      <c r="M5237" s="2"/>
      <c r="N5237" s="2"/>
      <c r="AD5237" s="3"/>
      <c r="AH5237" s="3"/>
      <c r="AL5237" s="3"/>
    </row>
    <row r="5238" spans="12:38" x14ac:dyDescent="0.25">
      <c r="L5238" s="2"/>
      <c r="M5238" s="2"/>
      <c r="N5238" s="2"/>
      <c r="AD5238" s="3"/>
      <c r="AH5238" s="3"/>
      <c r="AL5238" s="3"/>
    </row>
    <row r="5239" spans="12:38" x14ac:dyDescent="0.25">
      <c r="L5239" s="2"/>
      <c r="M5239" s="2"/>
      <c r="N5239" s="2"/>
      <c r="AD5239" s="3"/>
      <c r="AH5239" s="3"/>
      <c r="AL5239" s="3"/>
    </row>
    <row r="5240" spans="12:38" x14ac:dyDescent="0.25">
      <c r="L5240" s="2"/>
      <c r="M5240" s="2"/>
      <c r="N5240" s="2"/>
      <c r="AD5240" s="3"/>
      <c r="AH5240" s="3"/>
      <c r="AL5240" s="3"/>
    </row>
    <row r="5241" spans="12:38" x14ac:dyDescent="0.25">
      <c r="L5241" s="2"/>
      <c r="M5241" s="2"/>
      <c r="N5241" s="2"/>
      <c r="AD5241" s="3"/>
      <c r="AH5241" s="3"/>
      <c r="AL5241" s="3"/>
    </row>
    <row r="5242" spans="12:38" x14ac:dyDescent="0.25">
      <c r="L5242" s="2"/>
      <c r="M5242" s="2"/>
      <c r="N5242" s="2"/>
      <c r="AD5242" s="3"/>
      <c r="AH5242" s="3"/>
      <c r="AL5242" s="3"/>
    </row>
    <row r="5243" spans="12:38" x14ac:dyDescent="0.25">
      <c r="L5243" s="2"/>
      <c r="M5243" s="2"/>
      <c r="N5243" s="2"/>
      <c r="AD5243" s="3"/>
      <c r="AH5243" s="3"/>
      <c r="AL5243" s="3"/>
    </row>
    <row r="5244" spans="12:38" x14ac:dyDescent="0.25">
      <c r="L5244" s="2"/>
      <c r="M5244" s="2"/>
      <c r="N5244" s="2"/>
      <c r="AD5244" s="3"/>
      <c r="AH5244" s="3"/>
      <c r="AL5244" s="3"/>
    </row>
    <row r="5245" spans="12:38" x14ac:dyDescent="0.25">
      <c r="L5245" s="2"/>
      <c r="M5245" s="2"/>
      <c r="N5245" s="2"/>
      <c r="AD5245" s="3"/>
      <c r="AH5245" s="3"/>
      <c r="AL5245" s="3"/>
    </row>
    <row r="5246" spans="12:38" x14ac:dyDescent="0.25">
      <c r="L5246" s="2"/>
      <c r="M5246" s="2"/>
      <c r="N5246" s="2"/>
      <c r="AD5246" s="3"/>
      <c r="AH5246" s="3"/>
      <c r="AL5246" s="3"/>
    </row>
    <row r="5247" spans="12:38" x14ac:dyDescent="0.25">
      <c r="L5247" s="2"/>
      <c r="M5247" s="2"/>
      <c r="N5247" s="2"/>
      <c r="AD5247" s="3"/>
      <c r="AH5247" s="3"/>
      <c r="AL5247" s="3"/>
    </row>
    <row r="5248" spans="12:38" x14ac:dyDescent="0.25">
      <c r="L5248" s="2"/>
      <c r="M5248" s="2"/>
      <c r="N5248" s="2"/>
      <c r="AD5248" s="3"/>
      <c r="AH5248" s="3"/>
      <c r="AL5248" s="3"/>
    </row>
    <row r="5249" spans="12:38" x14ac:dyDescent="0.25">
      <c r="L5249" s="2"/>
      <c r="M5249" s="2"/>
      <c r="N5249" s="2"/>
      <c r="AD5249" s="3"/>
      <c r="AH5249" s="3"/>
      <c r="AL5249" s="3"/>
    </row>
    <row r="5250" spans="12:38" x14ac:dyDescent="0.25">
      <c r="L5250" s="2"/>
      <c r="M5250" s="2"/>
      <c r="N5250" s="2"/>
      <c r="AD5250" s="3"/>
      <c r="AH5250" s="3"/>
      <c r="AL5250" s="3"/>
    </row>
    <row r="5251" spans="12:38" x14ac:dyDescent="0.25">
      <c r="L5251" s="2"/>
      <c r="M5251" s="2"/>
      <c r="N5251" s="2"/>
      <c r="AD5251" s="3"/>
      <c r="AH5251" s="3"/>
      <c r="AL5251" s="3"/>
    </row>
    <row r="5252" spans="12:38" x14ac:dyDescent="0.25">
      <c r="L5252" s="2"/>
      <c r="M5252" s="2"/>
      <c r="N5252" s="2"/>
      <c r="AD5252" s="3"/>
      <c r="AH5252" s="3"/>
      <c r="AL5252" s="3"/>
    </row>
    <row r="5253" spans="12:38" x14ac:dyDescent="0.25">
      <c r="L5253" s="2"/>
      <c r="M5253" s="2"/>
      <c r="N5253" s="2"/>
      <c r="AD5253" s="3"/>
      <c r="AH5253" s="3"/>
      <c r="AL5253" s="3"/>
    </row>
    <row r="5254" spans="12:38" x14ac:dyDescent="0.25">
      <c r="L5254" s="2"/>
      <c r="M5254" s="2"/>
      <c r="N5254" s="2"/>
      <c r="AD5254" s="3"/>
      <c r="AH5254" s="3"/>
      <c r="AL5254" s="3"/>
    </row>
    <row r="5255" spans="12:38" x14ac:dyDescent="0.25">
      <c r="L5255" s="2"/>
      <c r="M5255" s="2"/>
      <c r="N5255" s="2"/>
      <c r="AD5255" s="3"/>
      <c r="AH5255" s="3"/>
      <c r="AL5255" s="3"/>
    </row>
    <row r="5256" spans="12:38" x14ac:dyDescent="0.25">
      <c r="L5256" s="2"/>
      <c r="M5256" s="2"/>
      <c r="N5256" s="2"/>
      <c r="AD5256" s="3"/>
      <c r="AH5256" s="3"/>
      <c r="AL5256" s="3"/>
    </row>
    <row r="5257" spans="12:38" x14ac:dyDescent="0.25">
      <c r="L5257" s="2"/>
      <c r="M5257" s="2"/>
      <c r="N5257" s="2"/>
      <c r="AD5257" s="3"/>
      <c r="AH5257" s="3"/>
      <c r="AL5257" s="3"/>
    </row>
    <row r="5258" spans="12:38" x14ac:dyDescent="0.25">
      <c r="L5258" s="2"/>
      <c r="M5258" s="2"/>
      <c r="N5258" s="2"/>
      <c r="AD5258" s="3"/>
      <c r="AH5258" s="3"/>
      <c r="AL5258" s="3"/>
    </row>
    <row r="5259" spans="12:38" x14ac:dyDescent="0.25">
      <c r="L5259" s="2"/>
      <c r="M5259" s="2"/>
      <c r="N5259" s="2"/>
      <c r="AD5259" s="3"/>
      <c r="AH5259" s="3"/>
      <c r="AL5259" s="3"/>
    </row>
    <row r="5260" spans="12:38" x14ac:dyDescent="0.25">
      <c r="L5260" s="2"/>
      <c r="M5260" s="2"/>
      <c r="N5260" s="2"/>
      <c r="AD5260" s="3"/>
      <c r="AH5260" s="3"/>
      <c r="AL5260" s="3"/>
    </row>
    <row r="5261" spans="12:38" x14ac:dyDescent="0.25">
      <c r="L5261" s="2"/>
      <c r="M5261" s="2"/>
      <c r="N5261" s="2"/>
      <c r="AD5261" s="3"/>
      <c r="AH5261" s="3"/>
      <c r="AL5261" s="3"/>
    </row>
    <row r="5262" spans="12:38" x14ac:dyDescent="0.25">
      <c r="L5262" s="2"/>
      <c r="M5262" s="2"/>
      <c r="N5262" s="2"/>
      <c r="AD5262" s="3"/>
      <c r="AH5262" s="3"/>
      <c r="AL5262" s="3"/>
    </row>
    <row r="5263" spans="12:38" x14ac:dyDescent="0.25">
      <c r="L5263" s="2"/>
      <c r="M5263" s="2"/>
      <c r="N5263" s="2"/>
      <c r="AD5263" s="3"/>
      <c r="AH5263" s="3"/>
      <c r="AL5263" s="3"/>
    </row>
    <row r="5264" spans="12:38" x14ac:dyDescent="0.25">
      <c r="L5264" s="2"/>
      <c r="M5264" s="2"/>
      <c r="N5264" s="2"/>
      <c r="AD5264" s="3"/>
      <c r="AH5264" s="3"/>
      <c r="AL5264" s="3"/>
    </row>
    <row r="5265" spans="12:38" x14ac:dyDescent="0.25">
      <c r="L5265" s="2"/>
      <c r="M5265" s="2"/>
      <c r="N5265" s="2"/>
      <c r="AD5265" s="3"/>
      <c r="AH5265" s="3"/>
      <c r="AL5265" s="3"/>
    </row>
    <row r="5266" spans="12:38" x14ac:dyDescent="0.25">
      <c r="L5266" s="2"/>
      <c r="M5266" s="2"/>
      <c r="N5266" s="2"/>
      <c r="AD5266" s="3"/>
      <c r="AH5266" s="3"/>
      <c r="AL5266" s="3"/>
    </row>
    <row r="5267" spans="12:38" x14ac:dyDescent="0.25">
      <c r="L5267" s="2"/>
      <c r="M5267" s="2"/>
      <c r="N5267" s="2"/>
      <c r="AD5267" s="3"/>
      <c r="AH5267" s="3"/>
      <c r="AL5267" s="3"/>
    </row>
    <row r="5268" spans="12:38" x14ac:dyDescent="0.25">
      <c r="L5268" s="2"/>
      <c r="M5268" s="2"/>
      <c r="N5268" s="2"/>
      <c r="AD5268" s="3"/>
      <c r="AH5268" s="3"/>
      <c r="AL5268" s="3"/>
    </row>
    <row r="5269" spans="12:38" x14ac:dyDescent="0.25">
      <c r="L5269" s="2"/>
      <c r="M5269" s="2"/>
      <c r="N5269" s="2"/>
      <c r="AD5269" s="3"/>
      <c r="AH5269" s="3"/>
      <c r="AL5269" s="3"/>
    </row>
    <row r="5270" spans="12:38" x14ac:dyDescent="0.25">
      <c r="L5270" s="2"/>
      <c r="M5270" s="2"/>
      <c r="N5270" s="2"/>
      <c r="AD5270" s="3"/>
      <c r="AH5270" s="3"/>
      <c r="AL5270" s="3"/>
    </row>
    <row r="5271" spans="12:38" x14ac:dyDescent="0.25">
      <c r="L5271" s="2"/>
      <c r="M5271" s="2"/>
      <c r="N5271" s="2"/>
      <c r="AD5271" s="3"/>
      <c r="AH5271" s="3"/>
      <c r="AL5271" s="3"/>
    </row>
    <row r="5272" spans="12:38" x14ac:dyDescent="0.25">
      <c r="L5272" s="2"/>
      <c r="M5272" s="2"/>
      <c r="N5272" s="2"/>
      <c r="AD5272" s="3"/>
      <c r="AH5272" s="3"/>
      <c r="AL5272" s="3"/>
    </row>
    <row r="5273" spans="12:38" x14ac:dyDescent="0.25">
      <c r="L5273" s="2"/>
      <c r="M5273" s="2"/>
      <c r="N5273" s="2"/>
      <c r="AD5273" s="3"/>
      <c r="AH5273" s="3"/>
      <c r="AL5273" s="3"/>
    </row>
    <row r="5274" spans="12:38" x14ac:dyDescent="0.25">
      <c r="L5274" s="2"/>
      <c r="M5274" s="2"/>
      <c r="N5274" s="2"/>
      <c r="AD5274" s="3"/>
      <c r="AH5274" s="3"/>
      <c r="AL5274" s="3"/>
    </row>
    <row r="5275" spans="12:38" x14ac:dyDescent="0.25">
      <c r="L5275" s="2"/>
      <c r="M5275" s="2"/>
      <c r="N5275" s="2"/>
      <c r="AD5275" s="3"/>
      <c r="AH5275" s="3"/>
      <c r="AL5275" s="3"/>
    </row>
    <row r="5276" spans="12:38" x14ac:dyDescent="0.25">
      <c r="L5276" s="2"/>
      <c r="M5276" s="2"/>
      <c r="N5276" s="2"/>
      <c r="AD5276" s="3"/>
      <c r="AH5276" s="3"/>
      <c r="AL5276" s="3"/>
    </row>
    <row r="5277" spans="12:38" x14ac:dyDescent="0.25">
      <c r="L5277" s="2"/>
      <c r="M5277" s="2"/>
      <c r="N5277" s="2"/>
      <c r="AD5277" s="3"/>
      <c r="AH5277" s="3"/>
      <c r="AL5277" s="3"/>
    </row>
    <row r="5278" spans="12:38" x14ac:dyDescent="0.25">
      <c r="L5278" s="2"/>
      <c r="M5278" s="2"/>
      <c r="N5278" s="2"/>
      <c r="AD5278" s="3"/>
      <c r="AH5278" s="3"/>
      <c r="AL5278" s="3"/>
    </row>
    <row r="5279" spans="12:38" x14ac:dyDescent="0.25">
      <c r="L5279" s="2"/>
      <c r="M5279" s="2"/>
      <c r="N5279" s="2"/>
      <c r="AD5279" s="3"/>
      <c r="AH5279" s="3"/>
      <c r="AL5279" s="3"/>
    </row>
    <row r="5280" spans="12:38" x14ac:dyDescent="0.25">
      <c r="L5280" s="2"/>
      <c r="M5280" s="2"/>
      <c r="N5280" s="2"/>
      <c r="AD5280" s="3"/>
      <c r="AH5280" s="3"/>
      <c r="AL5280" s="3"/>
    </row>
    <row r="5281" spans="12:38" x14ac:dyDescent="0.25">
      <c r="L5281" s="2"/>
      <c r="M5281" s="2"/>
      <c r="N5281" s="2"/>
      <c r="AD5281" s="3"/>
      <c r="AH5281" s="3"/>
      <c r="AL5281" s="3"/>
    </row>
    <row r="5282" spans="12:38" x14ac:dyDescent="0.25">
      <c r="L5282" s="2"/>
      <c r="M5282" s="2"/>
      <c r="N5282" s="2"/>
      <c r="AD5282" s="3"/>
      <c r="AH5282" s="3"/>
      <c r="AL5282" s="3"/>
    </row>
    <row r="5283" spans="12:38" x14ac:dyDescent="0.25">
      <c r="L5283" s="2"/>
      <c r="M5283" s="2"/>
      <c r="N5283" s="2"/>
      <c r="AD5283" s="3"/>
      <c r="AH5283" s="3"/>
      <c r="AL5283" s="3"/>
    </row>
    <row r="5284" spans="12:38" x14ac:dyDescent="0.25">
      <c r="L5284" s="2"/>
      <c r="M5284" s="2"/>
      <c r="N5284" s="2"/>
      <c r="AD5284" s="3"/>
      <c r="AH5284" s="3"/>
      <c r="AL5284" s="3"/>
    </row>
    <row r="5285" spans="12:38" x14ac:dyDescent="0.25">
      <c r="L5285" s="2"/>
      <c r="M5285" s="2"/>
      <c r="N5285" s="2"/>
      <c r="AD5285" s="3"/>
      <c r="AH5285" s="3"/>
      <c r="AL5285" s="3"/>
    </row>
    <row r="5286" spans="12:38" x14ac:dyDescent="0.25">
      <c r="L5286" s="2"/>
      <c r="M5286" s="2"/>
      <c r="N5286" s="2"/>
      <c r="AD5286" s="3"/>
      <c r="AH5286" s="3"/>
      <c r="AL5286" s="3"/>
    </row>
    <row r="5287" spans="12:38" x14ac:dyDescent="0.25">
      <c r="L5287" s="2"/>
      <c r="M5287" s="2"/>
      <c r="N5287" s="2"/>
      <c r="AD5287" s="3"/>
      <c r="AH5287" s="3"/>
      <c r="AL5287" s="3"/>
    </row>
    <row r="5288" spans="12:38" x14ac:dyDescent="0.25">
      <c r="L5288" s="2"/>
      <c r="M5288" s="2"/>
      <c r="N5288" s="2"/>
      <c r="AD5288" s="3"/>
      <c r="AH5288" s="3"/>
      <c r="AL5288" s="3"/>
    </row>
    <row r="5289" spans="12:38" x14ac:dyDescent="0.25">
      <c r="L5289" s="2"/>
      <c r="M5289" s="2"/>
      <c r="N5289" s="2"/>
      <c r="AD5289" s="3"/>
      <c r="AH5289" s="3"/>
      <c r="AL5289" s="3"/>
    </row>
    <row r="5290" spans="12:38" x14ac:dyDescent="0.25">
      <c r="L5290" s="2"/>
      <c r="M5290" s="2"/>
      <c r="N5290" s="2"/>
      <c r="AD5290" s="3"/>
      <c r="AH5290" s="3"/>
      <c r="AL5290" s="3"/>
    </row>
    <row r="5291" spans="12:38" x14ac:dyDescent="0.25">
      <c r="L5291" s="2"/>
      <c r="M5291" s="2"/>
      <c r="N5291" s="2"/>
      <c r="AD5291" s="3"/>
      <c r="AH5291" s="3"/>
      <c r="AL5291" s="3"/>
    </row>
    <row r="5292" spans="12:38" x14ac:dyDescent="0.25">
      <c r="L5292" s="2"/>
      <c r="M5292" s="2"/>
      <c r="N5292" s="2"/>
      <c r="AD5292" s="3"/>
      <c r="AH5292" s="3"/>
      <c r="AL5292" s="3"/>
    </row>
    <row r="5293" spans="12:38" x14ac:dyDescent="0.25">
      <c r="L5293" s="2"/>
      <c r="M5293" s="2"/>
      <c r="N5293" s="2"/>
      <c r="AD5293" s="3"/>
      <c r="AH5293" s="3"/>
      <c r="AL5293" s="3"/>
    </row>
    <row r="5294" spans="12:38" x14ac:dyDescent="0.25">
      <c r="L5294" s="2"/>
      <c r="M5294" s="2"/>
      <c r="N5294" s="2"/>
      <c r="AD5294" s="3"/>
      <c r="AH5294" s="3"/>
      <c r="AL5294" s="3"/>
    </row>
    <row r="5295" spans="12:38" x14ac:dyDescent="0.25">
      <c r="L5295" s="2"/>
      <c r="M5295" s="2"/>
      <c r="N5295" s="2"/>
      <c r="AD5295" s="3"/>
      <c r="AH5295" s="3"/>
      <c r="AL5295" s="3"/>
    </row>
    <row r="5296" spans="12:38" x14ac:dyDescent="0.25">
      <c r="L5296" s="2"/>
      <c r="M5296" s="2"/>
      <c r="N5296" s="2"/>
      <c r="AD5296" s="3"/>
      <c r="AH5296" s="3"/>
      <c r="AL5296" s="3"/>
    </row>
    <row r="5297" spans="12:38" x14ac:dyDescent="0.25">
      <c r="L5297" s="2"/>
      <c r="M5297" s="2"/>
      <c r="N5297" s="2"/>
      <c r="AD5297" s="3"/>
      <c r="AH5297" s="3"/>
      <c r="AL5297" s="3"/>
    </row>
    <row r="5298" spans="12:38" x14ac:dyDescent="0.25">
      <c r="L5298" s="2"/>
      <c r="M5298" s="2"/>
      <c r="N5298" s="2"/>
      <c r="AD5298" s="3"/>
      <c r="AH5298" s="3"/>
      <c r="AL5298" s="3"/>
    </row>
    <row r="5299" spans="12:38" x14ac:dyDescent="0.25">
      <c r="L5299" s="2"/>
      <c r="M5299" s="2"/>
      <c r="N5299" s="2"/>
      <c r="AD5299" s="3"/>
      <c r="AH5299" s="3"/>
      <c r="AL5299" s="3"/>
    </row>
    <row r="5300" spans="12:38" x14ac:dyDescent="0.25">
      <c r="L5300" s="2"/>
      <c r="M5300" s="2"/>
      <c r="N5300" s="2"/>
      <c r="AD5300" s="3"/>
      <c r="AH5300" s="3"/>
      <c r="AL5300" s="3"/>
    </row>
    <row r="5301" spans="12:38" x14ac:dyDescent="0.25">
      <c r="L5301" s="2"/>
      <c r="M5301" s="2"/>
      <c r="N5301" s="2"/>
      <c r="AD5301" s="3"/>
      <c r="AH5301" s="3"/>
      <c r="AL5301" s="3"/>
    </row>
    <row r="5302" spans="12:38" x14ac:dyDescent="0.25">
      <c r="L5302" s="2"/>
      <c r="M5302" s="2"/>
      <c r="N5302" s="2"/>
      <c r="AD5302" s="3"/>
      <c r="AH5302" s="3"/>
      <c r="AL5302" s="3"/>
    </row>
    <row r="5303" spans="12:38" x14ac:dyDescent="0.25">
      <c r="L5303" s="2"/>
      <c r="M5303" s="2"/>
      <c r="N5303" s="2"/>
      <c r="AD5303" s="3"/>
      <c r="AH5303" s="3"/>
      <c r="AL5303" s="3"/>
    </row>
    <row r="5304" spans="12:38" x14ac:dyDescent="0.25">
      <c r="L5304" s="2"/>
      <c r="M5304" s="2"/>
      <c r="N5304" s="2"/>
      <c r="AD5304" s="3"/>
      <c r="AH5304" s="3"/>
      <c r="AL5304" s="3"/>
    </row>
    <row r="5305" spans="12:38" x14ac:dyDescent="0.25">
      <c r="L5305" s="2"/>
      <c r="M5305" s="2"/>
      <c r="N5305" s="2"/>
      <c r="AD5305" s="3"/>
      <c r="AH5305" s="3"/>
      <c r="AL5305" s="3"/>
    </row>
    <row r="5306" spans="12:38" x14ac:dyDescent="0.25">
      <c r="L5306" s="2"/>
      <c r="M5306" s="2"/>
      <c r="N5306" s="2"/>
      <c r="AD5306" s="3"/>
      <c r="AH5306" s="3"/>
      <c r="AL5306" s="3"/>
    </row>
    <row r="5307" spans="12:38" x14ac:dyDescent="0.25">
      <c r="L5307" s="2"/>
      <c r="M5307" s="2"/>
      <c r="N5307" s="2"/>
      <c r="AD5307" s="3"/>
      <c r="AH5307" s="3"/>
      <c r="AL5307" s="3"/>
    </row>
    <row r="5308" spans="12:38" x14ac:dyDescent="0.25">
      <c r="L5308" s="2"/>
      <c r="M5308" s="2"/>
      <c r="N5308" s="2"/>
      <c r="AD5308" s="3"/>
      <c r="AH5308" s="3"/>
      <c r="AL5308" s="3"/>
    </row>
    <row r="5309" spans="12:38" x14ac:dyDescent="0.25">
      <c r="L5309" s="2"/>
      <c r="M5309" s="2"/>
      <c r="N5309" s="2"/>
      <c r="AD5309" s="3"/>
      <c r="AH5309" s="3"/>
      <c r="AL5309" s="3"/>
    </row>
    <row r="5310" spans="12:38" x14ac:dyDescent="0.25">
      <c r="L5310" s="2"/>
      <c r="M5310" s="2"/>
      <c r="N5310" s="2"/>
      <c r="AD5310" s="3"/>
      <c r="AH5310" s="3"/>
      <c r="AL5310" s="3"/>
    </row>
    <row r="5311" spans="12:38" x14ac:dyDescent="0.25">
      <c r="L5311" s="2"/>
      <c r="M5311" s="2"/>
      <c r="N5311" s="2"/>
      <c r="AD5311" s="3"/>
      <c r="AH5311" s="3"/>
      <c r="AL5311" s="3"/>
    </row>
    <row r="5312" spans="12:38" x14ac:dyDescent="0.25">
      <c r="L5312" s="2"/>
      <c r="M5312" s="2"/>
      <c r="N5312" s="2"/>
      <c r="AD5312" s="3"/>
      <c r="AH5312" s="3"/>
      <c r="AL5312" s="3"/>
    </row>
    <row r="5313" spans="12:38" x14ac:dyDescent="0.25">
      <c r="L5313" s="2"/>
      <c r="M5313" s="2"/>
      <c r="N5313" s="2"/>
      <c r="AD5313" s="3"/>
      <c r="AH5313" s="3"/>
      <c r="AL5313" s="3"/>
    </row>
    <row r="5314" spans="12:38" x14ac:dyDescent="0.25">
      <c r="L5314" s="2"/>
      <c r="M5314" s="2"/>
      <c r="N5314" s="2"/>
      <c r="AD5314" s="3"/>
      <c r="AH5314" s="3"/>
      <c r="AL5314" s="3"/>
    </row>
    <row r="5315" spans="12:38" x14ac:dyDescent="0.25">
      <c r="L5315" s="2"/>
      <c r="M5315" s="2"/>
      <c r="N5315" s="2"/>
      <c r="AD5315" s="3"/>
      <c r="AH5315" s="3"/>
      <c r="AL5315" s="3"/>
    </row>
    <row r="5316" spans="12:38" x14ac:dyDescent="0.25">
      <c r="L5316" s="2"/>
      <c r="M5316" s="2"/>
      <c r="N5316" s="2"/>
      <c r="AD5316" s="3"/>
      <c r="AH5316" s="3"/>
      <c r="AL5316" s="3"/>
    </row>
    <row r="5317" spans="12:38" x14ac:dyDescent="0.25">
      <c r="L5317" s="2"/>
      <c r="M5317" s="2"/>
      <c r="N5317" s="2"/>
      <c r="AD5317" s="3"/>
      <c r="AH5317" s="3"/>
      <c r="AL5317" s="3"/>
    </row>
    <row r="5318" spans="12:38" x14ac:dyDescent="0.25">
      <c r="L5318" s="2"/>
      <c r="M5318" s="2"/>
      <c r="N5318" s="2"/>
      <c r="AD5318" s="3"/>
      <c r="AH5318" s="3"/>
      <c r="AL5318" s="3"/>
    </row>
    <row r="5319" spans="12:38" x14ac:dyDescent="0.25">
      <c r="L5319" s="2"/>
      <c r="M5319" s="2"/>
      <c r="N5319" s="2"/>
      <c r="AD5319" s="3"/>
      <c r="AH5319" s="3"/>
      <c r="AL5319" s="3"/>
    </row>
    <row r="5320" spans="12:38" x14ac:dyDescent="0.25">
      <c r="L5320" s="2"/>
      <c r="M5320" s="2"/>
      <c r="N5320" s="2"/>
      <c r="AD5320" s="3"/>
      <c r="AH5320" s="3"/>
      <c r="AL5320" s="3"/>
    </row>
    <row r="5321" spans="12:38" x14ac:dyDescent="0.25">
      <c r="L5321" s="2"/>
      <c r="M5321" s="2"/>
      <c r="N5321" s="2"/>
      <c r="AD5321" s="3"/>
      <c r="AH5321" s="3"/>
      <c r="AL5321" s="3"/>
    </row>
    <row r="5322" spans="12:38" x14ac:dyDescent="0.25">
      <c r="L5322" s="2"/>
      <c r="M5322" s="2"/>
      <c r="N5322" s="2"/>
      <c r="AD5322" s="3"/>
      <c r="AH5322" s="3"/>
      <c r="AL5322" s="3"/>
    </row>
    <row r="5323" spans="12:38" x14ac:dyDescent="0.25">
      <c r="L5323" s="2"/>
      <c r="M5323" s="2"/>
      <c r="N5323" s="2"/>
      <c r="AD5323" s="3"/>
      <c r="AH5323" s="3"/>
      <c r="AL5323" s="3"/>
    </row>
    <row r="5324" spans="12:38" x14ac:dyDescent="0.25">
      <c r="L5324" s="2"/>
      <c r="M5324" s="2"/>
      <c r="N5324" s="2"/>
      <c r="AD5324" s="3"/>
      <c r="AH5324" s="3"/>
      <c r="AL5324" s="3"/>
    </row>
    <row r="5325" spans="12:38" x14ac:dyDescent="0.25">
      <c r="L5325" s="2"/>
      <c r="M5325" s="2"/>
      <c r="N5325" s="2"/>
      <c r="AD5325" s="3"/>
      <c r="AH5325" s="3"/>
      <c r="AL5325" s="3"/>
    </row>
    <row r="5326" spans="12:38" x14ac:dyDescent="0.25">
      <c r="L5326" s="2"/>
      <c r="M5326" s="2"/>
      <c r="N5326" s="2"/>
      <c r="AD5326" s="3"/>
      <c r="AH5326" s="3"/>
      <c r="AL5326" s="3"/>
    </row>
    <row r="5327" spans="12:38" x14ac:dyDescent="0.25">
      <c r="L5327" s="2"/>
      <c r="M5327" s="2"/>
      <c r="N5327" s="2"/>
      <c r="AD5327" s="3"/>
      <c r="AH5327" s="3"/>
      <c r="AL5327" s="3"/>
    </row>
    <row r="5328" spans="12:38" x14ac:dyDescent="0.25">
      <c r="L5328" s="2"/>
      <c r="M5328" s="2"/>
      <c r="N5328" s="2"/>
      <c r="AD5328" s="3"/>
      <c r="AH5328" s="3"/>
      <c r="AL5328" s="3"/>
    </row>
    <row r="5329" spans="12:38" x14ac:dyDescent="0.25">
      <c r="L5329" s="2"/>
      <c r="M5329" s="2"/>
      <c r="N5329" s="2"/>
      <c r="AD5329" s="3"/>
      <c r="AH5329" s="3"/>
      <c r="AL5329" s="3"/>
    </row>
    <row r="5330" spans="12:38" x14ac:dyDescent="0.25">
      <c r="L5330" s="2"/>
      <c r="M5330" s="2"/>
      <c r="N5330" s="2"/>
      <c r="AD5330" s="3"/>
      <c r="AH5330" s="3"/>
      <c r="AL5330" s="3"/>
    </row>
    <row r="5331" spans="12:38" x14ac:dyDescent="0.25">
      <c r="L5331" s="2"/>
      <c r="M5331" s="2"/>
      <c r="N5331" s="2"/>
      <c r="AD5331" s="3"/>
      <c r="AH5331" s="3"/>
      <c r="AL5331" s="3"/>
    </row>
    <row r="5332" spans="12:38" x14ac:dyDescent="0.25">
      <c r="L5332" s="2"/>
      <c r="M5332" s="2"/>
      <c r="N5332" s="2"/>
      <c r="AD5332" s="3"/>
      <c r="AH5332" s="3"/>
      <c r="AL5332" s="3"/>
    </row>
    <row r="5333" spans="12:38" x14ac:dyDescent="0.25">
      <c r="L5333" s="2"/>
      <c r="M5333" s="2"/>
      <c r="N5333" s="2"/>
      <c r="AD5333" s="3"/>
      <c r="AH5333" s="3"/>
      <c r="AL5333" s="3"/>
    </row>
    <row r="5334" spans="12:38" x14ac:dyDescent="0.25">
      <c r="L5334" s="2"/>
      <c r="M5334" s="2"/>
      <c r="N5334" s="2"/>
      <c r="AD5334" s="3"/>
      <c r="AH5334" s="3"/>
      <c r="AL5334" s="3"/>
    </row>
    <row r="5335" spans="12:38" x14ac:dyDescent="0.25">
      <c r="L5335" s="2"/>
      <c r="M5335" s="2"/>
      <c r="N5335" s="2"/>
      <c r="AD5335" s="3"/>
      <c r="AH5335" s="3"/>
      <c r="AL5335" s="3"/>
    </row>
    <row r="5336" spans="12:38" x14ac:dyDescent="0.25">
      <c r="L5336" s="2"/>
      <c r="M5336" s="2"/>
      <c r="N5336" s="2"/>
      <c r="AD5336" s="3"/>
      <c r="AH5336" s="3"/>
      <c r="AL5336" s="3"/>
    </row>
    <row r="5337" spans="12:38" x14ac:dyDescent="0.25">
      <c r="L5337" s="2"/>
      <c r="M5337" s="2"/>
      <c r="N5337" s="2"/>
      <c r="AD5337" s="3"/>
      <c r="AH5337" s="3"/>
      <c r="AL5337" s="3"/>
    </row>
    <row r="5338" spans="12:38" x14ac:dyDescent="0.25">
      <c r="L5338" s="2"/>
      <c r="M5338" s="2"/>
      <c r="N5338" s="2"/>
      <c r="AD5338" s="3"/>
      <c r="AH5338" s="3"/>
      <c r="AL5338" s="3"/>
    </row>
    <row r="5339" spans="12:38" x14ac:dyDescent="0.25">
      <c r="L5339" s="2"/>
      <c r="M5339" s="2"/>
      <c r="N5339" s="2"/>
      <c r="AD5339" s="3"/>
      <c r="AH5339" s="3"/>
      <c r="AL5339" s="3"/>
    </row>
    <row r="5340" spans="12:38" x14ac:dyDescent="0.25">
      <c r="L5340" s="2"/>
      <c r="M5340" s="2"/>
      <c r="N5340" s="2"/>
      <c r="AD5340" s="3"/>
      <c r="AH5340" s="3"/>
      <c r="AL5340" s="3"/>
    </row>
    <row r="5341" spans="12:38" x14ac:dyDescent="0.25">
      <c r="L5341" s="2"/>
      <c r="M5341" s="2"/>
      <c r="N5341" s="2"/>
      <c r="AD5341" s="3"/>
      <c r="AH5341" s="3"/>
      <c r="AL5341" s="3"/>
    </row>
    <row r="5342" spans="12:38" x14ac:dyDescent="0.25">
      <c r="L5342" s="2"/>
      <c r="M5342" s="2"/>
      <c r="N5342" s="2"/>
      <c r="AD5342" s="3"/>
      <c r="AH5342" s="3"/>
      <c r="AL5342" s="3"/>
    </row>
    <row r="5343" spans="12:38" x14ac:dyDescent="0.25">
      <c r="L5343" s="2"/>
      <c r="M5343" s="2"/>
      <c r="N5343" s="2"/>
      <c r="AD5343" s="3"/>
      <c r="AH5343" s="3"/>
      <c r="AL5343" s="3"/>
    </row>
    <row r="5344" spans="12:38" x14ac:dyDescent="0.25">
      <c r="L5344" s="2"/>
      <c r="M5344" s="2"/>
      <c r="N5344" s="2"/>
      <c r="AD5344" s="3"/>
      <c r="AH5344" s="3"/>
      <c r="AL5344" s="3"/>
    </row>
    <row r="5345" spans="12:38" x14ac:dyDescent="0.25">
      <c r="L5345" s="2"/>
      <c r="M5345" s="2"/>
      <c r="N5345" s="2"/>
      <c r="AD5345" s="3"/>
      <c r="AH5345" s="3"/>
      <c r="AL5345" s="3"/>
    </row>
    <row r="5346" spans="12:38" x14ac:dyDescent="0.25">
      <c r="L5346" s="2"/>
      <c r="M5346" s="2"/>
      <c r="N5346" s="2"/>
      <c r="AD5346" s="3"/>
      <c r="AH5346" s="3"/>
      <c r="AL5346" s="3"/>
    </row>
    <row r="5347" spans="12:38" x14ac:dyDescent="0.25">
      <c r="L5347" s="2"/>
      <c r="M5347" s="2"/>
      <c r="N5347" s="2"/>
      <c r="AD5347" s="3"/>
      <c r="AH5347" s="3"/>
      <c r="AL5347" s="3"/>
    </row>
    <row r="5348" spans="12:38" x14ac:dyDescent="0.25">
      <c r="L5348" s="2"/>
      <c r="M5348" s="2"/>
      <c r="N5348" s="2"/>
      <c r="AD5348" s="3"/>
      <c r="AH5348" s="3"/>
      <c r="AL5348" s="3"/>
    </row>
    <row r="5349" spans="12:38" x14ac:dyDescent="0.25">
      <c r="L5349" s="2"/>
      <c r="M5349" s="2"/>
      <c r="N5349" s="2"/>
      <c r="AD5349" s="3"/>
      <c r="AH5349" s="3"/>
      <c r="AL5349" s="3"/>
    </row>
    <row r="5350" spans="12:38" x14ac:dyDescent="0.25">
      <c r="L5350" s="2"/>
      <c r="M5350" s="2"/>
      <c r="N5350" s="2"/>
      <c r="AD5350" s="3"/>
      <c r="AH5350" s="3"/>
      <c r="AL5350" s="3"/>
    </row>
    <row r="5351" spans="12:38" x14ac:dyDescent="0.25">
      <c r="L5351" s="2"/>
      <c r="M5351" s="2"/>
      <c r="N5351" s="2"/>
      <c r="AD5351" s="3"/>
      <c r="AH5351" s="3"/>
      <c r="AL5351" s="3"/>
    </row>
    <row r="5352" spans="12:38" x14ac:dyDescent="0.25">
      <c r="L5352" s="2"/>
      <c r="M5352" s="2"/>
      <c r="N5352" s="2"/>
      <c r="AD5352" s="3"/>
      <c r="AH5352" s="3"/>
      <c r="AL5352" s="3"/>
    </row>
    <row r="5353" spans="12:38" x14ac:dyDescent="0.25">
      <c r="L5353" s="2"/>
      <c r="M5353" s="2"/>
      <c r="N5353" s="2"/>
      <c r="AD5353" s="3"/>
      <c r="AH5353" s="3"/>
      <c r="AL5353" s="3"/>
    </row>
    <row r="5354" spans="12:38" x14ac:dyDescent="0.25">
      <c r="L5354" s="2"/>
      <c r="M5354" s="2"/>
      <c r="N5354" s="2"/>
      <c r="AD5354" s="3"/>
      <c r="AH5354" s="3"/>
      <c r="AL5354" s="3"/>
    </row>
    <row r="5355" spans="12:38" x14ac:dyDescent="0.25">
      <c r="L5355" s="2"/>
      <c r="M5355" s="2"/>
      <c r="N5355" s="2"/>
      <c r="AD5355" s="3"/>
      <c r="AH5355" s="3"/>
      <c r="AL5355" s="3"/>
    </row>
    <row r="5356" spans="12:38" x14ac:dyDescent="0.25">
      <c r="L5356" s="2"/>
      <c r="M5356" s="2"/>
      <c r="N5356" s="2"/>
      <c r="AD5356" s="3"/>
      <c r="AH5356" s="3"/>
      <c r="AL5356" s="3"/>
    </row>
    <row r="5357" spans="12:38" x14ac:dyDescent="0.25">
      <c r="L5357" s="2"/>
      <c r="M5357" s="2"/>
      <c r="N5357" s="2"/>
      <c r="AD5357" s="3"/>
      <c r="AH5357" s="3"/>
      <c r="AL5357" s="3"/>
    </row>
    <row r="5358" spans="12:38" x14ac:dyDescent="0.25">
      <c r="L5358" s="2"/>
      <c r="M5358" s="2"/>
      <c r="N5358" s="2"/>
      <c r="AD5358" s="3"/>
      <c r="AH5358" s="3"/>
      <c r="AL5358" s="3"/>
    </row>
    <row r="5359" spans="12:38" x14ac:dyDescent="0.25">
      <c r="L5359" s="2"/>
      <c r="M5359" s="2"/>
      <c r="N5359" s="2"/>
      <c r="AD5359" s="3"/>
      <c r="AH5359" s="3"/>
      <c r="AL5359" s="3"/>
    </row>
    <row r="5360" spans="12:38" x14ac:dyDescent="0.25">
      <c r="L5360" s="2"/>
      <c r="M5360" s="2"/>
      <c r="N5360" s="2"/>
      <c r="AD5360" s="3"/>
      <c r="AH5360" s="3"/>
      <c r="AL5360" s="3"/>
    </row>
    <row r="5361" spans="12:38" x14ac:dyDescent="0.25">
      <c r="L5361" s="2"/>
      <c r="M5361" s="2"/>
      <c r="N5361" s="2"/>
      <c r="AD5361" s="3"/>
      <c r="AH5361" s="3"/>
      <c r="AL5361" s="3"/>
    </row>
    <row r="5362" spans="12:38" x14ac:dyDescent="0.25">
      <c r="L5362" s="2"/>
      <c r="M5362" s="2"/>
      <c r="N5362" s="2"/>
      <c r="AD5362" s="3"/>
      <c r="AH5362" s="3"/>
      <c r="AL5362" s="3"/>
    </row>
    <row r="5363" spans="12:38" x14ac:dyDescent="0.25">
      <c r="L5363" s="2"/>
      <c r="M5363" s="2"/>
      <c r="N5363" s="2"/>
      <c r="AD5363" s="3"/>
      <c r="AH5363" s="3"/>
      <c r="AL5363" s="3"/>
    </row>
    <row r="5364" spans="12:38" x14ac:dyDescent="0.25">
      <c r="L5364" s="2"/>
      <c r="M5364" s="2"/>
      <c r="N5364" s="2"/>
      <c r="AD5364" s="3"/>
      <c r="AH5364" s="3"/>
      <c r="AL5364" s="3"/>
    </row>
    <row r="5365" spans="12:38" x14ac:dyDescent="0.25">
      <c r="L5365" s="2"/>
      <c r="M5365" s="2"/>
      <c r="N5365" s="2"/>
      <c r="AD5365" s="3"/>
      <c r="AH5365" s="3"/>
      <c r="AL5365" s="3"/>
    </row>
    <row r="5366" spans="12:38" x14ac:dyDescent="0.25">
      <c r="L5366" s="2"/>
      <c r="M5366" s="2"/>
      <c r="N5366" s="2"/>
      <c r="AD5366" s="3"/>
      <c r="AH5366" s="3"/>
      <c r="AL5366" s="3"/>
    </row>
    <row r="5367" spans="12:38" x14ac:dyDescent="0.25">
      <c r="L5367" s="2"/>
      <c r="M5367" s="2"/>
      <c r="N5367" s="2"/>
      <c r="AD5367" s="3"/>
      <c r="AH5367" s="3"/>
      <c r="AL5367" s="3"/>
    </row>
    <row r="5368" spans="12:38" x14ac:dyDescent="0.25">
      <c r="L5368" s="2"/>
      <c r="M5368" s="2"/>
      <c r="N5368" s="2"/>
      <c r="AD5368" s="3"/>
      <c r="AH5368" s="3"/>
      <c r="AL5368" s="3"/>
    </row>
    <row r="5369" spans="12:38" x14ac:dyDescent="0.25">
      <c r="L5369" s="2"/>
      <c r="M5369" s="2"/>
      <c r="N5369" s="2"/>
      <c r="AD5369" s="3"/>
      <c r="AH5369" s="3"/>
      <c r="AL5369" s="3"/>
    </row>
    <row r="5370" spans="12:38" x14ac:dyDescent="0.25">
      <c r="L5370" s="2"/>
      <c r="M5370" s="2"/>
      <c r="N5370" s="2"/>
      <c r="AD5370" s="3"/>
      <c r="AH5370" s="3"/>
      <c r="AL5370" s="3"/>
    </row>
    <row r="5371" spans="12:38" x14ac:dyDescent="0.25">
      <c r="L5371" s="2"/>
      <c r="M5371" s="2"/>
      <c r="N5371" s="2"/>
      <c r="AD5371" s="3"/>
      <c r="AH5371" s="3"/>
      <c r="AL5371" s="3"/>
    </row>
    <row r="5372" spans="12:38" x14ac:dyDescent="0.25">
      <c r="L5372" s="2"/>
      <c r="M5372" s="2"/>
      <c r="N5372" s="2"/>
      <c r="AD5372" s="3"/>
      <c r="AH5372" s="3"/>
      <c r="AL5372" s="3"/>
    </row>
    <row r="5373" spans="12:38" x14ac:dyDescent="0.25">
      <c r="L5373" s="2"/>
      <c r="M5373" s="2"/>
      <c r="N5373" s="2"/>
      <c r="AD5373" s="3"/>
      <c r="AH5373" s="3"/>
      <c r="AL5373" s="3"/>
    </row>
    <row r="5374" spans="12:38" x14ac:dyDescent="0.25">
      <c r="L5374" s="2"/>
      <c r="M5374" s="2"/>
      <c r="N5374" s="2"/>
      <c r="AD5374" s="3"/>
      <c r="AH5374" s="3"/>
      <c r="AL5374" s="3"/>
    </row>
    <row r="5375" spans="12:38" x14ac:dyDescent="0.25">
      <c r="L5375" s="2"/>
      <c r="M5375" s="2"/>
      <c r="N5375" s="2"/>
      <c r="AD5375" s="3"/>
      <c r="AH5375" s="3"/>
      <c r="AL5375" s="3"/>
    </row>
    <row r="5376" spans="12:38" x14ac:dyDescent="0.25">
      <c r="L5376" s="2"/>
      <c r="M5376" s="2"/>
      <c r="N5376" s="2"/>
      <c r="AD5376" s="3"/>
      <c r="AH5376" s="3"/>
      <c r="AL5376" s="3"/>
    </row>
    <row r="5377" spans="12:38" x14ac:dyDescent="0.25">
      <c r="L5377" s="2"/>
      <c r="M5377" s="2"/>
      <c r="N5377" s="2"/>
      <c r="AD5377" s="3"/>
      <c r="AH5377" s="3"/>
      <c r="AL5377" s="3"/>
    </row>
    <row r="5378" spans="12:38" x14ac:dyDescent="0.25">
      <c r="L5378" s="2"/>
      <c r="M5378" s="2"/>
      <c r="N5378" s="2"/>
      <c r="AD5378" s="3"/>
      <c r="AH5378" s="3"/>
      <c r="AL5378" s="3"/>
    </row>
    <row r="5379" spans="12:38" x14ac:dyDescent="0.25">
      <c r="L5379" s="2"/>
      <c r="M5379" s="2"/>
      <c r="N5379" s="2"/>
      <c r="AD5379" s="3"/>
      <c r="AH5379" s="3"/>
      <c r="AL5379" s="3"/>
    </row>
    <row r="5380" spans="12:38" x14ac:dyDescent="0.25">
      <c r="L5380" s="2"/>
      <c r="M5380" s="2"/>
      <c r="N5380" s="2"/>
      <c r="AD5380" s="3"/>
      <c r="AH5380" s="3"/>
      <c r="AL5380" s="3"/>
    </row>
    <row r="5381" spans="12:38" x14ac:dyDescent="0.25">
      <c r="L5381" s="2"/>
      <c r="M5381" s="2"/>
      <c r="N5381" s="2"/>
      <c r="AD5381" s="3"/>
      <c r="AH5381" s="3"/>
      <c r="AL5381" s="3"/>
    </row>
    <row r="5382" spans="12:38" x14ac:dyDescent="0.25">
      <c r="L5382" s="2"/>
      <c r="M5382" s="2"/>
      <c r="N5382" s="2"/>
      <c r="AD5382" s="3"/>
      <c r="AH5382" s="3"/>
      <c r="AL5382" s="3"/>
    </row>
    <row r="5383" spans="12:38" x14ac:dyDescent="0.25">
      <c r="L5383" s="2"/>
      <c r="M5383" s="2"/>
      <c r="N5383" s="2"/>
      <c r="AD5383" s="3"/>
      <c r="AH5383" s="3"/>
      <c r="AL5383" s="3"/>
    </row>
    <row r="5384" spans="12:38" x14ac:dyDescent="0.25">
      <c r="L5384" s="2"/>
      <c r="M5384" s="2"/>
      <c r="N5384" s="2"/>
      <c r="AD5384" s="3"/>
      <c r="AH5384" s="3"/>
      <c r="AL5384" s="3"/>
    </row>
    <row r="5385" spans="12:38" x14ac:dyDescent="0.25">
      <c r="L5385" s="2"/>
      <c r="M5385" s="2"/>
      <c r="N5385" s="2"/>
      <c r="AD5385" s="3"/>
      <c r="AH5385" s="3"/>
      <c r="AL5385" s="3"/>
    </row>
    <row r="5386" spans="12:38" x14ac:dyDescent="0.25">
      <c r="L5386" s="2"/>
      <c r="M5386" s="2"/>
      <c r="N5386" s="2"/>
      <c r="AD5386" s="3"/>
      <c r="AH5386" s="3"/>
      <c r="AL5386" s="3"/>
    </row>
    <row r="5387" spans="12:38" x14ac:dyDescent="0.25">
      <c r="L5387" s="2"/>
      <c r="M5387" s="2"/>
      <c r="N5387" s="2"/>
      <c r="AD5387" s="3"/>
      <c r="AH5387" s="3"/>
      <c r="AL5387" s="3"/>
    </row>
    <row r="5388" spans="12:38" x14ac:dyDescent="0.25">
      <c r="L5388" s="2"/>
      <c r="M5388" s="2"/>
      <c r="N5388" s="2"/>
      <c r="AD5388" s="3"/>
      <c r="AH5388" s="3"/>
      <c r="AL5388" s="3"/>
    </row>
    <row r="5389" spans="12:38" x14ac:dyDescent="0.25">
      <c r="L5389" s="2"/>
      <c r="M5389" s="2"/>
      <c r="N5389" s="2"/>
      <c r="AD5389" s="3"/>
      <c r="AH5389" s="3"/>
      <c r="AL5389" s="3"/>
    </row>
    <row r="5390" spans="12:38" x14ac:dyDescent="0.25">
      <c r="L5390" s="2"/>
      <c r="M5390" s="2"/>
      <c r="N5390" s="2"/>
      <c r="AD5390" s="3"/>
      <c r="AH5390" s="3"/>
      <c r="AL5390" s="3"/>
    </row>
    <row r="5391" spans="12:38" x14ac:dyDescent="0.25">
      <c r="L5391" s="2"/>
      <c r="M5391" s="2"/>
      <c r="N5391" s="2"/>
      <c r="AD5391" s="3"/>
      <c r="AH5391" s="3"/>
      <c r="AL5391" s="3"/>
    </row>
    <row r="5392" spans="12:38" x14ac:dyDescent="0.25">
      <c r="L5392" s="2"/>
      <c r="M5392" s="2"/>
      <c r="N5392" s="2"/>
      <c r="AD5392" s="3"/>
      <c r="AH5392" s="3"/>
      <c r="AL5392" s="3"/>
    </row>
    <row r="5393" spans="12:38" x14ac:dyDescent="0.25">
      <c r="L5393" s="2"/>
      <c r="M5393" s="2"/>
      <c r="N5393" s="2"/>
      <c r="AD5393" s="3"/>
      <c r="AH5393" s="3"/>
      <c r="AL5393" s="3"/>
    </row>
    <row r="5394" spans="12:38" x14ac:dyDescent="0.25">
      <c r="L5394" s="2"/>
      <c r="M5394" s="2"/>
      <c r="N5394" s="2"/>
      <c r="AD5394" s="3"/>
      <c r="AH5394" s="3"/>
      <c r="AL5394" s="3"/>
    </row>
    <row r="5395" spans="12:38" x14ac:dyDescent="0.25">
      <c r="L5395" s="2"/>
      <c r="M5395" s="2"/>
      <c r="N5395" s="2"/>
      <c r="AD5395" s="3"/>
      <c r="AH5395" s="3"/>
      <c r="AL5395" s="3"/>
    </row>
    <row r="5396" spans="12:38" x14ac:dyDescent="0.25">
      <c r="L5396" s="2"/>
      <c r="M5396" s="2"/>
      <c r="N5396" s="2"/>
      <c r="AD5396" s="3"/>
      <c r="AH5396" s="3"/>
      <c r="AL5396" s="3"/>
    </row>
    <row r="5397" spans="12:38" x14ac:dyDescent="0.25">
      <c r="L5397" s="2"/>
      <c r="M5397" s="2"/>
      <c r="N5397" s="2"/>
      <c r="AD5397" s="3"/>
      <c r="AH5397" s="3"/>
      <c r="AL5397" s="3"/>
    </row>
    <row r="5398" spans="12:38" x14ac:dyDescent="0.25">
      <c r="L5398" s="2"/>
      <c r="M5398" s="2"/>
      <c r="N5398" s="2"/>
      <c r="AD5398" s="3"/>
      <c r="AH5398" s="3"/>
      <c r="AL5398" s="3"/>
    </row>
    <row r="5399" spans="12:38" x14ac:dyDescent="0.25">
      <c r="L5399" s="2"/>
      <c r="M5399" s="2"/>
      <c r="N5399" s="2"/>
      <c r="AD5399" s="3"/>
      <c r="AH5399" s="3"/>
      <c r="AL5399" s="3"/>
    </row>
    <row r="5400" spans="12:38" x14ac:dyDescent="0.25">
      <c r="L5400" s="2"/>
      <c r="M5400" s="2"/>
      <c r="N5400" s="2"/>
      <c r="AD5400" s="3"/>
      <c r="AH5400" s="3"/>
      <c r="AL5400" s="3"/>
    </row>
    <row r="5401" spans="12:38" x14ac:dyDescent="0.25">
      <c r="L5401" s="2"/>
      <c r="M5401" s="2"/>
      <c r="N5401" s="2"/>
      <c r="AD5401" s="3"/>
      <c r="AH5401" s="3"/>
      <c r="AL5401" s="3"/>
    </row>
    <row r="5402" spans="12:38" x14ac:dyDescent="0.25">
      <c r="L5402" s="2"/>
      <c r="M5402" s="2"/>
      <c r="N5402" s="2"/>
      <c r="AD5402" s="3"/>
      <c r="AH5402" s="3"/>
      <c r="AL5402" s="3"/>
    </row>
    <row r="5403" spans="12:38" x14ac:dyDescent="0.25">
      <c r="L5403" s="2"/>
      <c r="M5403" s="2"/>
      <c r="N5403" s="2"/>
      <c r="AD5403" s="3"/>
      <c r="AH5403" s="3"/>
      <c r="AL5403" s="3"/>
    </row>
    <row r="5404" spans="12:38" x14ac:dyDescent="0.25">
      <c r="L5404" s="2"/>
      <c r="M5404" s="2"/>
      <c r="N5404" s="2"/>
      <c r="AD5404" s="3"/>
      <c r="AH5404" s="3"/>
      <c r="AL5404" s="3"/>
    </row>
    <row r="5405" spans="12:38" x14ac:dyDescent="0.25">
      <c r="L5405" s="2"/>
      <c r="M5405" s="2"/>
      <c r="N5405" s="2"/>
      <c r="AD5405" s="3"/>
      <c r="AH5405" s="3"/>
      <c r="AL5405" s="3"/>
    </row>
    <row r="5406" spans="12:38" x14ac:dyDescent="0.25">
      <c r="L5406" s="2"/>
      <c r="M5406" s="2"/>
      <c r="N5406" s="2"/>
      <c r="AD5406" s="3"/>
      <c r="AH5406" s="3"/>
      <c r="AL5406" s="3"/>
    </row>
    <row r="5407" spans="12:38" x14ac:dyDescent="0.25">
      <c r="L5407" s="2"/>
      <c r="M5407" s="2"/>
      <c r="N5407" s="2"/>
      <c r="AD5407" s="3"/>
      <c r="AH5407" s="3"/>
      <c r="AL5407" s="3"/>
    </row>
    <row r="5408" spans="12:38" x14ac:dyDescent="0.25">
      <c r="L5408" s="2"/>
      <c r="M5408" s="2"/>
      <c r="N5408" s="2"/>
      <c r="AD5408" s="3"/>
      <c r="AH5408" s="3"/>
      <c r="AL5408" s="3"/>
    </row>
    <row r="5409" spans="12:38" x14ac:dyDescent="0.25">
      <c r="L5409" s="2"/>
      <c r="M5409" s="2"/>
      <c r="N5409" s="2"/>
      <c r="AD5409" s="3"/>
      <c r="AH5409" s="3"/>
      <c r="AL5409" s="3"/>
    </row>
    <row r="5410" spans="12:38" x14ac:dyDescent="0.25">
      <c r="L5410" s="2"/>
      <c r="M5410" s="2"/>
      <c r="N5410" s="2"/>
      <c r="AD5410" s="3"/>
      <c r="AH5410" s="3"/>
      <c r="AL5410" s="3"/>
    </row>
    <row r="5411" spans="12:38" x14ac:dyDescent="0.25">
      <c r="L5411" s="2"/>
      <c r="M5411" s="2"/>
      <c r="N5411" s="2"/>
      <c r="AD5411" s="3"/>
      <c r="AH5411" s="3"/>
      <c r="AL5411" s="3"/>
    </row>
    <row r="5412" spans="12:38" x14ac:dyDescent="0.25">
      <c r="L5412" s="2"/>
      <c r="M5412" s="2"/>
      <c r="N5412" s="2"/>
      <c r="AD5412" s="3"/>
      <c r="AH5412" s="3"/>
      <c r="AL5412" s="3"/>
    </row>
    <row r="5413" spans="12:38" x14ac:dyDescent="0.25">
      <c r="L5413" s="2"/>
      <c r="M5413" s="2"/>
      <c r="N5413" s="2"/>
      <c r="AD5413" s="3"/>
      <c r="AH5413" s="3"/>
      <c r="AL5413" s="3"/>
    </row>
    <row r="5414" spans="12:38" x14ac:dyDescent="0.25">
      <c r="L5414" s="2"/>
      <c r="M5414" s="2"/>
      <c r="N5414" s="2"/>
      <c r="AD5414" s="3"/>
      <c r="AH5414" s="3"/>
      <c r="AL5414" s="3"/>
    </row>
    <row r="5415" spans="12:38" x14ac:dyDescent="0.25">
      <c r="L5415" s="2"/>
      <c r="M5415" s="2"/>
      <c r="N5415" s="2"/>
      <c r="AD5415" s="3"/>
      <c r="AH5415" s="3"/>
      <c r="AL5415" s="3"/>
    </row>
    <row r="5416" spans="12:38" x14ac:dyDescent="0.25">
      <c r="L5416" s="2"/>
      <c r="M5416" s="2"/>
      <c r="N5416" s="2"/>
      <c r="AD5416" s="3"/>
      <c r="AH5416" s="3"/>
      <c r="AL5416" s="3"/>
    </row>
    <row r="5417" spans="12:38" x14ac:dyDescent="0.25">
      <c r="L5417" s="2"/>
      <c r="M5417" s="2"/>
      <c r="N5417" s="2"/>
      <c r="AD5417" s="3"/>
      <c r="AH5417" s="3"/>
      <c r="AL5417" s="3"/>
    </row>
    <row r="5418" spans="12:38" x14ac:dyDescent="0.25">
      <c r="L5418" s="2"/>
      <c r="M5418" s="2"/>
      <c r="N5418" s="2"/>
      <c r="AD5418" s="3"/>
      <c r="AH5418" s="3"/>
      <c r="AL5418" s="3"/>
    </row>
    <row r="5419" spans="12:38" x14ac:dyDescent="0.25">
      <c r="L5419" s="2"/>
      <c r="M5419" s="2"/>
      <c r="N5419" s="2"/>
      <c r="AD5419" s="3"/>
      <c r="AH5419" s="3"/>
      <c r="AL5419" s="3"/>
    </row>
    <row r="5420" spans="12:38" x14ac:dyDescent="0.25">
      <c r="L5420" s="2"/>
      <c r="M5420" s="2"/>
      <c r="N5420" s="2"/>
      <c r="AD5420" s="3"/>
      <c r="AH5420" s="3"/>
      <c r="AL5420" s="3"/>
    </row>
    <row r="5421" spans="12:38" x14ac:dyDescent="0.25">
      <c r="L5421" s="2"/>
      <c r="M5421" s="2"/>
      <c r="N5421" s="2"/>
      <c r="AD5421" s="3"/>
      <c r="AH5421" s="3"/>
      <c r="AL5421" s="3"/>
    </row>
    <row r="5422" spans="12:38" x14ac:dyDescent="0.25">
      <c r="L5422" s="2"/>
      <c r="M5422" s="2"/>
      <c r="N5422" s="2"/>
      <c r="AD5422" s="3"/>
      <c r="AH5422" s="3"/>
      <c r="AL5422" s="3"/>
    </row>
    <row r="5423" spans="12:38" x14ac:dyDescent="0.25">
      <c r="L5423" s="2"/>
      <c r="M5423" s="2"/>
      <c r="N5423" s="2"/>
      <c r="AD5423" s="3"/>
      <c r="AH5423" s="3"/>
      <c r="AL5423" s="3"/>
    </row>
    <row r="5424" spans="12:38" x14ac:dyDescent="0.25">
      <c r="L5424" s="2"/>
      <c r="M5424" s="2"/>
      <c r="N5424" s="2"/>
      <c r="AD5424" s="3"/>
      <c r="AH5424" s="3"/>
      <c r="AL5424" s="3"/>
    </row>
    <row r="5425" spans="12:38" x14ac:dyDescent="0.25">
      <c r="L5425" s="2"/>
      <c r="M5425" s="2"/>
      <c r="N5425" s="2"/>
      <c r="AD5425" s="3"/>
      <c r="AH5425" s="3"/>
      <c r="AL5425" s="3"/>
    </row>
    <row r="5426" spans="12:38" x14ac:dyDescent="0.25">
      <c r="L5426" s="2"/>
      <c r="M5426" s="2"/>
      <c r="N5426" s="2"/>
      <c r="AD5426" s="3"/>
      <c r="AH5426" s="3"/>
      <c r="AL5426" s="3"/>
    </row>
    <row r="5427" spans="12:38" x14ac:dyDescent="0.25">
      <c r="L5427" s="2"/>
      <c r="M5427" s="2"/>
      <c r="N5427" s="2"/>
      <c r="AD5427" s="3"/>
      <c r="AH5427" s="3"/>
      <c r="AL5427" s="3"/>
    </row>
    <row r="5428" spans="12:38" x14ac:dyDescent="0.25">
      <c r="L5428" s="2"/>
      <c r="M5428" s="2"/>
      <c r="N5428" s="2"/>
      <c r="AD5428" s="3"/>
      <c r="AH5428" s="3"/>
      <c r="AL5428" s="3"/>
    </row>
    <row r="5429" spans="12:38" x14ac:dyDescent="0.25">
      <c r="L5429" s="2"/>
      <c r="M5429" s="2"/>
      <c r="N5429" s="2"/>
      <c r="AD5429" s="3"/>
      <c r="AH5429" s="3"/>
      <c r="AL5429" s="3"/>
    </row>
    <row r="5430" spans="12:38" x14ac:dyDescent="0.25">
      <c r="L5430" s="2"/>
      <c r="M5430" s="2"/>
      <c r="N5430" s="2"/>
      <c r="AD5430" s="3"/>
      <c r="AH5430" s="3"/>
      <c r="AL5430" s="3"/>
    </row>
    <row r="5431" spans="12:38" x14ac:dyDescent="0.25">
      <c r="L5431" s="2"/>
      <c r="M5431" s="2"/>
      <c r="N5431" s="2"/>
      <c r="AD5431" s="3"/>
      <c r="AH5431" s="3"/>
      <c r="AL5431" s="3"/>
    </row>
    <row r="5432" spans="12:38" x14ac:dyDescent="0.25">
      <c r="L5432" s="2"/>
      <c r="M5432" s="2"/>
      <c r="N5432" s="2"/>
      <c r="AD5432" s="3"/>
      <c r="AH5432" s="3"/>
      <c r="AL5432" s="3"/>
    </row>
    <row r="5433" spans="12:38" x14ac:dyDescent="0.25">
      <c r="L5433" s="2"/>
      <c r="M5433" s="2"/>
      <c r="N5433" s="2"/>
      <c r="AD5433" s="3"/>
      <c r="AH5433" s="3"/>
      <c r="AL5433" s="3"/>
    </row>
    <row r="5434" spans="12:38" x14ac:dyDescent="0.25">
      <c r="L5434" s="2"/>
      <c r="M5434" s="2"/>
      <c r="N5434" s="2"/>
      <c r="AD5434" s="3"/>
      <c r="AH5434" s="3"/>
      <c r="AL5434" s="3"/>
    </row>
    <row r="5435" spans="12:38" x14ac:dyDescent="0.25">
      <c r="L5435" s="2"/>
      <c r="M5435" s="2"/>
      <c r="N5435" s="2"/>
      <c r="AD5435" s="3"/>
      <c r="AH5435" s="3"/>
      <c r="AL5435" s="3"/>
    </row>
    <row r="5436" spans="12:38" x14ac:dyDescent="0.25">
      <c r="L5436" s="2"/>
      <c r="M5436" s="2"/>
      <c r="N5436" s="2"/>
      <c r="AD5436" s="3"/>
      <c r="AH5436" s="3"/>
      <c r="AL5436" s="3"/>
    </row>
    <row r="5437" spans="12:38" x14ac:dyDescent="0.25">
      <c r="L5437" s="2"/>
      <c r="M5437" s="2"/>
      <c r="N5437" s="2"/>
      <c r="AD5437" s="3"/>
      <c r="AH5437" s="3"/>
      <c r="AL5437" s="3"/>
    </row>
    <row r="5438" spans="12:38" x14ac:dyDescent="0.25">
      <c r="L5438" s="2"/>
      <c r="M5438" s="2"/>
      <c r="N5438" s="2"/>
      <c r="AD5438" s="3"/>
      <c r="AH5438" s="3"/>
      <c r="AL5438" s="3"/>
    </row>
    <row r="5439" spans="12:38" x14ac:dyDescent="0.25">
      <c r="L5439" s="2"/>
      <c r="M5439" s="2"/>
      <c r="N5439" s="2"/>
      <c r="AD5439" s="3"/>
      <c r="AH5439" s="3"/>
      <c r="AL5439" s="3"/>
    </row>
    <row r="5440" spans="12:38" x14ac:dyDescent="0.25">
      <c r="L5440" s="2"/>
      <c r="M5440" s="2"/>
      <c r="N5440" s="2"/>
      <c r="AD5440" s="3"/>
      <c r="AH5440" s="3"/>
      <c r="AL5440" s="3"/>
    </row>
    <row r="5441" spans="12:38" x14ac:dyDescent="0.25">
      <c r="L5441" s="2"/>
      <c r="M5441" s="2"/>
      <c r="N5441" s="2"/>
      <c r="AD5441" s="3"/>
      <c r="AH5441" s="3"/>
      <c r="AL5441" s="3"/>
    </row>
    <row r="5442" spans="12:38" x14ac:dyDescent="0.25">
      <c r="L5442" s="2"/>
      <c r="M5442" s="2"/>
      <c r="N5442" s="2"/>
      <c r="AD5442" s="3"/>
      <c r="AH5442" s="3"/>
      <c r="AL5442" s="3"/>
    </row>
    <row r="5443" spans="12:38" x14ac:dyDescent="0.25">
      <c r="L5443" s="2"/>
      <c r="M5443" s="2"/>
      <c r="N5443" s="2"/>
      <c r="AD5443" s="3"/>
      <c r="AH5443" s="3"/>
      <c r="AL5443" s="3"/>
    </row>
    <row r="5444" spans="12:38" x14ac:dyDescent="0.25">
      <c r="L5444" s="2"/>
      <c r="M5444" s="2"/>
      <c r="N5444" s="2"/>
      <c r="AD5444" s="3"/>
      <c r="AH5444" s="3"/>
      <c r="AL5444" s="3"/>
    </row>
    <row r="5445" spans="12:38" x14ac:dyDescent="0.25">
      <c r="L5445" s="2"/>
      <c r="M5445" s="2"/>
      <c r="N5445" s="2"/>
      <c r="AD5445" s="3"/>
      <c r="AH5445" s="3"/>
      <c r="AL5445" s="3"/>
    </row>
    <row r="5446" spans="12:38" x14ac:dyDescent="0.25">
      <c r="L5446" s="2"/>
      <c r="M5446" s="2"/>
      <c r="N5446" s="2"/>
      <c r="AD5446" s="3"/>
      <c r="AH5446" s="3"/>
      <c r="AL5446" s="3"/>
    </row>
    <row r="5447" spans="12:38" x14ac:dyDescent="0.25">
      <c r="L5447" s="2"/>
      <c r="M5447" s="2"/>
      <c r="N5447" s="2"/>
      <c r="AD5447" s="3"/>
      <c r="AH5447" s="3"/>
      <c r="AL5447" s="3"/>
    </row>
    <row r="5448" spans="12:38" x14ac:dyDescent="0.25">
      <c r="L5448" s="2"/>
      <c r="M5448" s="2"/>
      <c r="N5448" s="2"/>
      <c r="AD5448" s="3"/>
      <c r="AH5448" s="3"/>
      <c r="AL5448" s="3"/>
    </row>
    <row r="5449" spans="12:38" x14ac:dyDescent="0.25">
      <c r="L5449" s="2"/>
      <c r="M5449" s="2"/>
      <c r="N5449" s="2"/>
      <c r="AD5449" s="3"/>
      <c r="AH5449" s="3"/>
      <c r="AL5449" s="3"/>
    </row>
    <row r="5450" spans="12:38" x14ac:dyDescent="0.25">
      <c r="L5450" s="2"/>
      <c r="M5450" s="2"/>
      <c r="N5450" s="2"/>
      <c r="AD5450" s="3"/>
      <c r="AH5450" s="3"/>
      <c r="AL5450" s="3"/>
    </row>
    <row r="5451" spans="12:38" x14ac:dyDescent="0.25">
      <c r="L5451" s="2"/>
      <c r="M5451" s="2"/>
      <c r="N5451" s="2"/>
      <c r="AD5451" s="3"/>
      <c r="AH5451" s="3"/>
      <c r="AL5451" s="3"/>
    </row>
    <row r="5452" spans="12:38" x14ac:dyDescent="0.25">
      <c r="L5452" s="2"/>
      <c r="M5452" s="2"/>
      <c r="N5452" s="2"/>
      <c r="AD5452" s="3"/>
      <c r="AH5452" s="3"/>
      <c r="AL5452" s="3"/>
    </row>
    <row r="5453" spans="12:38" x14ac:dyDescent="0.25">
      <c r="L5453" s="2"/>
      <c r="M5453" s="2"/>
      <c r="N5453" s="2"/>
      <c r="AD5453" s="3"/>
      <c r="AH5453" s="3"/>
      <c r="AL5453" s="3"/>
    </row>
    <row r="5454" spans="12:38" x14ac:dyDescent="0.25">
      <c r="L5454" s="2"/>
      <c r="M5454" s="2"/>
      <c r="N5454" s="2"/>
      <c r="AD5454" s="3"/>
      <c r="AH5454" s="3"/>
      <c r="AL5454" s="3"/>
    </row>
    <row r="5455" spans="12:38" x14ac:dyDescent="0.25">
      <c r="L5455" s="2"/>
      <c r="M5455" s="2"/>
      <c r="N5455" s="2"/>
      <c r="AD5455" s="3"/>
      <c r="AH5455" s="3"/>
      <c r="AL5455" s="3"/>
    </row>
    <row r="5456" spans="12:38" x14ac:dyDescent="0.25">
      <c r="L5456" s="2"/>
      <c r="M5456" s="2"/>
      <c r="N5456" s="2"/>
      <c r="AD5456" s="3"/>
      <c r="AH5456" s="3"/>
      <c r="AL5456" s="3"/>
    </row>
    <row r="5457" spans="12:38" x14ac:dyDescent="0.25">
      <c r="L5457" s="2"/>
      <c r="M5457" s="2"/>
      <c r="N5457" s="2"/>
      <c r="AD5457" s="3"/>
      <c r="AH5457" s="3"/>
      <c r="AL5457" s="3"/>
    </row>
    <row r="5458" spans="12:38" x14ac:dyDescent="0.25">
      <c r="L5458" s="2"/>
      <c r="M5458" s="2"/>
      <c r="N5458" s="2"/>
      <c r="AD5458" s="3"/>
      <c r="AH5458" s="3"/>
      <c r="AL5458" s="3"/>
    </row>
    <row r="5459" spans="12:38" x14ac:dyDescent="0.25">
      <c r="L5459" s="2"/>
      <c r="M5459" s="2"/>
      <c r="N5459" s="2"/>
      <c r="AD5459" s="3"/>
      <c r="AH5459" s="3"/>
      <c r="AL5459" s="3"/>
    </row>
    <row r="5460" spans="12:38" x14ac:dyDescent="0.25">
      <c r="L5460" s="2"/>
      <c r="M5460" s="2"/>
      <c r="N5460" s="2"/>
      <c r="AD5460" s="3"/>
      <c r="AH5460" s="3"/>
      <c r="AL5460" s="3"/>
    </row>
    <row r="5461" spans="12:38" x14ac:dyDescent="0.25">
      <c r="L5461" s="2"/>
      <c r="M5461" s="2"/>
      <c r="N5461" s="2"/>
      <c r="AD5461" s="3"/>
      <c r="AH5461" s="3"/>
      <c r="AL5461" s="3"/>
    </row>
    <row r="5462" spans="12:38" x14ac:dyDescent="0.25">
      <c r="L5462" s="2"/>
      <c r="M5462" s="2"/>
      <c r="N5462" s="2"/>
      <c r="AD5462" s="3"/>
      <c r="AH5462" s="3"/>
      <c r="AL5462" s="3"/>
    </row>
    <row r="5463" spans="12:38" x14ac:dyDescent="0.25">
      <c r="L5463" s="2"/>
      <c r="M5463" s="2"/>
      <c r="N5463" s="2"/>
      <c r="AD5463" s="3"/>
      <c r="AH5463" s="3"/>
      <c r="AL5463" s="3"/>
    </row>
    <row r="5464" spans="12:38" x14ac:dyDescent="0.25">
      <c r="L5464" s="2"/>
      <c r="M5464" s="2"/>
      <c r="N5464" s="2"/>
      <c r="AD5464" s="3"/>
      <c r="AH5464" s="3"/>
      <c r="AL5464" s="3"/>
    </row>
    <row r="5465" spans="12:38" x14ac:dyDescent="0.25">
      <c r="L5465" s="2"/>
      <c r="M5465" s="2"/>
      <c r="N5465" s="2"/>
      <c r="AD5465" s="3"/>
      <c r="AH5465" s="3"/>
      <c r="AL5465" s="3"/>
    </row>
    <row r="5466" spans="12:38" x14ac:dyDescent="0.25">
      <c r="L5466" s="2"/>
      <c r="M5466" s="2"/>
      <c r="N5466" s="2"/>
      <c r="AD5466" s="3"/>
      <c r="AH5466" s="3"/>
      <c r="AL5466" s="3"/>
    </row>
    <row r="5467" spans="12:38" x14ac:dyDescent="0.25">
      <c r="L5467" s="2"/>
      <c r="M5467" s="2"/>
      <c r="N5467" s="2"/>
      <c r="AD5467" s="3"/>
      <c r="AH5467" s="3"/>
      <c r="AL5467" s="3"/>
    </row>
    <row r="5468" spans="12:38" x14ac:dyDescent="0.25">
      <c r="L5468" s="2"/>
      <c r="M5468" s="2"/>
      <c r="N5468" s="2"/>
      <c r="AD5468" s="3"/>
      <c r="AH5468" s="3"/>
      <c r="AL5468" s="3"/>
    </row>
    <row r="5469" spans="12:38" x14ac:dyDescent="0.25">
      <c r="L5469" s="2"/>
      <c r="M5469" s="2"/>
      <c r="N5469" s="2"/>
      <c r="AD5469" s="3"/>
      <c r="AH5469" s="3"/>
      <c r="AL5469" s="3"/>
    </row>
    <row r="5470" spans="12:38" x14ac:dyDescent="0.25">
      <c r="L5470" s="2"/>
      <c r="M5470" s="2"/>
      <c r="N5470" s="2"/>
      <c r="AD5470" s="3"/>
      <c r="AH5470" s="3"/>
      <c r="AL5470" s="3"/>
    </row>
    <row r="5471" spans="12:38" x14ac:dyDescent="0.25">
      <c r="L5471" s="2"/>
      <c r="M5471" s="2"/>
      <c r="N5471" s="2"/>
      <c r="AD5471" s="3"/>
      <c r="AH5471" s="3"/>
      <c r="AL5471" s="3"/>
    </row>
    <row r="5472" spans="12:38" x14ac:dyDescent="0.25">
      <c r="L5472" s="2"/>
      <c r="M5472" s="2"/>
      <c r="N5472" s="2"/>
      <c r="AD5472" s="3"/>
      <c r="AH5472" s="3"/>
      <c r="AL5472" s="3"/>
    </row>
    <row r="5473" spans="12:38" x14ac:dyDescent="0.25">
      <c r="L5473" s="2"/>
      <c r="M5473" s="2"/>
      <c r="N5473" s="2"/>
      <c r="AD5473" s="3"/>
      <c r="AH5473" s="3"/>
      <c r="AL5473" s="3"/>
    </row>
    <row r="5474" spans="12:38" x14ac:dyDescent="0.25">
      <c r="L5474" s="2"/>
      <c r="M5474" s="2"/>
      <c r="N5474" s="2"/>
      <c r="AD5474" s="3"/>
      <c r="AH5474" s="3"/>
      <c r="AL5474" s="3"/>
    </row>
    <row r="5475" spans="12:38" x14ac:dyDescent="0.25">
      <c r="L5475" s="2"/>
      <c r="M5475" s="2"/>
      <c r="N5475" s="2"/>
      <c r="AD5475" s="3"/>
      <c r="AH5475" s="3"/>
      <c r="AL5475" s="3"/>
    </row>
    <row r="5476" spans="12:38" x14ac:dyDescent="0.25">
      <c r="L5476" s="2"/>
      <c r="M5476" s="2"/>
      <c r="N5476" s="2"/>
      <c r="AD5476" s="3"/>
      <c r="AH5476" s="3"/>
      <c r="AL5476" s="3"/>
    </row>
    <row r="5477" spans="12:38" x14ac:dyDescent="0.25">
      <c r="L5477" s="2"/>
      <c r="M5477" s="2"/>
      <c r="N5477" s="2"/>
      <c r="AD5477" s="3"/>
      <c r="AH5477" s="3"/>
      <c r="AL5477" s="3"/>
    </row>
    <row r="5478" spans="12:38" x14ac:dyDescent="0.25">
      <c r="L5478" s="2"/>
      <c r="M5478" s="2"/>
      <c r="N5478" s="2"/>
      <c r="AD5478" s="3"/>
      <c r="AH5478" s="3"/>
      <c r="AL5478" s="3"/>
    </row>
    <row r="5479" spans="12:38" x14ac:dyDescent="0.25">
      <c r="L5479" s="2"/>
      <c r="M5479" s="2"/>
      <c r="N5479" s="2"/>
      <c r="AD5479" s="3"/>
      <c r="AH5479" s="3"/>
      <c r="AL5479" s="3"/>
    </row>
    <row r="5480" spans="12:38" x14ac:dyDescent="0.25">
      <c r="L5480" s="2"/>
      <c r="M5480" s="2"/>
      <c r="N5480" s="2"/>
      <c r="AD5480" s="3"/>
      <c r="AH5480" s="3"/>
      <c r="AL5480" s="3"/>
    </row>
    <row r="5481" spans="12:38" x14ac:dyDescent="0.25">
      <c r="L5481" s="2"/>
      <c r="M5481" s="2"/>
      <c r="N5481" s="2"/>
      <c r="AD5481" s="3"/>
      <c r="AH5481" s="3"/>
      <c r="AL5481" s="3"/>
    </row>
    <row r="5482" spans="12:38" x14ac:dyDescent="0.25">
      <c r="L5482" s="2"/>
      <c r="M5482" s="2"/>
      <c r="N5482" s="2"/>
      <c r="AD5482" s="3"/>
      <c r="AH5482" s="3"/>
      <c r="AL5482" s="3"/>
    </row>
    <row r="5483" spans="12:38" x14ac:dyDescent="0.25">
      <c r="L5483" s="2"/>
      <c r="M5483" s="2"/>
      <c r="N5483" s="2"/>
      <c r="AD5483" s="3"/>
      <c r="AH5483" s="3"/>
      <c r="AL5483" s="3"/>
    </row>
    <row r="5484" spans="12:38" x14ac:dyDescent="0.25">
      <c r="L5484" s="2"/>
      <c r="M5484" s="2"/>
      <c r="N5484" s="2"/>
      <c r="AD5484" s="3"/>
      <c r="AH5484" s="3"/>
      <c r="AL5484" s="3"/>
    </row>
    <row r="5485" spans="12:38" x14ac:dyDescent="0.25">
      <c r="L5485" s="2"/>
      <c r="M5485" s="2"/>
      <c r="N5485" s="2"/>
      <c r="AD5485" s="3"/>
      <c r="AH5485" s="3"/>
      <c r="AL5485" s="3"/>
    </row>
    <row r="5486" spans="12:38" x14ac:dyDescent="0.25">
      <c r="L5486" s="2"/>
      <c r="M5486" s="2"/>
      <c r="N5486" s="2"/>
      <c r="AD5486" s="3"/>
      <c r="AH5486" s="3"/>
      <c r="AL5486" s="3"/>
    </row>
    <row r="5487" spans="12:38" x14ac:dyDescent="0.25">
      <c r="L5487" s="2"/>
      <c r="M5487" s="2"/>
      <c r="N5487" s="2"/>
      <c r="AD5487" s="3"/>
      <c r="AH5487" s="3"/>
      <c r="AL5487" s="3"/>
    </row>
    <row r="5488" spans="12:38" x14ac:dyDescent="0.25">
      <c r="L5488" s="2"/>
      <c r="M5488" s="2"/>
      <c r="N5488" s="2"/>
      <c r="AD5488" s="3"/>
      <c r="AH5488" s="3"/>
      <c r="AL5488" s="3"/>
    </row>
    <row r="5489" spans="12:38" x14ac:dyDescent="0.25">
      <c r="L5489" s="2"/>
      <c r="M5489" s="2"/>
      <c r="N5489" s="2"/>
      <c r="AD5489" s="3"/>
      <c r="AH5489" s="3"/>
      <c r="AL5489" s="3"/>
    </row>
    <row r="5490" spans="12:38" x14ac:dyDescent="0.25">
      <c r="L5490" s="2"/>
      <c r="M5490" s="2"/>
      <c r="N5490" s="2"/>
      <c r="AD5490" s="3"/>
      <c r="AH5490" s="3"/>
      <c r="AL5490" s="3"/>
    </row>
    <row r="5491" spans="12:38" x14ac:dyDescent="0.25">
      <c r="L5491" s="2"/>
      <c r="M5491" s="2"/>
      <c r="N5491" s="2"/>
      <c r="AD5491" s="3"/>
      <c r="AH5491" s="3"/>
      <c r="AL5491" s="3"/>
    </row>
    <row r="5492" spans="12:38" x14ac:dyDescent="0.25">
      <c r="L5492" s="2"/>
      <c r="M5492" s="2"/>
      <c r="N5492" s="2"/>
      <c r="AD5492" s="3"/>
      <c r="AH5492" s="3"/>
      <c r="AL5492" s="3"/>
    </row>
    <row r="5493" spans="12:38" x14ac:dyDescent="0.25">
      <c r="L5493" s="2"/>
      <c r="M5493" s="2"/>
      <c r="N5493" s="2"/>
      <c r="AD5493" s="3"/>
      <c r="AH5493" s="3"/>
      <c r="AL5493" s="3"/>
    </row>
    <row r="5494" spans="12:38" x14ac:dyDescent="0.25">
      <c r="L5494" s="2"/>
      <c r="M5494" s="2"/>
      <c r="N5494" s="2"/>
      <c r="AD5494" s="3"/>
      <c r="AH5494" s="3"/>
      <c r="AL5494" s="3"/>
    </row>
    <row r="5495" spans="12:38" x14ac:dyDescent="0.25">
      <c r="L5495" s="2"/>
      <c r="M5495" s="2"/>
      <c r="N5495" s="2"/>
      <c r="AD5495" s="3"/>
      <c r="AH5495" s="3"/>
      <c r="AL5495" s="3"/>
    </row>
    <row r="5496" spans="12:38" x14ac:dyDescent="0.25">
      <c r="L5496" s="2"/>
      <c r="M5496" s="2"/>
      <c r="N5496" s="2"/>
      <c r="AD5496" s="3"/>
      <c r="AH5496" s="3"/>
      <c r="AL5496" s="3"/>
    </row>
    <row r="5497" spans="12:38" x14ac:dyDescent="0.25">
      <c r="L5497" s="2"/>
      <c r="M5497" s="2"/>
      <c r="N5497" s="2"/>
      <c r="AD5497" s="3"/>
      <c r="AH5497" s="3"/>
      <c r="AL5497" s="3"/>
    </row>
    <row r="5498" spans="12:38" x14ac:dyDescent="0.25">
      <c r="L5498" s="2"/>
      <c r="M5498" s="2"/>
      <c r="N5498" s="2"/>
      <c r="AD5498" s="3"/>
      <c r="AH5498" s="3"/>
      <c r="AL5498" s="3"/>
    </row>
    <row r="5499" spans="12:38" x14ac:dyDescent="0.25">
      <c r="L5499" s="2"/>
      <c r="M5499" s="2"/>
      <c r="N5499" s="2"/>
      <c r="AD5499" s="3"/>
      <c r="AH5499" s="3"/>
      <c r="AL5499" s="3"/>
    </row>
    <row r="5500" spans="12:38" x14ac:dyDescent="0.25">
      <c r="L5500" s="2"/>
      <c r="M5500" s="2"/>
      <c r="N5500" s="2"/>
      <c r="AD5500" s="3"/>
      <c r="AH5500" s="3"/>
      <c r="AL5500" s="3"/>
    </row>
    <row r="5501" spans="12:38" x14ac:dyDescent="0.25">
      <c r="L5501" s="2"/>
      <c r="M5501" s="2"/>
      <c r="N5501" s="2"/>
      <c r="AD5501" s="3"/>
      <c r="AH5501" s="3"/>
      <c r="AL5501" s="3"/>
    </row>
    <row r="5502" spans="12:38" x14ac:dyDescent="0.25">
      <c r="L5502" s="2"/>
      <c r="M5502" s="2"/>
      <c r="N5502" s="2"/>
      <c r="AD5502" s="3"/>
      <c r="AH5502" s="3"/>
      <c r="AL5502" s="3"/>
    </row>
    <row r="5503" spans="12:38" x14ac:dyDescent="0.25">
      <c r="L5503" s="2"/>
      <c r="M5503" s="2"/>
      <c r="N5503" s="2"/>
      <c r="AD5503" s="3"/>
      <c r="AH5503" s="3"/>
      <c r="AL5503" s="3"/>
    </row>
    <row r="5504" spans="12:38" x14ac:dyDescent="0.25">
      <c r="L5504" s="2"/>
      <c r="M5504" s="2"/>
      <c r="N5504" s="2"/>
      <c r="AD5504" s="3"/>
      <c r="AH5504" s="3"/>
      <c r="AL5504" s="3"/>
    </row>
    <row r="5505" spans="12:38" x14ac:dyDescent="0.25">
      <c r="L5505" s="2"/>
      <c r="M5505" s="2"/>
      <c r="N5505" s="2"/>
      <c r="AD5505" s="3"/>
      <c r="AH5505" s="3"/>
      <c r="AL5505" s="3"/>
    </row>
    <row r="5506" spans="12:38" x14ac:dyDescent="0.25">
      <c r="L5506" s="2"/>
      <c r="M5506" s="2"/>
      <c r="N5506" s="2"/>
      <c r="AD5506" s="3"/>
      <c r="AH5506" s="3"/>
      <c r="AL5506" s="3"/>
    </row>
    <row r="5507" spans="12:38" x14ac:dyDescent="0.25">
      <c r="L5507" s="2"/>
      <c r="M5507" s="2"/>
      <c r="N5507" s="2"/>
      <c r="AD5507" s="3"/>
      <c r="AH5507" s="3"/>
      <c r="AL5507" s="3"/>
    </row>
    <row r="5508" spans="12:38" x14ac:dyDescent="0.25">
      <c r="L5508" s="2"/>
      <c r="M5508" s="2"/>
      <c r="N5508" s="2"/>
      <c r="AD5508" s="3"/>
      <c r="AH5508" s="3"/>
      <c r="AL5508" s="3"/>
    </row>
    <row r="5509" spans="12:38" x14ac:dyDescent="0.25">
      <c r="L5509" s="2"/>
      <c r="M5509" s="2"/>
      <c r="N5509" s="2"/>
      <c r="AD5509" s="3"/>
      <c r="AH5509" s="3"/>
      <c r="AL5509" s="3"/>
    </row>
    <row r="5510" spans="12:38" x14ac:dyDescent="0.25">
      <c r="L5510" s="2"/>
      <c r="M5510" s="2"/>
      <c r="N5510" s="2"/>
      <c r="AD5510" s="3"/>
      <c r="AH5510" s="3"/>
      <c r="AL5510" s="3"/>
    </row>
    <row r="5511" spans="12:38" x14ac:dyDescent="0.25">
      <c r="L5511" s="2"/>
      <c r="M5511" s="2"/>
      <c r="N5511" s="2"/>
      <c r="AD5511" s="3"/>
      <c r="AH5511" s="3"/>
      <c r="AL5511" s="3"/>
    </row>
    <row r="5512" spans="12:38" x14ac:dyDescent="0.25">
      <c r="L5512" s="2"/>
      <c r="M5512" s="2"/>
      <c r="N5512" s="2"/>
      <c r="AD5512" s="3"/>
      <c r="AH5512" s="3"/>
      <c r="AL5512" s="3"/>
    </row>
    <row r="5513" spans="12:38" x14ac:dyDescent="0.25">
      <c r="L5513" s="2"/>
      <c r="M5513" s="2"/>
      <c r="N5513" s="2"/>
      <c r="AD5513" s="3"/>
      <c r="AH5513" s="3"/>
      <c r="AL5513" s="3"/>
    </row>
    <row r="5514" spans="12:38" x14ac:dyDescent="0.25">
      <c r="L5514" s="2"/>
      <c r="M5514" s="2"/>
      <c r="N5514" s="2"/>
      <c r="AD5514" s="3"/>
      <c r="AH5514" s="3"/>
      <c r="AL5514" s="3"/>
    </row>
    <row r="5515" spans="12:38" x14ac:dyDescent="0.25">
      <c r="L5515" s="2"/>
      <c r="M5515" s="2"/>
      <c r="N5515" s="2"/>
      <c r="AD5515" s="3"/>
      <c r="AH5515" s="3"/>
      <c r="AL5515" s="3"/>
    </row>
    <row r="5516" spans="12:38" x14ac:dyDescent="0.25">
      <c r="L5516" s="2"/>
      <c r="M5516" s="2"/>
      <c r="N5516" s="2"/>
      <c r="AD5516" s="3"/>
      <c r="AH5516" s="3"/>
      <c r="AL5516" s="3"/>
    </row>
    <row r="5517" spans="12:38" x14ac:dyDescent="0.25">
      <c r="L5517" s="2"/>
      <c r="M5517" s="2"/>
      <c r="N5517" s="2"/>
      <c r="AD5517" s="3"/>
      <c r="AH5517" s="3"/>
      <c r="AL5517" s="3"/>
    </row>
    <row r="5518" spans="12:38" x14ac:dyDescent="0.25">
      <c r="L5518" s="2"/>
      <c r="M5518" s="2"/>
      <c r="N5518" s="2"/>
      <c r="AD5518" s="3"/>
      <c r="AH5518" s="3"/>
      <c r="AL5518" s="3"/>
    </row>
    <row r="5519" spans="12:38" x14ac:dyDescent="0.25">
      <c r="L5519" s="2"/>
      <c r="M5519" s="2"/>
      <c r="N5519" s="2"/>
      <c r="AD5519" s="3"/>
      <c r="AH5519" s="3"/>
      <c r="AL5519" s="3"/>
    </row>
    <row r="5520" spans="12:38" x14ac:dyDescent="0.25">
      <c r="L5520" s="2"/>
      <c r="M5520" s="2"/>
      <c r="N5520" s="2"/>
      <c r="AD5520" s="3"/>
      <c r="AH5520" s="3"/>
      <c r="AL5520" s="3"/>
    </row>
    <row r="5521" spans="12:38" x14ac:dyDescent="0.25">
      <c r="L5521" s="2"/>
      <c r="M5521" s="2"/>
      <c r="N5521" s="2"/>
      <c r="AD5521" s="3"/>
      <c r="AH5521" s="3"/>
      <c r="AL5521" s="3"/>
    </row>
    <row r="5522" spans="12:38" x14ac:dyDescent="0.25">
      <c r="L5522" s="2"/>
      <c r="M5522" s="2"/>
      <c r="N5522" s="2"/>
      <c r="AD5522" s="3"/>
      <c r="AH5522" s="3"/>
      <c r="AL5522" s="3"/>
    </row>
    <row r="5523" spans="12:38" x14ac:dyDescent="0.25">
      <c r="L5523" s="2"/>
      <c r="M5523" s="2"/>
      <c r="N5523" s="2"/>
      <c r="AD5523" s="3"/>
      <c r="AH5523" s="3"/>
      <c r="AL5523" s="3"/>
    </row>
    <row r="5524" spans="12:38" x14ac:dyDescent="0.25">
      <c r="L5524" s="2"/>
      <c r="M5524" s="2"/>
      <c r="N5524" s="2"/>
      <c r="AD5524" s="3"/>
      <c r="AH5524" s="3"/>
      <c r="AL5524" s="3"/>
    </row>
    <row r="5525" spans="12:38" x14ac:dyDescent="0.25">
      <c r="L5525" s="2"/>
      <c r="M5525" s="2"/>
      <c r="N5525" s="2"/>
      <c r="AD5525" s="3"/>
      <c r="AH5525" s="3"/>
      <c r="AL5525" s="3"/>
    </row>
    <row r="5526" spans="12:38" x14ac:dyDescent="0.25">
      <c r="L5526" s="2"/>
      <c r="M5526" s="2"/>
      <c r="N5526" s="2"/>
      <c r="AD5526" s="3"/>
      <c r="AH5526" s="3"/>
      <c r="AL5526" s="3"/>
    </row>
    <row r="5527" spans="12:38" x14ac:dyDescent="0.25">
      <c r="L5527" s="2"/>
      <c r="M5527" s="2"/>
      <c r="N5527" s="2"/>
      <c r="AD5527" s="3"/>
      <c r="AH5527" s="3"/>
      <c r="AL5527" s="3"/>
    </row>
    <row r="5528" spans="12:38" x14ac:dyDescent="0.25">
      <c r="L5528" s="2"/>
      <c r="M5528" s="2"/>
      <c r="N5528" s="2"/>
      <c r="AD5528" s="3"/>
      <c r="AH5528" s="3"/>
      <c r="AL5528" s="3"/>
    </row>
    <row r="5529" spans="12:38" x14ac:dyDescent="0.25">
      <c r="L5529" s="2"/>
      <c r="M5529" s="2"/>
      <c r="N5529" s="2"/>
      <c r="AD5529" s="3"/>
      <c r="AH5529" s="3"/>
      <c r="AL5529" s="3"/>
    </row>
    <row r="5530" spans="12:38" x14ac:dyDescent="0.25">
      <c r="L5530" s="2"/>
      <c r="M5530" s="2"/>
      <c r="N5530" s="2"/>
      <c r="AD5530" s="3"/>
      <c r="AH5530" s="3"/>
      <c r="AL5530" s="3"/>
    </row>
    <row r="5531" spans="12:38" x14ac:dyDescent="0.25">
      <c r="L5531" s="2"/>
      <c r="M5531" s="2"/>
      <c r="N5531" s="2"/>
      <c r="AD5531" s="3"/>
      <c r="AH5531" s="3"/>
      <c r="AL5531" s="3"/>
    </row>
    <row r="5532" spans="12:38" x14ac:dyDescent="0.25">
      <c r="L5532" s="2"/>
      <c r="M5532" s="2"/>
      <c r="N5532" s="2"/>
      <c r="AD5532" s="3"/>
      <c r="AH5532" s="3"/>
      <c r="AL5532" s="3"/>
    </row>
    <row r="5533" spans="12:38" x14ac:dyDescent="0.25">
      <c r="L5533" s="2"/>
      <c r="M5533" s="2"/>
      <c r="N5533" s="2"/>
      <c r="AD5533" s="3"/>
      <c r="AH5533" s="3"/>
      <c r="AL5533" s="3"/>
    </row>
    <row r="5534" spans="12:38" x14ac:dyDescent="0.25">
      <c r="L5534" s="2"/>
      <c r="M5534" s="2"/>
      <c r="N5534" s="2"/>
      <c r="AD5534" s="3"/>
      <c r="AH5534" s="3"/>
      <c r="AL5534" s="3"/>
    </row>
    <row r="5535" spans="12:38" x14ac:dyDescent="0.25">
      <c r="L5535" s="2"/>
      <c r="M5535" s="2"/>
      <c r="N5535" s="2"/>
      <c r="AD5535" s="3"/>
      <c r="AH5535" s="3"/>
      <c r="AL5535" s="3"/>
    </row>
    <row r="5536" spans="12:38" x14ac:dyDescent="0.25">
      <c r="L5536" s="2"/>
      <c r="M5536" s="2"/>
      <c r="N5536" s="2"/>
      <c r="AD5536" s="3"/>
      <c r="AH5536" s="3"/>
      <c r="AL5536" s="3"/>
    </row>
    <row r="5537" spans="12:38" x14ac:dyDescent="0.25">
      <c r="L5537" s="2"/>
      <c r="M5537" s="2"/>
      <c r="N5537" s="2"/>
      <c r="AD5537" s="3"/>
      <c r="AH5537" s="3"/>
      <c r="AL5537" s="3"/>
    </row>
    <row r="5538" spans="12:38" x14ac:dyDescent="0.25">
      <c r="L5538" s="2"/>
      <c r="M5538" s="2"/>
      <c r="N5538" s="2"/>
      <c r="AD5538" s="3"/>
      <c r="AH5538" s="3"/>
      <c r="AL5538" s="3"/>
    </row>
    <row r="5539" spans="12:38" x14ac:dyDescent="0.25">
      <c r="L5539" s="2"/>
      <c r="M5539" s="2"/>
      <c r="N5539" s="2"/>
      <c r="AD5539" s="3"/>
      <c r="AH5539" s="3"/>
      <c r="AL5539" s="3"/>
    </row>
    <row r="5540" spans="12:38" x14ac:dyDescent="0.25">
      <c r="L5540" s="2"/>
      <c r="M5540" s="2"/>
      <c r="N5540" s="2"/>
      <c r="AD5540" s="3"/>
      <c r="AH5540" s="3"/>
      <c r="AL5540" s="3"/>
    </row>
    <row r="5541" spans="12:38" x14ac:dyDescent="0.25">
      <c r="L5541" s="2"/>
      <c r="M5541" s="2"/>
      <c r="N5541" s="2"/>
      <c r="AD5541" s="3"/>
      <c r="AH5541" s="3"/>
      <c r="AL5541" s="3"/>
    </row>
    <row r="5542" spans="12:38" x14ac:dyDescent="0.25">
      <c r="L5542" s="2"/>
      <c r="M5542" s="2"/>
      <c r="N5542" s="2"/>
      <c r="AD5542" s="3"/>
      <c r="AH5542" s="3"/>
      <c r="AL5542" s="3"/>
    </row>
    <row r="5543" spans="12:38" x14ac:dyDescent="0.25">
      <c r="L5543" s="2"/>
      <c r="M5543" s="2"/>
      <c r="N5543" s="2"/>
      <c r="AD5543" s="3"/>
      <c r="AH5543" s="3"/>
      <c r="AL5543" s="3"/>
    </row>
    <row r="5544" spans="12:38" x14ac:dyDescent="0.25">
      <c r="L5544" s="2"/>
      <c r="M5544" s="2"/>
      <c r="N5544" s="2"/>
      <c r="AD5544" s="3"/>
      <c r="AH5544" s="3"/>
      <c r="AL5544" s="3"/>
    </row>
    <row r="5545" spans="12:38" x14ac:dyDescent="0.25">
      <c r="L5545" s="2"/>
      <c r="M5545" s="2"/>
      <c r="N5545" s="2"/>
      <c r="AD5545" s="3"/>
      <c r="AH5545" s="3"/>
      <c r="AL5545" s="3"/>
    </row>
    <row r="5546" spans="12:38" x14ac:dyDescent="0.25">
      <c r="L5546" s="2"/>
      <c r="M5546" s="2"/>
      <c r="N5546" s="2"/>
      <c r="AD5546" s="3"/>
      <c r="AH5546" s="3"/>
      <c r="AL5546" s="3"/>
    </row>
    <row r="5547" spans="12:38" x14ac:dyDescent="0.25">
      <c r="L5547" s="2"/>
      <c r="M5547" s="2"/>
      <c r="N5547" s="2"/>
      <c r="AD5547" s="3"/>
      <c r="AH5547" s="3"/>
      <c r="AL5547" s="3"/>
    </row>
    <row r="5548" spans="12:38" x14ac:dyDescent="0.25">
      <c r="L5548" s="2"/>
      <c r="M5548" s="2"/>
      <c r="N5548" s="2"/>
      <c r="AD5548" s="3"/>
      <c r="AH5548" s="3"/>
      <c r="AL5548" s="3"/>
    </row>
    <row r="5549" spans="12:38" x14ac:dyDescent="0.25">
      <c r="L5549" s="2"/>
      <c r="M5549" s="2"/>
      <c r="N5549" s="2"/>
      <c r="AD5549" s="3"/>
      <c r="AH5549" s="3"/>
      <c r="AL5549" s="3"/>
    </row>
    <row r="5550" spans="12:38" x14ac:dyDescent="0.25">
      <c r="L5550" s="2"/>
      <c r="M5550" s="2"/>
      <c r="N5550" s="2"/>
      <c r="AD5550" s="3"/>
      <c r="AH5550" s="3"/>
      <c r="AL5550" s="3"/>
    </row>
    <row r="5551" spans="12:38" x14ac:dyDescent="0.25">
      <c r="L5551" s="2"/>
      <c r="M5551" s="2"/>
      <c r="N5551" s="2"/>
      <c r="AD5551" s="3"/>
      <c r="AH5551" s="3"/>
      <c r="AL5551" s="3"/>
    </row>
    <row r="5552" spans="12:38" x14ac:dyDescent="0.25">
      <c r="L5552" s="2"/>
      <c r="M5552" s="2"/>
      <c r="N5552" s="2"/>
      <c r="AD5552" s="3"/>
      <c r="AH5552" s="3"/>
      <c r="AL5552" s="3"/>
    </row>
    <row r="5553" spans="12:38" x14ac:dyDescent="0.25">
      <c r="L5553" s="2"/>
      <c r="M5553" s="2"/>
      <c r="N5553" s="2"/>
      <c r="AD5553" s="3"/>
      <c r="AH5553" s="3"/>
      <c r="AL5553" s="3"/>
    </row>
    <row r="5554" spans="12:38" x14ac:dyDescent="0.25">
      <c r="L5554" s="2"/>
      <c r="M5554" s="2"/>
      <c r="N5554" s="2"/>
      <c r="AD5554" s="3"/>
      <c r="AH5554" s="3"/>
      <c r="AL5554" s="3"/>
    </row>
    <row r="5555" spans="12:38" x14ac:dyDescent="0.25">
      <c r="L5555" s="2"/>
      <c r="M5555" s="2"/>
      <c r="N5555" s="2"/>
      <c r="AD5555" s="3"/>
      <c r="AH5555" s="3"/>
      <c r="AL5555" s="3"/>
    </row>
    <row r="5556" spans="12:38" x14ac:dyDescent="0.25">
      <c r="L5556" s="2"/>
      <c r="M5556" s="2"/>
      <c r="N5556" s="2"/>
      <c r="AD5556" s="3"/>
      <c r="AH5556" s="3"/>
      <c r="AL5556" s="3"/>
    </row>
    <row r="5557" spans="12:38" x14ac:dyDescent="0.25">
      <c r="L5557" s="2"/>
      <c r="M5557" s="2"/>
      <c r="N5557" s="2"/>
      <c r="AD5557" s="3"/>
      <c r="AH5557" s="3"/>
      <c r="AL5557" s="3"/>
    </row>
    <row r="5558" spans="12:38" x14ac:dyDescent="0.25">
      <c r="L5558" s="2"/>
      <c r="M5558" s="2"/>
      <c r="N5558" s="2"/>
      <c r="AD5558" s="3"/>
      <c r="AH5558" s="3"/>
      <c r="AL5558" s="3"/>
    </row>
    <row r="5559" spans="12:38" x14ac:dyDescent="0.25">
      <c r="L5559" s="2"/>
      <c r="M5559" s="2"/>
      <c r="N5559" s="2"/>
      <c r="AD5559" s="3"/>
      <c r="AH5559" s="3"/>
      <c r="AL5559" s="3"/>
    </row>
    <row r="5560" spans="12:38" x14ac:dyDescent="0.25">
      <c r="L5560" s="2"/>
      <c r="M5560" s="2"/>
      <c r="N5560" s="2"/>
      <c r="AD5560" s="3"/>
      <c r="AH5560" s="3"/>
      <c r="AL5560" s="3"/>
    </row>
    <row r="5561" spans="12:38" x14ac:dyDescent="0.25">
      <c r="L5561" s="2"/>
      <c r="M5561" s="2"/>
      <c r="N5561" s="2"/>
      <c r="AD5561" s="3"/>
      <c r="AH5561" s="3"/>
      <c r="AL5561" s="3"/>
    </row>
    <row r="5562" spans="12:38" x14ac:dyDescent="0.25">
      <c r="L5562" s="2"/>
      <c r="M5562" s="2"/>
      <c r="N5562" s="2"/>
      <c r="AD5562" s="3"/>
      <c r="AH5562" s="3"/>
      <c r="AL5562" s="3"/>
    </row>
    <row r="5563" spans="12:38" x14ac:dyDescent="0.25">
      <c r="L5563" s="2"/>
      <c r="M5563" s="2"/>
      <c r="N5563" s="2"/>
      <c r="AD5563" s="3"/>
      <c r="AH5563" s="3"/>
      <c r="AL5563" s="3"/>
    </row>
    <row r="5564" spans="12:38" x14ac:dyDescent="0.25">
      <c r="L5564" s="2"/>
      <c r="M5564" s="2"/>
      <c r="N5564" s="2"/>
      <c r="AD5564" s="3"/>
      <c r="AH5564" s="3"/>
      <c r="AL5564" s="3"/>
    </row>
    <row r="5565" spans="12:38" x14ac:dyDescent="0.25">
      <c r="L5565" s="2"/>
      <c r="M5565" s="2"/>
      <c r="N5565" s="2"/>
      <c r="AD5565" s="3"/>
      <c r="AH5565" s="3"/>
      <c r="AL5565" s="3"/>
    </row>
    <row r="5566" spans="12:38" x14ac:dyDescent="0.25">
      <c r="L5566" s="2"/>
      <c r="M5566" s="2"/>
      <c r="N5566" s="2"/>
      <c r="AD5566" s="3"/>
      <c r="AH5566" s="3"/>
      <c r="AL5566" s="3"/>
    </row>
    <row r="5567" spans="12:38" x14ac:dyDescent="0.25">
      <c r="L5567" s="2"/>
      <c r="M5567" s="2"/>
      <c r="N5567" s="2"/>
      <c r="AD5567" s="3"/>
      <c r="AH5567" s="3"/>
      <c r="AL5567" s="3"/>
    </row>
    <row r="5568" spans="12:38" x14ac:dyDescent="0.25">
      <c r="L5568" s="2"/>
      <c r="M5568" s="2"/>
      <c r="N5568" s="2"/>
      <c r="AD5568" s="3"/>
      <c r="AH5568" s="3"/>
      <c r="AL5568" s="3"/>
    </row>
    <row r="5569" spans="12:38" x14ac:dyDescent="0.25">
      <c r="L5569" s="2"/>
      <c r="M5569" s="2"/>
      <c r="N5569" s="2"/>
      <c r="AD5569" s="3"/>
      <c r="AH5569" s="3"/>
      <c r="AL5569" s="3"/>
    </row>
    <row r="5570" spans="12:38" x14ac:dyDescent="0.25">
      <c r="L5570" s="2"/>
      <c r="M5570" s="2"/>
      <c r="N5570" s="2"/>
      <c r="AD5570" s="3"/>
      <c r="AH5570" s="3"/>
      <c r="AL5570" s="3"/>
    </row>
    <row r="5571" spans="12:38" x14ac:dyDescent="0.25">
      <c r="L5571" s="2"/>
      <c r="M5571" s="2"/>
      <c r="N5571" s="2"/>
      <c r="AD5571" s="3"/>
      <c r="AH5571" s="3"/>
      <c r="AL5571" s="3"/>
    </row>
    <row r="5572" spans="12:38" x14ac:dyDescent="0.25">
      <c r="L5572" s="2"/>
      <c r="M5572" s="2"/>
      <c r="N5572" s="2"/>
      <c r="AD5572" s="3"/>
      <c r="AH5572" s="3"/>
      <c r="AL5572" s="3"/>
    </row>
    <row r="5573" spans="12:38" x14ac:dyDescent="0.25">
      <c r="L5573" s="2"/>
      <c r="M5573" s="2"/>
      <c r="N5573" s="2"/>
      <c r="AD5573" s="3"/>
      <c r="AH5573" s="3"/>
      <c r="AL5573" s="3"/>
    </row>
    <row r="5574" spans="12:38" x14ac:dyDescent="0.25">
      <c r="L5574" s="2"/>
      <c r="M5574" s="2"/>
      <c r="N5574" s="2"/>
      <c r="AD5574" s="3"/>
      <c r="AH5574" s="3"/>
      <c r="AL5574" s="3"/>
    </row>
    <row r="5575" spans="12:38" x14ac:dyDescent="0.25">
      <c r="L5575" s="2"/>
      <c r="M5575" s="2"/>
      <c r="N5575" s="2"/>
      <c r="AD5575" s="3"/>
      <c r="AH5575" s="3"/>
      <c r="AL5575" s="3"/>
    </row>
    <row r="5576" spans="12:38" x14ac:dyDescent="0.25">
      <c r="L5576" s="2"/>
      <c r="M5576" s="2"/>
      <c r="N5576" s="2"/>
      <c r="AD5576" s="3"/>
      <c r="AH5576" s="3"/>
      <c r="AL5576" s="3"/>
    </row>
    <row r="5577" spans="12:38" x14ac:dyDescent="0.25">
      <c r="L5577" s="2"/>
      <c r="M5577" s="2"/>
      <c r="N5577" s="2"/>
      <c r="AD5577" s="3"/>
      <c r="AH5577" s="3"/>
      <c r="AL5577" s="3"/>
    </row>
    <row r="5578" spans="12:38" x14ac:dyDescent="0.25">
      <c r="L5578" s="2"/>
      <c r="M5578" s="2"/>
      <c r="N5578" s="2"/>
      <c r="AD5578" s="3"/>
      <c r="AH5578" s="3"/>
      <c r="AL5578" s="3"/>
    </row>
    <row r="5579" spans="12:38" x14ac:dyDescent="0.25">
      <c r="L5579" s="2"/>
      <c r="M5579" s="2"/>
      <c r="N5579" s="2"/>
      <c r="AD5579" s="3"/>
      <c r="AH5579" s="3"/>
      <c r="AL5579" s="3"/>
    </row>
    <row r="5580" spans="12:38" x14ac:dyDescent="0.25">
      <c r="L5580" s="2"/>
      <c r="M5580" s="2"/>
      <c r="N5580" s="2"/>
      <c r="AD5580" s="3"/>
      <c r="AH5580" s="3"/>
      <c r="AL5580" s="3"/>
    </row>
    <row r="5581" spans="12:38" x14ac:dyDescent="0.25">
      <c r="L5581" s="2"/>
      <c r="M5581" s="2"/>
      <c r="N5581" s="2"/>
      <c r="AD5581" s="3"/>
      <c r="AH5581" s="3"/>
      <c r="AL5581" s="3"/>
    </row>
    <row r="5582" spans="12:38" x14ac:dyDescent="0.25">
      <c r="L5582" s="2"/>
      <c r="M5582" s="2"/>
      <c r="N5582" s="2"/>
      <c r="AD5582" s="3"/>
      <c r="AH5582" s="3"/>
      <c r="AL5582" s="3"/>
    </row>
    <row r="5583" spans="12:38" x14ac:dyDescent="0.25">
      <c r="L5583" s="2"/>
      <c r="M5583" s="2"/>
      <c r="N5583" s="2"/>
      <c r="AD5583" s="3"/>
      <c r="AH5583" s="3"/>
      <c r="AL5583" s="3"/>
    </row>
    <row r="5584" spans="12:38" x14ac:dyDescent="0.25">
      <c r="L5584" s="2"/>
      <c r="M5584" s="2"/>
      <c r="N5584" s="2"/>
      <c r="AD5584" s="3"/>
      <c r="AH5584" s="3"/>
      <c r="AL5584" s="3"/>
    </row>
    <row r="5585" spans="12:38" x14ac:dyDescent="0.25">
      <c r="L5585" s="2"/>
      <c r="M5585" s="2"/>
      <c r="N5585" s="2"/>
      <c r="AD5585" s="3"/>
      <c r="AH5585" s="3"/>
      <c r="AL5585" s="3"/>
    </row>
    <row r="5586" spans="12:38" x14ac:dyDescent="0.25">
      <c r="L5586" s="2"/>
      <c r="M5586" s="2"/>
      <c r="N5586" s="2"/>
      <c r="AD5586" s="3"/>
      <c r="AH5586" s="3"/>
      <c r="AL5586" s="3"/>
    </row>
    <row r="5587" spans="12:38" x14ac:dyDescent="0.25">
      <c r="L5587" s="2"/>
      <c r="M5587" s="2"/>
      <c r="N5587" s="2"/>
      <c r="AD5587" s="3"/>
      <c r="AH5587" s="3"/>
      <c r="AL5587" s="3"/>
    </row>
    <row r="5588" spans="12:38" x14ac:dyDescent="0.25">
      <c r="L5588" s="2"/>
      <c r="M5588" s="2"/>
      <c r="N5588" s="2"/>
      <c r="AD5588" s="3"/>
      <c r="AH5588" s="3"/>
      <c r="AL5588" s="3"/>
    </row>
    <row r="5589" spans="12:38" x14ac:dyDescent="0.25">
      <c r="L5589" s="2"/>
      <c r="M5589" s="2"/>
      <c r="N5589" s="2"/>
      <c r="AD5589" s="3"/>
      <c r="AH5589" s="3"/>
      <c r="AL5589" s="3"/>
    </row>
    <row r="5590" spans="12:38" x14ac:dyDescent="0.25">
      <c r="L5590" s="2"/>
      <c r="M5590" s="2"/>
      <c r="N5590" s="2"/>
      <c r="AD5590" s="3"/>
      <c r="AH5590" s="3"/>
      <c r="AL5590" s="3"/>
    </row>
    <row r="5591" spans="12:38" x14ac:dyDescent="0.25">
      <c r="L5591" s="2"/>
      <c r="M5591" s="2"/>
      <c r="N5591" s="2"/>
      <c r="AD5591" s="3"/>
      <c r="AH5591" s="3"/>
      <c r="AL5591" s="3"/>
    </row>
    <row r="5592" spans="12:38" x14ac:dyDescent="0.25">
      <c r="L5592" s="2"/>
      <c r="M5592" s="2"/>
      <c r="N5592" s="2"/>
      <c r="AD5592" s="3"/>
      <c r="AH5592" s="3"/>
      <c r="AL5592" s="3"/>
    </row>
    <row r="5593" spans="12:38" x14ac:dyDescent="0.25">
      <c r="L5593" s="2"/>
      <c r="M5593" s="2"/>
      <c r="N5593" s="2"/>
      <c r="AD5593" s="3"/>
      <c r="AH5593" s="3"/>
      <c r="AL5593" s="3"/>
    </row>
    <row r="5594" spans="12:38" x14ac:dyDescent="0.25">
      <c r="L5594" s="2"/>
      <c r="M5594" s="2"/>
      <c r="N5594" s="2"/>
      <c r="AD5594" s="3"/>
      <c r="AH5594" s="3"/>
      <c r="AL5594" s="3"/>
    </row>
    <row r="5595" spans="12:38" x14ac:dyDescent="0.25">
      <c r="L5595" s="2"/>
      <c r="M5595" s="2"/>
      <c r="N5595" s="2"/>
      <c r="AD5595" s="3"/>
      <c r="AH5595" s="3"/>
      <c r="AL5595" s="3"/>
    </row>
    <row r="5596" spans="12:38" x14ac:dyDescent="0.25">
      <c r="L5596" s="2"/>
      <c r="M5596" s="2"/>
      <c r="N5596" s="2"/>
      <c r="AD5596" s="3"/>
      <c r="AH5596" s="3"/>
      <c r="AL5596" s="3"/>
    </row>
    <row r="5597" spans="12:38" x14ac:dyDescent="0.25">
      <c r="L5597" s="2"/>
      <c r="M5597" s="2"/>
      <c r="N5597" s="2"/>
      <c r="AD5597" s="3"/>
      <c r="AH5597" s="3"/>
      <c r="AL5597" s="3"/>
    </row>
    <row r="5598" spans="12:38" x14ac:dyDescent="0.25">
      <c r="L5598" s="2"/>
      <c r="M5598" s="2"/>
      <c r="N5598" s="2"/>
      <c r="AD5598" s="3"/>
      <c r="AH5598" s="3"/>
      <c r="AL5598" s="3"/>
    </row>
    <row r="5599" spans="12:38" x14ac:dyDescent="0.25">
      <c r="L5599" s="2"/>
      <c r="M5599" s="2"/>
      <c r="N5599" s="2"/>
      <c r="AD5599" s="3"/>
      <c r="AH5599" s="3"/>
      <c r="AL5599" s="3"/>
    </row>
    <row r="5600" spans="12:38" x14ac:dyDescent="0.25">
      <c r="L5600" s="2"/>
      <c r="M5600" s="2"/>
      <c r="N5600" s="2"/>
      <c r="AD5600" s="3"/>
      <c r="AH5600" s="3"/>
      <c r="AL5600" s="3"/>
    </row>
    <row r="5601" spans="12:38" x14ac:dyDescent="0.25">
      <c r="L5601" s="2"/>
      <c r="M5601" s="2"/>
      <c r="N5601" s="2"/>
      <c r="AD5601" s="3"/>
      <c r="AH5601" s="3"/>
      <c r="AL5601" s="3"/>
    </row>
    <row r="5602" spans="12:38" x14ac:dyDescent="0.25">
      <c r="L5602" s="2"/>
      <c r="M5602" s="2"/>
      <c r="N5602" s="2"/>
      <c r="AD5602" s="3"/>
      <c r="AH5602" s="3"/>
      <c r="AL5602" s="3"/>
    </row>
    <row r="5603" spans="12:38" x14ac:dyDescent="0.25">
      <c r="L5603" s="2"/>
      <c r="M5603" s="2"/>
      <c r="N5603" s="2"/>
      <c r="AD5603" s="3"/>
      <c r="AH5603" s="3"/>
      <c r="AL5603" s="3"/>
    </row>
    <row r="5604" spans="12:38" x14ac:dyDescent="0.25">
      <c r="L5604" s="2"/>
      <c r="M5604" s="2"/>
      <c r="N5604" s="2"/>
      <c r="AD5604" s="3"/>
      <c r="AH5604" s="3"/>
      <c r="AL5604" s="3"/>
    </row>
    <row r="5605" spans="12:38" x14ac:dyDescent="0.25">
      <c r="L5605" s="2"/>
      <c r="M5605" s="2"/>
      <c r="N5605" s="2"/>
      <c r="AD5605" s="3"/>
      <c r="AH5605" s="3"/>
      <c r="AL5605" s="3"/>
    </row>
    <row r="5606" spans="12:38" x14ac:dyDescent="0.25">
      <c r="L5606" s="2"/>
      <c r="M5606" s="2"/>
      <c r="N5606" s="2"/>
      <c r="AD5606" s="3"/>
      <c r="AH5606" s="3"/>
      <c r="AL5606" s="3"/>
    </row>
    <row r="5607" spans="12:38" x14ac:dyDescent="0.25">
      <c r="L5607" s="2"/>
      <c r="M5607" s="2"/>
      <c r="N5607" s="2"/>
      <c r="AD5607" s="3"/>
      <c r="AH5607" s="3"/>
      <c r="AL5607" s="3"/>
    </row>
    <row r="5608" spans="12:38" x14ac:dyDescent="0.25">
      <c r="L5608" s="2"/>
      <c r="M5608" s="2"/>
      <c r="N5608" s="2"/>
      <c r="AD5608" s="3"/>
      <c r="AH5608" s="3"/>
      <c r="AL5608" s="3"/>
    </row>
    <row r="5609" spans="12:38" x14ac:dyDescent="0.25">
      <c r="L5609" s="2"/>
      <c r="M5609" s="2"/>
      <c r="N5609" s="2"/>
      <c r="AD5609" s="3"/>
      <c r="AH5609" s="3"/>
      <c r="AL5609" s="3"/>
    </row>
    <row r="5610" spans="12:38" x14ac:dyDescent="0.25">
      <c r="L5610" s="2"/>
      <c r="M5610" s="2"/>
      <c r="N5610" s="2"/>
      <c r="AD5610" s="3"/>
      <c r="AH5610" s="3"/>
      <c r="AL5610" s="3"/>
    </row>
    <row r="5611" spans="12:38" x14ac:dyDescent="0.25">
      <c r="L5611" s="2"/>
      <c r="M5611" s="2"/>
      <c r="N5611" s="2"/>
      <c r="AD5611" s="3"/>
      <c r="AH5611" s="3"/>
      <c r="AL5611" s="3"/>
    </row>
    <row r="5612" spans="12:38" x14ac:dyDescent="0.25">
      <c r="L5612" s="2"/>
      <c r="M5612" s="2"/>
      <c r="N5612" s="2"/>
      <c r="AD5612" s="3"/>
      <c r="AH5612" s="3"/>
      <c r="AL5612" s="3"/>
    </row>
    <row r="5613" spans="12:38" x14ac:dyDescent="0.25">
      <c r="L5613" s="2"/>
      <c r="M5613" s="2"/>
      <c r="N5613" s="2"/>
      <c r="AD5613" s="3"/>
      <c r="AH5613" s="3"/>
      <c r="AL5613" s="3"/>
    </row>
    <row r="5614" spans="12:38" x14ac:dyDescent="0.25">
      <c r="L5614" s="2"/>
      <c r="M5614" s="2"/>
      <c r="N5614" s="2"/>
      <c r="AD5614" s="3"/>
      <c r="AH5614" s="3"/>
      <c r="AL5614" s="3"/>
    </row>
    <row r="5615" spans="12:38" x14ac:dyDescent="0.25">
      <c r="L5615" s="2"/>
      <c r="M5615" s="2"/>
      <c r="N5615" s="2"/>
      <c r="AD5615" s="3"/>
      <c r="AH5615" s="3"/>
      <c r="AL5615" s="3"/>
    </row>
    <row r="5616" spans="12:38" x14ac:dyDescent="0.25">
      <c r="L5616" s="2"/>
      <c r="M5616" s="2"/>
      <c r="N5616" s="2"/>
      <c r="AD5616" s="3"/>
      <c r="AH5616" s="3"/>
      <c r="AL5616" s="3"/>
    </row>
    <row r="5617" spans="12:38" x14ac:dyDescent="0.25">
      <c r="L5617" s="2"/>
      <c r="M5617" s="2"/>
      <c r="N5617" s="2"/>
      <c r="AD5617" s="3"/>
      <c r="AH5617" s="3"/>
      <c r="AL5617" s="3"/>
    </row>
    <row r="5618" spans="12:38" x14ac:dyDescent="0.25">
      <c r="L5618" s="2"/>
      <c r="M5618" s="2"/>
      <c r="N5618" s="2"/>
      <c r="AD5618" s="3"/>
      <c r="AH5618" s="3"/>
      <c r="AL5618" s="3"/>
    </row>
    <row r="5619" spans="12:38" x14ac:dyDescent="0.25">
      <c r="L5619" s="2"/>
      <c r="M5619" s="2"/>
      <c r="N5619" s="2"/>
      <c r="AD5619" s="3"/>
      <c r="AH5619" s="3"/>
      <c r="AL5619" s="3"/>
    </row>
    <row r="5620" spans="12:38" x14ac:dyDescent="0.25">
      <c r="L5620" s="2"/>
      <c r="M5620" s="2"/>
      <c r="N5620" s="2"/>
      <c r="AD5620" s="3"/>
      <c r="AH5620" s="3"/>
      <c r="AL5620" s="3"/>
    </row>
    <row r="5621" spans="12:38" x14ac:dyDescent="0.25">
      <c r="L5621" s="2"/>
      <c r="M5621" s="2"/>
      <c r="N5621" s="2"/>
      <c r="AD5621" s="3"/>
      <c r="AH5621" s="3"/>
      <c r="AL5621" s="3"/>
    </row>
    <row r="5622" spans="12:38" x14ac:dyDescent="0.25">
      <c r="L5622" s="2"/>
      <c r="M5622" s="2"/>
      <c r="N5622" s="2"/>
      <c r="AD5622" s="3"/>
      <c r="AH5622" s="3"/>
      <c r="AL5622" s="3"/>
    </row>
    <row r="5623" spans="12:38" x14ac:dyDescent="0.25">
      <c r="L5623" s="2"/>
      <c r="M5623" s="2"/>
      <c r="N5623" s="2"/>
      <c r="AD5623" s="3"/>
      <c r="AH5623" s="3"/>
      <c r="AL5623" s="3"/>
    </row>
    <row r="5624" spans="12:38" x14ac:dyDescent="0.25">
      <c r="L5624" s="2"/>
      <c r="M5624" s="2"/>
      <c r="N5624" s="2"/>
      <c r="AD5624" s="3"/>
      <c r="AH5624" s="3"/>
      <c r="AL5624" s="3"/>
    </row>
    <row r="5625" spans="12:38" x14ac:dyDescent="0.25">
      <c r="L5625" s="2"/>
      <c r="M5625" s="2"/>
      <c r="N5625" s="2"/>
      <c r="AD5625" s="3"/>
      <c r="AH5625" s="3"/>
      <c r="AL5625" s="3"/>
    </row>
    <row r="5626" spans="12:38" x14ac:dyDescent="0.25">
      <c r="L5626" s="2"/>
      <c r="M5626" s="2"/>
      <c r="N5626" s="2"/>
      <c r="AD5626" s="3"/>
      <c r="AH5626" s="3"/>
      <c r="AL5626" s="3"/>
    </row>
    <row r="5627" spans="12:38" x14ac:dyDescent="0.25">
      <c r="L5627" s="2"/>
      <c r="M5627" s="2"/>
      <c r="N5627" s="2"/>
      <c r="AD5627" s="3"/>
      <c r="AH5627" s="3"/>
      <c r="AL5627" s="3"/>
    </row>
    <row r="5628" spans="12:38" x14ac:dyDescent="0.25">
      <c r="L5628" s="2"/>
      <c r="M5628" s="2"/>
      <c r="N5628" s="2"/>
      <c r="AD5628" s="3"/>
      <c r="AH5628" s="3"/>
      <c r="AL5628" s="3"/>
    </row>
    <row r="5629" spans="12:38" x14ac:dyDescent="0.25">
      <c r="L5629" s="2"/>
      <c r="M5629" s="2"/>
      <c r="N5629" s="2"/>
      <c r="AD5629" s="3"/>
      <c r="AH5629" s="3"/>
      <c r="AL5629" s="3"/>
    </row>
    <row r="5630" spans="12:38" x14ac:dyDescent="0.25">
      <c r="L5630" s="2"/>
      <c r="M5630" s="2"/>
      <c r="N5630" s="2"/>
      <c r="AD5630" s="3"/>
      <c r="AH5630" s="3"/>
      <c r="AL5630" s="3"/>
    </row>
    <row r="5631" spans="12:38" x14ac:dyDescent="0.25">
      <c r="L5631" s="2"/>
      <c r="M5631" s="2"/>
      <c r="N5631" s="2"/>
      <c r="AD5631" s="3"/>
      <c r="AH5631" s="3"/>
      <c r="AL5631" s="3"/>
    </row>
    <row r="5632" spans="12:38" x14ac:dyDescent="0.25">
      <c r="L5632" s="2"/>
      <c r="M5632" s="2"/>
      <c r="N5632" s="2"/>
      <c r="AD5632" s="3"/>
      <c r="AH5632" s="3"/>
      <c r="AL5632" s="3"/>
    </row>
    <row r="5633" spans="12:38" x14ac:dyDescent="0.25">
      <c r="L5633" s="2"/>
      <c r="M5633" s="2"/>
      <c r="N5633" s="2"/>
      <c r="AD5633" s="3"/>
      <c r="AH5633" s="3"/>
      <c r="AL5633" s="3"/>
    </row>
    <row r="5634" spans="12:38" x14ac:dyDescent="0.25">
      <c r="L5634" s="2"/>
      <c r="M5634" s="2"/>
      <c r="N5634" s="2"/>
      <c r="AD5634" s="3"/>
      <c r="AH5634" s="3"/>
      <c r="AL5634" s="3"/>
    </row>
    <row r="5635" spans="12:38" x14ac:dyDescent="0.25">
      <c r="L5635" s="2"/>
      <c r="M5635" s="2"/>
      <c r="N5635" s="2"/>
      <c r="AD5635" s="3"/>
      <c r="AH5635" s="3"/>
      <c r="AL5635" s="3"/>
    </row>
    <row r="5636" spans="12:38" x14ac:dyDescent="0.25">
      <c r="L5636" s="2"/>
      <c r="M5636" s="2"/>
      <c r="N5636" s="2"/>
      <c r="AD5636" s="3"/>
      <c r="AH5636" s="3"/>
      <c r="AL5636" s="3"/>
    </row>
    <row r="5637" spans="12:38" x14ac:dyDescent="0.25">
      <c r="L5637" s="2"/>
      <c r="M5637" s="2"/>
      <c r="N5637" s="2"/>
      <c r="AD5637" s="3"/>
      <c r="AH5637" s="3"/>
      <c r="AL5637" s="3"/>
    </row>
    <row r="5638" spans="12:38" x14ac:dyDescent="0.25">
      <c r="L5638" s="2"/>
      <c r="M5638" s="2"/>
      <c r="N5638" s="2"/>
      <c r="AD5638" s="3"/>
      <c r="AH5638" s="3"/>
      <c r="AL5638" s="3"/>
    </row>
    <row r="5639" spans="12:38" x14ac:dyDescent="0.25">
      <c r="L5639" s="2"/>
      <c r="M5639" s="2"/>
      <c r="N5639" s="2"/>
      <c r="AD5639" s="3"/>
      <c r="AH5639" s="3"/>
      <c r="AL5639" s="3"/>
    </row>
    <row r="5640" spans="12:38" x14ac:dyDescent="0.25">
      <c r="L5640" s="2"/>
      <c r="M5640" s="2"/>
      <c r="N5640" s="2"/>
      <c r="AD5640" s="3"/>
      <c r="AH5640" s="3"/>
      <c r="AL5640" s="3"/>
    </row>
    <row r="5641" spans="12:38" x14ac:dyDescent="0.25">
      <c r="L5641" s="2"/>
      <c r="M5641" s="2"/>
      <c r="N5641" s="2"/>
      <c r="AD5641" s="3"/>
      <c r="AH5641" s="3"/>
      <c r="AL5641" s="3"/>
    </row>
    <row r="5642" spans="12:38" x14ac:dyDescent="0.25">
      <c r="L5642" s="2"/>
      <c r="M5642" s="2"/>
      <c r="N5642" s="2"/>
      <c r="AD5642" s="3"/>
      <c r="AH5642" s="3"/>
      <c r="AL5642" s="3"/>
    </row>
    <row r="5643" spans="12:38" x14ac:dyDescent="0.25">
      <c r="L5643" s="2"/>
      <c r="M5643" s="2"/>
      <c r="N5643" s="2"/>
      <c r="AD5643" s="3"/>
      <c r="AH5643" s="3"/>
      <c r="AL5643" s="3"/>
    </row>
    <row r="5644" spans="12:38" x14ac:dyDescent="0.25">
      <c r="L5644" s="2"/>
      <c r="M5644" s="2"/>
      <c r="N5644" s="2"/>
      <c r="AD5644" s="3"/>
      <c r="AH5644" s="3"/>
      <c r="AL5644" s="3"/>
    </row>
    <row r="5645" spans="12:38" x14ac:dyDescent="0.25">
      <c r="L5645" s="2"/>
      <c r="M5645" s="2"/>
      <c r="N5645" s="2"/>
      <c r="AD5645" s="3"/>
      <c r="AH5645" s="3"/>
      <c r="AL5645" s="3"/>
    </row>
    <row r="5646" spans="12:38" x14ac:dyDescent="0.25">
      <c r="L5646" s="2"/>
      <c r="M5646" s="2"/>
      <c r="N5646" s="2"/>
      <c r="AD5646" s="3"/>
      <c r="AH5646" s="3"/>
      <c r="AL5646" s="3"/>
    </row>
    <row r="5647" spans="12:38" x14ac:dyDescent="0.25">
      <c r="L5647" s="2"/>
      <c r="M5647" s="2"/>
      <c r="N5647" s="2"/>
      <c r="AD5647" s="3"/>
      <c r="AH5647" s="3"/>
      <c r="AL5647" s="3"/>
    </row>
    <row r="5648" spans="12:38" x14ac:dyDescent="0.25">
      <c r="L5648" s="2"/>
      <c r="M5648" s="2"/>
      <c r="N5648" s="2"/>
      <c r="AD5648" s="3"/>
      <c r="AH5648" s="3"/>
      <c r="AL5648" s="3"/>
    </row>
    <row r="5649" spans="12:38" x14ac:dyDescent="0.25">
      <c r="L5649" s="2"/>
      <c r="M5649" s="2"/>
      <c r="N5649" s="2"/>
      <c r="AD5649" s="3"/>
      <c r="AH5649" s="3"/>
      <c r="AL5649" s="3"/>
    </row>
    <row r="5650" spans="12:38" x14ac:dyDescent="0.25">
      <c r="L5650" s="2"/>
      <c r="M5650" s="2"/>
      <c r="N5650" s="2"/>
      <c r="AD5650" s="3"/>
      <c r="AH5650" s="3"/>
      <c r="AL5650" s="3"/>
    </row>
    <row r="5651" spans="12:38" x14ac:dyDescent="0.25">
      <c r="L5651" s="2"/>
      <c r="M5651" s="2"/>
      <c r="N5651" s="2"/>
      <c r="AD5651" s="3"/>
      <c r="AH5651" s="3"/>
      <c r="AL5651" s="3"/>
    </row>
    <row r="5652" spans="12:38" x14ac:dyDescent="0.25">
      <c r="L5652" s="2"/>
      <c r="M5652" s="2"/>
      <c r="N5652" s="2"/>
      <c r="AD5652" s="3"/>
      <c r="AH5652" s="3"/>
      <c r="AL5652" s="3"/>
    </row>
    <row r="5653" spans="12:38" x14ac:dyDescent="0.25">
      <c r="L5653" s="2"/>
      <c r="M5653" s="2"/>
      <c r="N5653" s="2"/>
      <c r="AD5653" s="3"/>
      <c r="AH5653" s="3"/>
      <c r="AL5653" s="3"/>
    </row>
    <row r="5654" spans="12:38" x14ac:dyDescent="0.25">
      <c r="L5654" s="2"/>
      <c r="M5654" s="2"/>
      <c r="N5654" s="2"/>
      <c r="AD5654" s="3"/>
      <c r="AH5654" s="3"/>
      <c r="AL5654" s="3"/>
    </row>
    <row r="5655" spans="12:38" x14ac:dyDescent="0.25">
      <c r="L5655" s="2"/>
      <c r="M5655" s="2"/>
      <c r="N5655" s="2"/>
      <c r="AD5655" s="3"/>
      <c r="AH5655" s="3"/>
      <c r="AL5655" s="3"/>
    </row>
    <row r="5656" spans="12:38" x14ac:dyDescent="0.25">
      <c r="L5656" s="2"/>
      <c r="M5656" s="2"/>
      <c r="N5656" s="2"/>
      <c r="AD5656" s="3"/>
      <c r="AH5656" s="3"/>
      <c r="AL5656" s="3"/>
    </row>
    <row r="5657" spans="12:38" x14ac:dyDescent="0.25">
      <c r="L5657" s="2"/>
      <c r="M5657" s="2"/>
      <c r="N5657" s="2"/>
      <c r="AD5657" s="3"/>
      <c r="AH5657" s="3"/>
      <c r="AL5657" s="3"/>
    </row>
    <row r="5658" spans="12:38" x14ac:dyDescent="0.25">
      <c r="L5658" s="2"/>
      <c r="M5658" s="2"/>
      <c r="N5658" s="2"/>
      <c r="AD5658" s="3"/>
      <c r="AH5658" s="3"/>
      <c r="AL5658" s="3"/>
    </row>
    <row r="5659" spans="12:38" x14ac:dyDescent="0.25">
      <c r="L5659" s="2"/>
      <c r="M5659" s="2"/>
      <c r="N5659" s="2"/>
      <c r="AD5659" s="3"/>
      <c r="AH5659" s="3"/>
      <c r="AL5659" s="3"/>
    </row>
    <row r="5660" spans="12:38" x14ac:dyDescent="0.25">
      <c r="L5660" s="2"/>
      <c r="M5660" s="2"/>
      <c r="N5660" s="2"/>
      <c r="AD5660" s="3"/>
      <c r="AH5660" s="3"/>
      <c r="AL5660" s="3"/>
    </row>
    <row r="5661" spans="12:38" x14ac:dyDescent="0.25">
      <c r="L5661" s="2"/>
      <c r="M5661" s="2"/>
      <c r="N5661" s="2"/>
      <c r="AD5661" s="3"/>
      <c r="AH5661" s="3"/>
      <c r="AL5661" s="3"/>
    </row>
    <row r="5662" spans="12:38" x14ac:dyDescent="0.25">
      <c r="L5662" s="2"/>
      <c r="M5662" s="2"/>
      <c r="N5662" s="2"/>
      <c r="AD5662" s="3"/>
      <c r="AH5662" s="3"/>
      <c r="AL5662" s="3"/>
    </row>
    <row r="5663" spans="12:38" x14ac:dyDescent="0.25">
      <c r="L5663" s="2"/>
      <c r="M5663" s="2"/>
      <c r="N5663" s="2"/>
      <c r="AD5663" s="3"/>
      <c r="AH5663" s="3"/>
      <c r="AL5663" s="3"/>
    </row>
    <row r="5664" spans="12:38" x14ac:dyDescent="0.25">
      <c r="L5664" s="2"/>
      <c r="M5664" s="2"/>
      <c r="N5664" s="2"/>
      <c r="AD5664" s="3"/>
      <c r="AH5664" s="3"/>
      <c r="AL5664" s="3"/>
    </row>
    <row r="5665" spans="12:38" x14ac:dyDescent="0.25">
      <c r="L5665" s="2"/>
      <c r="M5665" s="2"/>
      <c r="N5665" s="2"/>
      <c r="AD5665" s="3"/>
      <c r="AH5665" s="3"/>
      <c r="AL5665" s="3"/>
    </row>
    <row r="5666" spans="12:38" x14ac:dyDescent="0.25">
      <c r="L5666" s="2"/>
      <c r="M5666" s="2"/>
      <c r="N5666" s="2"/>
      <c r="AD5666" s="3"/>
      <c r="AH5666" s="3"/>
      <c r="AL5666" s="3"/>
    </row>
    <row r="5667" spans="12:38" x14ac:dyDescent="0.25">
      <c r="L5667" s="2"/>
      <c r="M5667" s="2"/>
      <c r="N5667" s="2"/>
      <c r="AD5667" s="3"/>
      <c r="AH5667" s="3"/>
      <c r="AL5667" s="3"/>
    </row>
    <row r="5668" spans="12:38" x14ac:dyDescent="0.25">
      <c r="L5668" s="2"/>
      <c r="M5668" s="2"/>
      <c r="N5668" s="2"/>
      <c r="AD5668" s="3"/>
      <c r="AH5668" s="3"/>
      <c r="AL5668" s="3"/>
    </row>
    <row r="5669" spans="12:38" x14ac:dyDescent="0.25">
      <c r="L5669" s="2"/>
      <c r="M5669" s="2"/>
      <c r="N5669" s="2"/>
      <c r="AD5669" s="3"/>
      <c r="AH5669" s="3"/>
      <c r="AL5669" s="3"/>
    </row>
    <row r="5670" spans="12:38" x14ac:dyDescent="0.25">
      <c r="L5670" s="2"/>
      <c r="M5670" s="2"/>
      <c r="N5670" s="2"/>
      <c r="AD5670" s="3"/>
      <c r="AH5670" s="3"/>
      <c r="AL5670" s="3"/>
    </row>
    <row r="5671" spans="12:38" x14ac:dyDescent="0.25">
      <c r="L5671" s="2"/>
      <c r="M5671" s="2"/>
      <c r="N5671" s="2"/>
      <c r="AD5671" s="3"/>
      <c r="AH5671" s="3"/>
      <c r="AL5671" s="3"/>
    </row>
    <row r="5672" spans="12:38" x14ac:dyDescent="0.25">
      <c r="L5672" s="2"/>
      <c r="M5672" s="2"/>
      <c r="N5672" s="2"/>
      <c r="AD5672" s="3"/>
      <c r="AH5672" s="3"/>
      <c r="AL5672" s="3"/>
    </row>
    <row r="5673" spans="12:38" x14ac:dyDescent="0.25">
      <c r="L5673" s="2"/>
      <c r="M5673" s="2"/>
      <c r="N5673" s="2"/>
      <c r="AD5673" s="3"/>
      <c r="AH5673" s="3"/>
      <c r="AL5673" s="3"/>
    </row>
    <row r="5674" spans="12:38" x14ac:dyDescent="0.25">
      <c r="L5674" s="2"/>
      <c r="M5674" s="2"/>
      <c r="N5674" s="2"/>
      <c r="AD5674" s="3"/>
      <c r="AH5674" s="3"/>
      <c r="AL5674" s="3"/>
    </row>
    <row r="5675" spans="12:38" x14ac:dyDescent="0.25">
      <c r="L5675" s="2"/>
      <c r="M5675" s="2"/>
      <c r="N5675" s="2"/>
      <c r="AD5675" s="3"/>
      <c r="AH5675" s="3"/>
      <c r="AL5675" s="3"/>
    </row>
    <row r="5676" spans="12:38" x14ac:dyDescent="0.25">
      <c r="L5676" s="2"/>
      <c r="M5676" s="2"/>
      <c r="N5676" s="2"/>
      <c r="AD5676" s="3"/>
      <c r="AH5676" s="3"/>
      <c r="AL5676" s="3"/>
    </row>
    <row r="5677" spans="12:38" x14ac:dyDescent="0.25">
      <c r="L5677" s="2"/>
      <c r="M5677" s="2"/>
      <c r="N5677" s="2"/>
      <c r="AD5677" s="3"/>
      <c r="AH5677" s="3"/>
      <c r="AL5677" s="3"/>
    </row>
    <row r="5678" spans="12:38" x14ac:dyDescent="0.25">
      <c r="L5678" s="2"/>
      <c r="M5678" s="2"/>
      <c r="N5678" s="2"/>
      <c r="AD5678" s="3"/>
      <c r="AH5678" s="3"/>
      <c r="AL5678" s="3"/>
    </row>
    <row r="5679" spans="12:38" x14ac:dyDescent="0.25">
      <c r="L5679" s="2"/>
      <c r="M5679" s="2"/>
      <c r="N5679" s="2"/>
      <c r="AD5679" s="3"/>
      <c r="AH5679" s="3"/>
      <c r="AL5679" s="3"/>
    </row>
    <row r="5680" spans="12:38" x14ac:dyDescent="0.25">
      <c r="L5680" s="2"/>
      <c r="M5680" s="2"/>
      <c r="N5680" s="2"/>
      <c r="AD5680" s="3"/>
      <c r="AH5680" s="3"/>
      <c r="AL5680" s="3"/>
    </row>
    <row r="5681" spans="12:38" x14ac:dyDescent="0.25">
      <c r="L5681" s="2"/>
      <c r="M5681" s="2"/>
      <c r="N5681" s="2"/>
      <c r="AD5681" s="3"/>
      <c r="AH5681" s="3"/>
      <c r="AL5681" s="3"/>
    </row>
    <row r="5682" spans="12:38" x14ac:dyDescent="0.25">
      <c r="L5682" s="2"/>
      <c r="M5682" s="2"/>
      <c r="N5682" s="2"/>
      <c r="AD5682" s="3"/>
      <c r="AH5682" s="3"/>
      <c r="AL5682" s="3"/>
    </row>
    <row r="5683" spans="12:38" x14ac:dyDescent="0.25">
      <c r="L5683" s="2"/>
      <c r="M5683" s="2"/>
      <c r="N5683" s="2"/>
      <c r="AD5683" s="3"/>
      <c r="AH5683" s="3"/>
      <c r="AL5683" s="3"/>
    </row>
    <row r="5684" spans="12:38" x14ac:dyDescent="0.25">
      <c r="L5684" s="2"/>
      <c r="M5684" s="2"/>
      <c r="N5684" s="2"/>
      <c r="AD5684" s="3"/>
      <c r="AH5684" s="3"/>
      <c r="AL5684" s="3"/>
    </row>
    <row r="5685" spans="12:38" x14ac:dyDescent="0.25">
      <c r="L5685" s="2"/>
      <c r="M5685" s="2"/>
      <c r="N5685" s="2"/>
      <c r="AD5685" s="3"/>
      <c r="AH5685" s="3"/>
      <c r="AL5685" s="3"/>
    </row>
    <row r="5686" spans="12:38" x14ac:dyDescent="0.25">
      <c r="L5686" s="2"/>
      <c r="M5686" s="2"/>
      <c r="N5686" s="2"/>
      <c r="AD5686" s="3"/>
      <c r="AH5686" s="3"/>
      <c r="AL5686" s="3"/>
    </row>
    <row r="5687" spans="12:38" x14ac:dyDescent="0.25">
      <c r="L5687" s="2"/>
      <c r="M5687" s="2"/>
      <c r="N5687" s="2"/>
      <c r="AD5687" s="3"/>
      <c r="AH5687" s="3"/>
      <c r="AL5687" s="3"/>
    </row>
    <row r="5688" spans="12:38" x14ac:dyDescent="0.25">
      <c r="L5688" s="2"/>
      <c r="M5688" s="2"/>
      <c r="N5688" s="2"/>
      <c r="AD5688" s="3"/>
      <c r="AH5688" s="3"/>
      <c r="AL5688" s="3"/>
    </row>
    <row r="5689" spans="12:38" x14ac:dyDescent="0.25">
      <c r="L5689" s="2"/>
      <c r="M5689" s="2"/>
      <c r="N5689" s="2"/>
      <c r="AD5689" s="3"/>
      <c r="AH5689" s="3"/>
      <c r="AL5689" s="3"/>
    </row>
    <row r="5690" spans="12:38" x14ac:dyDescent="0.25">
      <c r="L5690" s="2"/>
      <c r="M5690" s="2"/>
      <c r="N5690" s="2"/>
      <c r="AD5690" s="3"/>
      <c r="AH5690" s="3"/>
      <c r="AL5690" s="3"/>
    </row>
    <row r="5691" spans="12:38" x14ac:dyDescent="0.25">
      <c r="L5691" s="2"/>
      <c r="M5691" s="2"/>
      <c r="N5691" s="2"/>
      <c r="AD5691" s="3"/>
      <c r="AH5691" s="3"/>
      <c r="AL5691" s="3"/>
    </row>
    <row r="5692" spans="12:38" x14ac:dyDescent="0.25">
      <c r="L5692" s="2"/>
      <c r="M5692" s="2"/>
      <c r="N5692" s="2"/>
      <c r="AD5692" s="3"/>
      <c r="AH5692" s="3"/>
      <c r="AL5692" s="3"/>
    </row>
    <row r="5693" spans="12:38" x14ac:dyDescent="0.25">
      <c r="L5693" s="2"/>
      <c r="M5693" s="2"/>
      <c r="N5693" s="2"/>
      <c r="AD5693" s="3"/>
      <c r="AH5693" s="3"/>
      <c r="AL5693" s="3"/>
    </row>
    <row r="5694" spans="12:38" x14ac:dyDescent="0.25">
      <c r="L5694" s="2"/>
      <c r="M5694" s="2"/>
      <c r="N5694" s="2"/>
      <c r="AD5694" s="3"/>
      <c r="AH5694" s="3"/>
      <c r="AL5694" s="3"/>
    </row>
    <row r="5695" spans="12:38" x14ac:dyDescent="0.25">
      <c r="L5695" s="2"/>
      <c r="M5695" s="2"/>
      <c r="N5695" s="2"/>
      <c r="AD5695" s="3"/>
      <c r="AH5695" s="3"/>
      <c r="AL5695" s="3"/>
    </row>
    <row r="5696" spans="12:38" x14ac:dyDescent="0.25">
      <c r="L5696" s="2"/>
      <c r="M5696" s="2"/>
      <c r="N5696" s="2"/>
      <c r="AD5696" s="3"/>
      <c r="AH5696" s="3"/>
      <c r="AL5696" s="3"/>
    </row>
    <row r="5697" spans="12:38" x14ac:dyDescent="0.25">
      <c r="L5697" s="2"/>
      <c r="M5697" s="2"/>
      <c r="N5697" s="2"/>
      <c r="AD5697" s="3"/>
      <c r="AH5697" s="3"/>
      <c r="AL5697" s="3"/>
    </row>
    <row r="5698" spans="12:38" x14ac:dyDescent="0.25">
      <c r="L5698" s="2"/>
      <c r="M5698" s="2"/>
      <c r="N5698" s="2"/>
      <c r="AD5698" s="3"/>
      <c r="AH5698" s="3"/>
      <c r="AL5698" s="3"/>
    </row>
    <row r="5699" spans="12:38" x14ac:dyDescent="0.25">
      <c r="L5699" s="2"/>
      <c r="M5699" s="2"/>
      <c r="N5699" s="2"/>
      <c r="AD5699" s="3"/>
      <c r="AH5699" s="3"/>
      <c r="AL5699" s="3"/>
    </row>
    <row r="5700" spans="12:38" x14ac:dyDescent="0.25">
      <c r="L5700" s="2"/>
      <c r="M5700" s="2"/>
      <c r="N5700" s="2"/>
      <c r="AD5700" s="3"/>
      <c r="AH5700" s="3"/>
      <c r="AL5700" s="3"/>
    </row>
    <row r="5701" spans="12:38" x14ac:dyDescent="0.25">
      <c r="L5701" s="2"/>
      <c r="M5701" s="2"/>
      <c r="N5701" s="2"/>
      <c r="AD5701" s="3"/>
      <c r="AH5701" s="3"/>
      <c r="AL5701" s="3"/>
    </row>
    <row r="5702" spans="12:38" x14ac:dyDescent="0.25">
      <c r="L5702" s="2"/>
      <c r="M5702" s="2"/>
      <c r="N5702" s="2"/>
      <c r="AD5702" s="3"/>
      <c r="AH5702" s="3"/>
      <c r="AL5702" s="3"/>
    </row>
    <row r="5703" spans="12:38" x14ac:dyDescent="0.25">
      <c r="L5703" s="2"/>
      <c r="M5703" s="2"/>
      <c r="N5703" s="2"/>
      <c r="AD5703" s="3"/>
      <c r="AH5703" s="3"/>
      <c r="AL5703" s="3"/>
    </row>
    <row r="5704" spans="12:38" x14ac:dyDescent="0.25">
      <c r="L5704" s="2"/>
      <c r="M5704" s="2"/>
      <c r="N5704" s="2"/>
      <c r="AD5704" s="3"/>
      <c r="AH5704" s="3"/>
      <c r="AL5704" s="3"/>
    </row>
    <row r="5705" spans="12:38" x14ac:dyDescent="0.25">
      <c r="L5705" s="2"/>
      <c r="M5705" s="2"/>
      <c r="N5705" s="2"/>
      <c r="AD5705" s="3"/>
      <c r="AH5705" s="3"/>
      <c r="AL5705" s="3"/>
    </row>
    <row r="5706" spans="12:38" x14ac:dyDescent="0.25">
      <c r="L5706" s="2"/>
      <c r="M5706" s="2"/>
      <c r="N5706" s="2"/>
      <c r="AD5706" s="3"/>
      <c r="AH5706" s="3"/>
      <c r="AL5706" s="3"/>
    </row>
    <row r="5707" spans="12:38" x14ac:dyDescent="0.25">
      <c r="L5707" s="2"/>
      <c r="M5707" s="2"/>
      <c r="N5707" s="2"/>
      <c r="AD5707" s="3"/>
      <c r="AH5707" s="3"/>
      <c r="AL5707" s="3"/>
    </row>
    <row r="5708" spans="12:38" x14ac:dyDescent="0.25">
      <c r="L5708" s="2"/>
      <c r="M5708" s="2"/>
      <c r="N5708" s="2"/>
      <c r="AD5708" s="3"/>
      <c r="AH5708" s="3"/>
      <c r="AL5708" s="3"/>
    </row>
    <row r="5709" spans="12:38" x14ac:dyDescent="0.25">
      <c r="L5709" s="2"/>
      <c r="M5709" s="2"/>
      <c r="N5709" s="2"/>
      <c r="AD5709" s="3"/>
      <c r="AH5709" s="3"/>
      <c r="AL5709" s="3"/>
    </row>
    <row r="5710" spans="12:38" x14ac:dyDescent="0.25">
      <c r="L5710" s="2"/>
      <c r="M5710" s="2"/>
      <c r="N5710" s="2"/>
      <c r="AD5710" s="3"/>
      <c r="AH5710" s="3"/>
      <c r="AL5710" s="3"/>
    </row>
    <row r="5711" spans="12:38" x14ac:dyDescent="0.25">
      <c r="L5711" s="2"/>
      <c r="M5711" s="2"/>
      <c r="N5711" s="2"/>
      <c r="AD5711" s="3"/>
      <c r="AH5711" s="3"/>
      <c r="AL5711" s="3"/>
    </row>
    <row r="5712" spans="12:38" x14ac:dyDescent="0.25">
      <c r="L5712" s="2"/>
      <c r="M5712" s="2"/>
      <c r="N5712" s="2"/>
      <c r="AD5712" s="3"/>
      <c r="AH5712" s="3"/>
      <c r="AL5712" s="3"/>
    </row>
    <row r="5713" spans="12:38" x14ac:dyDescent="0.25">
      <c r="L5713" s="2"/>
      <c r="M5713" s="2"/>
      <c r="N5713" s="2"/>
      <c r="AD5713" s="3"/>
      <c r="AH5713" s="3"/>
      <c r="AL5713" s="3"/>
    </row>
    <row r="5714" spans="12:38" x14ac:dyDescent="0.25">
      <c r="L5714" s="2"/>
      <c r="M5714" s="2"/>
      <c r="N5714" s="2"/>
      <c r="AD5714" s="3"/>
      <c r="AH5714" s="3"/>
      <c r="AL5714" s="3"/>
    </row>
    <row r="5715" spans="12:38" x14ac:dyDescent="0.25">
      <c r="L5715" s="2"/>
      <c r="M5715" s="2"/>
      <c r="N5715" s="2"/>
      <c r="AD5715" s="3"/>
      <c r="AH5715" s="3"/>
      <c r="AL5715" s="3"/>
    </row>
    <row r="5716" spans="12:38" x14ac:dyDescent="0.25">
      <c r="L5716" s="2"/>
      <c r="M5716" s="2"/>
      <c r="N5716" s="2"/>
      <c r="AD5716" s="3"/>
      <c r="AH5716" s="3"/>
      <c r="AL5716" s="3"/>
    </row>
    <row r="5717" spans="12:38" x14ac:dyDescent="0.25">
      <c r="L5717" s="2"/>
      <c r="M5717" s="2"/>
      <c r="N5717" s="2"/>
      <c r="AD5717" s="3"/>
      <c r="AH5717" s="3"/>
      <c r="AL5717" s="3"/>
    </row>
    <row r="5718" spans="12:38" x14ac:dyDescent="0.25">
      <c r="L5718" s="2"/>
      <c r="M5718" s="2"/>
      <c r="N5718" s="2"/>
      <c r="AD5718" s="3"/>
      <c r="AH5718" s="3"/>
      <c r="AL5718" s="3"/>
    </row>
    <row r="5719" spans="12:38" x14ac:dyDescent="0.25">
      <c r="L5719" s="2"/>
      <c r="M5719" s="2"/>
      <c r="N5719" s="2"/>
      <c r="AD5719" s="3"/>
      <c r="AH5719" s="3"/>
      <c r="AL5719" s="3"/>
    </row>
    <row r="5720" spans="12:38" x14ac:dyDescent="0.25">
      <c r="L5720" s="2"/>
      <c r="M5720" s="2"/>
      <c r="N5720" s="2"/>
      <c r="AD5720" s="3"/>
      <c r="AH5720" s="3"/>
      <c r="AL5720" s="3"/>
    </row>
    <row r="5721" spans="12:38" x14ac:dyDescent="0.25">
      <c r="L5721" s="2"/>
      <c r="M5721" s="2"/>
      <c r="N5721" s="2"/>
      <c r="AD5721" s="3"/>
      <c r="AH5721" s="3"/>
      <c r="AL5721" s="3"/>
    </row>
    <row r="5722" spans="12:38" x14ac:dyDescent="0.25">
      <c r="L5722" s="2"/>
      <c r="M5722" s="2"/>
      <c r="N5722" s="2"/>
      <c r="AD5722" s="3"/>
      <c r="AH5722" s="3"/>
      <c r="AL5722" s="3"/>
    </row>
    <row r="5723" spans="12:38" x14ac:dyDescent="0.25">
      <c r="L5723" s="2"/>
      <c r="M5723" s="2"/>
      <c r="N5723" s="2"/>
      <c r="AD5723" s="3"/>
      <c r="AH5723" s="3"/>
      <c r="AL5723" s="3"/>
    </row>
    <row r="5724" spans="12:38" x14ac:dyDescent="0.25">
      <c r="L5724" s="2"/>
      <c r="M5724" s="2"/>
      <c r="N5724" s="2"/>
      <c r="AD5724" s="3"/>
      <c r="AH5724" s="3"/>
      <c r="AL5724" s="3"/>
    </row>
    <row r="5725" spans="12:38" x14ac:dyDescent="0.25">
      <c r="L5725" s="2"/>
      <c r="M5725" s="2"/>
      <c r="N5725" s="2"/>
      <c r="AD5725" s="3"/>
      <c r="AH5725" s="3"/>
      <c r="AL5725" s="3"/>
    </row>
    <row r="5726" spans="12:38" x14ac:dyDescent="0.25">
      <c r="L5726" s="2"/>
      <c r="M5726" s="2"/>
      <c r="N5726" s="2"/>
      <c r="AD5726" s="3"/>
      <c r="AH5726" s="3"/>
      <c r="AL5726" s="3"/>
    </row>
    <row r="5727" spans="12:38" x14ac:dyDescent="0.25">
      <c r="L5727" s="2"/>
      <c r="M5727" s="2"/>
      <c r="N5727" s="2"/>
      <c r="AD5727" s="3"/>
      <c r="AH5727" s="3"/>
      <c r="AL5727" s="3"/>
    </row>
    <row r="5728" spans="12:38" x14ac:dyDescent="0.25">
      <c r="L5728" s="2"/>
      <c r="M5728" s="2"/>
      <c r="N5728" s="2"/>
      <c r="AD5728" s="3"/>
      <c r="AH5728" s="3"/>
      <c r="AL5728" s="3"/>
    </row>
    <row r="5729" spans="12:38" x14ac:dyDescent="0.25">
      <c r="L5729" s="2"/>
      <c r="M5729" s="2"/>
      <c r="N5729" s="2"/>
      <c r="AD5729" s="3"/>
      <c r="AH5729" s="3"/>
      <c r="AL5729" s="3"/>
    </row>
    <row r="5730" spans="12:38" x14ac:dyDescent="0.25">
      <c r="L5730" s="2"/>
      <c r="M5730" s="2"/>
      <c r="N5730" s="2"/>
      <c r="AD5730" s="3"/>
      <c r="AH5730" s="3"/>
      <c r="AL5730" s="3"/>
    </row>
    <row r="5731" spans="12:38" x14ac:dyDescent="0.25">
      <c r="L5731" s="2"/>
      <c r="M5731" s="2"/>
      <c r="N5731" s="2"/>
      <c r="AD5731" s="3"/>
      <c r="AH5731" s="3"/>
      <c r="AL5731" s="3"/>
    </row>
    <row r="5732" spans="12:38" x14ac:dyDescent="0.25">
      <c r="L5732" s="2"/>
      <c r="M5732" s="2"/>
      <c r="N5732" s="2"/>
      <c r="AD5732" s="3"/>
      <c r="AH5732" s="3"/>
      <c r="AL5732" s="3"/>
    </row>
    <row r="5733" spans="12:38" x14ac:dyDescent="0.25">
      <c r="L5733" s="2"/>
      <c r="M5733" s="2"/>
      <c r="N5733" s="2"/>
      <c r="AD5733" s="3"/>
      <c r="AH5733" s="3"/>
      <c r="AL5733" s="3"/>
    </row>
    <row r="5734" spans="12:38" x14ac:dyDescent="0.25">
      <c r="L5734" s="2"/>
      <c r="M5734" s="2"/>
      <c r="N5734" s="2"/>
      <c r="AD5734" s="3"/>
      <c r="AH5734" s="3"/>
      <c r="AL5734" s="3"/>
    </row>
    <row r="5735" spans="12:38" x14ac:dyDescent="0.25">
      <c r="L5735" s="2"/>
      <c r="M5735" s="2"/>
      <c r="N5735" s="2"/>
      <c r="AD5735" s="3"/>
      <c r="AH5735" s="3"/>
      <c r="AL5735" s="3"/>
    </row>
    <row r="5736" spans="12:38" x14ac:dyDescent="0.25">
      <c r="L5736" s="2"/>
      <c r="M5736" s="2"/>
      <c r="N5736" s="2"/>
      <c r="AD5736" s="3"/>
      <c r="AH5736" s="3"/>
      <c r="AL5736" s="3"/>
    </row>
    <row r="5737" spans="12:38" x14ac:dyDescent="0.25">
      <c r="L5737" s="2"/>
      <c r="M5737" s="2"/>
      <c r="N5737" s="2"/>
      <c r="AD5737" s="3"/>
      <c r="AH5737" s="3"/>
      <c r="AL5737" s="3"/>
    </row>
    <row r="5738" spans="12:38" x14ac:dyDescent="0.25">
      <c r="L5738" s="2"/>
      <c r="M5738" s="2"/>
      <c r="N5738" s="2"/>
      <c r="AD5738" s="3"/>
      <c r="AH5738" s="3"/>
      <c r="AL5738" s="3"/>
    </row>
    <row r="5739" spans="12:38" x14ac:dyDescent="0.25">
      <c r="L5739" s="2"/>
      <c r="M5739" s="2"/>
      <c r="N5739" s="2"/>
      <c r="AD5739" s="3"/>
      <c r="AH5739" s="3"/>
      <c r="AL5739" s="3"/>
    </row>
    <row r="5740" spans="12:38" x14ac:dyDescent="0.25">
      <c r="L5740" s="2"/>
      <c r="M5740" s="2"/>
      <c r="N5740" s="2"/>
      <c r="AD5740" s="3"/>
      <c r="AH5740" s="3"/>
      <c r="AL5740" s="3"/>
    </row>
    <row r="5741" spans="12:38" x14ac:dyDescent="0.25">
      <c r="L5741" s="2"/>
      <c r="M5741" s="2"/>
      <c r="N5741" s="2"/>
      <c r="AD5741" s="3"/>
      <c r="AH5741" s="3"/>
      <c r="AL5741" s="3"/>
    </row>
    <row r="5742" spans="12:38" x14ac:dyDescent="0.25">
      <c r="L5742" s="2"/>
      <c r="M5742" s="2"/>
      <c r="N5742" s="2"/>
      <c r="AD5742" s="3"/>
      <c r="AH5742" s="3"/>
      <c r="AL5742" s="3"/>
    </row>
    <row r="5743" spans="12:38" x14ac:dyDescent="0.25">
      <c r="L5743" s="2"/>
      <c r="M5743" s="2"/>
      <c r="N5743" s="2"/>
      <c r="AD5743" s="3"/>
      <c r="AH5743" s="3"/>
      <c r="AL5743" s="3"/>
    </row>
    <row r="5744" spans="12:38" x14ac:dyDescent="0.25">
      <c r="L5744" s="2"/>
      <c r="M5744" s="2"/>
      <c r="N5744" s="2"/>
      <c r="AD5744" s="3"/>
      <c r="AH5744" s="3"/>
      <c r="AL5744" s="3"/>
    </row>
    <row r="5745" spans="12:38" x14ac:dyDescent="0.25">
      <c r="L5745" s="2"/>
      <c r="M5745" s="2"/>
      <c r="N5745" s="2"/>
      <c r="AD5745" s="3"/>
      <c r="AH5745" s="3"/>
      <c r="AL5745" s="3"/>
    </row>
    <row r="5746" spans="12:38" x14ac:dyDescent="0.25">
      <c r="L5746" s="2"/>
      <c r="M5746" s="2"/>
      <c r="N5746" s="2"/>
      <c r="AD5746" s="3"/>
      <c r="AH5746" s="3"/>
      <c r="AL5746" s="3"/>
    </row>
    <row r="5747" spans="12:38" x14ac:dyDescent="0.25">
      <c r="L5747" s="2"/>
      <c r="M5747" s="2"/>
      <c r="N5747" s="2"/>
      <c r="AD5747" s="3"/>
      <c r="AH5747" s="3"/>
      <c r="AL5747" s="3"/>
    </row>
    <row r="5748" spans="12:38" x14ac:dyDescent="0.25">
      <c r="L5748" s="2"/>
      <c r="M5748" s="2"/>
      <c r="N5748" s="2"/>
      <c r="AD5748" s="3"/>
      <c r="AH5748" s="3"/>
      <c r="AL5748" s="3"/>
    </row>
    <row r="5749" spans="12:38" x14ac:dyDescent="0.25">
      <c r="L5749" s="2"/>
      <c r="M5749" s="2"/>
      <c r="N5749" s="2"/>
      <c r="AD5749" s="3"/>
      <c r="AH5749" s="3"/>
      <c r="AL5749" s="3"/>
    </row>
    <row r="5750" spans="12:38" x14ac:dyDescent="0.25">
      <c r="L5750" s="2"/>
      <c r="M5750" s="2"/>
      <c r="N5750" s="2"/>
      <c r="AD5750" s="3"/>
      <c r="AH5750" s="3"/>
      <c r="AL5750" s="3"/>
    </row>
    <row r="5751" spans="12:38" x14ac:dyDescent="0.25">
      <c r="L5751" s="2"/>
      <c r="M5751" s="2"/>
      <c r="N5751" s="2"/>
      <c r="AD5751" s="3"/>
      <c r="AH5751" s="3"/>
      <c r="AL5751" s="3"/>
    </row>
    <row r="5752" spans="12:38" x14ac:dyDescent="0.25">
      <c r="L5752" s="2"/>
      <c r="M5752" s="2"/>
      <c r="N5752" s="2"/>
      <c r="AD5752" s="3"/>
      <c r="AH5752" s="3"/>
      <c r="AL5752" s="3"/>
    </row>
    <row r="5753" spans="12:38" x14ac:dyDescent="0.25">
      <c r="L5753" s="2"/>
      <c r="M5753" s="2"/>
      <c r="N5753" s="2"/>
      <c r="AD5753" s="3"/>
      <c r="AH5753" s="3"/>
      <c r="AL5753" s="3"/>
    </row>
    <row r="5754" spans="12:38" x14ac:dyDescent="0.25">
      <c r="L5754" s="2"/>
      <c r="M5754" s="2"/>
      <c r="N5754" s="2"/>
      <c r="AD5754" s="3"/>
      <c r="AH5754" s="3"/>
      <c r="AL5754" s="3"/>
    </row>
    <row r="5755" spans="12:38" x14ac:dyDescent="0.25">
      <c r="L5755" s="2"/>
      <c r="M5755" s="2"/>
      <c r="N5755" s="2"/>
      <c r="AD5755" s="3"/>
      <c r="AH5755" s="3"/>
      <c r="AL5755" s="3"/>
    </row>
    <row r="5756" spans="12:38" x14ac:dyDescent="0.25">
      <c r="L5756" s="2"/>
      <c r="M5756" s="2"/>
      <c r="N5756" s="2"/>
      <c r="AD5756" s="3"/>
      <c r="AH5756" s="3"/>
      <c r="AL5756" s="3"/>
    </row>
    <row r="5757" spans="12:38" x14ac:dyDescent="0.25">
      <c r="L5757" s="2"/>
      <c r="M5757" s="2"/>
      <c r="N5757" s="2"/>
      <c r="AD5757" s="3"/>
      <c r="AH5757" s="3"/>
      <c r="AL5757" s="3"/>
    </row>
    <row r="5758" spans="12:38" x14ac:dyDescent="0.25">
      <c r="L5758" s="2"/>
      <c r="M5758" s="2"/>
      <c r="N5758" s="2"/>
      <c r="AD5758" s="3"/>
      <c r="AH5758" s="3"/>
      <c r="AL5758" s="3"/>
    </row>
    <row r="5759" spans="12:38" x14ac:dyDescent="0.25">
      <c r="L5759" s="2"/>
      <c r="M5759" s="2"/>
      <c r="N5759" s="2"/>
      <c r="AD5759" s="3"/>
      <c r="AH5759" s="3"/>
      <c r="AL5759" s="3"/>
    </row>
    <row r="5760" spans="12:38" x14ac:dyDescent="0.25">
      <c r="L5760" s="2"/>
      <c r="M5760" s="2"/>
      <c r="N5760" s="2"/>
      <c r="AD5760" s="3"/>
      <c r="AH5760" s="3"/>
      <c r="AL5760" s="3"/>
    </row>
    <row r="5761" spans="12:38" x14ac:dyDescent="0.25">
      <c r="L5761" s="2"/>
      <c r="M5761" s="2"/>
      <c r="N5761" s="2"/>
      <c r="AD5761" s="3"/>
      <c r="AH5761" s="3"/>
      <c r="AL5761" s="3"/>
    </row>
    <row r="5762" spans="12:38" x14ac:dyDescent="0.25">
      <c r="L5762" s="2"/>
      <c r="M5762" s="2"/>
      <c r="N5762" s="2"/>
      <c r="AD5762" s="3"/>
      <c r="AH5762" s="3"/>
      <c r="AL5762" s="3"/>
    </row>
    <row r="5763" spans="12:38" x14ac:dyDescent="0.25">
      <c r="L5763" s="2"/>
      <c r="M5763" s="2"/>
      <c r="N5763" s="2"/>
      <c r="AD5763" s="3"/>
      <c r="AH5763" s="3"/>
      <c r="AL5763" s="3"/>
    </row>
    <row r="5764" spans="12:38" x14ac:dyDescent="0.25">
      <c r="L5764" s="2"/>
      <c r="M5764" s="2"/>
      <c r="N5764" s="2"/>
      <c r="AD5764" s="3"/>
      <c r="AH5764" s="3"/>
      <c r="AL5764" s="3"/>
    </row>
    <row r="5765" spans="12:38" x14ac:dyDescent="0.25">
      <c r="L5765" s="2"/>
      <c r="M5765" s="2"/>
      <c r="N5765" s="2"/>
      <c r="AD5765" s="3"/>
      <c r="AH5765" s="3"/>
      <c r="AL5765" s="3"/>
    </row>
    <row r="5766" spans="12:38" x14ac:dyDescent="0.25">
      <c r="L5766" s="2"/>
      <c r="M5766" s="2"/>
      <c r="N5766" s="2"/>
      <c r="AD5766" s="3"/>
      <c r="AH5766" s="3"/>
      <c r="AL5766" s="3"/>
    </row>
    <row r="5767" spans="12:38" x14ac:dyDescent="0.25">
      <c r="L5767" s="2"/>
      <c r="M5767" s="2"/>
      <c r="N5767" s="2"/>
      <c r="AD5767" s="3"/>
      <c r="AH5767" s="3"/>
      <c r="AL5767" s="3"/>
    </row>
    <row r="5768" spans="12:38" x14ac:dyDescent="0.25">
      <c r="L5768" s="2"/>
      <c r="M5768" s="2"/>
      <c r="N5768" s="2"/>
      <c r="AD5768" s="3"/>
      <c r="AH5768" s="3"/>
      <c r="AL5768" s="3"/>
    </row>
    <row r="5769" spans="12:38" x14ac:dyDescent="0.25">
      <c r="L5769" s="2"/>
      <c r="M5769" s="2"/>
      <c r="N5769" s="2"/>
      <c r="AD5769" s="3"/>
      <c r="AH5769" s="3"/>
      <c r="AL5769" s="3"/>
    </row>
    <row r="5770" spans="12:38" x14ac:dyDescent="0.25">
      <c r="L5770" s="2"/>
      <c r="M5770" s="2"/>
      <c r="N5770" s="2"/>
      <c r="AD5770" s="3"/>
      <c r="AH5770" s="3"/>
      <c r="AL5770" s="3"/>
    </row>
    <row r="5771" spans="12:38" x14ac:dyDescent="0.25">
      <c r="L5771" s="2"/>
      <c r="M5771" s="2"/>
      <c r="N5771" s="2"/>
      <c r="AD5771" s="3"/>
      <c r="AH5771" s="3"/>
      <c r="AL5771" s="3"/>
    </row>
    <row r="5772" spans="12:38" x14ac:dyDescent="0.25">
      <c r="L5772" s="2"/>
      <c r="M5772" s="2"/>
      <c r="N5772" s="2"/>
      <c r="AD5772" s="3"/>
      <c r="AH5772" s="3"/>
      <c r="AL5772" s="3"/>
    </row>
    <row r="5773" spans="12:38" x14ac:dyDescent="0.25">
      <c r="L5773" s="2"/>
      <c r="M5773" s="2"/>
      <c r="N5773" s="2"/>
      <c r="AD5773" s="3"/>
      <c r="AH5773" s="3"/>
      <c r="AL5773" s="3"/>
    </row>
    <row r="5774" spans="12:38" x14ac:dyDescent="0.25">
      <c r="L5774" s="2"/>
      <c r="M5774" s="2"/>
      <c r="N5774" s="2"/>
      <c r="AD5774" s="3"/>
      <c r="AH5774" s="3"/>
      <c r="AL5774" s="3"/>
    </row>
    <row r="5775" spans="12:38" x14ac:dyDescent="0.25">
      <c r="L5775" s="2"/>
      <c r="M5775" s="2"/>
      <c r="N5775" s="2"/>
      <c r="AD5775" s="3"/>
      <c r="AH5775" s="3"/>
      <c r="AL5775" s="3"/>
    </row>
    <row r="5776" spans="12:38" x14ac:dyDescent="0.25">
      <c r="L5776" s="2"/>
      <c r="M5776" s="2"/>
      <c r="N5776" s="2"/>
      <c r="AD5776" s="3"/>
      <c r="AH5776" s="3"/>
      <c r="AL5776" s="3"/>
    </row>
    <row r="5777" spans="12:38" x14ac:dyDescent="0.25">
      <c r="L5777" s="2"/>
      <c r="M5777" s="2"/>
      <c r="N5777" s="2"/>
      <c r="AD5777" s="3"/>
      <c r="AH5777" s="3"/>
      <c r="AL5777" s="3"/>
    </row>
    <row r="5778" spans="12:38" x14ac:dyDescent="0.25">
      <c r="L5778" s="2"/>
      <c r="M5778" s="2"/>
      <c r="N5778" s="2"/>
      <c r="AD5778" s="3"/>
      <c r="AH5778" s="3"/>
      <c r="AL5778" s="3"/>
    </row>
    <row r="5779" spans="12:38" x14ac:dyDescent="0.25">
      <c r="L5779" s="2"/>
      <c r="M5779" s="2"/>
      <c r="N5779" s="2"/>
      <c r="AD5779" s="3"/>
      <c r="AH5779" s="3"/>
      <c r="AL5779" s="3"/>
    </row>
    <row r="5780" spans="12:38" x14ac:dyDescent="0.25">
      <c r="L5780" s="2"/>
      <c r="M5780" s="2"/>
      <c r="N5780" s="2"/>
      <c r="AD5780" s="3"/>
      <c r="AH5780" s="3"/>
      <c r="AL5780" s="3"/>
    </row>
    <row r="5781" spans="12:38" x14ac:dyDescent="0.25">
      <c r="L5781" s="2"/>
      <c r="M5781" s="2"/>
      <c r="N5781" s="2"/>
      <c r="AD5781" s="3"/>
      <c r="AH5781" s="3"/>
      <c r="AL5781" s="3"/>
    </row>
    <row r="5782" spans="12:38" x14ac:dyDescent="0.25">
      <c r="L5782" s="2"/>
      <c r="M5782" s="2"/>
      <c r="N5782" s="2"/>
      <c r="AD5782" s="3"/>
      <c r="AH5782" s="3"/>
      <c r="AL5782" s="3"/>
    </row>
    <row r="5783" spans="12:38" x14ac:dyDescent="0.25">
      <c r="L5783" s="2"/>
      <c r="M5783" s="2"/>
      <c r="N5783" s="2"/>
      <c r="AD5783" s="3"/>
      <c r="AH5783" s="3"/>
      <c r="AL5783" s="3"/>
    </row>
    <row r="5784" spans="12:38" x14ac:dyDescent="0.25">
      <c r="L5784" s="2"/>
      <c r="M5784" s="2"/>
      <c r="N5784" s="2"/>
      <c r="AD5784" s="3"/>
      <c r="AH5784" s="3"/>
      <c r="AL5784" s="3"/>
    </row>
    <row r="5785" spans="12:38" x14ac:dyDescent="0.25">
      <c r="L5785" s="2"/>
      <c r="M5785" s="2"/>
      <c r="N5785" s="2"/>
      <c r="AD5785" s="3"/>
      <c r="AH5785" s="3"/>
      <c r="AL5785" s="3"/>
    </row>
    <row r="5786" spans="12:38" x14ac:dyDescent="0.25">
      <c r="L5786" s="2"/>
      <c r="M5786" s="2"/>
      <c r="N5786" s="2"/>
      <c r="AD5786" s="3"/>
      <c r="AH5786" s="3"/>
      <c r="AL5786" s="3"/>
    </row>
    <row r="5787" spans="12:38" x14ac:dyDescent="0.25">
      <c r="L5787" s="2"/>
      <c r="M5787" s="2"/>
      <c r="N5787" s="2"/>
      <c r="AD5787" s="3"/>
      <c r="AH5787" s="3"/>
      <c r="AL5787" s="3"/>
    </row>
    <row r="5788" spans="12:38" x14ac:dyDescent="0.25">
      <c r="L5788" s="2"/>
      <c r="M5788" s="2"/>
      <c r="N5788" s="2"/>
      <c r="AD5788" s="3"/>
      <c r="AH5788" s="3"/>
      <c r="AL5788" s="3"/>
    </row>
    <row r="5789" spans="12:38" x14ac:dyDescent="0.25">
      <c r="L5789" s="2"/>
      <c r="M5789" s="2"/>
      <c r="N5789" s="2"/>
      <c r="AD5789" s="3"/>
      <c r="AH5789" s="3"/>
      <c r="AL5789" s="3"/>
    </row>
    <row r="5790" spans="12:38" x14ac:dyDescent="0.25">
      <c r="L5790" s="2"/>
      <c r="M5790" s="2"/>
      <c r="N5790" s="2"/>
      <c r="AD5790" s="3"/>
      <c r="AH5790" s="3"/>
      <c r="AL5790" s="3"/>
    </row>
    <row r="5791" spans="12:38" x14ac:dyDescent="0.25">
      <c r="L5791" s="2"/>
      <c r="M5791" s="2"/>
      <c r="N5791" s="2"/>
      <c r="AD5791" s="3"/>
      <c r="AH5791" s="3"/>
      <c r="AL5791" s="3"/>
    </row>
    <row r="5792" spans="12:38" x14ac:dyDescent="0.25">
      <c r="L5792" s="2"/>
      <c r="M5792" s="2"/>
      <c r="N5792" s="2"/>
      <c r="AD5792" s="3"/>
      <c r="AH5792" s="3"/>
      <c r="AL5792" s="3"/>
    </row>
    <row r="5793" spans="12:38" x14ac:dyDescent="0.25">
      <c r="L5793" s="2"/>
      <c r="M5793" s="2"/>
      <c r="N5793" s="2"/>
      <c r="AD5793" s="3"/>
      <c r="AH5793" s="3"/>
      <c r="AL5793" s="3"/>
    </row>
    <row r="5794" spans="12:38" x14ac:dyDescent="0.25">
      <c r="L5794" s="2"/>
      <c r="M5794" s="2"/>
      <c r="N5794" s="2"/>
      <c r="AD5794" s="3"/>
      <c r="AH5794" s="3"/>
      <c r="AL5794" s="3"/>
    </row>
    <row r="5795" spans="12:38" x14ac:dyDescent="0.25">
      <c r="L5795" s="2"/>
      <c r="M5795" s="2"/>
      <c r="N5795" s="2"/>
      <c r="AD5795" s="3"/>
      <c r="AH5795" s="3"/>
      <c r="AL5795" s="3"/>
    </row>
    <row r="5796" spans="12:38" x14ac:dyDescent="0.25">
      <c r="L5796" s="2"/>
      <c r="M5796" s="2"/>
      <c r="N5796" s="2"/>
      <c r="AD5796" s="3"/>
      <c r="AH5796" s="3"/>
      <c r="AL5796" s="3"/>
    </row>
    <row r="5797" spans="12:38" x14ac:dyDescent="0.25">
      <c r="L5797" s="2"/>
      <c r="M5797" s="2"/>
      <c r="N5797" s="2"/>
      <c r="AD5797" s="3"/>
      <c r="AH5797" s="3"/>
      <c r="AL5797" s="3"/>
    </row>
    <row r="5798" spans="12:38" x14ac:dyDescent="0.25">
      <c r="L5798" s="2"/>
      <c r="M5798" s="2"/>
      <c r="N5798" s="2"/>
      <c r="AD5798" s="3"/>
      <c r="AH5798" s="3"/>
      <c r="AL5798" s="3"/>
    </row>
    <row r="5799" spans="12:38" x14ac:dyDescent="0.25">
      <c r="L5799" s="2"/>
      <c r="M5799" s="2"/>
      <c r="N5799" s="2"/>
      <c r="AD5799" s="3"/>
      <c r="AH5799" s="3"/>
      <c r="AL5799" s="3"/>
    </row>
    <row r="5800" spans="12:38" x14ac:dyDescent="0.25">
      <c r="L5800" s="2"/>
      <c r="M5800" s="2"/>
      <c r="N5800" s="2"/>
      <c r="AD5800" s="3"/>
      <c r="AH5800" s="3"/>
      <c r="AL5800" s="3"/>
    </row>
    <row r="5801" spans="12:38" x14ac:dyDescent="0.25">
      <c r="L5801" s="2"/>
      <c r="M5801" s="2"/>
      <c r="N5801" s="2"/>
      <c r="AD5801" s="3"/>
      <c r="AH5801" s="3"/>
      <c r="AL5801" s="3"/>
    </row>
    <row r="5802" spans="12:38" x14ac:dyDescent="0.25">
      <c r="L5802" s="2"/>
      <c r="M5802" s="2"/>
      <c r="N5802" s="2"/>
      <c r="AD5802" s="3"/>
      <c r="AH5802" s="3"/>
      <c r="AL5802" s="3"/>
    </row>
    <row r="5803" spans="12:38" x14ac:dyDescent="0.25">
      <c r="L5803" s="2"/>
      <c r="M5803" s="2"/>
      <c r="N5803" s="2"/>
      <c r="AD5803" s="3"/>
      <c r="AH5803" s="3"/>
      <c r="AL5803" s="3"/>
    </row>
    <row r="5804" spans="12:38" x14ac:dyDescent="0.25">
      <c r="L5804" s="2"/>
      <c r="M5804" s="2"/>
      <c r="N5804" s="2"/>
      <c r="AD5804" s="3"/>
      <c r="AH5804" s="3"/>
      <c r="AL5804" s="3"/>
    </row>
    <row r="5805" spans="12:38" x14ac:dyDescent="0.25">
      <c r="L5805" s="2"/>
      <c r="M5805" s="2"/>
      <c r="N5805" s="2"/>
      <c r="AD5805" s="3"/>
      <c r="AH5805" s="3"/>
      <c r="AL5805" s="3"/>
    </row>
    <row r="5806" spans="12:38" x14ac:dyDescent="0.25">
      <c r="L5806" s="2"/>
      <c r="M5806" s="2"/>
      <c r="N5806" s="2"/>
      <c r="AD5806" s="3"/>
      <c r="AH5806" s="3"/>
      <c r="AL5806" s="3"/>
    </row>
    <row r="5807" spans="12:38" x14ac:dyDescent="0.25">
      <c r="L5807" s="2"/>
      <c r="M5807" s="2"/>
      <c r="N5807" s="2"/>
      <c r="AD5807" s="3"/>
      <c r="AH5807" s="3"/>
      <c r="AL5807" s="3"/>
    </row>
    <row r="5808" spans="12:38" x14ac:dyDescent="0.25">
      <c r="L5808" s="2"/>
      <c r="M5808" s="2"/>
      <c r="N5808" s="2"/>
      <c r="AD5808" s="3"/>
      <c r="AH5808" s="3"/>
      <c r="AL5808" s="3"/>
    </row>
    <row r="5809" spans="12:38" x14ac:dyDescent="0.25">
      <c r="L5809" s="2"/>
      <c r="M5809" s="2"/>
      <c r="N5809" s="2"/>
      <c r="AD5809" s="3"/>
      <c r="AH5809" s="3"/>
      <c r="AL5809" s="3"/>
    </row>
    <row r="5810" spans="12:38" x14ac:dyDescent="0.25">
      <c r="L5810" s="2"/>
      <c r="M5810" s="2"/>
      <c r="N5810" s="2"/>
      <c r="AD5810" s="3"/>
      <c r="AH5810" s="3"/>
      <c r="AL5810" s="3"/>
    </row>
    <row r="5811" spans="12:38" x14ac:dyDescent="0.25">
      <c r="L5811" s="2"/>
      <c r="M5811" s="2"/>
      <c r="N5811" s="2"/>
      <c r="AD5811" s="3"/>
      <c r="AH5811" s="3"/>
      <c r="AL5811" s="3"/>
    </row>
    <row r="5812" spans="12:38" x14ac:dyDescent="0.25">
      <c r="L5812" s="2"/>
      <c r="M5812" s="2"/>
      <c r="N5812" s="2"/>
      <c r="AD5812" s="3"/>
      <c r="AH5812" s="3"/>
      <c r="AL5812" s="3"/>
    </row>
    <row r="5813" spans="12:38" x14ac:dyDescent="0.25">
      <c r="L5813" s="2"/>
      <c r="M5813" s="2"/>
      <c r="N5813" s="2"/>
      <c r="AD5813" s="3"/>
      <c r="AH5813" s="3"/>
      <c r="AL5813" s="3"/>
    </row>
    <row r="5814" spans="12:38" x14ac:dyDescent="0.25">
      <c r="L5814" s="2"/>
      <c r="M5814" s="2"/>
      <c r="N5814" s="2"/>
      <c r="AD5814" s="3"/>
      <c r="AH5814" s="3"/>
      <c r="AL5814" s="3"/>
    </row>
    <row r="5815" spans="12:38" x14ac:dyDescent="0.25">
      <c r="L5815" s="2"/>
      <c r="M5815" s="2"/>
      <c r="N5815" s="2"/>
      <c r="AD5815" s="3"/>
      <c r="AH5815" s="3"/>
      <c r="AL5815" s="3"/>
    </row>
    <row r="5816" spans="12:38" x14ac:dyDescent="0.25">
      <c r="L5816" s="2"/>
      <c r="M5816" s="2"/>
      <c r="N5816" s="2"/>
      <c r="AD5816" s="3"/>
      <c r="AH5816" s="3"/>
      <c r="AL5816" s="3"/>
    </row>
    <row r="5817" spans="12:38" x14ac:dyDescent="0.25">
      <c r="L5817" s="2"/>
      <c r="M5817" s="2"/>
      <c r="N5817" s="2"/>
      <c r="AD5817" s="3"/>
      <c r="AH5817" s="3"/>
      <c r="AL5817" s="3"/>
    </row>
    <row r="5818" spans="12:38" x14ac:dyDescent="0.25">
      <c r="L5818" s="2"/>
      <c r="M5818" s="2"/>
      <c r="N5818" s="2"/>
      <c r="AD5818" s="3"/>
      <c r="AH5818" s="3"/>
      <c r="AL5818" s="3"/>
    </row>
    <row r="5819" spans="12:38" x14ac:dyDescent="0.25">
      <c r="L5819" s="2"/>
      <c r="M5819" s="2"/>
      <c r="N5819" s="2"/>
      <c r="AD5819" s="3"/>
      <c r="AH5819" s="3"/>
      <c r="AL5819" s="3"/>
    </row>
    <row r="5820" spans="12:38" x14ac:dyDescent="0.25">
      <c r="L5820" s="2"/>
      <c r="M5820" s="2"/>
      <c r="N5820" s="2"/>
      <c r="AD5820" s="3"/>
      <c r="AH5820" s="3"/>
      <c r="AL5820" s="3"/>
    </row>
    <row r="5821" spans="12:38" x14ac:dyDescent="0.25">
      <c r="L5821" s="2"/>
      <c r="M5821" s="2"/>
      <c r="N5821" s="2"/>
      <c r="AD5821" s="3"/>
      <c r="AH5821" s="3"/>
      <c r="AL5821" s="3"/>
    </row>
    <row r="5822" spans="12:38" x14ac:dyDescent="0.25">
      <c r="L5822" s="2"/>
      <c r="M5822" s="2"/>
      <c r="N5822" s="2"/>
      <c r="AD5822" s="3"/>
      <c r="AH5822" s="3"/>
      <c r="AL5822" s="3"/>
    </row>
    <row r="5823" spans="12:38" x14ac:dyDescent="0.25">
      <c r="L5823" s="2"/>
      <c r="M5823" s="2"/>
      <c r="N5823" s="2"/>
      <c r="AD5823" s="3"/>
      <c r="AH5823" s="3"/>
      <c r="AL5823" s="3"/>
    </row>
    <row r="5824" spans="12:38" x14ac:dyDescent="0.25">
      <c r="L5824" s="2"/>
      <c r="M5824" s="2"/>
      <c r="N5824" s="2"/>
      <c r="AD5824" s="3"/>
      <c r="AH5824" s="3"/>
      <c r="AL5824" s="3"/>
    </row>
    <row r="5825" spans="12:38" x14ac:dyDescent="0.25">
      <c r="L5825" s="2"/>
      <c r="M5825" s="2"/>
      <c r="N5825" s="2"/>
      <c r="AD5825" s="3"/>
      <c r="AH5825" s="3"/>
      <c r="AL5825" s="3"/>
    </row>
    <row r="5826" spans="12:38" x14ac:dyDescent="0.25">
      <c r="L5826" s="2"/>
      <c r="M5826" s="2"/>
      <c r="N5826" s="2"/>
      <c r="AD5826" s="3"/>
      <c r="AH5826" s="3"/>
      <c r="AL5826" s="3"/>
    </row>
    <row r="5827" spans="12:38" x14ac:dyDescent="0.25">
      <c r="L5827" s="2"/>
      <c r="M5827" s="2"/>
      <c r="N5827" s="2"/>
      <c r="AD5827" s="3"/>
      <c r="AH5827" s="3"/>
      <c r="AL5827" s="3"/>
    </row>
    <row r="5828" spans="12:38" x14ac:dyDescent="0.25">
      <c r="L5828" s="2"/>
      <c r="M5828" s="2"/>
      <c r="N5828" s="2"/>
      <c r="AD5828" s="3"/>
      <c r="AH5828" s="3"/>
      <c r="AL5828" s="3"/>
    </row>
    <row r="5829" spans="12:38" x14ac:dyDescent="0.25">
      <c r="L5829" s="2"/>
      <c r="M5829" s="2"/>
      <c r="N5829" s="2"/>
      <c r="AD5829" s="3"/>
      <c r="AH5829" s="3"/>
      <c r="AL5829" s="3"/>
    </row>
    <row r="5830" spans="12:38" x14ac:dyDescent="0.25">
      <c r="L5830" s="2"/>
      <c r="M5830" s="2"/>
      <c r="N5830" s="2"/>
      <c r="AD5830" s="3"/>
      <c r="AH5830" s="3"/>
      <c r="AL5830" s="3"/>
    </row>
    <row r="5831" spans="12:38" x14ac:dyDescent="0.25">
      <c r="L5831" s="2"/>
      <c r="M5831" s="2"/>
      <c r="N5831" s="2"/>
      <c r="AD5831" s="3"/>
      <c r="AH5831" s="3"/>
      <c r="AL5831" s="3"/>
    </row>
    <row r="5832" spans="12:38" x14ac:dyDescent="0.25">
      <c r="L5832" s="2"/>
      <c r="M5832" s="2"/>
      <c r="N5832" s="2"/>
      <c r="AD5832" s="3"/>
      <c r="AH5832" s="3"/>
      <c r="AL5832" s="3"/>
    </row>
    <row r="5833" spans="12:38" x14ac:dyDescent="0.25">
      <c r="L5833" s="2"/>
      <c r="M5833" s="2"/>
      <c r="N5833" s="2"/>
      <c r="AD5833" s="3"/>
      <c r="AH5833" s="3"/>
      <c r="AL5833" s="3"/>
    </row>
    <row r="5834" spans="12:38" x14ac:dyDescent="0.25">
      <c r="L5834" s="2"/>
      <c r="M5834" s="2"/>
      <c r="N5834" s="2"/>
      <c r="AD5834" s="3"/>
      <c r="AH5834" s="3"/>
      <c r="AL5834" s="3"/>
    </row>
    <row r="5835" spans="12:38" x14ac:dyDescent="0.25">
      <c r="L5835" s="2"/>
      <c r="M5835" s="2"/>
      <c r="N5835" s="2"/>
      <c r="AD5835" s="3"/>
      <c r="AH5835" s="3"/>
      <c r="AL5835" s="3"/>
    </row>
    <row r="5836" spans="12:38" x14ac:dyDescent="0.25">
      <c r="L5836" s="2"/>
      <c r="M5836" s="2"/>
      <c r="N5836" s="2"/>
      <c r="AD5836" s="3"/>
      <c r="AH5836" s="3"/>
      <c r="AL5836" s="3"/>
    </row>
    <row r="5837" spans="12:38" x14ac:dyDescent="0.25">
      <c r="L5837" s="2"/>
      <c r="M5837" s="2"/>
      <c r="N5837" s="2"/>
      <c r="AD5837" s="3"/>
      <c r="AH5837" s="3"/>
      <c r="AL5837" s="3"/>
    </row>
    <row r="5838" spans="12:38" x14ac:dyDescent="0.25">
      <c r="L5838" s="2"/>
      <c r="M5838" s="2"/>
      <c r="N5838" s="2"/>
      <c r="AD5838" s="3"/>
      <c r="AH5838" s="3"/>
      <c r="AL5838" s="3"/>
    </row>
    <row r="5839" spans="12:38" x14ac:dyDescent="0.25">
      <c r="L5839" s="2"/>
      <c r="M5839" s="2"/>
      <c r="N5839" s="2"/>
      <c r="AD5839" s="3"/>
      <c r="AH5839" s="3"/>
      <c r="AL5839" s="3"/>
    </row>
    <row r="5840" spans="12:38" x14ac:dyDescent="0.25">
      <c r="L5840" s="2"/>
      <c r="M5840" s="2"/>
      <c r="N5840" s="2"/>
      <c r="AD5840" s="3"/>
      <c r="AH5840" s="3"/>
      <c r="AL5840" s="3"/>
    </row>
    <row r="5841" spans="12:38" x14ac:dyDescent="0.25">
      <c r="L5841" s="2"/>
      <c r="M5841" s="2"/>
      <c r="N5841" s="2"/>
      <c r="AD5841" s="3"/>
      <c r="AH5841" s="3"/>
      <c r="AL5841" s="3"/>
    </row>
    <row r="5842" spans="12:38" x14ac:dyDescent="0.25">
      <c r="L5842" s="2"/>
      <c r="M5842" s="2"/>
      <c r="N5842" s="2"/>
      <c r="AD5842" s="3"/>
      <c r="AH5842" s="3"/>
      <c r="AL5842" s="3"/>
    </row>
    <row r="5843" spans="12:38" x14ac:dyDescent="0.25">
      <c r="L5843" s="2"/>
      <c r="M5843" s="2"/>
      <c r="N5843" s="2"/>
      <c r="AD5843" s="3"/>
      <c r="AH5843" s="3"/>
      <c r="AL5843" s="3"/>
    </row>
    <row r="5844" spans="12:38" x14ac:dyDescent="0.25">
      <c r="L5844" s="2"/>
      <c r="M5844" s="2"/>
      <c r="N5844" s="2"/>
      <c r="AD5844" s="3"/>
      <c r="AH5844" s="3"/>
      <c r="AL5844" s="3"/>
    </row>
    <row r="5845" spans="12:38" x14ac:dyDescent="0.25">
      <c r="L5845" s="2"/>
      <c r="M5845" s="2"/>
      <c r="N5845" s="2"/>
      <c r="AD5845" s="3"/>
      <c r="AH5845" s="3"/>
      <c r="AL5845" s="3"/>
    </row>
    <row r="5846" spans="12:38" x14ac:dyDescent="0.25">
      <c r="L5846" s="2"/>
      <c r="M5846" s="2"/>
      <c r="N5846" s="2"/>
      <c r="AD5846" s="3"/>
      <c r="AH5846" s="3"/>
      <c r="AL5846" s="3"/>
    </row>
    <row r="5847" spans="12:38" x14ac:dyDescent="0.25">
      <c r="L5847" s="2"/>
      <c r="M5847" s="2"/>
      <c r="N5847" s="2"/>
      <c r="AD5847" s="3"/>
      <c r="AH5847" s="3"/>
      <c r="AL5847" s="3"/>
    </row>
    <row r="5848" spans="12:38" x14ac:dyDescent="0.25">
      <c r="L5848" s="2"/>
      <c r="M5848" s="2"/>
      <c r="N5848" s="2"/>
      <c r="AD5848" s="3"/>
      <c r="AH5848" s="3"/>
      <c r="AL5848" s="3"/>
    </row>
    <row r="5849" spans="12:38" x14ac:dyDescent="0.25">
      <c r="L5849" s="2"/>
      <c r="M5849" s="2"/>
      <c r="N5849" s="2"/>
      <c r="AD5849" s="3"/>
      <c r="AH5849" s="3"/>
      <c r="AL5849" s="3"/>
    </row>
    <row r="5850" spans="12:38" x14ac:dyDescent="0.25">
      <c r="L5850" s="2"/>
      <c r="M5850" s="2"/>
      <c r="N5850" s="2"/>
      <c r="AD5850" s="3"/>
      <c r="AH5850" s="3"/>
      <c r="AL5850" s="3"/>
    </row>
    <row r="5851" spans="12:38" x14ac:dyDescent="0.25">
      <c r="L5851" s="2"/>
      <c r="M5851" s="2"/>
      <c r="N5851" s="2"/>
      <c r="AD5851" s="3"/>
      <c r="AH5851" s="3"/>
      <c r="AL5851" s="3"/>
    </row>
    <row r="5852" spans="12:38" x14ac:dyDescent="0.25">
      <c r="L5852" s="2"/>
      <c r="M5852" s="2"/>
      <c r="N5852" s="2"/>
      <c r="AD5852" s="3"/>
      <c r="AH5852" s="3"/>
      <c r="AL5852" s="3"/>
    </row>
    <row r="5853" spans="12:38" x14ac:dyDescent="0.25">
      <c r="L5853" s="2"/>
      <c r="M5853" s="2"/>
      <c r="N5853" s="2"/>
      <c r="AD5853" s="3"/>
      <c r="AH5853" s="3"/>
      <c r="AL5853" s="3"/>
    </row>
    <row r="5854" spans="12:38" x14ac:dyDescent="0.25">
      <c r="L5854" s="2"/>
      <c r="M5854" s="2"/>
      <c r="N5854" s="2"/>
      <c r="AD5854" s="3"/>
      <c r="AH5854" s="3"/>
      <c r="AL5854" s="3"/>
    </row>
    <row r="5855" spans="12:38" x14ac:dyDescent="0.25">
      <c r="L5855" s="2"/>
      <c r="M5855" s="2"/>
      <c r="N5855" s="2"/>
      <c r="AD5855" s="3"/>
      <c r="AH5855" s="3"/>
      <c r="AL5855" s="3"/>
    </row>
    <row r="5856" spans="12:38" x14ac:dyDescent="0.25">
      <c r="L5856" s="2"/>
      <c r="M5856" s="2"/>
      <c r="N5856" s="2"/>
      <c r="AD5856" s="3"/>
      <c r="AH5856" s="3"/>
      <c r="AL5856" s="3"/>
    </row>
    <row r="5857" spans="12:38" x14ac:dyDescent="0.25">
      <c r="L5857" s="2"/>
      <c r="M5857" s="2"/>
      <c r="N5857" s="2"/>
      <c r="AD5857" s="3"/>
      <c r="AH5857" s="3"/>
      <c r="AL5857" s="3"/>
    </row>
    <row r="5858" spans="12:38" x14ac:dyDescent="0.25">
      <c r="L5858" s="2"/>
      <c r="M5858" s="2"/>
      <c r="N5858" s="2"/>
      <c r="AD5858" s="3"/>
      <c r="AH5858" s="3"/>
      <c r="AL5858" s="3"/>
    </row>
    <row r="5859" spans="12:38" x14ac:dyDescent="0.25">
      <c r="L5859" s="2"/>
      <c r="M5859" s="2"/>
      <c r="N5859" s="2"/>
      <c r="AD5859" s="3"/>
      <c r="AH5859" s="3"/>
      <c r="AL5859" s="3"/>
    </row>
    <row r="5860" spans="12:38" x14ac:dyDescent="0.25">
      <c r="L5860" s="2"/>
      <c r="M5860" s="2"/>
      <c r="N5860" s="2"/>
      <c r="AD5860" s="3"/>
      <c r="AH5860" s="3"/>
      <c r="AL5860" s="3"/>
    </row>
    <row r="5861" spans="12:38" x14ac:dyDescent="0.25">
      <c r="L5861" s="2"/>
      <c r="M5861" s="2"/>
      <c r="N5861" s="2"/>
      <c r="AD5861" s="3"/>
      <c r="AH5861" s="3"/>
      <c r="AL5861" s="3"/>
    </row>
    <row r="5862" spans="12:38" x14ac:dyDescent="0.25">
      <c r="L5862" s="2"/>
      <c r="M5862" s="2"/>
      <c r="N5862" s="2"/>
      <c r="AD5862" s="3"/>
      <c r="AH5862" s="3"/>
      <c r="AL5862" s="3"/>
    </row>
    <row r="5863" spans="12:38" x14ac:dyDescent="0.25">
      <c r="L5863" s="2"/>
      <c r="M5863" s="2"/>
      <c r="N5863" s="2"/>
      <c r="AD5863" s="3"/>
      <c r="AH5863" s="3"/>
      <c r="AL5863" s="3"/>
    </row>
    <row r="5864" spans="12:38" x14ac:dyDescent="0.25">
      <c r="L5864" s="2"/>
      <c r="M5864" s="2"/>
      <c r="N5864" s="2"/>
      <c r="AD5864" s="3"/>
      <c r="AH5864" s="3"/>
      <c r="AL5864" s="3"/>
    </row>
    <row r="5865" spans="12:38" x14ac:dyDescent="0.25">
      <c r="L5865" s="2"/>
      <c r="M5865" s="2"/>
      <c r="N5865" s="2"/>
      <c r="AD5865" s="3"/>
      <c r="AH5865" s="3"/>
      <c r="AL5865" s="3"/>
    </row>
    <row r="5866" spans="12:38" x14ac:dyDescent="0.25">
      <c r="L5866" s="2"/>
      <c r="M5866" s="2"/>
      <c r="N5866" s="2"/>
      <c r="AD5866" s="3"/>
      <c r="AH5866" s="3"/>
      <c r="AL5866" s="3"/>
    </row>
    <row r="5867" spans="12:38" x14ac:dyDescent="0.25">
      <c r="L5867" s="2"/>
      <c r="M5867" s="2"/>
      <c r="N5867" s="2"/>
      <c r="AD5867" s="3"/>
      <c r="AH5867" s="3"/>
      <c r="AL5867" s="3"/>
    </row>
    <row r="5868" spans="12:38" x14ac:dyDescent="0.25">
      <c r="L5868" s="2"/>
      <c r="M5868" s="2"/>
      <c r="N5868" s="2"/>
      <c r="AD5868" s="3"/>
      <c r="AH5868" s="3"/>
      <c r="AL5868" s="3"/>
    </row>
    <row r="5869" spans="12:38" x14ac:dyDescent="0.25">
      <c r="L5869" s="2"/>
      <c r="M5869" s="2"/>
      <c r="N5869" s="2"/>
      <c r="AD5869" s="3"/>
      <c r="AH5869" s="3"/>
      <c r="AL5869" s="3"/>
    </row>
    <row r="5870" spans="12:38" x14ac:dyDescent="0.25">
      <c r="L5870" s="2"/>
      <c r="M5870" s="2"/>
      <c r="N5870" s="2"/>
      <c r="AD5870" s="3"/>
      <c r="AH5870" s="3"/>
      <c r="AL5870" s="3"/>
    </row>
    <row r="5871" spans="12:38" x14ac:dyDescent="0.25">
      <c r="L5871" s="2"/>
      <c r="M5871" s="2"/>
      <c r="N5871" s="2"/>
      <c r="AD5871" s="3"/>
      <c r="AH5871" s="3"/>
      <c r="AL5871" s="3"/>
    </row>
    <row r="5872" spans="12:38" x14ac:dyDescent="0.25">
      <c r="L5872" s="2"/>
      <c r="M5872" s="2"/>
      <c r="N5872" s="2"/>
      <c r="AD5872" s="3"/>
      <c r="AH5872" s="3"/>
      <c r="AL5872" s="3"/>
    </row>
    <row r="5873" spans="12:38" x14ac:dyDescent="0.25">
      <c r="L5873" s="2"/>
      <c r="M5873" s="2"/>
      <c r="N5873" s="2"/>
      <c r="AD5873" s="3"/>
      <c r="AH5873" s="3"/>
      <c r="AL5873" s="3"/>
    </row>
    <row r="5874" spans="12:38" x14ac:dyDescent="0.25">
      <c r="L5874" s="2"/>
      <c r="M5874" s="2"/>
      <c r="N5874" s="2"/>
      <c r="AD5874" s="3"/>
      <c r="AH5874" s="3"/>
      <c r="AL5874" s="3"/>
    </row>
    <row r="5875" spans="12:38" x14ac:dyDescent="0.25">
      <c r="L5875" s="2"/>
      <c r="M5875" s="2"/>
      <c r="N5875" s="2"/>
      <c r="AD5875" s="3"/>
      <c r="AH5875" s="3"/>
      <c r="AL5875" s="3"/>
    </row>
    <row r="5876" spans="12:38" x14ac:dyDescent="0.25">
      <c r="L5876" s="2"/>
      <c r="M5876" s="2"/>
      <c r="N5876" s="2"/>
      <c r="AD5876" s="3"/>
      <c r="AH5876" s="3"/>
      <c r="AL5876" s="3"/>
    </row>
    <row r="5877" spans="12:38" x14ac:dyDescent="0.25">
      <c r="L5877" s="2"/>
      <c r="M5877" s="2"/>
      <c r="N5877" s="2"/>
      <c r="AD5877" s="3"/>
      <c r="AH5877" s="3"/>
      <c r="AL5877" s="3"/>
    </row>
    <row r="5878" spans="12:38" x14ac:dyDescent="0.25">
      <c r="L5878" s="2"/>
      <c r="M5878" s="2"/>
      <c r="N5878" s="2"/>
      <c r="AD5878" s="3"/>
      <c r="AH5878" s="3"/>
      <c r="AL5878" s="3"/>
    </row>
    <row r="5879" spans="12:38" x14ac:dyDescent="0.25">
      <c r="L5879" s="2"/>
      <c r="M5879" s="2"/>
      <c r="N5879" s="2"/>
      <c r="AD5879" s="3"/>
      <c r="AH5879" s="3"/>
      <c r="AL5879" s="3"/>
    </row>
    <row r="5880" spans="12:38" x14ac:dyDescent="0.25">
      <c r="L5880" s="2"/>
      <c r="M5880" s="2"/>
      <c r="N5880" s="2"/>
      <c r="AD5880" s="3"/>
      <c r="AH5880" s="3"/>
      <c r="AL5880" s="3"/>
    </row>
    <row r="5881" spans="12:38" x14ac:dyDescent="0.25">
      <c r="L5881" s="2"/>
      <c r="M5881" s="2"/>
      <c r="N5881" s="2"/>
      <c r="AD5881" s="3"/>
      <c r="AH5881" s="3"/>
      <c r="AL5881" s="3"/>
    </row>
    <row r="5882" spans="12:38" x14ac:dyDescent="0.25">
      <c r="L5882" s="2"/>
      <c r="M5882" s="2"/>
      <c r="N5882" s="2"/>
      <c r="AD5882" s="3"/>
      <c r="AH5882" s="3"/>
      <c r="AL5882" s="3"/>
    </row>
    <row r="5883" spans="12:38" x14ac:dyDescent="0.25">
      <c r="L5883" s="2"/>
      <c r="M5883" s="2"/>
      <c r="N5883" s="2"/>
      <c r="AD5883" s="3"/>
      <c r="AH5883" s="3"/>
      <c r="AL5883" s="3"/>
    </row>
    <row r="5884" spans="12:38" x14ac:dyDescent="0.25">
      <c r="L5884" s="2"/>
      <c r="M5884" s="2"/>
      <c r="N5884" s="2"/>
      <c r="AD5884" s="3"/>
      <c r="AH5884" s="3"/>
      <c r="AL5884" s="3"/>
    </row>
    <row r="5885" spans="12:38" x14ac:dyDescent="0.25">
      <c r="L5885" s="2"/>
      <c r="M5885" s="2"/>
      <c r="N5885" s="2"/>
      <c r="AD5885" s="3"/>
      <c r="AH5885" s="3"/>
      <c r="AL5885" s="3"/>
    </row>
    <row r="5886" spans="12:38" x14ac:dyDescent="0.25">
      <c r="L5886" s="2"/>
      <c r="M5886" s="2"/>
      <c r="N5886" s="2"/>
      <c r="AD5886" s="3"/>
      <c r="AH5886" s="3"/>
      <c r="AL5886" s="3"/>
    </row>
    <row r="5887" spans="12:38" x14ac:dyDescent="0.25">
      <c r="L5887" s="2"/>
      <c r="M5887" s="2"/>
      <c r="N5887" s="2"/>
      <c r="AD5887" s="3"/>
      <c r="AH5887" s="3"/>
      <c r="AL5887" s="3"/>
    </row>
    <row r="5888" spans="12:38" x14ac:dyDescent="0.25">
      <c r="L5888" s="2"/>
      <c r="M5888" s="2"/>
      <c r="N5888" s="2"/>
      <c r="AD5888" s="3"/>
      <c r="AH5888" s="3"/>
      <c r="AL5888" s="3"/>
    </row>
    <row r="5889" spans="12:38" x14ac:dyDescent="0.25">
      <c r="L5889" s="2"/>
      <c r="M5889" s="2"/>
      <c r="N5889" s="2"/>
      <c r="AD5889" s="3"/>
      <c r="AH5889" s="3"/>
      <c r="AL5889" s="3"/>
    </row>
    <row r="5890" spans="12:38" x14ac:dyDescent="0.25">
      <c r="L5890" s="2"/>
      <c r="M5890" s="2"/>
      <c r="N5890" s="2"/>
      <c r="AD5890" s="3"/>
      <c r="AH5890" s="3"/>
      <c r="AL5890" s="3"/>
    </row>
    <row r="5891" spans="12:38" x14ac:dyDescent="0.25">
      <c r="L5891" s="2"/>
      <c r="M5891" s="2"/>
      <c r="N5891" s="2"/>
      <c r="AD5891" s="3"/>
      <c r="AH5891" s="3"/>
      <c r="AL5891" s="3"/>
    </row>
    <row r="5892" spans="12:38" x14ac:dyDescent="0.25">
      <c r="L5892" s="2"/>
      <c r="M5892" s="2"/>
      <c r="N5892" s="2"/>
      <c r="AD5892" s="3"/>
      <c r="AH5892" s="3"/>
      <c r="AL5892" s="3"/>
    </row>
    <row r="5893" spans="12:38" x14ac:dyDescent="0.25">
      <c r="L5893" s="2"/>
      <c r="M5893" s="2"/>
      <c r="N5893" s="2"/>
      <c r="AD5893" s="3"/>
      <c r="AH5893" s="3"/>
      <c r="AL5893" s="3"/>
    </row>
    <row r="5894" spans="12:38" x14ac:dyDescent="0.25">
      <c r="L5894" s="2"/>
      <c r="M5894" s="2"/>
      <c r="N5894" s="2"/>
      <c r="AD5894" s="3"/>
      <c r="AH5894" s="3"/>
      <c r="AL5894" s="3"/>
    </row>
    <row r="5895" spans="12:38" x14ac:dyDescent="0.25">
      <c r="L5895" s="2"/>
      <c r="M5895" s="2"/>
      <c r="N5895" s="2"/>
      <c r="AD5895" s="3"/>
      <c r="AH5895" s="3"/>
      <c r="AL5895" s="3"/>
    </row>
    <row r="5896" spans="12:38" x14ac:dyDescent="0.25">
      <c r="L5896" s="2"/>
      <c r="M5896" s="2"/>
      <c r="N5896" s="2"/>
      <c r="AD5896" s="3"/>
      <c r="AH5896" s="3"/>
      <c r="AL5896" s="3"/>
    </row>
    <row r="5897" spans="12:38" x14ac:dyDescent="0.25">
      <c r="L5897" s="2"/>
      <c r="M5897" s="2"/>
      <c r="N5897" s="2"/>
      <c r="AD5897" s="3"/>
      <c r="AH5897" s="3"/>
      <c r="AL5897" s="3"/>
    </row>
    <row r="5898" spans="12:38" x14ac:dyDescent="0.25">
      <c r="L5898" s="2"/>
      <c r="M5898" s="2"/>
      <c r="N5898" s="2"/>
      <c r="AD5898" s="3"/>
      <c r="AH5898" s="3"/>
      <c r="AL5898" s="3"/>
    </row>
    <row r="5899" spans="12:38" x14ac:dyDescent="0.25">
      <c r="L5899" s="2"/>
      <c r="M5899" s="2"/>
      <c r="N5899" s="2"/>
      <c r="AD5899" s="3"/>
      <c r="AH5899" s="3"/>
      <c r="AL5899" s="3"/>
    </row>
    <row r="5900" spans="12:38" x14ac:dyDescent="0.25">
      <c r="L5900" s="2"/>
      <c r="M5900" s="2"/>
      <c r="N5900" s="2"/>
      <c r="AD5900" s="3"/>
      <c r="AH5900" s="3"/>
      <c r="AL5900" s="3"/>
    </row>
    <row r="5901" spans="12:38" x14ac:dyDescent="0.25">
      <c r="L5901" s="2"/>
      <c r="M5901" s="2"/>
      <c r="N5901" s="2"/>
      <c r="AD5901" s="3"/>
      <c r="AH5901" s="3"/>
      <c r="AL5901" s="3"/>
    </row>
    <row r="5902" spans="12:38" x14ac:dyDescent="0.25">
      <c r="L5902" s="2"/>
      <c r="M5902" s="2"/>
      <c r="N5902" s="2"/>
      <c r="AD5902" s="3"/>
      <c r="AH5902" s="3"/>
      <c r="AL5902" s="3"/>
    </row>
    <row r="5903" spans="12:38" x14ac:dyDescent="0.25">
      <c r="L5903" s="2"/>
      <c r="M5903" s="2"/>
      <c r="N5903" s="2"/>
      <c r="AD5903" s="3"/>
      <c r="AH5903" s="3"/>
      <c r="AL5903" s="3"/>
    </row>
    <row r="5904" spans="12:38" x14ac:dyDescent="0.25">
      <c r="L5904" s="2"/>
      <c r="M5904" s="2"/>
      <c r="N5904" s="2"/>
      <c r="AD5904" s="3"/>
      <c r="AH5904" s="3"/>
      <c r="AL5904" s="3"/>
    </row>
    <row r="5905" spans="12:38" x14ac:dyDescent="0.25">
      <c r="L5905" s="2"/>
      <c r="M5905" s="2"/>
      <c r="N5905" s="2"/>
      <c r="AD5905" s="3"/>
      <c r="AH5905" s="3"/>
      <c r="AL5905" s="3"/>
    </row>
    <row r="5906" spans="12:38" x14ac:dyDescent="0.25">
      <c r="L5906" s="2"/>
      <c r="M5906" s="2"/>
      <c r="N5906" s="2"/>
      <c r="AD5906" s="3"/>
      <c r="AH5906" s="3"/>
      <c r="AL5906" s="3"/>
    </row>
    <row r="5907" spans="12:38" x14ac:dyDescent="0.25">
      <c r="L5907" s="2"/>
      <c r="M5907" s="2"/>
      <c r="N5907" s="2"/>
      <c r="AD5907" s="3"/>
      <c r="AH5907" s="3"/>
      <c r="AL5907" s="3"/>
    </row>
    <row r="5908" spans="12:38" x14ac:dyDescent="0.25">
      <c r="L5908" s="2"/>
      <c r="M5908" s="2"/>
      <c r="N5908" s="2"/>
      <c r="AD5908" s="3"/>
      <c r="AH5908" s="3"/>
      <c r="AL5908" s="3"/>
    </row>
    <row r="5909" spans="12:38" x14ac:dyDescent="0.25">
      <c r="L5909" s="2"/>
      <c r="M5909" s="2"/>
      <c r="N5909" s="2"/>
      <c r="AD5909" s="3"/>
      <c r="AH5909" s="3"/>
      <c r="AL5909" s="3"/>
    </row>
    <row r="5910" spans="12:38" x14ac:dyDescent="0.25">
      <c r="L5910" s="2"/>
      <c r="M5910" s="2"/>
      <c r="N5910" s="2"/>
      <c r="AD5910" s="3"/>
      <c r="AH5910" s="3"/>
      <c r="AL5910" s="3"/>
    </row>
    <row r="5911" spans="12:38" x14ac:dyDescent="0.25">
      <c r="L5911" s="2"/>
      <c r="M5911" s="2"/>
      <c r="N5911" s="2"/>
      <c r="AD5911" s="3"/>
      <c r="AH5911" s="3"/>
      <c r="AL5911" s="3"/>
    </row>
    <row r="5912" spans="12:38" x14ac:dyDescent="0.25">
      <c r="L5912" s="2"/>
      <c r="M5912" s="2"/>
      <c r="N5912" s="2"/>
      <c r="AD5912" s="3"/>
      <c r="AH5912" s="3"/>
      <c r="AL5912" s="3"/>
    </row>
    <row r="5913" spans="12:38" x14ac:dyDescent="0.25">
      <c r="L5913" s="2"/>
      <c r="M5913" s="2"/>
      <c r="N5913" s="2"/>
      <c r="AD5913" s="3"/>
      <c r="AH5913" s="3"/>
      <c r="AL5913" s="3"/>
    </row>
    <row r="5914" spans="12:38" x14ac:dyDescent="0.25">
      <c r="L5914" s="2"/>
      <c r="M5914" s="2"/>
      <c r="N5914" s="2"/>
      <c r="AD5914" s="3"/>
      <c r="AH5914" s="3"/>
      <c r="AL5914" s="3"/>
    </row>
    <row r="5915" spans="12:38" x14ac:dyDescent="0.25">
      <c r="L5915" s="2"/>
      <c r="M5915" s="2"/>
      <c r="N5915" s="2"/>
      <c r="AD5915" s="3"/>
      <c r="AH5915" s="3"/>
      <c r="AL5915" s="3"/>
    </row>
    <row r="5916" spans="12:38" x14ac:dyDescent="0.25">
      <c r="L5916" s="2"/>
      <c r="M5916" s="2"/>
      <c r="N5916" s="2"/>
      <c r="AD5916" s="3"/>
      <c r="AH5916" s="3"/>
      <c r="AL5916" s="3"/>
    </row>
    <row r="5917" spans="12:38" x14ac:dyDescent="0.25">
      <c r="L5917" s="2"/>
      <c r="M5917" s="2"/>
      <c r="N5917" s="2"/>
      <c r="AD5917" s="3"/>
      <c r="AH5917" s="3"/>
      <c r="AL5917" s="3"/>
    </row>
    <row r="5918" spans="12:38" x14ac:dyDescent="0.25">
      <c r="L5918" s="2"/>
      <c r="M5918" s="2"/>
      <c r="N5918" s="2"/>
      <c r="AD5918" s="3"/>
      <c r="AH5918" s="3"/>
      <c r="AL5918" s="3"/>
    </row>
    <row r="5919" spans="12:38" x14ac:dyDescent="0.25">
      <c r="L5919" s="2"/>
      <c r="M5919" s="2"/>
      <c r="N5919" s="2"/>
      <c r="AD5919" s="3"/>
      <c r="AH5919" s="3"/>
      <c r="AL5919" s="3"/>
    </row>
    <row r="5920" spans="12:38" x14ac:dyDescent="0.25">
      <c r="L5920" s="2"/>
      <c r="M5920" s="2"/>
      <c r="N5920" s="2"/>
      <c r="AD5920" s="3"/>
      <c r="AH5920" s="3"/>
      <c r="AL5920" s="3"/>
    </row>
    <row r="5921" spans="12:38" x14ac:dyDescent="0.25">
      <c r="L5921" s="2"/>
      <c r="M5921" s="2"/>
      <c r="N5921" s="2"/>
      <c r="AD5921" s="3"/>
      <c r="AH5921" s="3"/>
      <c r="AL5921" s="3"/>
    </row>
    <row r="5922" spans="12:38" x14ac:dyDescent="0.25">
      <c r="L5922" s="2"/>
      <c r="M5922" s="2"/>
      <c r="N5922" s="2"/>
      <c r="AD5922" s="3"/>
      <c r="AH5922" s="3"/>
      <c r="AL5922" s="3"/>
    </row>
    <row r="5923" spans="12:38" x14ac:dyDescent="0.25">
      <c r="L5923" s="2"/>
      <c r="M5923" s="2"/>
      <c r="N5923" s="2"/>
      <c r="AD5923" s="3"/>
      <c r="AH5923" s="3"/>
      <c r="AL5923" s="3"/>
    </row>
    <row r="5924" spans="12:38" x14ac:dyDescent="0.25">
      <c r="L5924" s="2"/>
      <c r="M5924" s="2"/>
      <c r="N5924" s="2"/>
      <c r="AD5924" s="3"/>
      <c r="AH5924" s="3"/>
      <c r="AL5924" s="3"/>
    </row>
    <row r="5925" spans="12:38" x14ac:dyDescent="0.25">
      <c r="L5925" s="2"/>
      <c r="M5925" s="2"/>
      <c r="N5925" s="2"/>
      <c r="AD5925" s="3"/>
      <c r="AH5925" s="3"/>
      <c r="AL5925" s="3"/>
    </row>
    <row r="5926" spans="12:38" x14ac:dyDescent="0.25">
      <c r="L5926" s="2"/>
      <c r="M5926" s="2"/>
      <c r="N5926" s="2"/>
      <c r="AD5926" s="3"/>
      <c r="AH5926" s="3"/>
      <c r="AL5926" s="3"/>
    </row>
    <row r="5927" spans="12:38" x14ac:dyDescent="0.25">
      <c r="L5927" s="2"/>
      <c r="M5927" s="2"/>
      <c r="N5927" s="2"/>
      <c r="AD5927" s="3"/>
      <c r="AH5927" s="3"/>
      <c r="AL5927" s="3"/>
    </row>
    <row r="5928" spans="12:38" x14ac:dyDescent="0.25">
      <c r="L5928" s="2"/>
      <c r="M5928" s="2"/>
      <c r="N5928" s="2"/>
      <c r="AD5928" s="3"/>
      <c r="AH5928" s="3"/>
      <c r="AL5928" s="3"/>
    </row>
    <row r="5929" spans="12:38" x14ac:dyDescent="0.25">
      <c r="L5929" s="2"/>
      <c r="M5929" s="2"/>
      <c r="N5929" s="2"/>
      <c r="AD5929" s="3"/>
      <c r="AH5929" s="3"/>
      <c r="AL5929" s="3"/>
    </row>
    <row r="5930" spans="12:38" x14ac:dyDescent="0.25">
      <c r="L5930" s="2"/>
      <c r="M5930" s="2"/>
      <c r="N5930" s="2"/>
      <c r="AD5930" s="3"/>
      <c r="AH5930" s="3"/>
      <c r="AL5930" s="3"/>
    </row>
    <row r="5931" spans="12:38" x14ac:dyDescent="0.25">
      <c r="L5931" s="2"/>
      <c r="M5931" s="2"/>
      <c r="N5931" s="2"/>
      <c r="AD5931" s="3"/>
      <c r="AH5931" s="3"/>
      <c r="AL5931" s="3"/>
    </row>
    <row r="5932" spans="12:38" x14ac:dyDescent="0.25">
      <c r="L5932" s="2"/>
      <c r="M5932" s="2"/>
      <c r="N5932" s="2"/>
      <c r="AD5932" s="3"/>
      <c r="AH5932" s="3"/>
      <c r="AL5932" s="3"/>
    </row>
    <row r="5933" spans="12:38" x14ac:dyDescent="0.25">
      <c r="L5933" s="2"/>
      <c r="M5933" s="2"/>
      <c r="N5933" s="2"/>
      <c r="AD5933" s="3"/>
      <c r="AH5933" s="3"/>
      <c r="AL5933" s="3"/>
    </row>
    <row r="5934" spans="12:38" x14ac:dyDescent="0.25">
      <c r="L5934" s="2"/>
      <c r="M5934" s="2"/>
      <c r="N5934" s="2"/>
      <c r="AD5934" s="3"/>
      <c r="AH5934" s="3"/>
      <c r="AL5934" s="3"/>
    </row>
    <row r="5935" spans="12:38" x14ac:dyDescent="0.25">
      <c r="L5935" s="2"/>
      <c r="M5935" s="2"/>
      <c r="N5935" s="2"/>
      <c r="AD5935" s="3"/>
      <c r="AH5935" s="3"/>
      <c r="AL5935" s="3"/>
    </row>
    <row r="5936" spans="12:38" x14ac:dyDescent="0.25">
      <c r="L5936" s="2"/>
      <c r="M5936" s="2"/>
      <c r="N5936" s="2"/>
      <c r="AD5936" s="3"/>
      <c r="AH5936" s="3"/>
      <c r="AL5936" s="3"/>
    </row>
    <row r="5937" spans="12:38" x14ac:dyDescent="0.25">
      <c r="L5937" s="2"/>
      <c r="M5937" s="2"/>
      <c r="N5937" s="2"/>
      <c r="AD5937" s="3"/>
      <c r="AH5937" s="3"/>
      <c r="AL5937" s="3"/>
    </row>
    <row r="5938" spans="12:38" x14ac:dyDescent="0.25">
      <c r="L5938" s="2"/>
      <c r="M5938" s="2"/>
      <c r="N5938" s="2"/>
      <c r="AD5938" s="3"/>
      <c r="AH5938" s="3"/>
      <c r="AL5938" s="3"/>
    </row>
    <row r="5939" spans="12:38" x14ac:dyDescent="0.25">
      <c r="L5939" s="2"/>
      <c r="M5939" s="2"/>
      <c r="N5939" s="2"/>
      <c r="AD5939" s="3"/>
      <c r="AH5939" s="3"/>
      <c r="AL5939" s="3"/>
    </row>
    <row r="5940" spans="12:38" x14ac:dyDescent="0.25">
      <c r="L5940" s="2"/>
      <c r="M5940" s="2"/>
      <c r="N5940" s="2"/>
      <c r="AD5940" s="3"/>
      <c r="AH5940" s="3"/>
      <c r="AL5940" s="3"/>
    </row>
    <row r="5941" spans="12:38" x14ac:dyDescent="0.25">
      <c r="L5941" s="2"/>
      <c r="M5941" s="2"/>
      <c r="N5941" s="2"/>
      <c r="AD5941" s="3"/>
      <c r="AH5941" s="3"/>
      <c r="AL5941" s="3"/>
    </row>
    <row r="5942" spans="12:38" x14ac:dyDescent="0.25">
      <c r="L5942" s="2"/>
      <c r="M5942" s="2"/>
      <c r="N5942" s="2"/>
      <c r="AD5942" s="3"/>
      <c r="AH5942" s="3"/>
      <c r="AL5942" s="3"/>
    </row>
    <row r="5943" spans="12:38" x14ac:dyDescent="0.25">
      <c r="L5943" s="2"/>
      <c r="M5943" s="2"/>
      <c r="N5943" s="2"/>
      <c r="AD5943" s="3"/>
      <c r="AH5943" s="3"/>
      <c r="AL5943" s="3"/>
    </row>
    <row r="5944" spans="12:38" x14ac:dyDescent="0.25">
      <c r="L5944" s="2"/>
      <c r="M5944" s="2"/>
      <c r="N5944" s="2"/>
      <c r="AD5944" s="3"/>
      <c r="AH5944" s="3"/>
      <c r="AL5944" s="3"/>
    </row>
    <row r="5945" spans="12:38" x14ac:dyDescent="0.25">
      <c r="L5945" s="2"/>
      <c r="M5945" s="2"/>
      <c r="N5945" s="2"/>
      <c r="AD5945" s="3"/>
      <c r="AH5945" s="3"/>
      <c r="AL5945" s="3"/>
    </row>
    <row r="5946" spans="12:38" x14ac:dyDescent="0.25">
      <c r="L5946" s="2"/>
      <c r="M5946" s="2"/>
      <c r="N5946" s="2"/>
      <c r="AD5946" s="3"/>
      <c r="AH5946" s="3"/>
      <c r="AL5946" s="3"/>
    </row>
    <row r="5947" spans="12:38" x14ac:dyDescent="0.25">
      <c r="L5947" s="2"/>
      <c r="M5947" s="2"/>
      <c r="N5947" s="2"/>
      <c r="AD5947" s="3"/>
      <c r="AH5947" s="3"/>
      <c r="AL5947" s="3"/>
    </row>
    <row r="5948" spans="12:38" x14ac:dyDescent="0.25">
      <c r="L5948" s="2"/>
      <c r="M5948" s="2"/>
      <c r="N5948" s="2"/>
      <c r="AD5948" s="3"/>
      <c r="AH5948" s="3"/>
      <c r="AL5948" s="3"/>
    </row>
    <row r="5949" spans="12:38" x14ac:dyDescent="0.25">
      <c r="L5949" s="2"/>
      <c r="M5949" s="2"/>
      <c r="N5949" s="2"/>
      <c r="AD5949" s="3"/>
      <c r="AH5949" s="3"/>
      <c r="AL5949" s="3"/>
    </row>
    <row r="5950" spans="12:38" x14ac:dyDescent="0.25">
      <c r="L5950" s="2"/>
      <c r="M5950" s="2"/>
      <c r="N5950" s="2"/>
      <c r="AD5950" s="3"/>
      <c r="AH5950" s="3"/>
      <c r="AL5950" s="3"/>
    </row>
    <row r="5951" spans="12:38" x14ac:dyDescent="0.25">
      <c r="L5951" s="2"/>
      <c r="M5951" s="2"/>
      <c r="N5951" s="2"/>
      <c r="AD5951" s="3"/>
      <c r="AH5951" s="3"/>
      <c r="AL5951" s="3"/>
    </row>
    <row r="5952" spans="12:38" x14ac:dyDescent="0.25">
      <c r="L5952" s="2"/>
      <c r="M5952" s="2"/>
      <c r="N5952" s="2"/>
      <c r="AD5952" s="3"/>
      <c r="AH5952" s="3"/>
      <c r="AL5952" s="3"/>
    </row>
    <row r="5953" spans="12:38" x14ac:dyDescent="0.25">
      <c r="L5953" s="2"/>
      <c r="M5953" s="2"/>
      <c r="N5953" s="2"/>
      <c r="AD5953" s="3"/>
      <c r="AH5953" s="3"/>
      <c r="AL5953" s="3"/>
    </row>
    <row r="5954" spans="12:38" x14ac:dyDescent="0.25">
      <c r="L5954" s="2"/>
      <c r="M5954" s="2"/>
      <c r="N5954" s="2"/>
      <c r="AD5954" s="3"/>
      <c r="AH5954" s="3"/>
      <c r="AL5954" s="3"/>
    </row>
    <row r="5955" spans="12:38" x14ac:dyDescent="0.25">
      <c r="L5955" s="2"/>
      <c r="M5955" s="2"/>
      <c r="N5955" s="2"/>
      <c r="AD5955" s="3"/>
      <c r="AH5955" s="3"/>
      <c r="AL5955" s="3"/>
    </row>
    <row r="5956" spans="12:38" x14ac:dyDescent="0.25">
      <c r="L5956" s="2"/>
      <c r="M5956" s="2"/>
      <c r="N5956" s="2"/>
      <c r="AD5956" s="3"/>
      <c r="AH5956" s="3"/>
      <c r="AL5956" s="3"/>
    </row>
    <row r="5957" spans="12:38" x14ac:dyDescent="0.25">
      <c r="L5957" s="2"/>
      <c r="M5957" s="2"/>
      <c r="N5957" s="2"/>
      <c r="AD5957" s="3"/>
      <c r="AH5957" s="3"/>
      <c r="AL5957" s="3"/>
    </row>
    <row r="5958" spans="12:38" x14ac:dyDescent="0.25">
      <c r="L5958" s="2"/>
      <c r="M5958" s="2"/>
      <c r="N5958" s="2"/>
      <c r="AD5958" s="3"/>
      <c r="AH5958" s="3"/>
      <c r="AL5958" s="3"/>
    </row>
    <row r="5959" spans="12:38" x14ac:dyDescent="0.25">
      <c r="L5959" s="2"/>
      <c r="M5959" s="2"/>
      <c r="N5959" s="2"/>
      <c r="AD5959" s="3"/>
      <c r="AH5959" s="3"/>
      <c r="AL5959" s="3"/>
    </row>
    <row r="5960" spans="12:38" x14ac:dyDescent="0.25">
      <c r="L5960" s="2"/>
      <c r="M5960" s="2"/>
      <c r="N5960" s="2"/>
      <c r="AD5960" s="3"/>
      <c r="AH5960" s="3"/>
      <c r="AL5960" s="3"/>
    </row>
    <row r="5961" spans="12:38" x14ac:dyDescent="0.25">
      <c r="L5961" s="2"/>
      <c r="M5961" s="2"/>
      <c r="N5961" s="2"/>
      <c r="AD5961" s="3"/>
      <c r="AH5961" s="3"/>
      <c r="AL5961" s="3"/>
    </row>
    <row r="5962" spans="12:38" x14ac:dyDescent="0.25">
      <c r="L5962" s="2"/>
      <c r="M5962" s="2"/>
      <c r="N5962" s="2"/>
      <c r="AD5962" s="3"/>
      <c r="AH5962" s="3"/>
      <c r="AL5962" s="3"/>
    </row>
    <row r="5963" spans="12:38" x14ac:dyDescent="0.25">
      <c r="L5963" s="2"/>
      <c r="M5963" s="2"/>
      <c r="N5963" s="2"/>
      <c r="AD5963" s="3"/>
      <c r="AH5963" s="3"/>
      <c r="AL5963" s="3"/>
    </row>
    <row r="5964" spans="12:38" x14ac:dyDescent="0.25">
      <c r="L5964" s="2"/>
      <c r="M5964" s="2"/>
      <c r="N5964" s="2"/>
      <c r="AD5964" s="3"/>
      <c r="AH5964" s="3"/>
      <c r="AL5964" s="3"/>
    </row>
    <row r="5965" spans="12:38" x14ac:dyDescent="0.25">
      <c r="L5965" s="2"/>
      <c r="M5965" s="2"/>
      <c r="N5965" s="2"/>
      <c r="AD5965" s="3"/>
      <c r="AH5965" s="3"/>
      <c r="AL5965" s="3"/>
    </row>
    <row r="5966" spans="12:38" x14ac:dyDescent="0.25">
      <c r="L5966" s="2"/>
      <c r="M5966" s="2"/>
      <c r="N5966" s="2"/>
      <c r="AD5966" s="3"/>
      <c r="AH5966" s="3"/>
      <c r="AL5966" s="3"/>
    </row>
    <row r="5967" spans="12:38" x14ac:dyDescent="0.25">
      <c r="L5967" s="2"/>
      <c r="M5967" s="2"/>
      <c r="N5967" s="2"/>
      <c r="AD5967" s="3"/>
      <c r="AH5967" s="3"/>
      <c r="AL5967" s="3"/>
    </row>
    <row r="5968" spans="12:38" x14ac:dyDescent="0.25">
      <c r="L5968" s="2"/>
      <c r="M5968" s="2"/>
      <c r="N5968" s="2"/>
      <c r="AD5968" s="3"/>
      <c r="AH5968" s="3"/>
      <c r="AL5968" s="3"/>
    </row>
    <row r="5969" spans="12:38" x14ac:dyDescent="0.25">
      <c r="L5969" s="2"/>
      <c r="M5969" s="2"/>
      <c r="N5969" s="2"/>
      <c r="AD5969" s="3"/>
      <c r="AH5969" s="3"/>
      <c r="AL5969" s="3"/>
    </row>
    <row r="5970" spans="12:38" x14ac:dyDescent="0.25">
      <c r="L5970" s="2"/>
      <c r="M5970" s="2"/>
      <c r="N5970" s="2"/>
      <c r="AD5970" s="3"/>
      <c r="AH5970" s="3"/>
      <c r="AL5970" s="3"/>
    </row>
    <row r="5971" spans="12:38" x14ac:dyDescent="0.25">
      <c r="L5971" s="2"/>
      <c r="M5971" s="2"/>
      <c r="N5971" s="2"/>
      <c r="AD5971" s="3"/>
      <c r="AH5971" s="3"/>
      <c r="AL5971" s="3"/>
    </row>
    <row r="5972" spans="12:38" x14ac:dyDescent="0.25">
      <c r="L5972" s="2"/>
      <c r="M5972" s="2"/>
      <c r="N5972" s="2"/>
      <c r="AD5972" s="3"/>
      <c r="AH5972" s="3"/>
      <c r="AL5972" s="3"/>
    </row>
    <row r="5973" spans="12:38" x14ac:dyDescent="0.25">
      <c r="L5973" s="2"/>
      <c r="M5973" s="2"/>
      <c r="N5973" s="2"/>
      <c r="AD5973" s="3"/>
      <c r="AH5973" s="3"/>
      <c r="AL5973" s="3"/>
    </row>
    <row r="5974" spans="12:38" x14ac:dyDescent="0.25">
      <c r="L5974" s="2"/>
      <c r="M5974" s="2"/>
      <c r="N5974" s="2"/>
      <c r="AD5974" s="3"/>
      <c r="AH5974" s="3"/>
      <c r="AL5974" s="3"/>
    </row>
    <row r="5975" spans="12:38" x14ac:dyDescent="0.25">
      <c r="L5975" s="2"/>
      <c r="M5975" s="2"/>
      <c r="N5975" s="2"/>
      <c r="AD5975" s="3"/>
      <c r="AH5975" s="3"/>
      <c r="AL5975" s="3"/>
    </row>
    <row r="5976" spans="12:38" x14ac:dyDescent="0.25">
      <c r="L5976" s="2"/>
      <c r="M5976" s="2"/>
      <c r="N5976" s="2"/>
      <c r="AD5976" s="3"/>
      <c r="AH5976" s="3"/>
      <c r="AL5976" s="3"/>
    </row>
    <row r="5977" spans="12:38" x14ac:dyDescent="0.25">
      <c r="L5977" s="2"/>
      <c r="M5977" s="2"/>
      <c r="N5977" s="2"/>
      <c r="AD5977" s="3"/>
      <c r="AH5977" s="3"/>
      <c r="AL5977" s="3"/>
    </row>
    <row r="5978" spans="12:38" x14ac:dyDescent="0.25">
      <c r="L5978" s="2"/>
      <c r="M5978" s="2"/>
      <c r="N5978" s="2"/>
      <c r="AD5978" s="3"/>
      <c r="AH5978" s="3"/>
      <c r="AL5978" s="3"/>
    </row>
    <row r="5979" spans="12:38" x14ac:dyDescent="0.25">
      <c r="L5979" s="2"/>
      <c r="M5979" s="2"/>
      <c r="N5979" s="2"/>
      <c r="AD5979" s="3"/>
      <c r="AH5979" s="3"/>
      <c r="AL5979" s="3"/>
    </row>
    <row r="5980" spans="12:38" x14ac:dyDescent="0.25">
      <c r="L5980" s="2"/>
      <c r="M5980" s="2"/>
      <c r="N5980" s="2"/>
      <c r="AD5980" s="3"/>
      <c r="AH5980" s="3"/>
      <c r="AL5980" s="3"/>
    </row>
    <row r="5981" spans="12:38" x14ac:dyDescent="0.25">
      <c r="L5981" s="2"/>
      <c r="M5981" s="2"/>
      <c r="N5981" s="2"/>
      <c r="AD5981" s="3"/>
      <c r="AH5981" s="3"/>
      <c r="AL5981" s="3"/>
    </row>
    <row r="5982" spans="12:38" x14ac:dyDescent="0.25">
      <c r="L5982" s="2"/>
      <c r="M5982" s="2"/>
      <c r="N5982" s="2"/>
      <c r="AD5982" s="3"/>
      <c r="AH5982" s="3"/>
      <c r="AL5982" s="3"/>
    </row>
    <row r="5983" spans="12:38" x14ac:dyDescent="0.25">
      <c r="L5983" s="2"/>
      <c r="M5983" s="2"/>
      <c r="N5983" s="2"/>
      <c r="AD5983" s="3"/>
      <c r="AH5983" s="3"/>
      <c r="AL5983" s="3"/>
    </row>
    <row r="5984" spans="12:38" x14ac:dyDescent="0.25">
      <c r="L5984" s="2"/>
      <c r="M5984" s="2"/>
      <c r="N5984" s="2"/>
      <c r="AD5984" s="3"/>
      <c r="AH5984" s="3"/>
      <c r="AL5984" s="3"/>
    </row>
    <row r="5985" spans="12:38" x14ac:dyDescent="0.25">
      <c r="L5985" s="2"/>
      <c r="M5985" s="2"/>
      <c r="N5985" s="2"/>
      <c r="AD5985" s="3"/>
      <c r="AH5985" s="3"/>
      <c r="AL5985" s="3"/>
    </row>
    <row r="5986" spans="12:38" x14ac:dyDescent="0.25">
      <c r="L5986" s="2"/>
      <c r="M5986" s="2"/>
      <c r="N5986" s="2"/>
      <c r="AD5986" s="3"/>
      <c r="AH5986" s="3"/>
      <c r="AL5986" s="3"/>
    </row>
    <row r="5987" spans="12:38" x14ac:dyDescent="0.25">
      <c r="L5987" s="2"/>
      <c r="M5987" s="2"/>
      <c r="N5987" s="2"/>
      <c r="AD5987" s="3"/>
      <c r="AH5987" s="3"/>
      <c r="AL5987" s="3"/>
    </row>
    <row r="5988" spans="12:38" x14ac:dyDescent="0.25">
      <c r="L5988" s="2"/>
      <c r="M5988" s="2"/>
      <c r="N5988" s="2"/>
      <c r="AD5988" s="3"/>
      <c r="AH5988" s="3"/>
      <c r="AL5988" s="3"/>
    </row>
    <row r="5989" spans="12:38" x14ac:dyDescent="0.25">
      <c r="L5989" s="2"/>
      <c r="M5989" s="2"/>
      <c r="N5989" s="2"/>
      <c r="AD5989" s="3"/>
      <c r="AH5989" s="3"/>
      <c r="AL5989" s="3"/>
    </row>
    <row r="5990" spans="12:38" x14ac:dyDescent="0.25">
      <c r="L5990" s="2"/>
      <c r="M5990" s="2"/>
      <c r="N5990" s="2"/>
      <c r="AD5990" s="3"/>
      <c r="AH5990" s="3"/>
      <c r="AL5990" s="3"/>
    </row>
    <row r="5991" spans="12:38" x14ac:dyDescent="0.25">
      <c r="L5991" s="2"/>
      <c r="M5991" s="2"/>
      <c r="N5991" s="2"/>
      <c r="AD5991" s="3"/>
      <c r="AH5991" s="3"/>
      <c r="AL5991" s="3"/>
    </row>
    <row r="5992" spans="12:38" x14ac:dyDescent="0.25">
      <c r="L5992" s="2"/>
      <c r="M5992" s="2"/>
      <c r="N5992" s="2"/>
      <c r="AD5992" s="3"/>
      <c r="AH5992" s="3"/>
      <c r="AL5992" s="3"/>
    </row>
    <row r="5993" spans="12:38" x14ac:dyDescent="0.25">
      <c r="L5993" s="2"/>
      <c r="M5993" s="2"/>
      <c r="N5993" s="2"/>
      <c r="AD5993" s="3"/>
      <c r="AH5993" s="3"/>
      <c r="AL5993" s="3"/>
    </row>
    <row r="5994" spans="12:38" x14ac:dyDescent="0.25">
      <c r="L5994" s="2"/>
      <c r="M5994" s="2"/>
      <c r="N5994" s="2"/>
      <c r="AD5994" s="3"/>
      <c r="AH5994" s="3"/>
      <c r="AL5994" s="3"/>
    </row>
    <row r="5995" spans="12:38" x14ac:dyDescent="0.25">
      <c r="L5995" s="2"/>
      <c r="M5995" s="2"/>
      <c r="N5995" s="2"/>
      <c r="AD5995" s="3"/>
      <c r="AH5995" s="3"/>
      <c r="AL5995" s="3"/>
    </row>
    <row r="5996" spans="12:38" x14ac:dyDescent="0.25">
      <c r="L5996" s="2"/>
      <c r="M5996" s="2"/>
      <c r="N5996" s="2"/>
      <c r="AD5996" s="3"/>
      <c r="AH5996" s="3"/>
      <c r="AL5996" s="3"/>
    </row>
    <row r="5997" spans="12:38" x14ac:dyDescent="0.25">
      <c r="L5997" s="2"/>
      <c r="M5997" s="2"/>
      <c r="N5997" s="2"/>
      <c r="AD5997" s="3"/>
      <c r="AH5997" s="3"/>
      <c r="AL5997" s="3"/>
    </row>
    <row r="5998" spans="12:38" x14ac:dyDescent="0.25">
      <c r="L5998" s="2"/>
      <c r="M5998" s="2"/>
      <c r="N5998" s="2"/>
      <c r="AD5998" s="3"/>
      <c r="AH5998" s="3"/>
      <c r="AL5998" s="3"/>
    </row>
    <row r="5999" spans="12:38" x14ac:dyDescent="0.25">
      <c r="L5999" s="2"/>
      <c r="M5999" s="2"/>
      <c r="N5999" s="2"/>
      <c r="AD5999" s="3"/>
      <c r="AH5999" s="3"/>
      <c r="AL5999" s="3"/>
    </row>
    <row r="6000" spans="12:38" x14ac:dyDescent="0.25">
      <c r="L6000" s="2"/>
      <c r="M6000" s="2"/>
      <c r="N6000" s="2"/>
      <c r="AD6000" s="3"/>
      <c r="AH6000" s="3"/>
      <c r="AL6000" s="3"/>
    </row>
    <row r="6001" spans="12:38" x14ac:dyDescent="0.25">
      <c r="L6001" s="2"/>
      <c r="M6001" s="2"/>
      <c r="N6001" s="2"/>
      <c r="AD6001" s="3"/>
      <c r="AH6001" s="3"/>
      <c r="AL6001" s="3"/>
    </row>
    <row r="6002" spans="12:38" x14ac:dyDescent="0.25">
      <c r="L6002" s="2"/>
      <c r="M6002" s="2"/>
      <c r="N6002" s="2"/>
      <c r="AD6002" s="3"/>
      <c r="AH6002" s="3"/>
      <c r="AL6002" s="3"/>
    </row>
    <row r="6003" spans="12:38" x14ac:dyDescent="0.25">
      <c r="L6003" s="2"/>
      <c r="M6003" s="2"/>
      <c r="N6003" s="2"/>
      <c r="AD6003" s="3"/>
      <c r="AH6003" s="3"/>
      <c r="AL6003" s="3"/>
    </row>
    <row r="6004" spans="12:38" x14ac:dyDescent="0.25">
      <c r="L6004" s="2"/>
      <c r="M6004" s="2"/>
      <c r="N6004" s="2"/>
      <c r="AD6004" s="3"/>
      <c r="AH6004" s="3"/>
      <c r="AL6004" s="3"/>
    </row>
    <row r="6005" spans="12:38" x14ac:dyDescent="0.25">
      <c r="L6005" s="2"/>
      <c r="M6005" s="2"/>
      <c r="N6005" s="2"/>
      <c r="AD6005" s="3"/>
      <c r="AH6005" s="3"/>
      <c r="AL6005" s="3"/>
    </row>
    <row r="6006" spans="12:38" x14ac:dyDescent="0.25">
      <c r="L6006" s="2"/>
      <c r="M6006" s="2"/>
      <c r="N6006" s="2"/>
      <c r="AD6006" s="3"/>
      <c r="AH6006" s="3"/>
      <c r="AL6006" s="3"/>
    </row>
    <row r="6007" spans="12:38" x14ac:dyDescent="0.25">
      <c r="L6007" s="2"/>
      <c r="M6007" s="2"/>
      <c r="N6007" s="2"/>
      <c r="AD6007" s="3"/>
      <c r="AH6007" s="3"/>
      <c r="AL6007" s="3"/>
    </row>
    <row r="6008" spans="12:38" x14ac:dyDescent="0.25">
      <c r="L6008" s="2"/>
      <c r="M6008" s="2"/>
      <c r="N6008" s="2"/>
      <c r="AD6008" s="3"/>
      <c r="AH6008" s="3"/>
      <c r="AL6008" s="3"/>
    </row>
    <row r="6009" spans="12:38" x14ac:dyDescent="0.25">
      <c r="L6009" s="2"/>
      <c r="M6009" s="2"/>
      <c r="N6009" s="2"/>
      <c r="AD6009" s="3"/>
      <c r="AH6009" s="3"/>
      <c r="AL6009" s="3"/>
    </row>
    <row r="6010" spans="12:38" x14ac:dyDescent="0.25">
      <c r="L6010" s="2"/>
      <c r="M6010" s="2"/>
      <c r="N6010" s="2"/>
      <c r="AD6010" s="3"/>
      <c r="AH6010" s="3"/>
      <c r="AL6010" s="3"/>
    </row>
    <row r="6011" spans="12:38" x14ac:dyDescent="0.25">
      <c r="L6011" s="2"/>
      <c r="M6011" s="2"/>
      <c r="N6011" s="2"/>
      <c r="AD6011" s="3"/>
      <c r="AH6011" s="3"/>
      <c r="AL6011" s="3"/>
    </row>
    <row r="6012" spans="12:38" x14ac:dyDescent="0.25">
      <c r="L6012" s="2"/>
      <c r="M6012" s="2"/>
      <c r="N6012" s="2"/>
      <c r="AD6012" s="3"/>
      <c r="AH6012" s="3"/>
      <c r="AL6012" s="3"/>
    </row>
    <row r="6013" spans="12:38" x14ac:dyDescent="0.25">
      <c r="L6013" s="2"/>
      <c r="M6013" s="2"/>
      <c r="N6013" s="2"/>
      <c r="AD6013" s="3"/>
      <c r="AH6013" s="3"/>
      <c r="AL6013" s="3"/>
    </row>
    <row r="6014" spans="12:38" x14ac:dyDescent="0.25">
      <c r="L6014" s="2"/>
      <c r="M6014" s="2"/>
      <c r="N6014" s="2"/>
      <c r="AD6014" s="3"/>
      <c r="AH6014" s="3"/>
      <c r="AL6014" s="3"/>
    </row>
    <row r="6015" spans="12:38" x14ac:dyDescent="0.25">
      <c r="L6015" s="2"/>
      <c r="M6015" s="2"/>
      <c r="N6015" s="2"/>
      <c r="AD6015" s="3"/>
      <c r="AH6015" s="3"/>
      <c r="AL6015" s="3"/>
    </row>
    <row r="6016" spans="12:38" x14ac:dyDescent="0.25">
      <c r="L6016" s="2"/>
      <c r="M6016" s="2"/>
      <c r="N6016" s="2"/>
      <c r="AD6016" s="3"/>
      <c r="AH6016" s="3"/>
      <c r="AL6016" s="3"/>
    </row>
    <row r="6017" spans="12:38" x14ac:dyDescent="0.25">
      <c r="L6017" s="2"/>
      <c r="M6017" s="2"/>
      <c r="N6017" s="2"/>
      <c r="AD6017" s="3"/>
      <c r="AH6017" s="3"/>
      <c r="AL6017" s="3"/>
    </row>
    <row r="6018" spans="12:38" x14ac:dyDescent="0.25">
      <c r="L6018" s="2"/>
      <c r="M6018" s="2"/>
      <c r="N6018" s="2"/>
      <c r="AD6018" s="3"/>
      <c r="AH6018" s="3"/>
      <c r="AL6018" s="3"/>
    </row>
    <row r="6019" spans="12:38" x14ac:dyDescent="0.25">
      <c r="L6019" s="2"/>
      <c r="M6019" s="2"/>
      <c r="N6019" s="2"/>
      <c r="AD6019" s="3"/>
      <c r="AH6019" s="3"/>
      <c r="AL6019" s="3"/>
    </row>
    <row r="6020" spans="12:38" x14ac:dyDescent="0.25">
      <c r="L6020" s="2"/>
      <c r="M6020" s="2"/>
      <c r="N6020" s="2"/>
      <c r="AD6020" s="3"/>
      <c r="AH6020" s="3"/>
      <c r="AL6020" s="3"/>
    </row>
    <row r="6021" spans="12:38" x14ac:dyDescent="0.25">
      <c r="L6021" s="2"/>
      <c r="M6021" s="2"/>
      <c r="N6021" s="2"/>
      <c r="AD6021" s="3"/>
      <c r="AH6021" s="3"/>
      <c r="AL6021" s="3"/>
    </row>
    <row r="6022" spans="12:38" x14ac:dyDescent="0.25">
      <c r="L6022" s="2"/>
      <c r="M6022" s="2"/>
      <c r="N6022" s="2"/>
      <c r="AD6022" s="3"/>
      <c r="AH6022" s="3"/>
      <c r="AL6022" s="3"/>
    </row>
    <row r="6023" spans="12:38" x14ac:dyDescent="0.25">
      <c r="L6023" s="2"/>
      <c r="M6023" s="2"/>
      <c r="N6023" s="2"/>
      <c r="AD6023" s="3"/>
      <c r="AH6023" s="3"/>
      <c r="AL6023" s="3"/>
    </row>
    <row r="6024" spans="12:38" x14ac:dyDescent="0.25">
      <c r="L6024" s="2"/>
      <c r="M6024" s="2"/>
      <c r="N6024" s="2"/>
      <c r="AD6024" s="3"/>
      <c r="AH6024" s="3"/>
      <c r="AL6024" s="3"/>
    </row>
    <row r="6025" spans="12:38" x14ac:dyDescent="0.25">
      <c r="L6025" s="2"/>
      <c r="M6025" s="2"/>
      <c r="N6025" s="2"/>
      <c r="AD6025" s="3"/>
      <c r="AH6025" s="3"/>
      <c r="AL6025" s="3"/>
    </row>
    <row r="6026" spans="12:38" x14ac:dyDescent="0.25">
      <c r="L6026" s="2"/>
      <c r="M6026" s="2"/>
      <c r="N6026" s="2"/>
      <c r="AD6026" s="3"/>
      <c r="AH6026" s="3"/>
      <c r="AL6026" s="3"/>
    </row>
    <row r="6027" spans="12:38" x14ac:dyDescent="0.25">
      <c r="L6027" s="2"/>
      <c r="M6027" s="2"/>
      <c r="N6027" s="2"/>
      <c r="AD6027" s="3"/>
      <c r="AH6027" s="3"/>
      <c r="AL6027" s="3"/>
    </row>
    <row r="6028" spans="12:38" x14ac:dyDescent="0.25">
      <c r="L6028" s="2"/>
      <c r="M6028" s="2"/>
      <c r="N6028" s="2"/>
      <c r="AD6028" s="3"/>
      <c r="AH6028" s="3"/>
      <c r="AL6028" s="3"/>
    </row>
    <row r="6029" spans="12:38" x14ac:dyDescent="0.25">
      <c r="L6029" s="2"/>
      <c r="M6029" s="2"/>
      <c r="N6029" s="2"/>
      <c r="AD6029" s="3"/>
      <c r="AH6029" s="3"/>
      <c r="AL6029" s="3"/>
    </row>
    <row r="6030" spans="12:38" x14ac:dyDescent="0.25">
      <c r="L6030" s="2"/>
      <c r="M6030" s="2"/>
      <c r="N6030" s="2"/>
      <c r="AD6030" s="3"/>
      <c r="AH6030" s="3"/>
      <c r="AL6030" s="3"/>
    </row>
    <row r="6031" spans="12:38" x14ac:dyDescent="0.25">
      <c r="L6031" s="2"/>
      <c r="M6031" s="2"/>
      <c r="N6031" s="2"/>
      <c r="AD6031" s="3"/>
      <c r="AH6031" s="3"/>
      <c r="AL6031" s="3"/>
    </row>
    <row r="6032" spans="12:38" x14ac:dyDescent="0.25">
      <c r="L6032" s="2"/>
      <c r="M6032" s="2"/>
      <c r="N6032" s="2"/>
      <c r="AD6032" s="3"/>
      <c r="AH6032" s="3"/>
      <c r="AL6032" s="3"/>
    </row>
    <row r="6033" spans="12:38" x14ac:dyDescent="0.25">
      <c r="L6033" s="2"/>
      <c r="M6033" s="2"/>
      <c r="N6033" s="2"/>
      <c r="AD6033" s="3"/>
      <c r="AH6033" s="3"/>
      <c r="AL6033" s="3"/>
    </row>
    <row r="6034" spans="12:38" x14ac:dyDescent="0.25">
      <c r="L6034" s="2"/>
      <c r="M6034" s="2"/>
      <c r="N6034" s="2"/>
      <c r="AD6034" s="3"/>
      <c r="AH6034" s="3"/>
      <c r="AL6034" s="3"/>
    </row>
    <row r="6035" spans="12:38" x14ac:dyDescent="0.25">
      <c r="L6035" s="2"/>
      <c r="M6035" s="2"/>
      <c r="N6035" s="2"/>
      <c r="AD6035" s="3"/>
      <c r="AH6035" s="3"/>
      <c r="AL6035" s="3"/>
    </row>
    <row r="6036" spans="12:38" x14ac:dyDescent="0.25">
      <c r="L6036" s="2"/>
      <c r="M6036" s="2"/>
      <c r="N6036" s="2"/>
      <c r="AD6036" s="3"/>
      <c r="AH6036" s="3"/>
      <c r="AL6036" s="3"/>
    </row>
    <row r="6037" spans="12:38" x14ac:dyDescent="0.25">
      <c r="L6037" s="2"/>
      <c r="M6037" s="2"/>
      <c r="N6037" s="2"/>
      <c r="AD6037" s="3"/>
      <c r="AH6037" s="3"/>
      <c r="AL6037" s="3"/>
    </row>
    <row r="6038" spans="12:38" x14ac:dyDescent="0.25">
      <c r="L6038" s="2"/>
      <c r="M6038" s="2"/>
      <c r="N6038" s="2"/>
      <c r="AD6038" s="3"/>
      <c r="AH6038" s="3"/>
      <c r="AL6038" s="3"/>
    </row>
    <row r="6039" spans="12:38" x14ac:dyDescent="0.25">
      <c r="L6039" s="2"/>
      <c r="M6039" s="2"/>
      <c r="N6039" s="2"/>
      <c r="AD6039" s="3"/>
      <c r="AH6039" s="3"/>
      <c r="AL6039" s="3"/>
    </row>
    <row r="6040" spans="12:38" x14ac:dyDescent="0.25">
      <c r="L6040" s="2"/>
      <c r="M6040" s="2"/>
      <c r="N6040" s="2"/>
      <c r="AD6040" s="3"/>
      <c r="AH6040" s="3"/>
      <c r="AL6040" s="3"/>
    </row>
    <row r="6041" spans="12:38" x14ac:dyDescent="0.25">
      <c r="L6041" s="2"/>
      <c r="M6041" s="2"/>
      <c r="N6041" s="2"/>
      <c r="AD6041" s="3"/>
      <c r="AH6041" s="3"/>
      <c r="AL6041" s="3"/>
    </row>
    <row r="6042" spans="12:38" x14ac:dyDescent="0.25">
      <c r="L6042" s="2"/>
      <c r="M6042" s="2"/>
      <c r="N6042" s="2"/>
      <c r="AD6042" s="3"/>
      <c r="AH6042" s="3"/>
      <c r="AL6042" s="3"/>
    </row>
    <row r="6043" spans="12:38" x14ac:dyDescent="0.25">
      <c r="L6043" s="2"/>
      <c r="M6043" s="2"/>
      <c r="N6043" s="2"/>
      <c r="AD6043" s="3"/>
      <c r="AH6043" s="3"/>
      <c r="AL6043" s="3"/>
    </row>
    <row r="6044" spans="12:38" x14ac:dyDescent="0.25">
      <c r="L6044" s="2"/>
      <c r="M6044" s="2"/>
      <c r="N6044" s="2"/>
      <c r="AD6044" s="3"/>
      <c r="AH6044" s="3"/>
      <c r="AL6044" s="3"/>
    </row>
    <row r="6045" spans="12:38" x14ac:dyDescent="0.25">
      <c r="L6045" s="2"/>
      <c r="M6045" s="2"/>
      <c r="N6045" s="2"/>
      <c r="AD6045" s="3"/>
      <c r="AH6045" s="3"/>
      <c r="AL6045" s="3"/>
    </row>
    <row r="6046" spans="12:38" x14ac:dyDescent="0.25">
      <c r="L6046" s="2"/>
      <c r="M6046" s="2"/>
      <c r="N6046" s="2"/>
      <c r="AD6046" s="3"/>
      <c r="AH6046" s="3"/>
      <c r="AL6046" s="3"/>
    </row>
    <row r="6047" spans="12:38" x14ac:dyDescent="0.25">
      <c r="L6047" s="2"/>
      <c r="M6047" s="2"/>
      <c r="N6047" s="2"/>
      <c r="AD6047" s="3"/>
      <c r="AH6047" s="3"/>
      <c r="AL6047" s="3"/>
    </row>
    <row r="6048" spans="12:38" x14ac:dyDescent="0.25">
      <c r="L6048" s="2"/>
      <c r="M6048" s="2"/>
      <c r="N6048" s="2"/>
      <c r="AD6048" s="3"/>
      <c r="AH6048" s="3"/>
      <c r="AL6048" s="3"/>
    </row>
    <row r="6049" spans="12:38" x14ac:dyDescent="0.25">
      <c r="L6049" s="2"/>
      <c r="M6049" s="2"/>
      <c r="N6049" s="2"/>
      <c r="AD6049" s="3"/>
      <c r="AH6049" s="3"/>
      <c r="AL6049" s="3"/>
    </row>
    <row r="6050" spans="12:38" x14ac:dyDescent="0.25">
      <c r="L6050" s="2"/>
      <c r="M6050" s="2"/>
      <c r="N6050" s="2"/>
      <c r="AD6050" s="3"/>
      <c r="AH6050" s="3"/>
      <c r="AL6050" s="3"/>
    </row>
    <row r="6051" spans="12:38" x14ac:dyDescent="0.25">
      <c r="L6051" s="2"/>
      <c r="M6051" s="2"/>
      <c r="N6051" s="2"/>
      <c r="AD6051" s="3"/>
      <c r="AH6051" s="3"/>
      <c r="AL6051" s="3"/>
    </row>
    <row r="6052" spans="12:38" x14ac:dyDescent="0.25">
      <c r="L6052" s="2"/>
      <c r="M6052" s="2"/>
      <c r="N6052" s="2"/>
      <c r="AD6052" s="3"/>
      <c r="AH6052" s="3"/>
      <c r="AL6052" s="3"/>
    </row>
    <row r="6053" spans="12:38" x14ac:dyDescent="0.25">
      <c r="L6053" s="2"/>
      <c r="M6053" s="2"/>
      <c r="N6053" s="2"/>
      <c r="AD6053" s="3"/>
      <c r="AH6053" s="3"/>
      <c r="AL6053" s="3"/>
    </row>
    <row r="6054" spans="12:38" x14ac:dyDescent="0.25">
      <c r="L6054" s="2"/>
      <c r="M6054" s="2"/>
      <c r="N6054" s="2"/>
      <c r="AD6054" s="3"/>
      <c r="AH6054" s="3"/>
      <c r="AL6054" s="3"/>
    </row>
    <row r="6055" spans="12:38" x14ac:dyDescent="0.25">
      <c r="L6055" s="2"/>
      <c r="M6055" s="2"/>
      <c r="N6055" s="2"/>
      <c r="AD6055" s="3"/>
      <c r="AH6055" s="3"/>
      <c r="AL6055" s="3"/>
    </row>
    <row r="6056" spans="12:38" x14ac:dyDescent="0.25">
      <c r="L6056" s="2"/>
      <c r="M6056" s="2"/>
      <c r="N6056" s="2"/>
      <c r="AD6056" s="3"/>
      <c r="AH6056" s="3"/>
      <c r="AL6056" s="3"/>
    </row>
    <row r="6057" spans="12:38" x14ac:dyDescent="0.25">
      <c r="L6057" s="2"/>
      <c r="M6057" s="2"/>
      <c r="N6057" s="2"/>
      <c r="AD6057" s="3"/>
      <c r="AH6057" s="3"/>
      <c r="AL6057" s="3"/>
    </row>
    <row r="6058" spans="12:38" x14ac:dyDescent="0.25">
      <c r="L6058" s="2"/>
      <c r="M6058" s="2"/>
      <c r="N6058" s="2"/>
      <c r="AD6058" s="3"/>
      <c r="AH6058" s="3"/>
      <c r="AL6058" s="3"/>
    </row>
    <row r="6059" spans="12:38" x14ac:dyDescent="0.25">
      <c r="L6059" s="2"/>
      <c r="M6059" s="2"/>
      <c r="N6059" s="2"/>
      <c r="AD6059" s="3"/>
      <c r="AH6059" s="3"/>
      <c r="AL6059" s="3"/>
    </row>
    <row r="6060" spans="12:38" x14ac:dyDescent="0.25">
      <c r="L6060" s="2"/>
      <c r="M6060" s="2"/>
      <c r="N6060" s="2"/>
      <c r="AD6060" s="3"/>
      <c r="AH6060" s="3"/>
      <c r="AL6060" s="3"/>
    </row>
    <row r="6061" spans="12:38" x14ac:dyDescent="0.25">
      <c r="L6061" s="2"/>
      <c r="M6061" s="2"/>
      <c r="N6061" s="2"/>
      <c r="AD6061" s="3"/>
      <c r="AH6061" s="3"/>
      <c r="AL6061" s="3"/>
    </row>
    <row r="6062" spans="12:38" x14ac:dyDescent="0.25">
      <c r="L6062" s="2"/>
      <c r="M6062" s="2"/>
      <c r="N6062" s="2"/>
      <c r="AD6062" s="3"/>
      <c r="AH6062" s="3"/>
      <c r="AL6062" s="3"/>
    </row>
    <row r="6063" spans="12:38" x14ac:dyDescent="0.25">
      <c r="L6063" s="2"/>
      <c r="M6063" s="2"/>
      <c r="N6063" s="2"/>
      <c r="AD6063" s="3"/>
      <c r="AH6063" s="3"/>
      <c r="AL6063" s="3"/>
    </row>
    <row r="6064" spans="12:38" x14ac:dyDescent="0.25">
      <c r="L6064" s="2"/>
      <c r="M6064" s="2"/>
      <c r="N6064" s="2"/>
      <c r="AD6064" s="3"/>
      <c r="AH6064" s="3"/>
      <c r="AL6064" s="3"/>
    </row>
    <row r="6065" spans="12:38" x14ac:dyDescent="0.25">
      <c r="L6065" s="2"/>
      <c r="M6065" s="2"/>
      <c r="N6065" s="2"/>
      <c r="AD6065" s="3"/>
      <c r="AH6065" s="3"/>
      <c r="AL6065" s="3"/>
    </row>
    <row r="6066" spans="12:38" x14ac:dyDescent="0.25">
      <c r="L6066" s="2"/>
      <c r="M6066" s="2"/>
      <c r="N6066" s="2"/>
      <c r="AD6066" s="3"/>
      <c r="AH6066" s="3"/>
      <c r="AL6066" s="3"/>
    </row>
    <row r="6067" spans="12:38" x14ac:dyDescent="0.25">
      <c r="L6067" s="2"/>
      <c r="M6067" s="2"/>
      <c r="N6067" s="2"/>
      <c r="AD6067" s="3"/>
      <c r="AH6067" s="3"/>
      <c r="AL6067" s="3"/>
    </row>
    <row r="6068" spans="12:38" x14ac:dyDescent="0.25">
      <c r="L6068" s="2"/>
      <c r="M6068" s="2"/>
      <c r="N6068" s="2"/>
      <c r="AD6068" s="3"/>
      <c r="AH6068" s="3"/>
      <c r="AL6068" s="3"/>
    </row>
    <row r="6069" spans="12:38" x14ac:dyDescent="0.25">
      <c r="L6069" s="2"/>
      <c r="M6069" s="2"/>
      <c r="N6069" s="2"/>
      <c r="AD6069" s="3"/>
      <c r="AH6069" s="3"/>
      <c r="AL6069" s="3"/>
    </row>
    <row r="6070" spans="12:38" x14ac:dyDescent="0.25">
      <c r="L6070" s="2"/>
      <c r="M6070" s="2"/>
      <c r="N6070" s="2"/>
      <c r="AD6070" s="3"/>
      <c r="AH6070" s="3"/>
      <c r="AL6070" s="3"/>
    </row>
    <row r="6071" spans="12:38" x14ac:dyDescent="0.25">
      <c r="L6071" s="2"/>
      <c r="M6071" s="2"/>
      <c r="N6071" s="2"/>
      <c r="AD6071" s="3"/>
      <c r="AH6071" s="3"/>
      <c r="AL6071" s="3"/>
    </row>
    <row r="6072" spans="12:38" x14ac:dyDescent="0.25">
      <c r="L6072" s="2"/>
      <c r="M6072" s="2"/>
      <c r="N6072" s="2"/>
      <c r="AD6072" s="3"/>
      <c r="AH6072" s="3"/>
      <c r="AL6072" s="3"/>
    </row>
    <row r="6073" spans="12:38" x14ac:dyDescent="0.25">
      <c r="L6073" s="2"/>
      <c r="M6073" s="2"/>
      <c r="N6073" s="2"/>
      <c r="AD6073" s="3"/>
      <c r="AH6073" s="3"/>
      <c r="AL6073" s="3"/>
    </row>
    <row r="6074" spans="12:38" x14ac:dyDescent="0.25">
      <c r="L6074" s="2"/>
      <c r="M6074" s="2"/>
      <c r="N6074" s="2"/>
      <c r="AD6074" s="3"/>
      <c r="AH6074" s="3"/>
      <c r="AL6074" s="3"/>
    </row>
    <row r="6075" spans="12:38" x14ac:dyDescent="0.25">
      <c r="L6075" s="2"/>
      <c r="M6075" s="2"/>
      <c r="N6075" s="2"/>
      <c r="AD6075" s="3"/>
      <c r="AH6075" s="3"/>
      <c r="AL6075" s="3"/>
    </row>
    <row r="6076" spans="12:38" x14ac:dyDescent="0.25">
      <c r="L6076" s="2"/>
      <c r="M6076" s="2"/>
      <c r="N6076" s="2"/>
      <c r="AD6076" s="3"/>
      <c r="AH6076" s="3"/>
      <c r="AL6076" s="3"/>
    </row>
    <row r="6077" spans="12:38" x14ac:dyDescent="0.25">
      <c r="L6077" s="2"/>
      <c r="M6077" s="2"/>
      <c r="N6077" s="2"/>
      <c r="AD6077" s="3"/>
      <c r="AH6077" s="3"/>
      <c r="AL6077" s="3"/>
    </row>
    <row r="6078" spans="12:38" x14ac:dyDescent="0.25">
      <c r="L6078" s="2"/>
      <c r="M6078" s="2"/>
      <c r="N6078" s="2"/>
      <c r="AD6078" s="3"/>
      <c r="AH6078" s="3"/>
      <c r="AL6078" s="3"/>
    </row>
    <row r="6079" spans="12:38" x14ac:dyDescent="0.25">
      <c r="L6079" s="2"/>
      <c r="M6079" s="2"/>
      <c r="N6079" s="2"/>
      <c r="AD6079" s="3"/>
      <c r="AH6079" s="3"/>
      <c r="AL6079" s="3"/>
    </row>
    <row r="6080" spans="12:38" x14ac:dyDescent="0.25">
      <c r="L6080" s="2"/>
      <c r="M6080" s="2"/>
      <c r="N6080" s="2"/>
      <c r="AD6080" s="3"/>
      <c r="AH6080" s="3"/>
      <c r="AL6080" s="3"/>
    </row>
    <row r="6081" spans="12:38" x14ac:dyDescent="0.25">
      <c r="L6081" s="2"/>
      <c r="M6081" s="2"/>
      <c r="N6081" s="2"/>
      <c r="AD6081" s="3"/>
      <c r="AH6081" s="3"/>
      <c r="AL6081" s="3"/>
    </row>
    <row r="6082" spans="12:38" x14ac:dyDescent="0.25">
      <c r="L6082" s="2"/>
      <c r="M6082" s="2"/>
      <c r="N6082" s="2"/>
      <c r="AD6082" s="3"/>
      <c r="AH6082" s="3"/>
      <c r="AL6082" s="3"/>
    </row>
    <row r="6083" spans="12:38" x14ac:dyDescent="0.25">
      <c r="L6083" s="2"/>
      <c r="M6083" s="2"/>
      <c r="N6083" s="2"/>
      <c r="AD6083" s="3"/>
      <c r="AH6083" s="3"/>
      <c r="AL6083" s="3"/>
    </row>
    <row r="6084" spans="12:38" x14ac:dyDescent="0.25">
      <c r="L6084" s="2"/>
      <c r="M6084" s="2"/>
      <c r="N6084" s="2"/>
      <c r="AD6084" s="3"/>
      <c r="AH6084" s="3"/>
      <c r="AL6084" s="3"/>
    </row>
    <row r="6085" spans="12:38" x14ac:dyDescent="0.25">
      <c r="L6085" s="2"/>
      <c r="M6085" s="2"/>
      <c r="N6085" s="2"/>
      <c r="AD6085" s="3"/>
      <c r="AH6085" s="3"/>
      <c r="AL6085" s="3"/>
    </row>
    <row r="6086" spans="12:38" x14ac:dyDescent="0.25">
      <c r="L6086" s="2"/>
      <c r="M6086" s="2"/>
      <c r="N6086" s="2"/>
      <c r="AD6086" s="3"/>
      <c r="AH6086" s="3"/>
      <c r="AL6086" s="3"/>
    </row>
    <row r="6087" spans="12:38" x14ac:dyDescent="0.25">
      <c r="L6087" s="2"/>
      <c r="M6087" s="2"/>
      <c r="N6087" s="2"/>
      <c r="AD6087" s="3"/>
      <c r="AH6087" s="3"/>
      <c r="AL6087" s="3"/>
    </row>
    <row r="6088" spans="12:38" x14ac:dyDescent="0.25">
      <c r="L6088" s="2"/>
      <c r="M6088" s="2"/>
      <c r="N6088" s="2"/>
      <c r="AD6088" s="3"/>
      <c r="AH6088" s="3"/>
      <c r="AL6088" s="3"/>
    </row>
    <row r="6089" spans="12:38" x14ac:dyDescent="0.25">
      <c r="L6089" s="2"/>
      <c r="M6089" s="2"/>
      <c r="N6089" s="2"/>
      <c r="AD6089" s="3"/>
      <c r="AH6089" s="3"/>
      <c r="AL6089" s="3"/>
    </row>
    <row r="6090" spans="12:38" x14ac:dyDescent="0.25">
      <c r="L6090" s="2"/>
      <c r="M6090" s="2"/>
      <c r="N6090" s="2"/>
      <c r="AD6090" s="3"/>
      <c r="AH6090" s="3"/>
      <c r="AL6090" s="3"/>
    </row>
    <row r="6091" spans="12:38" x14ac:dyDescent="0.25">
      <c r="L6091" s="2"/>
      <c r="M6091" s="2"/>
      <c r="N6091" s="2"/>
      <c r="AD6091" s="3"/>
      <c r="AH6091" s="3"/>
      <c r="AL6091" s="3"/>
    </row>
    <row r="6092" spans="12:38" x14ac:dyDescent="0.25">
      <c r="L6092" s="2"/>
      <c r="M6092" s="2"/>
      <c r="N6092" s="2"/>
      <c r="AD6092" s="3"/>
      <c r="AH6092" s="3"/>
      <c r="AL6092" s="3"/>
    </row>
    <row r="6093" spans="12:38" x14ac:dyDescent="0.25">
      <c r="L6093" s="2"/>
      <c r="M6093" s="2"/>
      <c r="N6093" s="2"/>
      <c r="AD6093" s="3"/>
      <c r="AH6093" s="3"/>
      <c r="AL6093" s="3"/>
    </row>
    <row r="6094" spans="12:38" x14ac:dyDescent="0.25">
      <c r="L6094" s="2"/>
      <c r="M6094" s="2"/>
      <c r="N6094" s="2"/>
      <c r="AD6094" s="3"/>
      <c r="AH6094" s="3"/>
      <c r="AL6094" s="3"/>
    </row>
    <row r="6095" spans="12:38" x14ac:dyDescent="0.25">
      <c r="L6095" s="2"/>
      <c r="M6095" s="2"/>
      <c r="N6095" s="2"/>
      <c r="AD6095" s="3"/>
      <c r="AH6095" s="3"/>
      <c r="AL6095" s="3"/>
    </row>
    <row r="6096" spans="12:38" x14ac:dyDescent="0.25">
      <c r="L6096" s="2"/>
      <c r="M6096" s="2"/>
      <c r="N6096" s="2"/>
      <c r="AD6096" s="3"/>
      <c r="AH6096" s="3"/>
      <c r="AL6096" s="3"/>
    </row>
    <row r="6097" spans="12:38" x14ac:dyDescent="0.25">
      <c r="L6097" s="2"/>
      <c r="M6097" s="2"/>
      <c r="N6097" s="2"/>
      <c r="AD6097" s="3"/>
      <c r="AH6097" s="3"/>
      <c r="AL6097" s="3"/>
    </row>
    <row r="6098" spans="12:38" x14ac:dyDescent="0.25">
      <c r="L6098" s="2"/>
      <c r="M6098" s="2"/>
      <c r="N6098" s="2"/>
      <c r="AD6098" s="3"/>
      <c r="AH6098" s="3"/>
      <c r="AL6098" s="3"/>
    </row>
    <row r="6099" spans="12:38" x14ac:dyDescent="0.25">
      <c r="L6099" s="2"/>
      <c r="M6099" s="2"/>
      <c r="N6099" s="2"/>
      <c r="AD6099" s="3"/>
      <c r="AH6099" s="3"/>
      <c r="AL6099" s="3"/>
    </row>
    <row r="6100" spans="12:38" x14ac:dyDescent="0.25">
      <c r="L6100" s="2"/>
      <c r="M6100" s="2"/>
      <c r="N6100" s="2"/>
      <c r="AD6100" s="3"/>
      <c r="AH6100" s="3"/>
      <c r="AL6100" s="3"/>
    </row>
    <row r="6101" spans="12:38" x14ac:dyDescent="0.25">
      <c r="L6101" s="2"/>
      <c r="M6101" s="2"/>
      <c r="N6101" s="2"/>
      <c r="AD6101" s="3"/>
      <c r="AH6101" s="3"/>
      <c r="AL6101" s="3"/>
    </row>
    <row r="6102" spans="12:38" x14ac:dyDescent="0.25">
      <c r="L6102" s="2"/>
      <c r="M6102" s="2"/>
      <c r="N6102" s="2"/>
      <c r="AD6102" s="3"/>
      <c r="AH6102" s="3"/>
      <c r="AL6102" s="3"/>
    </row>
    <row r="6103" spans="12:38" x14ac:dyDescent="0.25">
      <c r="L6103" s="2"/>
      <c r="M6103" s="2"/>
      <c r="N6103" s="2"/>
      <c r="AD6103" s="3"/>
      <c r="AH6103" s="3"/>
      <c r="AL6103" s="3"/>
    </row>
    <row r="6104" spans="12:38" x14ac:dyDescent="0.25">
      <c r="L6104" s="2"/>
      <c r="M6104" s="2"/>
      <c r="N6104" s="2"/>
      <c r="AD6104" s="3"/>
      <c r="AH6104" s="3"/>
      <c r="AL6104" s="3"/>
    </row>
    <row r="6105" spans="12:38" x14ac:dyDescent="0.25">
      <c r="L6105" s="2"/>
      <c r="M6105" s="2"/>
      <c r="N6105" s="2"/>
      <c r="AD6105" s="3"/>
      <c r="AH6105" s="3"/>
      <c r="AL6105" s="3"/>
    </row>
    <row r="6106" spans="12:38" x14ac:dyDescent="0.25">
      <c r="L6106" s="2"/>
      <c r="M6106" s="2"/>
      <c r="N6106" s="2"/>
      <c r="AD6106" s="3"/>
      <c r="AH6106" s="3"/>
      <c r="AL6106" s="3"/>
    </row>
    <row r="6107" spans="12:38" x14ac:dyDescent="0.25">
      <c r="L6107" s="2"/>
      <c r="M6107" s="2"/>
      <c r="N6107" s="2"/>
      <c r="AD6107" s="3"/>
      <c r="AH6107" s="3"/>
      <c r="AL6107" s="3"/>
    </row>
    <row r="6108" spans="12:38" x14ac:dyDescent="0.25">
      <c r="L6108" s="2"/>
      <c r="M6108" s="2"/>
      <c r="N6108" s="2"/>
      <c r="AD6108" s="3"/>
      <c r="AH6108" s="3"/>
      <c r="AL6108" s="3"/>
    </row>
    <row r="6109" spans="12:38" x14ac:dyDescent="0.25">
      <c r="L6109" s="2"/>
      <c r="M6109" s="2"/>
      <c r="N6109" s="2"/>
      <c r="AD6109" s="3"/>
      <c r="AH6109" s="3"/>
      <c r="AL6109" s="3"/>
    </row>
    <row r="6110" spans="12:38" x14ac:dyDescent="0.25">
      <c r="L6110" s="2"/>
      <c r="M6110" s="2"/>
      <c r="N6110" s="2"/>
      <c r="AD6110" s="3"/>
      <c r="AH6110" s="3"/>
      <c r="AL6110" s="3"/>
    </row>
    <row r="6111" spans="12:38" x14ac:dyDescent="0.25">
      <c r="L6111" s="2"/>
      <c r="M6111" s="2"/>
      <c r="N6111" s="2"/>
      <c r="AD6111" s="3"/>
      <c r="AH6111" s="3"/>
      <c r="AL6111" s="3"/>
    </row>
    <row r="6112" spans="12:38" x14ac:dyDescent="0.25">
      <c r="L6112" s="2"/>
      <c r="M6112" s="2"/>
      <c r="N6112" s="2"/>
      <c r="AD6112" s="3"/>
      <c r="AH6112" s="3"/>
      <c r="AL6112" s="3"/>
    </row>
    <row r="6113" spans="12:38" x14ac:dyDescent="0.25">
      <c r="L6113" s="2"/>
      <c r="M6113" s="2"/>
      <c r="N6113" s="2"/>
      <c r="AD6113" s="3"/>
      <c r="AH6113" s="3"/>
      <c r="AL6113" s="3"/>
    </row>
    <row r="6114" spans="12:38" x14ac:dyDescent="0.25">
      <c r="L6114" s="2"/>
      <c r="M6114" s="2"/>
      <c r="N6114" s="2"/>
      <c r="AD6114" s="3"/>
      <c r="AH6114" s="3"/>
      <c r="AL6114" s="3"/>
    </row>
    <row r="6115" spans="12:38" x14ac:dyDescent="0.25">
      <c r="L6115" s="2"/>
      <c r="M6115" s="2"/>
      <c r="N6115" s="2"/>
      <c r="AD6115" s="3"/>
      <c r="AH6115" s="3"/>
      <c r="AL6115" s="3"/>
    </row>
    <row r="6116" spans="12:38" x14ac:dyDescent="0.25">
      <c r="L6116" s="2"/>
      <c r="M6116" s="2"/>
      <c r="N6116" s="2"/>
      <c r="AD6116" s="3"/>
      <c r="AH6116" s="3"/>
      <c r="AL6116" s="3"/>
    </row>
    <row r="6117" spans="12:38" x14ac:dyDescent="0.25">
      <c r="L6117" s="2"/>
      <c r="M6117" s="2"/>
      <c r="N6117" s="2"/>
      <c r="AD6117" s="3"/>
      <c r="AH6117" s="3"/>
      <c r="AL6117" s="3"/>
    </row>
    <row r="6118" spans="12:38" x14ac:dyDescent="0.25">
      <c r="L6118" s="2"/>
      <c r="M6118" s="2"/>
      <c r="N6118" s="2"/>
      <c r="AD6118" s="3"/>
      <c r="AH6118" s="3"/>
      <c r="AL6118" s="3"/>
    </row>
    <row r="6119" spans="12:38" x14ac:dyDescent="0.25">
      <c r="L6119" s="2"/>
      <c r="M6119" s="2"/>
      <c r="N6119" s="2"/>
      <c r="AD6119" s="3"/>
      <c r="AH6119" s="3"/>
      <c r="AL6119" s="3"/>
    </row>
    <row r="6120" spans="12:38" x14ac:dyDescent="0.25">
      <c r="L6120" s="2"/>
      <c r="M6120" s="2"/>
      <c r="N6120" s="2"/>
      <c r="AD6120" s="3"/>
      <c r="AH6120" s="3"/>
      <c r="AL6120" s="3"/>
    </row>
    <row r="6121" spans="12:38" x14ac:dyDescent="0.25">
      <c r="L6121" s="2"/>
      <c r="M6121" s="2"/>
      <c r="N6121" s="2"/>
      <c r="AD6121" s="3"/>
      <c r="AH6121" s="3"/>
      <c r="AL6121" s="3"/>
    </row>
    <row r="6122" spans="12:38" x14ac:dyDescent="0.25">
      <c r="L6122" s="2"/>
      <c r="M6122" s="2"/>
      <c r="N6122" s="2"/>
      <c r="AD6122" s="3"/>
      <c r="AH6122" s="3"/>
      <c r="AL6122" s="3"/>
    </row>
    <row r="6123" spans="12:38" x14ac:dyDescent="0.25">
      <c r="L6123" s="2"/>
      <c r="M6123" s="2"/>
      <c r="N6123" s="2"/>
      <c r="AD6123" s="3"/>
      <c r="AH6123" s="3"/>
      <c r="AL6123" s="3"/>
    </row>
    <row r="6124" spans="12:38" x14ac:dyDescent="0.25">
      <c r="L6124" s="2"/>
      <c r="M6124" s="2"/>
      <c r="N6124" s="2"/>
      <c r="AD6124" s="3"/>
      <c r="AH6124" s="3"/>
      <c r="AL6124" s="3"/>
    </row>
    <row r="6125" spans="12:38" x14ac:dyDescent="0.25">
      <c r="L6125" s="2"/>
      <c r="M6125" s="2"/>
      <c r="N6125" s="2"/>
      <c r="AD6125" s="3"/>
      <c r="AH6125" s="3"/>
      <c r="AL6125" s="3"/>
    </row>
    <row r="6126" spans="12:38" x14ac:dyDescent="0.25">
      <c r="L6126" s="2"/>
      <c r="M6126" s="2"/>
      <c r="N6126" s="2"/>
      <c r="AD6126" s="3"/>
      <c r="AH6126" s="3"/>
      <c r="AL6126" s="3"/>
    </row>
    <row r="6127" spans="12:38" x14ac:dyDescent="0.25">
      <c r="L6127" s="2"/>
      <c r="M6127" s="2"/>
      <c r="N6127" s="2"/>
      <c r="AD6127" s="3"/>
      <c r="AH6127" s="3"/>
      <c r="AL6127" s="3"/>
    </row>
    <row r="6128" spans="12:38" x14ac:dyDescent="0.25">
      <c r="L6128" s="2"/>
      <c r="M6128" s="2"/>
      <c r="N6128" s="2"/>
      <c r="AD6128" s="3"/>
      <c r="AH6128" s="3"/>
      <c r="AL6128" s="3"/>
    </row>
    <row r="6129" spans="12:38" x14ac:dyDescent="0.25">
      <c r="L6129" s="2"/>
      <c r="M6129" s="2"/>
      <c r="N6129" s="2"/>
      <c r="AD6129" s="3"/>
      <c r="AH6129" s="3"/>
      <c r="AL6129" s="3"/>
    </row>
    <row r="6130" spans="12:38" x14ac:dyDescent="0.25">
      <c r="L6130" s="2"/>
      <c r="M6130" s="2"/>
      <c r="N6130" s="2"/>
      <c r="AD6130" s="3"/>
      <c r="AH6130" s="3"/>
      <c r="AL6130" s="3"/>
    </row>
    <row r="6131" spans="12:38" x14ac:dyDescent="0.25">
      <c r="L6131" s="2"/>
      <c r="M6131" s="2"/>
      <c r="N6131" s="2"/>
      <c r="AD6131" s="3"/>
      <c r="AH6131" s="3"/>
      <c r="AL6131" s="3"/>
    </row>
    <row r="6132" spans="12:38" x14ac:dyDescent="0.25">
      <c r="L6132" s="2"/>
      <c r="M6132" s="2"/>
      <c r="N6132" s="2"/>
      <c r="AD6132" s="3"/>
      <c r="AH6132" s="3"/>
      <c r="AL6132" s="3"/>
    </row>
    <row r="6133" spans="12:38" x14ac:dyDescent="0.25">
      <c r="L6133" s="2"/>
      <c r="M6133" s="2"/>
      <c r="N6133" s="2"/>
      <c r="AD6133" s="3"/>
      <c r="AH6133" s="3"/>
      <c r="AL6133" s="3"/>
    </row>
    <row r="6134" spans="12:38" x14ac:dyDescent="0.25">
      <c r="L6134" s="2"/>
      <c r="M6134" s="2"/>
      <c r="N6134" s="2"/>
      <c r="AD6134" s="3"/>
      <c r="AH6134" s="3"/>
      <c r="AL6134" s="3"/>
    </row>
    <row r="6135" spans="12:38" x14ac:dyDescent="0.25">
      <c r="L6135" s="2"/>
      <c r="M6135" s="2"/>
      <c r="N6135" s="2"/>
      <c r="AD6135" s="3"/>
      <c r="AH6135" s="3"/>
      <c r="AL6135" s="3"/>
    </row>
    <row r="6136" spans="12:38" x14ac:dyDescent="0.25">
      <c r="L6136" s="2"/>
      <c r="M6136" s="2"/>
      <c r="N6136" s="2"/>
      <c r="AD6136" s="3"/>
      <c r="AH6136" s="3"/>
      <c r="AL6136" s="3"/>
    </row>
    <row r="6137" spans="12:38" x14ac:dyDescent="0.25">
      <c r="L6137" s="2"/>
      <c r="M6137" s="2"/>
      <c r="N6137" s="2"/>
      <c r="AD6137" s="3"/>
      <c r="AH6137" s="3"/>
      <c r="AL6137" s="3"/>
    </row>
    <row r="6138" spans="12:38" x14ac:dyDescent="0.25">
      <c r="L6138" s="2"/>
      <c r="M6138" s="2"/>
      <c r="N6138" s="2"/>
      <c r="AD6138" s="3"/>
      <c r="AH6138" s="3"/>
      <c r="AL6138" s="3"/>
    </row>
    <row r="6139" spans="12:38" x14ac:dyDescent="0.25">
      <c r="L6139" s="2"/>
      <c r="M6139" s="2"/>
      <c r="N6139" s="2"/>
      <c r="AD6139" s="3"/>
      <c r="AH6139" s="3"/>
      <c r="AL6139" s="3"/>
    </row>
    <row r="6140" spans="12:38" x14ac:dyDescent="0.25">
      <c r="L6140" s="2"/>
      <c r="M6140" s="2"/>
      <c r="N6140" s="2"/>
      <c r="AD6140" s="3"/>
      <c r="AH6140" s="3"/>
      <c r="AL6140" s="3"/>
    </row>
    <row r="6141" spans="12:38" x14ac:dyDescent="0.25">
      <c r="L6141" s="2"/>
      <c r="M6141" s="2"/>
      <c r="N6141" s="2"/>
      <c r="AD6141" s="3"/>
      <c r="AH6141" s="3"/>
      <c r="AL6141" s="3"/>
    </row>
    <row r="6142" spans="12:38" x14ac:dyDescent="0.25">
      <c r="L6142" s="2"/>
      <c r="M6142" s="2"/>
      <c r="N6142" s="2"/>
      <c r="AD6142" s="3"/>
      <c r="AH6142" s="3"/>
      <c r="AL6142" s="3"/>
    </row>
    <row r="6143" spans="12:38" x14ac:dyDescent="0.25">
      <c r="L6143" s="2"/>
      <c r="M6143" s="2"/>
      <c r="N6143" s="2"/>
      <c r="AD6143" s="3"/>
      <c r="AH6143" s="3"/>
      <c r="AL6143" s="3"/>
    </row>
    <row r="6144" spans="12:38" x14ac:dyDescent="0.25">
      <c r="L6144" s="2"/>
      <c r="M6144" s="2"/>
      <c r="N6144" s="2"/>
      <c r="AD6144" s="3"/>
      <c r="AH6144" s="3"/>
      <c r="AL6144" s="3"/>
    </row>
    <row r="6145" spans="12:38" x14ac:dyDescent="0.25">
      <c r="L6145" s="2"/>
      <c r="M6145" s="2"/>
      <c r="N6145" s="2"/>
      <c r="AD6145" s="3"/>
      <c r="AH6145" s="3"/>
      <c r="AL6145" s="3"/>
    </row>
    <row r="6146" spans="12:38" x14ac:dyDescent="0.25">
      <c r="L6146" s="2"/>
      <c r="M6146" s="2"/>
      <c r="N6146" s="2"/>
      <c r="AD6146" s="3"/>
      <c r="AH6146" s="3"/>
      <c r="AL6146" s="3"/>
    </row>
    <row r="6147" spans="12:38" x14ac:dyDescent="0.25">
      <c r="L6147" s="2"/>
      <c r="M6147" s="2"/>
      <c r="N6147" s="2"/>
      <c r="AD6147" s="3"/>
      <c r="AH6147" s="3"/>
      <c r="AL6147" s="3"/>
    </row>
    <row r="6148" spans="12:38" x14ac:dyDescent="0.25">
      <c r="L6148" s="2"/>
      <c r="M6148" s="2"/>
      <c r="N6148" s="2"/>
      <c r="AD6148" s="3"/>
      <c r="AH6148" s="3"/>
      <c r="AL6148" s="3"/>
    </row>
    <row r="6149" spans="12:38" x14ac:dyDescent="0.25">
      <c r="L6149" s="2"/>
      <c r="M6149" s="2"/>
      <c r="N6149" s="2"/>
      <c r="AD6149" s="3"/>
      <c r="AH6149" s="3"/>
      <c r="AL6149" s="3"/>
    </row>
    <row r="6150" spans="12:38" x14ac:dyDescent="0.25">
      <c r="L6150" s="2"/>
      <c r="M6150" s="2"/>
      <c r="N6150" s="2"/>
      <c r="AD6150" s="3"/>
      <c r="AH6150" s="3"/>
      <c r="AL6150" s="3"/>
    </row>
    <row r="6151" spans="12:38" x14ac:dyDescent="0.25">
      <c r="L6151" s="2"/>
      <c r="M6151" s="2"/>
      <c r="N6151" s="2"/>
      <c r="AD6151" s="3"/>
      <c r="AH6151" s="3"/>
      <c r="AL6151" s="3"/>
    </row>
    <row r="6152" spans="12:38" x14ac:dyDescent="0.25">
      <c r="L6152" s="2"/>
      <c r="M6152" s="2"/>
      <c r="N6152" s="2"/>
      <c r="AD6152" s="3"/>
      <c r="AH6152" s="3"/>
      <c r="AL6152" s="3"/>
    </row>
    <row r="6153" spans="12:38" x14ac:dyDescent="0.25">
      <c r="L6153" s="2"/>
      <c r="M6153" s="2"/>
      <c r="N6153" s="2"/>
      <c r="AD6153" s="3"/>
      <c r="AH6153" s="3"/>
      <c r="AL6153" s="3"/>
    </row>
    <row r="6154" spans="12:38" x14ac:dyDescent="0.25">
      <c r="L6154" s="2"/>
      <c r="M6154" s="2"/>
      <c r="N6154" s="2"/>
      <c r="AD6154" s="3"/>
      <c r="AH6154" s="3"/>
      <c r="AL6154" s="3"/>
    </row>
    <row r="6155" spans="12:38" x14ac:dyDescent="0.25">
      <c r="L6155" s="2"/>
      <c r="M6155" s="2"/>
      <c r="N6155" s="2"/>
      <c r="AD6155" s="3"/>
      <c r="AH6155" s="3"/>
      <c r="AL6155" s="3"/>
    </row>
    <row r="6156" spans="12:38" x14ac:dyDescent="0.25">
      <c r="L6156" s="2"/>
      <c r="M6156" s="2"/>
      <c r="N6156" s="2"/>
      <c r="AD6156" s="3"/>
      <c r="AH6156" s="3"/>
      <c r="AL6156" s="3"/>
    </row>
    <row r="6157" spans="12:38" x14ac:dyDescent="0.25">
      <c r="L6157" s="2"/>
      <c r="M6157" s="2"/>
      <c r="N6157" s="2"/>
      <c r="AD6157" s="3"/>
      <c r="AH6157" s="3"/>
      <c r="AL6157" s="3"/>
    </row>
    <row r="6158" spans="12:38" x14ac:dyDescent="0.25">
      <c r="L6158" s="2"/>
      <c r="M6158" s="2"/>
      <c r="N6158" s="2"/>
      <c r="AD6158" s="3"/>
      <c r="AH6158" s="3"/>
      <c r="AL6158" s="3"/>
    </row>
    <row r="6159" spans="12:38" x14ac:dyDescent="0.25">
      <c r="L6159" s="2"/>
      <c r="M6159" s="2"/>
      <c r="N6159" s="2"/>
      <c r="AD6159" s="3"/>
      <c r="AH6159" s="3"/>
      <c r="AL6159" s="3"/>
    </row>
    <row r="6160" spans="12:38" x14ac:dyDescent="0.25">
      <c r="L6160" s="2"/>
      <c r="M6160" s="2"/>
      <c r="N6160" s="2"/>
      <c r="AD6160" s="3"/>
      <c r="AH6160" s="3"/>
      <c r="AL6160" s="3"/>
    </row>
    <row r="6161" spans="12:38" x14ac:dyDescent="0.25">
      <c r="L6161" s="2"/>
      <c r="M6161" s="2"/>
      <c r="N6161" s="2"/>
      <c r="AD6161" s="3"/>
      <c r="AH6161" s="3"/>
      <c r="AL6161" s="3"/>
    </row>
    <row r="6162" spans="12:38" x14ac:dyDescent="0.25">
      <c r="L6162" s="2"/>
      <c r="M6162" s="2"/>
      <c r="N6162" s="2"/>
      <c r="AD6162" s="3"/>
      <c r="AH6162" s="3"/>
      <c r="AL6162" s="3"/>
    </row>
    <row r="6163" spans="12:38" x14ac:dyDescent="0.25">
      <c r="L6163" s="2"/>
      <c r="M6163" s="2"/>
      <c r="N6163" s="2"/>
      <c r="AD6163" s="3"/>
      <c r="AH6163" s="3"/>
      <c r="AL6163" s="3"/>
    </row>
    <row r="6164" spans="12:38" x14ac:dyDescent="0.25">
      <c r="L6164" s="2"/>
      <c r="M6164" s="2"/>
      <c r="N6164" s="2"/>
      <c r="AD6164" s="3"/>
      <c r="AH6164" s="3"/>
      <c r="AL6164" s="3"/>
    </row>
    <row r="6165" spans="12:38" x14ac:dyDescent="0.25">
      <c r="L6165" s="2"/>
      <c r="M6165" s="2"/>
      <c r="N6165" s="2"/>
      <c r="AD6165" s="3"/>
      <c r="AH6165" s="3"/>
      <c r="AL6165" s="3"/>
    </row>
    <row r="6166" spans="12:38" x14ac:dyDescent="0.25">
      <c r="L6166" s="2"/>
      <c r="M6166" s="2"/>
      <c r="N6166" s="2"/>
      <c r="AD6166" s="3"/>
      <c r="AH6166" s="3"/>
      <c r="AL6166" s="3"/>
    </row>
    <row r="6167" spans="12:38" x14ac:dyDescent="0.25">
      <c r="L6167" s="2"/>
      <c r="M6167" s="2"/>
      <c r="N6167" s="2"/>
      <c r="AD6167" s="3"/>
      <c r="AH6167" s="3"/>
      <c r="AL6167" s="3"/>
    </row>
    <row r="6168" spans="12:38" x14ac:dyDescent="0.25">
      <c r="L6168" s="2"/>
      <c r="M6168" s="2"/>
      <c r="N6168" s="2"/>
      <c r="AD6168" s="3"/>
      <c r="AH6168" s="3"/>
      <c r="AL6168" s="3"/>
    </row>
    <row r="6169" spans="12:38" x14ac:dyDescent="0.25">
      <c r="L6169" s="2"/>
      <c r="M6169" s="2"/>
      <c r="N6169" s="2"/>
      <c r="AD6169" s="3"/>
      <c r="AH6169" s="3"/>
      <c r="AL6169" s="3"/>
    </row>
    <row r="6170" spans="12:38" x14ac:dyDescent="0.25">
      <c r="L6170" s="2"/>
      <c r="M6170" s="2"/>
      <c r="N6170" s="2"/>
      <c r="AD6170" s="3"/>
      <c r="AH6170" s="3"/>
      <c r="AL6170" s="3"/>
    </row>
    <row r="6171" spans="12:38" x14ac:dyDescent="0.25">
      <c r="L6171" s="2"/>
      <c r="M6171" s="2"/>
      <c r="N6171" s="2"/>
      <c r="AD6171" s="3"/>
      <c r="AH6171" s="3"/>
      <c r="AL6171" s="3"/>
    </row>
    <row r="6172" spans="12:38" x14ac:dyDescent="0.25">
      <c r="L6172" s="2"/>
      <c r="M6172" s="2"/>
      <c r="N6172" s="2"/>
      <c r="AD6172" s="3"/>
      <c r="AH6172" s="3"/>
      <c r="AL6172" s="3"/>
    </row>
    <row r="6173" spans="12:38" x14ac:dyDescent="0.25">
      <c r="L6173" s="2"/>
      <c r="M6173" s="2"/>
      <c r="N6173" s="2"/>
      <c r="AD6173" s="3"/>
      <c r="AH6173" s="3"/>
      <c r="AL6173" s="3"/>
    </row>
    <row r="6174" spans="12:38" x14ac:dyDescent="0.25">
      <c r="L6174" s="2"/>
      <c r="M6174" s="2"/>
      <c r="N6174" s="2"/>
      <c r="AD6174" s="3"/>
      <c r="AH6174" s="3"/>
      <c r="AL6174" s="3"/>
    </row>
    <row r="6175" spans="12:38" x14ac:dyDescent="0.25">
      <c r="L6175" s="2"/>
      <c r="M6175" s="2"/>
      <c r="N6175" s="2"/>
      <c r="AD6175" s="3"/>
      <c r="AH6175" s="3"/>
      <c r="AL6175" s="3"/>
    </row>
    <row r="6176" spans="12:38" x14ac:dyDescent="0.25">
      <c r="L6176" s="2"/>
      <c r="M6176" s="2"/>
      <c r="N6176" s="2"/>
      <c r="AD6176" s="3"/>
      <c r="AH6176" s="3"/>
      <c r="AL6176" s="3"/>
    </row>
    <row r="6177" spans="12:38" x14ac:dyDescent="0.25">
      <c r="L6177" s="2"/>
      <c r="M6177" s="2"/>
      <c r="N6177" s="2"/>
      <c r="AD6177" s="3"/>
      <c r="AH6177" s="3"/>
      <c r="AL6177" s="3"/>
    </row>
    <row r="6178" spans="12:38" x14ac:dyDescent="0.25">
      <c r="L6178" s="2"/>
      <c r="M6178" s="2"/>
      <c r="N6178" s="2"/>
      <c r="AD6178" s="3"/>
      <c r="AH6178" s="3"/>
      <c r="AL6178" s="3"/>
    </row>
    <row r="6179" spans="12:38" x14ac:dyDescent="0.25">
      <c r="L6179" s="2"/>
      <c r="M6179" s="2"/>
      <c r="N6179" s="2"/>
      <c r="AD6179" s="3"/>
      <c r="AH6179" s="3"/>
      <c r="AL6179" s="3"/>
    </row>
    <row r="6180" spans="12:38" x14ac:dyDescent="0.25">
      <c r="L6180" s="2"/>
      <c r="M6180" s="2"/>
      <c r="N6180" s="2"/>
      <c r="AD6180" s="3"/>
      <c r="AH6180" s="3"/>
      <c r="AL6180" s="3"/>
    </row>
    <row r="6181" spans="12:38" x14ac:dyDescent="0.25">
      <c r="L6181" s="2"/>
      <c r="M6181" s="2"/>
      <c r="N6181" s="2"/>
      <c r="AD6181" s="3"/>
      <c r="AH6181" s="3"/>
      <c r="AL6181" s="3"/>
    </row>
    <row r="6182" spans="12:38" x14ac:dyDescent="0.25">
      <c r="L6182" s="2"/>
      <c r="M6182" s="2"/>
      <c r="N6182" s="2"/>
      <c r="AD6182" s="3"/>
      <c r="AH6182" s="3"/>
      <c r="AL6182" s="3"/>
    </row>
    <row r="6183" spans="12:38" x14ac:dyDescent="0.25">
      <c r="L6183" s="2"/>
      <c r="M6183" s="2"/>
      <c r="N6183" s="2"/>
      <c r="AD6183" s="3"/>
      <c r="AH6183" s="3"/>
      <c r="AL6183" s="3"/>
    </row>
    <row r="6184" spans="12:38" x14ac:dyDescent="0.25">
      <c r="L6184" s="2"/>
      <c r="M6184" s="2"/>
      <c r="N6184" s="2"/>
      <c r="AD6184" s="3"/>
      <c r="AH6184" s="3"/>
      <c r="AL6184" s="3"/>
    </row>
    <row r="6185" spans="12:38" x14ac:dyDescent="0.25">
      <c r="L6185" s="2"/>
      <c r="M6185" s="2"/>
      <c r="N6185" s="2"/>
      <c r="AD6185" s="3"/>
      <c r="AH6185" s="3"/>
      <c r="AL6185" s="3"/>
    </row>
    <row r="6186" spans="12:38" x14ac:dyDescent="0.25">
      <c r="L6186" s="2"/>
      <c r="M6186" s="2"/>
      <c r="N6186" s="2"/>
      <c r="AD6186" s="3"/>
      <c r="AH6186" s="3"/>
      <c r="AL6186" s="3"/>
    </row>
    <row r="6187" spans="12:38" x14ac:dyDescent="0.25">
      <c r="L6187" s="2"/>
      <c r="M6187" s="2"/>
      <c r="N6187" s="2"/>
      <c r="AD6187" s="3"/>
      <c r="AH6187" s="3"/>
      <c r="AL6187" s="3"/>
    </row>
    <row r="6188" spans="12:38" x14ac:dyDescent="0.25">
      <c r="L6188" s="2"/>
      <c r="M6188" s="2"/>
      <c r="N6188" s="2"/>
      <c r="AD6188" s="3"/>
      <c r="AH6188" s="3"/>
      <c r="AL6188" s="3"/>
    </row>
    <row r="6189" spans="12:38" x14ac:dyDescent="0.25">
      <c r="L6189" s="2"/>
      <c r="M6189" s="2"/>
      <c r="N6189" s="2"/>
      <c r="AD6189" s="3"/>
      <c r="AH6189" s="3"/>
      <c r="AL6189" s="3"/>
    </row>
    <row r="6190" spans="12:38" x14ac:dyDescent="0.25">
      <c r="L6190" s="2"/>
      <c r="M6190" s="2"/>
      <c r="N6190" s="2"/>
      <c r="AD6190" s="3"/>
      <c r="AH6190" s="3"/>
      <c r="AL6190" s="3"/>
    </row>
    <row r="6191" spans="12:38" x14ac:dyDescent="0.25">
      <c r="L6191" s="2"/>
      <c r="M6191" s="2"/>
      <c r="N6191" s="2"/>
      <c r="AD6191" s="3"/>
      <c r="AH6191" s="3"/>
      <c r="AL6191" s="3"/>
    </row>
    <row r="6192" spans="12:38" x14ac:dyDescent="0.25">
      <c r="L6192" s="2"/>
      <c r="M6192" s="2"/>
      <c r="N6192" s="2"/>
      <c r="AD6192" s="3"/>
      <c r="AH6192" s="3"/>
      <c r="AL6192" s="3"/>
    </row>
    <row r="6193" spans="12:38" x14ac:dyDescent="0.25">
      <c r="L6193" s="2"/>
      <c r="M6193" s="2"/>
      <c r="N6193" s="2"/>
      <c r="AD6193" s="3"/>
      <c r="AH6193" s="3"/>
      <c r="AL6193" s="3"/>
    </row>
    <row r="6194" spans="12:38" x14ac:dyDescent="0.25">
      <c r="L6194" s="2"/>
      <c r="M6194" s="2"/>
      <c r="N6194" s="2"/>
      <c r="AD6194" s="3"/>
      <c r="AH6194" s="3"/>
      <c r="AL6194" s="3"/>
    </row>
    <row r="6195" spans="12:38" x14ac:dyDescent="0.25">
      <c r="L6195" s="2"/>
      <c r="M6195" s="2"/>
      <c r="N6195" s="2"/>
      <c r="AD6195" s="3"/>
      <c r="AH6195" s="3"/>
      <c r="AL6195" s="3"/>
    </row>
    <row r="6196" spans="12:38" x14ac:dyDescent="0.25">
      <c r="L6196" s="2"/>
      <c r="M6196" s="2"/>
      <c r="N6196" s="2"/>
      <c r="AD6196" s="3"/>
      <c r="AH6196" s="3"/>
      <c r="AL6196" s="3"/>
    </row>
    <row r="6197" spans="12:38" x14ac:dyDescent="0.25">
      <c r="L6197" s="2"/>
      <c r="M6197" s="2"/>
      <c r="N6197" s="2"/>
      <c r="AD6197" s="3"/>
      <c r="AH6197" s="3"/>
      <c r="AL6197" s="3"/>
    </row>
    <row r="6198" spans="12:38" x14ac:dyDescent="0.25">
      <c r="L6198" s="2"/>
      <c r="M6198" s="2"/>
      <c r="N6198" s="2"/>
      <c r="AD6198" s="3"/>
      <c r="AH6198" s="3"/>
      <c r="AL6198" s="3"/>
    </row>
    <row r="6199" spans="12:38" x14ac:dyDescent="0.25">
      <c r="L6199" s="2"/>
      <c r="M6199" s="2"/>
      <c r="N6199" s="2"/>
      <c r="AD6199" s="3"/>
      <c r="AH6199" s="3"/>
      <c r="AL6199" s="3"/>
    </row>
    <row r="6200" spans="12:38" x14ac:dyDescent="0.25">
      <c r="L6200" s="2"/>
      <c r="M6200" s="2"/>
      <c r="N6200" s="2"/>
      <c r="AD6200" s="3"/>
      <c r="AH6200" s="3"/>
      <c r="AL6200" s="3"/>
    </row>
    <row r="6201" spans="12:38" x14ac:dyDescent="0.25">
      <c r="L6201" s="2"/>
      <c r="M6201" s="2"/>
      <c r="N6201" s="2"/>
      <c r="AD6201" s="3"/>
      <c r="AH6201" s="3"/>
      <c r="AL6201" s="3"/>
    </row>
    <row r="6202" spans="12:38" x14ac:dyDescent="0.25">
      <c r="L6202" s="2"/>
      <c r="M6202" s="2"/>
      <c r="N6202" s="2"/>
      <c r="AD6202" s="3"/>
      <c r="AH6202" s="3"/>
      <c r="AL6202" s="3"/>
    </row>
    <row r="6203" spans="12:38" x14ac:dyDescent="0.25">
      <c r="L6203" s="2"/>
      <c r="M6203" s="2"/>
      <c r="N6203" s="2"/>
      <c r="AD6203" s="3"/>
      <c r="AH6203" s="3"/>
      <c r="AL6203" s="3"/>
    </row>
    <row r="6204" spans="12:38" x14ac:dyDescent="0.25">
      <c r="L6204" s="2"/>
      <c r="M6204" s="2"/>
      <c r="N6204" s="2"/>
      <c r="AD6204" s="3"/>
      <c r="AH6204" s="3"/>
      <c r="AL6204" s="3"/>
    </row>
    <row r="6205" spans="12:38" x14ac:dyDescent="0.25">
      <c r="L6205" s="2"/>
      <c r="M6205" s="2"/>
      <c r="N6205" s="2"/>
      <c r="AD6205" s="3"/>
      <c r="AH6205" s="3"/>
      <c r="AL6205" s="3"/>
    </row>
    <row r="6206" spans="12:38" x14ac:dyDescent="0.25">
      <c r="L6206" s="2"/>
      <c r="M6206" s="2"/>
      <c r="N6206" s="2"/>
      <c r="AD6206" s="3"/>
      <c r="AH6206" s="3"/>
      <c r="AL6206" s="3"/>
    </row>
    <row r="6207" spans="12:38" x14ac:dyDescent="0.25">
      <c r="L6207" s="2"/>
      <c r="M6207" s="2"/>
      <c r="N6207" s="2"/>
      <c r="AD6207" s="3"/>
      <c r="AH6207" s="3"/>
      <c r="AL6207" s="3"/>
    </row>
    <row r="6208" spans="12:38" x14ac:dyDescent="0.25">
      <c r="L6208" s="2"/>
      <c r="M6208" s="2"/>
      <c r="N6208" s="2"/>
      <c r="AD6208" s="3"/>
      <c r="AH6208" s="3"/>
      <c r="AL6208" s="3"/>
    </row>
    <row r="6209" spans="12:38" x14ac:dyDescent="0.25">
      <c r="L6209" s="2"/>
      <c r="M6209" s="2"/>
      <c r="N6209" s="2"/>
      <c r="AD6209" s="3"/>
      <c r="AH6209" s="3"/>
      <c r="AL6209" s="3"/>
    </row>
    <row r="6210" spans="12:38" x14ac:dyDescent="0.25">
      <c r="L6210" s="2"/>
      <c r="M6210" s="2"/>
      <c r="N6210" s="2"/>
      <c r="AD6210" s="3"/>
      <c r="AH6210" s="3"/>
      <c r="AL6210" s="3"/>
    </row>
    <row r="6211" spans="12:38" x14ac:dyDescent="0.25">
      <c r="L6211" s="2"/>
      <c r="M6211" s="2"/>
      <c r="N6211" s="2"/>
      <c r="AD6211" s="3"/>
      <c r="AH6211" s="3"/>
      <c r="AL6211" s="3"/>
    </row>
    <row r="6212" spans="12:38" x14ac:dyDescent="0.25">
      <c r="L6212" s="2"/>
      <c r="M6212" s="2"/>
      <c r="N6212" s="2"/>
      <c r="AD6212" s="3"/>
      <c r="AH6212" s="3"/>
      <c r="AL6212" s="3"/>
    </row>
    <row r="6213" spans="12:38" x14ac:dyDescent="0.25">
      <c r="L6213" s="2"/>
      <c r="M6213" s="2"/>
      <c r="N6213" s="2"/>
      <c r="AD6213" s="3"/>
      <c r="AH6213" s="3"/>
      <c r="AL6213" s="3"/>
    </row>
    <row r="6214" spans="12:38" x14ac:dyDescent="0.25">
      <c r="L6214" s="2"/>
      <c r="M6214" s="2"/>
      <c r="N6214" s="2"/>
      <c r="AD6214" s="3"/>
      <c r="AH6214" s="3"/>
      <c r="AL6214" s="3"/>
    </row>
    <row r="6215" spans="12:38" x14ac:dyDescent="0.25">
      <c r="L6215" s="2"/>
      <c r="M6215" s="2"/>
      <c r="N6215" s="2"/>
      <c r="AD6215" s="3"/>
      <c r="AH6215" s="3"/>
      <c r="AL6215" s="3"/>
    </row>
    <row r="6216" spans="12:38" x14ac:dyDescent="0.25">
      <c r="L6216" s="2"/>
      <c r="M6216" s="2"/>
      <c r="N6216" s="2"/>
      <c r="AD6216" s="3"/>
      <c r="AH6216" s="3"/>
      <c r="AL6216" s="3"/>
    </row>
    <row r="6217" spans="12:38" x14ac:dyDescent="0.25">
      <c r="L6217" s="2"/>
      <c r="M6217" s="2"/>
      <c r="N6217" s="2"/>
      <c r="AD6217" s="3"/>
      <c r="AH6217" s="3"/>
      <c r="AL6217" s="3"/>
    </row>
    <row r="6218" spans="12:38" x14ac:dyDescent="0.25">
      <c r="L6218" s="2"/>
      <c r="M6218" s="2"/>
      <c r="N6218" s="2"/>
      <c r="AD6218" s="3"/>
      <c r="AH6218" s="3"/>
      <c r="AL6218" s="3"/>
    </row>
    <row r="6219" spans="12:38" x14ac:dyDescent="0.25">
      <c r="L6219" s="2"/>
      <c r="M6219" s="2"/>
      <c r="N6219" s="2"/>
      <c r="AD6219" s="3"/>
      <c r="AH6219" s="3"/>
      <c r="AL6219" s="3"/>
    </row>
    <row r="6220" spans="12:38" x14ac:dyDescent="0.25">
      <c r="L6220" s="2"/>
      <c r="M6220" s="2"/>
      <c r="N6220" s="2"/>
      <c r="AD6220" s="3"/>
      <c r="AH6220" s="3"/>
      <c r="AL6220" s="3"/>
    </row>
    <row r="6221" spans="12:38" x14ac:dyDescent="0.25">
      <c r="L6221" s="2"/>
      <c r="M6221" s="2"/>
      <c r="N6221" s="2"/>
      <c r="AD6221" s="3"/>
      <c r="AH6221" s="3"/>
      <c r="AL6221" s="3"/>
    </row>
    <row r="6222" spans="12:38" x14ac:dyDescent="0.25">
      <c r="L6222" s="2"/>
      <c r="M6222" s="2"/>
      <c r="N6222" s="2"/>
      <c r="AD6222" s="3"/>
      <c r="AH6222" s="3"/>
      <c r="AL6222" s="3"/>
    </row>
    <row r="6223" spans="12:38" x14ac:dyDescent="0.25">
      <c r="L6223" s="2"/>
      <c r="M6223" s="2"/>
      <c r="N6223" s="2"/>
      <c r="AD6223" s="3"/>
      <c r="AH6223" s="3"/>
      <c r="AL6223" s="3"/>
    </row>
    <row r="6224" spans="12:38" x14ac:dyDescent="0.25">
      <c r="L6224" s="2"/>
      <c r="M6224" s="2"/>
      <c r="N6224" s="2"/>
      <c r="AD6224" s="3"/>
      <c r="AH6224" s="3"/>
      <c r="AL6224" s="3"/>
    </row>
    <row r="6225" spans="12:38" x14ac:dyDescent="0.25">
      <c r="L6225" s="2"/>
      <c r="M6225" s="2"/>
      <c r="N6225" s="2"/>
      <c r="AD6225" s="3"/>
      <c r="AH6225" s="3"/>
      <c r="AL6225" s="3"/>
    </row>
    <row r="6226" spans="12:38" x14ac:dyDescent="0.25">
      <c r="L6226" s="2"/>
      <c r="M6226" s="2"/>
      <c r="N6226" s="2"/>
      <c r="AD6226" s="3"/>
      <c r="AH6226" s="3"/>
      <c r="AL6226" s="3"/>
    </row>
    <row r="6227" spans="12:38" x14ac:dyDescent="0.25">
      <c r="L6227" s="2"/>
      <c r="M6227" s="2"/>
      <c r="N6227" s="2"/>
      <c r="AD6227" s="3"/>
      <c r="AH6227" s="3"/>
      <c r="AL6227" s="3"/>
    </row>
    <row r="6228" spans="12:38" x14ac:dyDescent="0.25">
      <c r="L6228" s="2"/>
      <c r="M6228" s="2"/>
      <c r="N6228" s="2"/>
      <c r="AD6228" s="3"/>
      <c r="AH6228" s="3"/>
      <c r="AL6228" s="3"/>
    </row>
    <row r="6229" spans="12:38" x14ac:dyDescent="0.25">
      <c r="L6229" s="2"/>
      <c r="M6229" s="2"/>
      <c r="N6229" s="2"/>
      <c r="AD6229" s="3"/>
      <c r="AH6229" s="3"/>
      <c r="AL6229" s="3"/>
    </row>
    <row r="6230" spans="12:38" x14ac:dyDescent="0.25">
      <c r="L6230" s="2"/>
      <c r="M6230" s="2"/>
      <c r="N6230" s="2"/>
      <c r="AD6230" s="3"/>
      <c r="AH6230" s="3"/>
      <c r="AL6230" s="3"/>
    </row>
    <row r="6231" spans="12:38" x14ac:dyDescent="0.25">
      <c r="L6231" s="2"/>
      <c r="M6231" s="2"/>
      <c r="N6231" s="2"/>
      <c r="AD6231" s="3"/>
      <c r="AH6231" s="3"/>
      <c r="AL6231" s="3"/>
    </row>
    <row r="6232" spans="12:38" x14ac:dyDescent="0.25">
      <c r="L6232" s="2"/>
      <c r="M6232" s="2"/>
      <c r="N6232" s="2"/>
      <c r="AD6232" s="3"/>
      <c r="AH6232" s="3"/>
      <c r="AL6232" s="3"/>
    </row>
    <row r="6233" spans="12:38" x14ac:dyDescent="0.25">
      <c r="L6233" s="2"/>
      <c r="M6233" s="2"/>
      <c r="N6233" s="2"/>
      <c r="AD6233" s="3"/>
      <c r="AH6233" s="3"/>
      <c r="AL6233" s="3"/>
    </row>
    <row r="6234" spans="12:38" x14ac:dyDescent="0.25">
      <c r="L6234" s="2"/>
      <c r="M6234" s="2"/>
      <c r="N6234" s="2"/>
      <c r="AD6234" s="3"/>
      <c r="AH6234" s="3"/>
      <c r="AL6234" s="3"/>
    </row>
    <row r="6235" spans="12:38" x14ac:dyDescent="0.25">
      <c r="L6235" s="2"/>
      <c r="M6235" s="2"/>
      <c r="N6235" s="2"/>
      <c r="AD6235" s="3"/>
      <c r="AH6235" s="3"/>
      <c r="AL6235" s="3"/>
    </row>
    <row r="6236" spans="12:38" x14ac:dyDescent="0.25">
      <c r="L6236" s="2"/>
      <c r="M6236" s="2"/>
      <c r="N6236" s="2"/>
      <c r="AD6236" s="3"/>
      <c r="AH6236" s="3"/>
      <c r="AL6236" s="3"/>
    </row>
    <row r="6237" spans="12:38" x14ac:dyDescent="0.25">
      <c r="L6237" s="2"/>
      <c r="M6237" s="2"/>
      <c r="N6237" s="2"/>
      <c r="AD6237" s="3"/>
      <c r="AH6237" s="3"/>
      <c r="AL6237" s="3"/>
    </row>
    <row r="6238" spans="12:38" x14ac:dyDescent="0.25">
      <c r="L6238" s="2"/>
      <c r="M6238" s="2"/>
      <c r="N6238" s="2"/>
      <c r="AD6238" s="3"/>
      <c r="AH6238" s="3"/>
      <c r="AL6238" s="3"/>
    </row>
    <row r="6239" spans="12:38" x14ac:dyDescent="0.25">
      <c r="L6239" s="2"/>
      <c r="M6239" s="2"/>
      <c r="N6239" s="2"/>
      <c r="AD6239" s="3"/>
      <c r="AH6239" s="3"/>
      <c r="AL6239" s="3"/>
    </row>
    <row r="6240" spans="12:38" x14ac:dyDescent="0.25">
      <c r="L6240" s="2"/>
      <c r="M6240" s="2"/>
      <c r="N6240" s="2"/>
      <c r="AD6240" s="3"/>
      <c r="AH6240" s="3"/>
      <c r="AL6240" s="3"/>
    </row>
    <row r="6241" spans="12:38" x14ac:dyDescent="0.25">
      <c r="L6241" s="2"/>
      <c r="M6241" s="2"/>
      <c r="N6241" s="2"/>
      <c r="AD6241" s="3"/>
      <c r="AH6241" s="3"/>
      <c r="AL6241" s="3"/>
    </row>
    <row r="6242" spans="12:38" x14ac:dyDescent="0.25">
      <c r="L6242" s="2"/>
      <c r="M6242" s="2"/>
      <c r="N6242" s="2"/>
      <c r="AD6242" s="3"/>
      <c r="AH6242" s="3"/>
      <c r="AL6242" s="3"/>
    </row>
    <row r="6243" spans="12:38" x14ac:dyDescent="0.25">
      <c r="L6243" s="2"/>
      <c r="M6243" s="2"/>
      <c r="N6243" s="2"/>
      <c r="AD6243" s="3"/>
      <c r="AH6243" s="3"/>
      <c r="AL6243" s="3"/>
    </row>
    <row r="6244" spans="12:38" x14ac:dyDescent="0.25">
      <c r="L6244" s="2"/>
      <c r="M6244" s="2"/>
      <c r="N6244" s="2"/>
      <c r="AD6244" s="3"/>
      <c r="AH6244" s="3"/>
      <c r="AL6244" s="3"/>
    </row>
    <row r="6245" spans="12:38" x14ac:dyDescent="0.25">
      <c r="L6245" s="2"/>
      <c r="M6245" s="2"/>
      <c r="N6245" s="2"/>
      <c r="AD6245" s="3"/>
      <c r="AH6245" s="3"/>
      <c r="AL6245" s="3"/>
    </row>
  </sheetData>
  <autoFilter ref="A1:AL6245" xr:uid="{D9F86A48-D167-44EE-8578-D9FD9F936DB9}"/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X54"/>
  <sheetViews>
    <sheetView topLeftCell="D1" workbookViewId="0">
      <selection activeCell="T8" sqref="T8"/>
    </sheetView>
  </sheetViews>
  <sheetFormatPr defaultRowHeight="13.2" x14ac:dyDescent="0.25"/>
  <cols>
    <col min="10" max="10" width="13.109375" customWidth="1"/>
    <col min="15" max="15" width="13.33203125" bestFit="1" customWidth="1"/>
    <col min="16" max="16" width="13.33203125" customWidth="1"/>
    <col min="17" max="18" width="0" hidden="1" customWidth="1"/>
    <col min="19" max="19" width="23.88671875" bestFit="1" customWidth="1"/>
    <col min="20" max="20" width="29.6640625" bestFit="1" customWidth="1"/>
    <col min="21" max="21" width="24.44140625" bestFit="1" customWidth="1"/>
  </cols>
  <sheetData>
    <row r="1" spans="1:24" x14ac:dyDescent="0.25">
      <c r="A1" s="11" t="s">
        <v>477</v>
      </c>
      <c r="J1" s="6" t="s">
        <v>442</v>
      </c>
    </row>
    <row r="2" spans="1:24" x14ac:dyDescent="0.25">
      <c r="A2" t="s">
        <v>478</v>
      </c>
      <c r="J2" t="s">
        <v>1</v>
      </c>
    </row>
    <row r="3" spans="1:24" x14ac:dyDescent="0.25">
      <c r="J3" t="s">
        <v>28</v>
      </c>
    </row>
    <row r="4" spans="1:24" x14ac:dyDescent="0.25">
      <c r="J4" t="s">
        <v>52</v>
      </c>
      <c r="O4" t="s">
        <v>487</v>
      </c>
    </row>
    <row r="5" spans="1:24" x14ac:dyDescent="0.25">
      <c r="A5" t="s">
        <v>479</v>
      </c>
      <c r="J5" t="s">
        <v>63</v>
      </c>
    </row>
    <row r="6" spans="1:24" x14ac:dyDescent="0.25">
      <c r="B6" s="5" t="s">
        <v>480</v>
      </c>
      <c r="D6" t="s">
        <v>481</v>
      </c>
      <c r="J6" t="s">
        <v>120</v>
      </c>
      <c r="P6" s="7"/>
      <c r="Q6" s="10" t="s">
        <v>488</v>
      </c>
      <c r="S6" s="11" t="s">
        <v>490</v>
      </c>
    </row>
    <row r="7" spans="1:24" x14ac:dyDescent="0.25">
      <c r="J7" t="s">
        <v>121</v>
      </c>
      <c r="P7" s="13" t="s">
        <v>0</v>
      </c>
      <c r="Q7" t="s">
        <v>484</v>
      </c>
      <c r="R7" t="s">
        <v>485</v>
      </c>
      <c r="S7" t="s">
        <v>486</v>
      </c>
      <c r="T7" t="s">
        <v>486</v>
      </c>
      <c r="U7" t="s">
        <v>486</v>
      </c>
      <c r="V7" t="s">
        <v>486</v>
      </c>
      <c r="W7" t="s">
        <v>486</v>
      </c>
      <c r="X7" t="s">
        <v>486</v>
      </c>
    </row>
    <row r="8" spans="1:24" x14ac:dyDescent="0.25">
      <c r="J8" t="s">
        <v>125</v>
      </c>
      <c r="P8" s="15" t="s">
        <v>120</v>
      </c>
      <c r="Q8">
        <v>0</v>
      </c>
      <c r="R8">
        <v>0</v>
      </c>
      <c r="S8" s="14" t="s">
        <v>491</v>
      </c>
      <c r="T8" t="s">
        <v>494</v>
      </c>
      <c r="U8" s="11" t="s">
        <v>504</v>
      </c>
    </row>
    <row r="9" spans="1:24" x14ac:dyDescent="0.25">
      <c r="J9" t="s">
        <v>141</v>
      </c>
      <c r="P9" s="15" t="s">
        <v>1</v>
      </c>
      <c r="Q9">
        <v>0</v>
      </c>
      <c r="R9">
        <v>1</v>
      </c>
      <c r="S9" s="14" t="s">
        <v>491</v>
      </c>
      <c r="T9" t="s">
        <v>495</v>
      </c>
      <c r="U9" s="11" t="s">
        <v>504</v>
      </c>
    </row>
    <row r="10" spans="1:24" x14ac:dyDescent="0.25">
      <c r="J10" t="s">
        <v>173</v>
      </c>
      <c r="P10" s="15" t="s">
        <v>63</v>
      </c>
      <c r="Q10">
        <v>0</v>
      </c>
      <c r="R10">
        <v>2</v>
      </c>
      <c r="S10" s="11" t="s">
        <v>501</v>
      </c>
      <c r="T10" t="s">
        <v>496</v>
      </c>
      <c r="U10" s="14" t="s">
        <v>491</v>
      </c>
    </row>
    <row r="11" spans="1:24" x14ac:dyDescent="0.25">
      <c r="P11" s="15" t="s">
        <v>28</v>
      </c>
      <c r="Q11">
        <v>0</v>
      </c>
      <c r="R11">
        <v>3</v>
      </c>
      <c r="S11" s="11" t="s">
        <v>501</v>
      </c>
      <c r="T11" t="s">
        <v>496</v>
      </c>
      <c r="U11" s="14" t="s">
        <v>491</v>
      </c>
    </row>
    <row r="12" spans="1:24" x14ac:dyDescent="0.25">
      <c r="P12" s="15" t="s">
        <v>125</v>
      </c>
      <c r="Q12">
        <v>0</v>
      </c>
      <c r="R12">
        <v>4</v>
      </c>
      <c r="S12" s="14" t="s">
        <v>491</v>
      </c>
      <c r="U12" s="11" t="s">
        <v>504</v>
      </c>
    </row>
    <row r="13" spans="1:24" x14ac:dyDescent="0.25">
      <c r="P13" s="15" t="s">
        <v>52</v>
      </c>
      <c r="Q13">
        <v>0</v>
      </c>
      <c r="R13">
        <v>5</v>
      </c>
      <c r="S13" t="s">
        <v>497</v>
      </c>
      <c r="T13" t="s">
        <v>519</v>
      </c>
      <c r="U13" s="11" t="s">
        <v>504</v>
      </c>
    </row>
    <row r="14" spans="1:24" x14ac:dyDescent="0.25">
      <c r="P14" s="15" t="s">
        <v>121</v>
      </c>
      <c r="Q14">
        <v>0</v>
      </c>
      <c r="R14">
        <v>6</v>
      </c>
      <c r="S14" s="12" t="s">
        <v>502</v>
      </c>
      <c r="T14" t="s">
        <v>498</v>
      </c>
      <c r="U14" s="11" t="s">
        <v>504</v>
      </c>
    </row>
    <row r="15" spans="1:24" x14ac:dyDescent="0.25">
      <c r="P15" s="13" t="s">
        <v>140</v>
      </c>
    </row>
    <row r="16" spans="1:24" x14ac:dyDescent="0.25">
      <c r="P16" s="15" t="s">
        <v>141</v>
      </c>
      <c r="Q16">
        <v>1</v>
      </c>
      <c r="R16">
        <v>0</v>
      </c>
      <c r="S16" s="11" t="s">
        <v>503</v>
      </c>
      <c r="T16" t="s">
        <v>499</v>
      </c>
    </row>
    <row r="17" spans="16:20" x14ac:dyDescent="0.25">
      <c r="P17" s="9" t="s">
        <v>250</v>
      </c>
    </row>
    <row r="18" spans="16:20" x14ac:dyDescent="0.25">
      <c r="P18" s="15" t="s">
        <v>120</v>
      </c>
      <c r="Q18">
        <v>1</v>
      </c>
      <c r="R18">
        <v>1</v>
      </c>
      <c r="S18" s="14" t="s">
        <v>492</v>
      </c>
    </row>
    <row r="19" spans="16:20" x14ac:dyDescent="0.25">
      <c r="P19" s="15" t="s">
        <v>173</v>
      </c>
      <c r="Q19">
        <v>1</v>
      </c>
      <c r="R19">
        <v>2</v>
      </c>
      <c r="S19" s="14" t="s">
        <v>492</v>
      </c>
    </row>
    <row r="20" spans="16:20" x14ac:dyDescent="0.25">
      <c r="P20" s="11" t="s">
        <v>489</v>
      </c>
      <c r="Q20">
        <v>1</v>
      </c>
      <c r="R20">
        <v>3</v>
      </c>
      <c r="S20" s="11" t="s">
        <v>493</v>
      </c>
    </row>
    <row r="21" spans="16:20" x14ac:dyDescent="0.25">
      <c r="P21" s="15" t="s">
        <v>1</v>
      </c>
      <c r="Q21">
        <v>1</v>
      </c>
      <c r="R21">
        <v>4</v>
      </c>
      <c r="S21" s="11" t="s">
        <v>502</v>
      </c>
      <c r="T21" t="s">
        <v>500</v>
      </c>
    </row>
    <row r="22" spans="16:20" x14ac:dyDescent="0.25">
      <c r="P22" s="15" t="s">
        <v>63</v>
      </c>
      <c r="Q22">
        <v>1</v>
      </c>
      <c r="R22">
        <v>5</v>
      </c>
      <c r="S22" s="11" t="s">
        <v>493</v>
      </c>
    </row>
    <row r="23" spans="16:20" x14ac:dyDescent="0.25">
      <c r="P23" s="15" t="s">
        <v>28</v>
      </c>
      <c r="Q23">
        <v>1</v>
      </c>
      <c r="R23">
        <v>6</v>
      </c>
      <c r="S23" s="11" t="s">
        <v>493</v>
      </c>
    </row>
    <row r="24" spans="16:20" x14ac:dyDescent="0.25">
      <c r="P24" s="15" t="s">
        <v>125</v>
      </c>
      <c r="Q24">
        <v>1</v>
      </c>
      <c r="R24">
        <v>7</v>
      </c>
      <c r="S24" s="12" t="s">
        <v>502</v>
      </c>
      <c r="T24" t="s">
        <v>498</v>
      </c>
    </row>
    <row r="25" spans="16:20" x14ac:dyDescent="0.25">
      <c r="P25" s="15" t="s">
        <v>52</v>
      </c>
      <c r="Q25">
        <v>1</v>
      </c>
      <c r="R25">
        <v>8</v>
      </c>
      <c r="S25" s="12" t="s">
        <v>502</v>
      </c>
      <c r="T25" t="s">
        <v>519</v>
      </c>
    </row>
    <row r="26" spans="16:20" x14ac:dyDescent="0.25">
      <c r="P26" s="15" t="s">
        <v>121</v>
      </c>
      <c r="Q26">
        <v>1</v>
      </c>
      <c r="R26">
        <v>9</v>
      </c>
      <c r="S26" s="12" t="s">
        <v>502</v>
      </c>
      <c r="T26" t="s">
        <v>498</v>
      </c>
    </row>
    <row r="27" spans="16:20" x14ac:dyDescent="0.25">
      <c r="P27" s="8"/>
    </row>
    <row r="28" spans="16:20" x14ac:dyDescent="0.25">
      <c r="P28" s="11"/>
    </row>
    <row r="29" spans="16:20" x14ac:dyDescent="0.25">
      <c r="S29">
        <f>SUBTOTAL(2,PasteData!A2:A8)</f>
        <v>0</v>
      </c>
    </row>
    <row r="34" spans="15:15" x14ac:dyDescent="0.25">
      <c r="O34" s="7" t="s">
        <v>482</v>
      </c>
    </row>
    <row r="35" spans="15:15" x14ac:dyDescent="0.25">
      <c r="O35" s="8" t="s">
        <v>0</v>
      </c>
    </row>
    <row r="36" spans="15:15" x14ac:dyDescent="0.25">
      <c r="O36" s="9" t="s">
        <v>120</v>
      </c>
    </row>
    <row r="37" spans="15:15" x14ac:dyDescent="0.25">
      <c r="O37" s="9" t="s">
        <v>1</v>
      </c>
    </row>
    <row r="38" spans="15:15" x14ac:dyDescent="0.25">
      <c r="O38" s="9" t="s">
        <v>63</v>
      </c>
    </row>
    <row r="39" spans="15:15" x14ac:dyDescent="0.25">
      <c r="O39" s="9" t="s">
        <v>28</v>
      </c>
    </row>
    <row r="40" spans="15:15" x14ac:dyDescent="0.25">
      <c r="O40" s="9" t="s">
        <v>125</v>
      </c>
    </row>
    <row r="41" spans="15:15" x14ac:dyDescent="0.25">
      <c r="O41" s="9" t="s">
        <v>52</v>
      </c>
    </row>
    <row r="42" spans="15:15" x14ac:dyDescent="0.25">
      <c r="O42" s="9" t="s">
        <v>121</v>
      </c>
    </row>
    <row r="43" spans="15:15" x14ac:dyDescent="0.25">
      <c r="O43" s="8" t="s">
        <v>140</v>
      </c>
    </row>
    <row r="44" spans="15:15" x14ac:dyDescent="0.25">
      <c r="O44" s="9" t="s">
        <v>141</v>
      </c>
    </row>
    <row r="45" spans="15:15" x14ac:dyDescent="0.25">
      <c r="O45" s="9" t="s">
        <v>250</v>
      </c>
    </row>
    <row r="46" spans="15:15" x14ac:dyDescent="0.25">
      <c r="O46" s="9" t="s">
        <v>120</v>
      </c>
    </row>
    <row r="47" spans="15:15" x14ac:dyDescent="0.25">
      <c r="O47" s="9" t="s">
        <v>173</v>
      </c>
    </row>
    <row r="48" spans="15:15" x14ac:dyDescent="0.25">
      <c r="O48" s="9" t="s">
        <v>1</v>
      </c>
    </row>
    <row r="49" spans="15:15" x14ac:dyDescent="0.25">
      <c r="O49" s="9" t="s">
        <v>63</v>
      </c>
    </row>
    <row r="50" spans="15:15" x14ac:dyDescent="0.25">
      <c r="O50" s="9" t="s">
        <v>28</v>
      </c>
    </row>
    <row r="51" spans="15:15" x14ac:dyDescent="0.25">
      <c r="O51" s="9" t="s">
        <v>125</v>
      </c>
    </row>
    <row r="52" spans="15:15" x14ac:dyDescent="0.25">
      <c r="O52" s="9" t="s">
        <v>52</v>
      </c>
    </row>
    <row r="53" spans="15:15" x14ac:dyDescent="0.25">
      <c r="O53" s="9" t="s">
        <v>121</v>
      </c>
    </row>
    <row r="54" spans="15:15" x14ac:dyDescent="0.25">
      <c r="O54" s="8" t="s">
        <v>483</v>
      </c>
    </row>
  </sheetData>
  <pageMargins left="0.7" right="0.7" top="0.75" bottom="0.75" header="0.3" footer="0.3"/>
  <pageSetup orientation="portrait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Start Here</vt:lpstr>
      <vt:lpstr>PasteData</vt:lpstr>
      <vt:lpstr>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Andrew</cp:lastModifiedBy>
  <cp:revision>1</cp:revision>
  <dcterms:created xsi:type="dcterms:W3CDTF">2017-01-23T16:30:42Z</dcterms:created>
  <dcterms:modified xsi:type="dcterms:W3CDTF">2017-11-10T19:24:14Z</dcterms:modified>
  <cp:category/>
</cp:coreProperties>
</file>